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defaultThemeVersion="166925"/>
  <mc:AlternateContent xmlns:mc="http://schemas.openxmlformats.org/markup-compatibility/2006">
    <mc:Choice Requires="x15">
      <x15ac:absPath xmlns:x15ac="http://schemas.microsoft.com/office/spreadsheetml/2010/11/ac" url="https://d.docs.live.net/bf98c1e4bedeec9c/Desktop/Data Analysis Project/Excel Project/"/>
    </mc:Choice>
  </mc:AlternateContent>
  <xr:revisionPtr revIDLastSave="268" documentId="8_{7653E93F-2AE7-4E24-8DC1-A10A693F7291}" xr6:coauthVersionLast="47" xr6:coauthVersionMax="47" xr10:uidLastSave="{28611E73-623F-4943-A2C2-0ABE960912AA}"/>
  <bookViews>
    <workbookView xWindow="-120" yWindow="-120" windowWidth="20730" windowHeight="11040" xr2:uid="{01E4331D-A152-42D1-8BF1-CC4062994C3B}"/>
  </bookViews>
  <sheets>
    <sheet name="Dashboard" sheetId="5" r:id="rId1"/>
    <sheet name="Pivot" sheetId="3" r:id="rId2"/>
    <sheet name="Job_Lookup" sheetId="2" r:id="rId3"/>
    <sheet name="AI Impact on Jobs 2030 - Sheet1" sheetId="1" r:id="rId4"/>
  </sheets>
  <definedNames>
    <definedName name="_xlnm._FilterDatabase" localSheetId="3" hidden="1">'AI Impact on Jobs 2030 - Sheet1'!$A$1:$R$3001</definedName>
    <definedName name="Slicer_Career_Stage1">#N/A</definedName>
    <definedName name="Slicer_Education_Level1">#N/A</definedName>
    <definedName name="Slicer_Risk_Category1">#N/A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4" i="2" l="1" a="1"/>
  <c r="A4" i="2" s="1"/>
  <c r="G4" i="2" a="1"/>
  <c r="G4" i="2" s="1"/>
  <c r="C5" i="2"/>
  <c r="C6" i="2"/>
  <c r="C7" i="2"/>
  <c r="C8" i="2"/>
  <c r="C9" i="2"/>
  <c r="C10" i="2"/>
  <c r="C11" i="2"/>
  <c r="C12" i="2"/>
  <c r="C13" i="2"/>
  <c r="C14" i="2"/>
  <c r="C15" i="2"/>
  <c r="C16" i="2"/>
  <c r="C17" i="2"/>
  <c r="C18" i="2"/>
  <c r="C19" i="2"/>
  <c r="C20" i="2"/>
  <c r="C21" i="2"/>
  <c r="C22" i="2"/>
  <c r="C23" i="2"/>
  <c r="C4" i="2"/>
  <c r="B5" i="2"/>
  <c r="B6" i="2"/>
  <c r="B7" i="2"/>
  <c r="B8" i="2"/>
  <c r="B9" i="2"/>
  <c r="B10" i="2"/>
  <c r="B11" i="2"/>
  <c r="B12" i="2"/>
  <c r="B13" i="2"/>
  <c r="B14" i="2"/>
  <c r="B15" i="2"/>
  <c r="B16" i="2"/>
  <c r="B17" i="2"/>
  <c r="B18" i="2"/>
  <c r="B19" i="2"/>
  <c r="B20" i="2"/>
  <c r="B21" i="2"/>
  <c r="B22" i="2"/>
  <c r="B23" i="2"/>
  <c r="B4" i="2"/>
  <c r="T3" i="1"/>
  <c r="T4" i="1"/>
  <c r="T5" i="1"/>
  <c r="T6" i="1"/>
  <c r="T7" i="1"/>
  <c r="T8" i="1"/>
  <c r="T9" i="1"/>
  <c r="T10" i="1"/>
  <c r="T11" i="1"/>
  <c r="T12" i="1"/>
  <c r="T13" i="1"/>
  <c r="T14" i="1"/>
  <c r="T15" i="1"/>
  <c r="T16" i="1"/>
  <c r="T17" i="1"/>
  <c r="T18" i="1"/>
  <c r="T19" i="1"/>
  <c r="T20" i="1"/>
  <c r="T21" i="1"/>
  <c r="T22" i="1"/>
  <c r="T23" i="1"/>
  <c r="T24" i="1"/>
  <c r="T25" i="1"/>
  <c r="T26" i="1"/>
  <c r="T27" i="1"/>
  <c r="T28" i="1"/>
  <c r="T29" i="1"/>
  <c r="T30" i="1"/>
  <c r="T31" i="1"/>
  <c r="T32" i="1"/>
  <c r="T33" i="1"/>
  <c r="T34" i="1"/>
  <c r="T35" i="1"/>
  <c r="T36" i="1"/>
  <c r="T37" i="1"/>
  <c r="T38" i="1"/>
  <c r="T39" i="1"/>
  <c r="T40" i="1"/>
  <c r="T41" i="1"/>
  <c r="T42" i="1"/>
  <c r="T43" i="1"/>
  <c r="T44" i="1"/>
  <c r="T45" i="1"/>
  <c r="T46" i="1"/>
  <c r="T47" i="1"/>
  <c r="T48" i="1"/>
  <c r="T49" i="1"/>
  <c r="T50" i="1"/>
  <c r="T51" i="1"/>
  <c r="T52" i="1"/>
  <c r="T53" i="1"/>
  <c r="T54" i="1"/>
  <c r="T55" i="1"/>
  <c r="T56" i="1"/>
  <c r="T57" i="1"/>
  <c r="T58" i="1"/>
  <c r="T59" i="1"/>
  <c r="T60" i="1"/>
  <c r="T61" i="1"/>
  <c r="T62" i="1"/>
  <c r="T63" i="1"/>
  <c r="T64" i="1"/>
  <c r="T65" i="1"/>
  <c r="T66" i="1"/>
  <c r="T67" i="1"/>
  <c r="T68" i="1"/>
  <c r="T69" i="1"/>
  <c r="T70" i="1"/>
  <c r="T71" i="1"/>
  <c r="T72" i="1"/>
  <c r="T73" i="1"/>
  <c r="T74" i="1"/>
  <c r="T75" i="1"/>
  <c r="T76" i="1"/>
  <c r="T77" i="1"/>
  <c r="T78" i="1"/>
  <c r="T79" i="1"/>
  <c r="T80" i="1"/>
  <c r="T81" i="1"/>
  <c r="T82" i="1"/>
  <c r="T83" i="1"/>
  <c r="T84" i="1"/>
  <c r="T85" i="1"/>
  <c r="T86" i="1"/>
  <c r="T87" i="1"/>
  <c r="T88" i="1"/>
  <c r="T89" i="1"/>
  <c r="T90" i="1"/>
  <c r="T91" i="1"/>
  <c r="T92" i="1"/>
  <c r="T93" i="1"/>
  <c r="T94" i="1"/>
  <c r="T95" i="1"/>
  <c r="T96" i="1"/>
  <c r="T97" i="1"/>
  <c r="T98" i="1"/>
  <c r="T99" i="1"/>
  <c r="T100" i="1"/>
  <c r="T101" i="1"/>
  <c r="T102" i="1"/>
  <c r="T103" i="1"/>
  <c r="T104" i="1"/>
  <c r="T105" i="1"/>
  <c r="T106" i="1"/>
  <c r="T107" i="1"/>
  <c r="T108" i="1"/>
  <c r="T109" i="1"/>
  <c r="T110" i="1"/>
  <c r="T111" i="1"/>
  <c r="T112" i="1"/>
  <c r="T113" i="1"/>
  <c r="T114" i="1"/>
  <c r="T115" i="1"/>
  <c r="T116" i="1"/>
  <c r="T117" i="1"/>
  <c r="T118" i="1"/>
  <c r="T119" i="1"/>
  <c r="T120" i="1"/>
  <c r="T121" i="1"/>
  <c r="T122" i="1"/>
  <c r="T123" i="1"/>
  <c r="T124" i="1"/>
  <c r="T125" i="1"/>
  <c r="T126" i="1"/>
  <c r="T127" i="1"/>
  <c r="T128" i="1"/>
  <c r="T129" i="1"/>
  <c r="T130" i="1"/>
  <c r="T131" i="1"/>
  <c r="T132" i="1"/>
  <c r="T133" i="1"/>
  <c r="T134" i="1"/>
  <c r="T135" i="1"/>
  <c r="T136" i="1"/>
  <c r="T137" i="1"/>
  <c r="T138" i="1"/>
  <c r="T139" i="1"/>
  <c r="T140" i="1"/>
  <c r="T141" i="1"/>
  <c r="T142" i="1"/>
  <c r="T143" i="1"/>
  <c r="T144" i="1"/>
  <c r="T145" i="1"/>
  <c r="T146" i="1"/>
  <c r="T147" i="1"/>
  <c r="T148" i="1"/>
  <c r="T149" i="1"/>
  <c r="T150" i="1"/>
  <c r="T151" i="1"/>
  <c r="T152" i="1"/>
  <c r="T153" i="1"/>
  <c r="T154" i="1"/>
  <c r="T155" i="1"/>
  <c r="T156" i="1"/>
  <c r="T157" i="1"/>
  <c r="T158" i="1"/>
  <c r="T159" i="1"/>
  <c r="T160" i="1"/>
  <c r="T161" i="1"/>
  <c r="T162" i="1"/>
  <c r="T163" i="1"/>
  <c r="T164" i="1"/>
  <c r="T165" i="1"/>
  <c r="T166" i="1"/>
  <c r="T167" i="1"/>
  <c r="T168" i="1"/>
  <c r="T169" i="1"/>
  <c r="T170" i="1"/>
  <c r="T171" i="1"/>
  <c r="T172" i="1"/>
  <c r="T173" i="1"/>
  <c r="T174" i="1"/>
  <c r="T175" i="1"/>
  <c r="T176" i="1"/>
  <c r="T177" i="1"/>
  <c r="T178" i="1"/>
  <c r="T179" i="1"/>
  <c r="T180" i="1"/>
  <c r="T181" i="1"/>
  <c r="T182" i="1"/>
  <c r="T183" i="1"/>
  <c r="T184" i="1"/>
  <c r="T185" i="1"/>
  <c r="T186" i="1"/>
  <c r="T187" i="1"/>
  <c r="T188" i="1"/>
  <c r="T189" i="1"/>
  <c r="T190" i="1"/>
  <c r="T191" i="1"/>
  <c r="T192" i="1"/>
  <c r="T193" i="1"/>
  <c r="T194" i="1"/>
  <c r="T195" i="1"/>
  <c r="T196" i="1"/>
  <c r="T197" i="1"/>
  <c r="T198" i="1"/>
  <c r="T199" i="1"/>
  <c r="T200" i="1"/>
  <c r="T201" i="1"/>
  <c r="T202" i="1"/>
  <c r="T203" i="1"/>
  <c r="T204" i="1"/>
  <c r="T205" i="1"/>
  <c r="T206" i="1"/>
  <c r="T207" i="1"/>
  <c r="T208" i="1"/>
  <c r="T209" i="1"/>
  <c r="T210" i="1"/>
  <c r="T211" i="1"/>
  <c r="T212" i="1"/>
  <c r="T213" i="1"/>
  <c r="T214" i="1"/>
  <c r="T215" i="1"/>
  <c r="T216" i="1"/>
  <c r="T217" i="1"/>
  <c r="T218" i="1"/>
  <c r="T219" i="1"/>
  <c r="T220" i="1"/>
  <c r="T221" i="1"/>
  <c r="T222" i="1"/>
  <c r="T223" i="1"/>
  <c r="T224" i="1"/>
  <c r="T225" i="1"/>
  <c r="T226" i="1"/>
  <c r="T227" i="1"/>
  <c r="T228" i="1"/>
  <c r="T229" i="1"/>
  <c r="T230" i="1"/>
  <c r="T231" i="1"/>
  <c r="T232" i="1"/>
  <c r="T233" i="1"/>
  <c r="T234" i="1"/>
  <c r="T235" i="1"/>
  <c r="T236" i="1"/>
  <c r="T237" i="1"/>
  <c r="T238" i="1"/>
  <c r="T239" i="1"/>
  <c r="T240" i="1"/>
  <c r="T241" i="1"/>
  <c r="T242" i="1"/>
  <c r="T243" i="1"/>
  <c r="T244" i="1"/>
  <c r="T245" i="1"/>
  <c r="T246" i="1"/>
  <c r="T247" i="1"/>
  <c r="T248" i="1"/>
  <c r="T249" i="1"/>
  <c r="T250" i="1"/>
  <c r="T251" i="1"/>
  <c r="T252" i="1"/>
  <c r="T253" i="1"/>
  <c r="T254" i="1"/>
  <c r="T255" i="1"/>
  <c r="T256" i="1"/>
  <c r="T257" i="1"/>
  <c r="T258" i="1"/>
  <c r="T259" i="1"/>
  <c r="T260" i="1"/>
  <c r="T261" i="1"/>
  <c r="T262" i="1"/>
  <c r="T263" i="1"/>
  <c r="T264" i="1"/>
  <c r="T265" i="1"/>
  <c r="T266" i="1"/>
  <c r="T267" i="1"/>
  <c r="T268" i="1"/>
  <c r="T269" i="1"/>
  <c r="T270" i="1"/>
  <c r="T271" i="1"/>
  <c r="T272" i="1"/>
  <c r="T273" i="1"/>
  <c r="T274" i="1"/>
  <c r="T275" i="1"/>
  <c r="T276" i="1"/>
  <c r="T277" i="1"/>
  <c r="T278" i="1"/>
  <c r="T279" i="1"/>
  <c r="T280" i="1"/>
  <c r="T281" i="1"/>
  <c r="T282" i="1"/>
  <c r="T283" i="1"/>
  <c r="T284" i="1"/>
  <c r="T285" i="1"/>
  <c r="T286" i="1"/>
  <c r="T287" i="1"/>
  <c r="T288" i="1"/>
  <c r="T289" i="1"/>
  <c r="T290" i="1"/>
  <c r="T291" i="1"/>
  <c r="T292" i="1"/>
  <c r="T293" i="1"/>
  <c r="T294" i="1"/>
  <c r="T295" i="1"/>
  <c r="T296" i="1"/>
  <c r="T297" i="1"/>
  <c r="T298" i="1"/>
  <c r="T299" i="1"/>
  <c r="T300" i="1"/>
  <c r="T301" i="1"/>
  <c r="T302" i="1"/>
  <c r="T303" i="1"/>
  <c r="T304" i="1"/>
  <c r="T305" i="1"/>
  <c r="T306" i="1"/>
  <c r="T307" i="1"/>
  <c r="T308" i="1"/>
  <c r="T309" i="1"/>
  <c r="T310" i="1"/>
  <c r="T311" i="1"/>
  <c r="T312" i="1"/>
  <c r="T313" i="1"/>
  <c r="T314" i="1"/>
  <c r="T315" i="1"/>
  <c r="T316" i="1"/>
  <c r="T317" i="1"/>
  <c r="T318" i="1"/>
  <c r="T319" i="1"/>
  <c r="T320" i="1"/>
  <c r="T321" i="1"/>
  <c r="T322" i="1"/>
  <c r="T323" i="1"/>
  <c r="T324" i="1"/>
  <c r="T325" i="1"/>
  <c r="T326" i="1"/>
  <c r="T327" i="1"/>
  <c r="T328" i="1"/>
  <c r="T329" i="1"/>
  <c r="T330" i="1"/>
  <c r="T331" i="1"/>
  <c r="T332" i="1"/>
  <c r="T333" i="1"/>
  <c r="T334" i="1"/>
  <c r="T335" i="1"/>
  <c r="T336" i="1"/>
  <c r="T337" i="1"/>
  <c r="T338" i="1"/>
  <c r="T339" i="1"/>
  <c r="T340" i="1"/>
  <c r="T341" i="1"/>
  <c r="T342" i="1"/>
  <c r="T343" i="1"/>
  <c r="T344" i="1"/>
  <c r="T345" i="1"/>
  <c r="T346" i="1"/>
  <c r="T347" i="1"/>
  <c r="T348" i="1"/>
  <c r="T349" i="1"/>
  <c r="T350" i="1"/>
  <c r="T351" i="1"/>
  <c r="T352" i="1"/>
  <c r="T353" i="1"/>
  <c r="T354" i="1"/>
  <c r="T355" i="1"/>
  <c r="T356" i="1"/>
  <c r="T357" i="1"/>
  <c r="T358" i="1"/>
  <c r="T359" i="1"/>
  <c r="T360" i="1"/>
  <c r="T361" i="1"/>
  <c r="T362" i="1"/>
  <c r="T363" i="1"/>
  <c r="T364" i="1"/>
  <c r="T365" i="1"/>
  <c r="T366" i="1"/>
  <c r="T367" i="1"/>
  <c r="T368" i="1"/>
  <c r="T369" i="1"/>
  <c r="T370" i="1"/>
  <c r="T371" i="1"/>
  <c r="T372" i="1"/>
  <c r="T373" i="1"/>
  <c r="T374" i="1"/>
  <c r="T375" i="1"/>
  <c r="T376" i="1"/>
  <c r="T377" i="1"/>
  <c r="T378" i="1"/>
  <c r="T379" i="1"/>
  <c r="T380" i="1"/>
  <c r="T381" i="1"/>
  <c r="T382" i="1"/>
  <c r="T383" i="1"/>
  <c r="T384" i="1"/>
  <c r="T385" i="1"/>
  <c r="T386" i="1"/>
  <c r="T387" i="1"/>
  <c r="T388" i="1"/>
  <c r="T389" i="1"/>
  <c r="T390" i="1"/>
  <c r="T391" i="1"/>
  <c r="T392" i="1"/>
  <c r="T393" i="1"/>
  <c r="T394" i="1"/>
  <c r="T395" i="1"/>
  <c r="T396" i="1"/>
  <c r="T397" i="1"/>
  <c r="T398" i="1"/>
  <c r="T399" i="1"/>
  <c r="T400" i="1"/>
  <c r="T401" i="1"/>
  <c r="T402" i="1"/>
  <c r="T403" i="1"/>
  <c r="T404" i="1"/>
  <c r="T405" i="1"/>
  <c r="T406" i="1"/>
  <c r="T407" i="1"/>
  <c r="T408" i="1"/>
  <c r="T409" i="1"/>
  <c r="T410" i="1"/>
  <c r="T411" i="1"/>
  <c r="T412" i="1"/>
  <c r="T413" i="1"/>
  <c r="T414" i="1"/>
  <c r="T415" i="1"/>
  <c r="T416" i="1"/>
  <c r="T417" i="1"/>
  <c r="T418" i="1"/>
  <c r="T419" i="1"/>
  <c r="T420" i="1"/>
  <c r="T421" i="1"/>
  <c r="T422" i="1"/>
  <c r="T423" i="1"/>
  <c r="T424" i="1"/>
  <c r="T425" i="1"/>
  <c r="T426" i="1"/>
  <c r="T427" i="1"/>
  <c r="T428" i="1"/>
  <c r="T429" i="1"/>
  <c r="T430" i="1"/>
  <c r="T431" i="1"/>
  <c r="T432" i="1"/>
  <c r="T433" i="1"/>
  <c r="T434" i="1"/>
  <c r="T435" i="1"/>
  <c r="T436" i="1"/>
  <c r="T437" i="1"/>
  <c r="T438" i="1"/>
  <c r="T439" i="1"/>
  <c r="T440" i="1"/>
  <c r="T441" i="1"/>
  <c r="T442" i="1"/>
  <c r="T443" i="1"/>
  <c r="T444" i="1"/>
  <c r="T445" i="1"/>
  <c r="T446" i="1"/>
  <c r="T447" i="1"/>
  <c r="T448" i="1"/>
  <c r="T449" i="1"/>
  <c r="T450" i="1"/>
  <c r="T451" i="1"/>
  <c r="T452" i="1"/>
  <c r="T453" i="1"/>
  <c r="T454" i="1"/>
  <c r="T455" i="1"/>
  <c r="T456" i="1"/>
  <c r="T457" i="1"/>
  <c r="T458" i="1"/>
  <c r="T459" i="1"/>
  <c r="T460" i="1"/>
  <c r="T461" i="1"/>
  <c r="T462" i="1"/>
  <c r="T463" i="1"/>
  <c r="T464" i="1"/>
  <c r="T465" i="1"/>
  <c r="T466" i="1"/>
  <c r="T467" i="1"/>
  <c r="T468" i="1"/>
  <c r="T469" i="1"/>
  <c r="T470" i="1"/>
  <c r="T471" i="1"/>
  <c r="T472" i="1"/>
  <c r="T473" i="1"/>
  <c r="T474" i="1"/>
  <c r="T475" i="1"/>
  <c r="T476" i="1"/>
  <c r="T477" i="1"/>
  <c r="T478" i="1"/>
  <c r="T479" i="1"/>
  <c r="T480" i="1"/>
  <c r="T481" i="1"/>
  <c r="T482" i="1"/>
  <c r="T483" i="1"/>
  <c r="T484" i="1"/>
  <c r="T485" i="1"/>
  <c r="T486" i="1"/>
  <c r="T487" i="1"/>
  <c r="T488" i="1"/>
  <c r="T489" i="1"/>
  <c r="T490" i="1"/>
  <c r="T491" i="1"/>
  <c r="T492" i="1"/>
  <c r="T493" i="1"/>
  <c r="T494" i="1"/>
  <c r="T495" i="1"/>
  <c r="T496" i="1"/>
  <c r="T497" i="1"/>
  <c r="T498" i="1"/>
  <c r="T499" i="1"/>
  <c r="T500" i="1"/>
  <c r="T501" i="1"/>
  <c r="T502" i="1"/>
  <c r="T503" i="1"/>
  <c r="T504" i="1"/>
  <c r="T505" i="1"/>
  <c r="T506" i="1"/>
  <c r="T507" i="1"/>
  <c r="T508" i="1"/>
  <c r="T509" i="1"/>
  <c r="T510" i="1"/>
  <c r="T511" i="1"/>
  <c r="T512" i="1"/>
  <c r="T513" i="1"/>
  <c r="T514" i="1"/>
  <c r="T515" i="1"/>
  <c r="T516" i="1"/>
  <c r="T517" i="1"/>
  <c r="T518" i="1"/>
  <c r="T519" i="1"/>
  <c r="T520" i="1"/>
  <c r="T521" i="1"/>
  <c r="T522" i="1"/>
  <c r="T523" i="1"/>
  <c r="T524" i="1"/>
  <c r="T525" i="1"/>
  <c r="T526" i="1"/>
  <c r="T527" i="1"/>
  <c r="T528" i="1"/>
  <c r="T529" i="1"/>
  <c r="T530" i="1"/>
  <c r="T531" i="1"/>
  <c r="T532" i="1"/>
  <c r="T533" i="1"/>
  <c r="T534" i="1"/>
  <c r="T535" i="1"/>
  <c r="T536" i="1"/>
  <c r="T537" i="1"/>
  <c r="T538" i="1"/>
  <c r="T539" i="1"/>
  <c r="T540" i="1"/>
  <c r="T541" i="1"/>
  <c r="T542" i="1"/>
  <c r="T543" i="1"/>
  <c r="T544" i="1"/>
  <c r="T545" i="1"/>
  <c r="T546" i="1"/>
  <c r="T547" i="1"/>
  <c r="T548" i="1"/>
  <c r="T549" i="1"/>
  <c r="T550" i="1"/>
  <c r="T551" i="1"/>
  <c r="T552" i="1"/>
  <c r="T553" i="1"/>
  <c r="T554" i="1"/>
  <c r="T555" i="1"/>
  <c r="T556" i="1"/>
  <c r="T557" i="1"/>
  <c r="T558" i="1"/>
  <c r="T559" i="1"/>
  <c r="T560" i="1"/>
  <c r="T561" i="1"/>
  <c r="T562" i="1"/>
  <c r="T563" i="1"/>
  <c r="T564" i="1"/>
  <c r="T565" i="1"/>
  <c r="T566" i="1"/>
  <c r="T567" i="1"/>
  <c r="T568" i="1"/>
  <c r="T569" i="1"/>
  <c r="T570" i="1"/>
  <c r="T571" i="1"/>
  <c r="T572" i="1"/>
  <c r="T573" i="1"/>
  <c r="T574" i="1"/>
  <c r="T575" i="1"/>
  <c r="T576" i="1"/>
  <c r="T577" i="1"/>
  <c r="T578" i="1"/>
  <c r="T579" i="1"/>
  <c r="T580" i="1"/>
  <c r="T581" i="1"/>
  <c r="T582" i="1"/>
  <c r="T583" i="1"/>
  <c r="T584" i="1"/>
  <c r="T585" i="1"/>
  <c r="T586" i="1"/>
  <c r="T587" i="1"/>
  <c r="T588" i="1"/>
  <c r="T589" i="1"/>
  <c r="T590" i="1"/>
  <c r="T591" i="1"/>
  <c r="T592" i="1"/>
  <c r="T593" i="1"/>
  <c r="T594" i="1"/>
  <c r="T595" i="1"/>
  <c r="T596" i="1"/>
  <c r="T597" i="1"/>
  <c r="T598" i="1"/>
  <c r="T599" i="1"/>
  <c r="T600" i="1"/>
  <c r="T601" i="1"/>
  <c r="T602" i="1"/>
  <c r="T603" i="1"/>
  <c r="T604" i="1"/>
  <c r="T605" i="1"/>
  <c r="T606" i="1"/>
  <c r="T607" i="1"/>
  <c r="T608" i="1"/>
  <c r="T609" i="1"/>
  <c r="T610" i="1"/>
  <c r="T611" i="1"/>
  <c r="T612" i="1"/>
  <c r="T613" i="1"/>
  <c r="T614" i="1"/>
  <c r="T615" i="1"/>
  <c r="T616" i="1"/>
  <c r="T617" i="1"/>
  <c r="T618" i="1"/>
  <c r="T619" i="1"/>
  <c r="T620" i="1"/>
  <c r="T621" i="1"/>
  <c r="T622" i="1"/>
  <c r="T623" i="1"/>
  <c r="T624" i="1"/>
  <c r="T625" i="1"/>
  <c r="T626" i="1"/>
  <c r="T627" i="1"/>
  <c r="T628" i="1"/>
  <c r="T629" i="1"/>
  <c r="T630" i="1"/>
  <c r="T631" i="1"/>
  <c r="T632" i="1"/>
  <c r="T633" i="1"/>
  <c r="T634" i="1"/>
  <c r="T635" i="1"/>
  <c r="T636" i="1"/>
  <c r="T637" i="1"/>
  <c r="T638" i="1"/>
  <c r="T639" i="1"/>
  <c r="T640" i="1"/>
  <c r="T641" i="1"/>
  <c r="T642" i="1"/>
  <c r="T643" i="1"/>
  <c r="T644" i="1"/>
  <c r="T645" i="1"/>
  <c r="T646" i="1"/>
  <c r="T647" i="1"/>
  <c r="T648" i="1"/>
  <c r="T649" i="1"/>
  <c r="T650" i="1"/>
  <c r="T651" i="1"/>
  <c r="T652" i="1"/>
  <c r="T653" i="1"/>
  <c r="T654" i="1"/>
  <c r="T655" i="1"/>
  <c r="T656" i="1"/>
  <c r="T657" i="1"/>
  <c r="T658" i="1"/>
  <c r="T659" i="1"/>
  <c r="T660" i="1"/>
  <c r="T661" i="1"/>
  <c r="T662" i="1"/>
  <c r="T663" i="1"/>
  <c r="T664" i="1"/>
  <c r="T665" i="1"/>
  <c r="T666" i="1"/>
  <c r="T667" i="1"/>
  <c r="T668" i="1"/>
  <c r="T669" i="1"/>
  <c r="T670" i="1"/>
  <c r="T671" i="1"/>
  <c r="T672" i="1"/>
  <c r="T673" i="1"/>
  <c r="T674" i="1"/>
  <c r="T675" i="1"/>
  <c r="T676" i="1"/>
  <c r="T677" i="1"/>
  <c r="T678" i="1"/>
  <c r="T679" i="1"/>
  <c r="T680" i="1"/>
  <c r="T681" i="1"/>
  <c r="T682" i="1"/>
  <c r="T683" i="1"/>
  <c r="T684" i="1"/>
  <c r="T685" i="1"/>
  <c r="T686" i="1"/>
  <c r="T687" i="1"/>
  <c r="T688" i="1"/>
  <c r="T689" i="1"/>
  <c r="T690" i="1"/>
  <c r="T691" i="1"/>
  <c r="T692" i="1"/>
  <c r="T693" i="1"/>
  <c r="T694" i="1"/>
  <c r="T695" i="1"/>
  <c r="T696" i="1"/>
  <c r="T697" i="1"/>
  <c r="T698" i="1"/>
  <c r="T699" i="1"/>
  <c r="T700" i="1"/>
  <c r="T701" i="1"/>
  <c r="T702" i="1"/>
  <c r="T703" i="1"/>
  <c r="T704" i="1"/>
  <c r="T705" i="1"/>
  <c r="T706" i="1"/>
  <c r="T707" i="1"/>
  <c r="T708" i="1"/>
  <c r="T709" i="1"/>
  <c r="T710" i="1"/>
  <c r="T711" i="1"/>
  <c r="T712" i="1"/>
  <c r="T713" i="1"/>
  <c r="T714" i="1"/>
  <c r="T715" i="1"/>
  <c r="T716" i="1"/>
  <c r="T717" i="1"/>
  <c r="T718" i="1"/>
  <c r="T719" i="1"/>
  <c r="T720" i="1"/>
  <c r="T721" i="1"/>
  <c r="T722" i="1"/>
  <c r="T723" i="1"/>
  <c r="T724" i="1"/>
  <c r="T725" i="1"/>
  <c r="T726" i="1"/>
  <c r="T727" i="1"/>
  <c r="T728" i="1"/>
  <c r="T729" i="1"/>
  <c r="T730" i="1"/>
  <c r="T731" i="1"/>
  <c r="T732" i="1"/>
  <c r="T733" i="1"/>
  <c r="T734" i="1"/>
  <c r="T735" i="1"/>
  <c r="T736" i="1"/>
  <c r="T737" i="1"/>
  <c r="T738" i="1"/>
  <c r="T739" i="1"/>
  <c r="T740" i="1"/>
  <c r="T741" i="1"/>
  <c r="T742" i="1"/>
  <c r="T743" i="1"/>
  <c r="T744" i="1"/>
  <c r="T745" i="1"/>
  <c r="T746" i="1"/>
  <c r="T747" i="1"/>
  <c r="T748" i="1"/>
  <c r="T749" i="1"/>
  <c r="T750" i="1"/>
  <c r="T751" i="1"/>
  <c r="T752" i="1"/>
  <c r="T753" i="1"/>
  <c r="T754" i="1"/>
  <c r="T755" i="1"/>
  <c r="T756" i="1"/>
  <c r="T757" i="1"/>
  <c r="T758" i="1"/>
  <c r="T759" i="1"/>
  <c r="T760" i="1"/>
  <c r="T761" i="1"/>
  <c r="T762" i="1"/>
  <c r="T763" i="1"/>
  <c r="T764" i="1"/>
  <c r="T765" i="1"/>
  <c r="T766" i="1"/>
  <c r="T767" i="1"/>
  <c r="T768" i="1"/>
  <c r="T769" i="1"/>
  <c r="T770" i="1"/>
  <c r="T771" i="1"/>
  <c r="T772" i="1"/>
  <c r="T773" i="1"/>
  <c r="T774" i="1"/>
  <c r="T775" i="1"/>
  <c r="T776" i="1"/>
  <c r="T777" i="1"/>
  <c r="T778" i="1"/>
  <c r="T779" i="1"/>
  <c r="T780" i="1"/>
  <c r="T781" i="1"/>
  <c r="T782" i="1"/>
  <c r="T783" i="1"/>
  <c r="T784" i="1"/>
  <c r="T785" i="1"/>
  <c r="T786" i="1"/>
  <c r="T787" i="1"/>
  <c r="T788" i="1"/>
  <c r="T789" i="1"/>
  <c r="T790" i="1"/>
  <c r="T791" i="1"/>
  <c r="T792" i="1"/>
  <c r="T793" i="1"/>
  <c r="T794" i="1"/>
  <c r="T795" i="1"/>
  <c r="T796" i="1"/>
  <c r="T797" i="1"/>
  <c r="T798" i="1"/>
  <c r="T799" i="1"/>
  <c r="T800" i="1"/>
  <c r="T801" i="1"/>
  <c r="T802" i="1"/>
  <c r="T803" i="1"/>
  <c r="T804" i="1"/>
  <c r="T805" i="1"/>
  <c r="T806" i="1"/>
  <c r="T807" i="1"/>
  <c r="T808" i="1"/>
  <c r="T809" i="1"/>
  <c r="T810" i="1"/>
  <c r="T811" i="1"/>
  <c r="T812" i="1"/>
  <c r="T813" i="1"/>
  <c r="T814" i="1"/>
  <c r="T815" i="1"/>
  <c r="T816" i="1"/>
  <c r="T817" i="1"/>
  <c r="T818" i="1"/>
  <c r="T819" i="1"/>
  <c r="T820" i="1"/>
  <c r="T821" i="1"/>
  <c r="T822" i="1"/>
  <c r="T823" i="1"/>
  <c r="T824" i="1"/>
  <c r="T825" i="1"/>
  <c r="T826" i="1"/>
  <c r="T827" i="1"/>
  <c r="T828" i="1"/>
  <c r="T829" i="1"/>
  <c r="T830" i="1"/>
  <c r="T831" i="1"/>
  <c r="T832" i="1"/>
  <c r="T833" i="1"/>
  <c r="T834" i="1"/>
  <c r="T835" i="1"/>
  <c r="T836" i="1"/>
  <c r="T837" i="1"/>
  <c r="T838" i="1"/>
  <c r="T839" i="1"/>
  <c r="T840" i="1"/>
  <c r="T841" i="1"/>
  <c r="T842" i="1"/>
  <c r="T843" i="1"/>
  <c r="T844" i="1"/>
  <c r="T845" i="1"/>
  <c r="T846" i="1"/>
  <c r="T847" i="1"/>
  <c r="T848" i="1"/>
  <c r="T849" i="1"/>
  <c r="T850" i="1"/>
  <c r="T851" i="1"/>
  <c r="T852" i="1"/>
  <c r="T853" i="1"/>
  <c r="T854" i="1"/>
  <c r="T855" i="1"/>
  <c r="T856" i="1"/>
  <c r="T857" i="1"/>
  <c r="T858" i="1"/>
  <c r="T859" i="1"/>
  <c r="T860" i="1"/>
  <c r="T861" i="1"/>
  <c r="T862" i="1"/>
  <c r="T863" i="1"/>
  <c r="T864" i="1"/>
  <c r="T865" i="1"/>
  <c r="T866" i="1"/>
  <c r="T867" i="1"/>
  <c r="T868" i="1"/>
  <c r="T869" i="1"/>
  <c r="T870" i="1"/>
  <c r="T871" i="1"/>
  <c r="T872" i="1"/>
  <c r="T873" i="1"/>
  <c r="T874" i="1"/>
  <c r="T875" i="1"/>
  <c r="T876" i="1"/>
  <c r="T877" i="1"/>
  <c r="T878" i="1"/>
  <c r="T879" i="1"/>
  <c r="T880" i="1"/>
  <c r="T881" i="1"/>
  <c r="T882" i="1"/>
  <c r="T883" i="1"/>
  <c r="T884" i="1"/>
  <c r="T885" i="1"/>
  <c r="T886" i="1"/>
  <c r="T887" i="1"/>
  <c r="T888" i="1"/>
  <c r="T889" i="1"/>
  <c r="T890" i="1"/>
  <c r="T891" i="1"/>
  <c r="T892" i="1"/>
  <c r="T893" i="1"/>
  <c r="T894" i="1"/>
  <c r="T895" i="1"/>
  <c r="T896" i="1"/>
  <c r="T897" i="1"/>
  <c r="T898" i="1"/>
  <c r="T899" i="1"/>
  <c r="T900" i="1"/>
  <c r="T901" i="1"/>
  <c r="T902" i="1"/>
  <c r="T903" i="1"/>
  <c r="T904" i="1"/>
  <c r="T905" i="1"/>
  <c r="T906" i="1"/>
  <c r="T907" i="1"/>
  <c r="T908" i="1"/>
  <c r="T909" i="1"/>
  <c r="T910" i="1"/>
  <c r="T911" i="1"/>
  <c r="T912" i="1"/>
  <c r="T913" i="1"/>
  <c r="T914" i="1"/>
  <c r="T915" i="1"/>
  <c r="T916" i="1"/>
  <c r="T917" i="1"/>
  <c r="T918" i="1"/>
  <c r="T919" i="1"/>
  <c r="T920" i="1"/>
  <c r="T921" i="1"/>
  <c r="T922" i="1"/>
  <c r="T923" i="1"/>
  <c r="T924" i="1"/>
  <c r="T925" i="1"/>
  <c r="T926" i="1"/>
  <c r="T927" i="1"/>
  <c r="T928" i="1"/>
  <c r="T929" i="1"/>
  <c r="T930" i="1"/>
  <c r="T931" i="1"/>
  <c r="T932" i="1"/>
  <c r="T933" i="1"/>
  <c r="T934" i="1"/>
  <c r="T935" i="1"/>
  <c r="T936" i="1"/>
  <c r="T937" i="1"/>
  <c r="T938" i="1"/>
  <c r="T939" i="1"/>
  <c r="T940" i="1"/>
  <c r="T941" i="1"/>
  <c r="T942" i="1"/>
  <c r="T943" i="1"/>
  <c r="T944" i="1"/>
  <c r="T945" i="1"/>
  <c r="T946" i="1"/>
  <c r="T947" i="1"/>
  <c r="T948" i="1"/>
  <c r="T949" i="1"/>
  <c r="T950" i="1"/>
  <c r="T951" i="1"/>
  <c r="T952" i="1"/>
  <c r="T953" i="1"/>
  <c r="T954" i="1"/>
  <c r="T955" i="1"/>
  <c r="T956" i="1"/>
  <c r="T957" i="1"/>
  <c r="T958" i="1"/>
  <c r="T959" i="1"/>
  <c r="T960" i="1"/>
  <c r="T961" i="1"/>
  <c r="T962" i="1"/>
  <c r="T963" i="1"/>
  <c r="T964" i="1"/>
  <c r="T965" i="1"/>
  <c r="T966" i="1"/>
  <c r="T967" i="1"/>
  <c r="T968" i="1"/>
  <c r="T969" i="1"/>
  <c r="T970" i="1"/>
  <c r="T971" i="1"/>
  <c r="T972" i="1"/>
  <c r="T973" i="1"/>
  <c r="T974" i="1"/>
  <c r="T975" i="1"/>
  <c r="T976" i="1"/>
  <c r="T977" i="1"/>
  <c r="T978" i="1"/>
  <c r="T979" i="1"/>
  <c r="T980" i="1"/>
  <c r="T981" i="1"/>
  <c r="T982" i="1"/>
  <c r="T983" i="1"/>
  <c r="T984" i="1"/>
  <c r="T985" i="1"/>
  <c r="T986" i="1"/>
  <c r="T987" i="1"/>
  <c r="T988" i="1"/>
  <c r="T989" i="1"/>
  <c r="T990" i="1"/>
  <c r="T991" i="1"/>
  <c r="T992" i="1"/>
  <c r="T993" i="1"/>
  <c r="T994" i="1"/>
  <c r="T995" i="1"/>
  <c r="T996" i="1"/>
  <c r="T997" i="1"/>
  <c r="T998" i="1"/>
  <c r="T999" i="1"/>
  <c r="T1000" i="1"/>
  <c r="T1001" i="1"/>
  <c r="T1002" i="1"/>
  <c r="T1003" i="1"/>
  <c r="T1004" i="1"/>
  <c r="T1005" i="1"/>
  <c r="T1006" i="1"/>
  <c r="T1007" i="1"/>
  <c r="T1008" i="1"/>
  <c r="T1009" i="1"/>
  <c r="T1010" i="1"/>
  <c r="T1011" i="1"/>
  <c r="T1012" i="1"/>
  <c r="T1013" i="1"/>
  <c r="T1014" i="1"/>
  <c r="T1015" i="1"/>
  <c r="T1016" i="1"/>
  <c r="T1017" i="1"/>
  <c r="T1018" i="1"/>
  <c r="T1019" i="1"/>
  <c r="T1020" i="1"/>
  <c r="T1021" i="1"/>
  <c r="T1022" i="1"/>
  <c r="T1023" i="1"/>
  <c r="T1024" i="1"/>
  <c r="T1025" i="1"/>
  <c r="T1026" i="1"/>
  <c r="T1027" i="1"/>
  <c r="T1028" i="1"/>
  <c r="T1029" i="1"/>
  <c r="T1030" i="1"/>
  <c r="T1031" i="1"/>
  <c r="T1032" i="1"/>
  <c r="T1033" i="1"/>
  <c r="T1034" i="1"/>
  <c r="T1035" i="1"/>
  <c r="T1036" i="1"/>
  <c r="T1037" i="1"/>
  <c r="T1038" i="1"/>
  <c r="T1039" i="1"/>
  <c r="T1040" i="1"/>
  <c r="T1041" i="1"/>
  <c r="T1042" i="1"/>
  <c r="T1043" i="1"/>
  <c r="T1044" i="1"/>
  <c r="T1045" i="1"/>
  <c r="T1046" i="1"/>
  <c r="T1047" i="1"/>
  <c r="T1048" i="1"/>
  <c r="T1049" i="1"/>
  <c r="T1050" i="1"/>
  <c r="T1051" i="1"/>
  <c r="T1052" i="1"/>
  <c r="T1053" i="1"/>
  <c r="T1054" i="1"/>
  <c r="T1055" i="1"/>
  <c r="T1056" i="1"/>
  <c r="T1057" i="1"/>
  <c r="T1058" i="1"/>
  <c r="T1059" i="1"/>
  <c r="T1060" i="1"/>
  <c r="T1061" i="1"/>
  <c r="T1062" i="1"/>
  <c r="T1063" i="1"/>
  <c r="T1064" i="1"/>
  <c r="T1065" i="1"/>
  <c r="T1066" i="1"/>
  <c r="T1067" i="1"/>
  <c r="T1068" i="1"/>
  <c r="T1069" i="1"/>
  <c r="T1070" i="1"/>
  <c r="T1071" i="1"/>
  <c r="T1072" i="1"/>
  <c r="T1073" i="1"/>
  <c r="T1074" i="1"/>
  <c r="T1075" i="1"/>
  <c r="T1076" i="1"/>
  <c r="T1077" i="1"/>
  <c r="T1078" i="1"/>
  <c r="T1079" i="1"/>
  <c r="T1080" i="1"/>
  <c r="T1081" i="1"/>
  <c r="T1082" i="1"/>
  <c r="T1083" i="1"/>
  <c r="T1084" i="1"/>
  <c r="T1085" i="1"/>
  <c r="T1086" i="1"/>
  <c r="T1087" i="1"/>
  <c r="T1088" i="1"/>
  <c r="T1089" i="1"/>
  <c r="T1090" i="1"/>
  <c r="T1091" i="1"/>
  <c r="T1092" i="1"/>
  <c r="T1093" i="1"/>
  <c r="T1094" i="1"/>
  <c r="T1095" i="1"/>
  <c r="T1096" i="1"/>
  <c r="T1097" i="1"/>
  <c r="T1098" i="1"/>
  <c r="T1099" i="1"/>
  <c r="T1100" i="1"/>
  <c r="T1101" i="1"/>
  <c r="T1102" i="1"/>
  <c r="T1103" i="1"/>
  <c r="T1104" i="1"/>
  <c r="T1105" i="1"/>
  <c r="T1106" i="1"/>
  <c r="T1107" i="1"/>
  <c r="T1108" i="1"/>
  <c r="T1109" i="1"/>
  <c r="T1110" i="1"/>
  <c r="T1111" i="1"/>
  <c r="T1112" i="1"/>
  <c r="T1113" i="1"/>
  <c r="T1114" i="1"/>
  <c r="T1115" i="1"/>
  <c r="T1116" i="1"/>
  <c r="T1117" i="1"/>
  <c r="T1118" i="1"/>
  <c r="T1119" i="1"/>
  <c r="T1120" i="1"/>
  <c r="T1121" i="1"/>
  <c r="T1122" i="1"/>
  <c r="T1123" i="1"/>
  <c r="T1124" i="1"/>
  <c r="T1125" i="1"/>
  <c r="T1126" i="1"/>
  <c r="T1127" i="1"/>
  <c r="T1128" i="1"/>
  <c r="T1129" i="1"/>
  <c r="T1130" i="1"/>
  <c r="T1131" i="1"/>
  <c r="T1132" i="1"/>
  <c r="T1133" i="1"/>
  <c r="T1134" i="1"/>
  <c r="T1135" i="1"/>
  <c r="T1136" i="1"/>
  <c r="T1137" i="1"/>
  <c r="T1138" i="1"/>
  <c r="T1139" i="1"/>
  <c r="T1140" i="1"/>
  <c r="T1141" i="1"/>
  <c r="T1142" i="1"/>
  <c r="T1143" i="1"/>
  <c r="T1144" i="1"/>
  <c r="T1145" i="1"/>
  <c r="T1146" i="1"/>
  <c r="T1147" i="1"/>
  <c r="T1148" i="1"/>
  <c r="T1149" i="1"/>
  <c r="T1150" i="1"/>
  <c r="T1151" i="1"/>
  <c r="T1152" i="1"/>
  <c r="T1153" i="1"/>
  <c r="T1154" i="1"/>
  <c r="T1155" i="1"/>
  <c r="T1156" i="1"/>
  <c r="T1157" i="1"/>
  <c r="T1158" i="1"/>
  <c r="T1159" i="1"/>
  <c r="T1160" i="1"/>
  <c r="T1161" i="1"/>
  <c r="T1162" i="1"/>
  <c r="T1163" i="1"/>
  <c r="T1164" i="1"/>
  <c r="T1165" i="1"/>
  <c r="T1166" i="1"/>
  <c r="T1167" i="1"/>
  <c r="T1168" i="1"/>
  <c r="T1169" i="1"/>
  <c r="T1170" i="1"/>
  <c r="T1171" i="1"/>
  <c r="T1172" i="1"/>
  <c r="T1173" i="1"/>
  <c r="T1174" i="1"/>
  <c r="T1175" i="1"/>
  <c r="T1176" i="1"/>
  <c r="T1177" i="1"/>
  <c r="T1178" i="1"/>
  <c r="T1179" i="1"/>
  <c r="T1180" i="1"/>
  <c r="T1181" i="1"/>
  <c r="T1182" i="1"/>
  <c r="T1183" i="1"/>
  <c r="T1184" i="1"/>
  <c r="T1185" i="1"/>
  <c r="T1186" i="1"/>
  <c r="T1187" i="1"/>
  <c r="T1188" i="1"/>
  <c r="T1189" i="1"/>
  <c r="T1190" i="1"/>
  <c r="T1191" i="1"/>
  <c r="T1192" i="1"/>
  <c r="T1193" i="1"/>
  <c r="T1194" i="1"/>
  <c r="T1195" i="1"/>
  <c r="T1196" i="1"/>
  <c r="T1197" i="1"/>
  <c r="T1198" i="1"/>
  <c r="T1199" i="1"/>
  <c r="T1200" i="1"/>
  <c r="T1201" i="1"/>
  <c r="T1202" i="1"/>
  <c r="T1203" i="1"/>
  <c r="T1204" i="1"/>
  <c r="T1205" i="1"/>
  <c r="T1206" i="1"/>
  <c r="T1207" i="1"/>
  <c r="T1208" i="1"/>
  <c r="T1209" i="1"/>
  <c r="T1210" i="1"/>
  <c r="T1211" i="1"/>
  <c r="T1212" i="1"/>
  <c r="T1213" i="1"/>
  <c r="T1214" i="1"/>
  <c r="T1215" i="1"/>
  <c r="T1216" i="1"/>
  <c r="T1217" i="1"/>
  <c r="T1218" i="1"/>
  <c r="T1219" i="1"/>
  <c r="T1220" i="1"/>
  <c r="T1221" i="1"/>
  <c r="T1222" i="1"/>
  <c r="T1223" i="1"/>
  <c r="T1224" i="1"/>
  <c r="T1225" i="1"/>
  <c r="T1226" i="1"/>
  <c r="T1227" i="1"/>
  <c r="T1228" i="1"/>
  <c r="T1229" i="1"/>
  <c r="T1230" i="1"/>
  <c r="T1231" i="1"/>
  <c r="T1232" i="1"/>
  <c r="T1233" i="1"/>
  <c r="T1234" i="1"/>
  <c r="T1235" i="1"/>
  <c r="T1236" i="1"/>
  <c r="T1237" i="1"/>
  <c r="T1238" i="1"/>
  <c r="T1239" i="1"/>
  <c r="T1240" i="1"/>
  <c r="T1241" i="1"/>
  <c r="T1242" i="1"/>
  <c r="T1243" i="1"/>
  <c r="T1244" i="1"/>
  <c r="T1245" i="1"/>
  <c r="T1246" i="1"/>
  <c r="T1247" i="1"/>
  <c r="T1248" i="1"/>
  <c r="T1249" i="1"/>
  <c r="T1250" i="1"/>
  <c r="T1251" i="1"/>
  <c r="T1252" i="1"/>
  <c r="T1253" i="1"/>
  <c r="T1254" i="1"/>
  <c r="T1255" i="1"/>
  <c r="T1256" i="1"/>
  <c r="T1257" i="1"/>
  <c r="T1258" i="1"/>
  <c r="T1259" i="1"/>
  <c r="T1260" i="1"/>
  <c r="T1261" i="1"/>
  <c r="T1262" i="1"/>
  <c r="T1263" i="1"/>
  <c r="T1264" i="1"/>
  <c r="T1265" i="1"/>
  <c r="T1266" i="1"/>
  <c r="T1267" i="1"/>
  <c r="T1268" i="1"/>
  <c r="T1269" i="1"/>
  <c r="T1270" i="1"/>
  <c r="T1271" i="1"/>
  <c r="T1272" i="1"/>
  <c r="T1273" i="1"/>
  <c r="T1274" i="1"/>
  <c r="T1275" i="1"/>
  <c r="T1276" i="1"/>
  <c r="T1277" i="1"/>
  <c r="T1278" i="1"/>
  <c r="T1279" i="1"/>
  <c r="T1280" i="1"/>
  <c r="T1281" i="1"/>
  <c r="T1282" i="1"/>
  <c r="T1283" i="1"/>
  <c r="T1284" i="1"/>
  <c r="T1285" i="1"/>
  <c r="T1286" i="1"/>
  <c r="T1287" i="1"/>
  <c r="T1288" i="1"/>
  <c r="T1289" i="1"/>
  <c r="T1290" i="1"/>
  <c r="T1291" i="1"/>
  <c r="T1292" i="1"/>
  <c r="T1293" i="1"/>
  <c r="T1294" i="1"/>
  <c r="T1295" i="1"/>
  <c r="T1296" i="1"/>
  <c r="T1297" i="1"/>
  <c r="T1298" i="1"/>
  <c r="T1299" i="1"/>
  <c r="T1300" i="1"/>
  <c r="T1301" i="1"/>
  <c r="T1302" i="1"/>
  <c r="T1303" i="1"/>
  <c r="T1304" i="1"/>
  <c r="T1305" i="1"/>
  <c r="T1306" i="1"/>
  <c r="T1307" i="1"/>
  <c r="T1308" i="1"/>
  <c r="T1309" i="1"/>
  <c r="T1310" i="1"/>
  <c r="T1311" i="1"/>
  <c r="T1312" i="1"/>
  <c r="T1313" i="1"/>
  <c r="T1314" i="1"/>
  <c r="T1315" i="1"/>
  <c r="T1316" i="1"/>
  <c r="T1317" i="1"/>
  <c r="T1318" i="1"/>
  <c r="T1319" i="1"/>
  <c r="T1320" i="1"/>
  <c r="T1321" i="1"/>
  <c r="T1322" i="1"/>
  <c r="T1323" i="1"/>
  <c r="T1324" i="1"/>
  <c r="T1325" i="1"/>
  <c r="T1326" i="1"/>
  <c r="T1327" i="1"/>
  <c r="T1328" i="1"/>
  <c r="T1329" i="1"/>
  <c r="T1330" i="1"/>
  <c r="T1331" i="1"/>
  <c r="T1332" i="1"/>
  <c r="T1333" i="1"/>
  <c r="T1334" i="1"/>
  <c r="T1335" i="1"/>
  <c r="T1336" i="1"/>
  <c r="T1337" i="1"/>
  <c r="T1338" i="1"/>
  <c r="T1339" i="1"/>
  <c r="T1340" i="1"/>
  <c r="T1341" i="1"/>
  <c r="T1342" i="1"/>
  <c r="T1343" i="1"/>
  <c r="T1344" i="1"/>
  <c r="T1345" i="1"/>
  <c r="T1346" i="1"/>
  <c r="T1347" i="1"/>
  <c r="T1348" i="1"/>
  <c r="T1349" i="1"/>
  <c r="T1350" i="1"/>
  <c r="T1351" i="1"/>
  <c r="T1352" i="1"/>
  <c r="T1353" i="1"/>
  <c r="T1354" i="1"/>
  <c r="T1355" i="1"/>
  <c r="T1356" i="1"/>
  <c r="T1357" i="1"/>
  <c r="T1358" i="1"/>
  <c r="T1359" i="1"/>
  <c r="T1360" i="1"/>
  <c r="T1361" i="1"/>
  <c r="T1362" i="1"/>
  <c r="T1363" i="1"/>
  <c r="T1364" i="1"/>
  <c r="T1365" i="1"/>
  <c r="T1366" i="1"/>
  <c r="T1367" i="1"/>
  <c r="T1368" i="1"/>
  <c r="T1369" i="1"/>
  <c r="T1370" i="1"/>
  <c r="T1371" i="1"/>
  <c r="T1372" i="1"/>
  <c r="T1373" i="1"/>
  <c r="T1374" i="1"/>
  <c r="T1375" i="1"/>
  <c r="T1376" i="1"/>
  <c r="T1377" i="1"/>
  <c r="T1378" i="1"/>
  <c r="T1379" i="1"/>
  <c r="T1380" i="1"/>
  <c r="T1381" i="1"/>
  <c r="T1382" i="1"/>
  <c r="T1383" i="1"/>
  <c r="T1384" i="1"/>
  <c r="T1385" i="1"/>
  <c r="T1386" i="1"/>
  <c r="T1387" i="1"/>
  <c r="T1388" i="1"/>
  <c r="T1389" i="1"/>
  <c r="T1390" i="1"/>
  <c r="T1391" i="1"/>
  <c r="T1392" i="1"/>
  <c r="T1393" i="1"/>
  <c r="T1394" i="1"/>
  <c r="T1395" i="1"/>
  <c r="T1396" i="1"/>
  <c r="T1397" i="1"/>
  <c r="T1398" i="1"/>
  <c r="T1399" i="1"/>
  <c r="T1400" i="1"/>
  <c r="T1401" i="1"/>
  <c r="T1402" i="1"/>
  <c r="T1403" i="1"/>
  <c r="T1404" i="1"/>
  <c r="T1405" i="1"/>
  <c r="T1406" i="1"/>
  <c r="T1407" i="1"/>
  <c r="T1408" i="1"/>
  <c r="T1409" i="1"/>
  <c r="T1410" i="1"/>
  <c r="T1411" i="1"/>
  <c r="T1412" i="1"/>
  <c r="T1413" i="1"/>
  <c r="T1414" i="1"/>
  <c r="T1415" i="1"/>
  <c r="T1416" i="1"/>
  <c r="T1417" i="1"/>
  <c r="T1418" i="1"/>
  <c r="T1419" i="1"/>
  <c r="T1420" i="1"/>
  <c r="T1421" i="1"/>
  <c r="T1422" i="1"/>
  <c r="T1423" i="1"/>
  <c r="T1424" i="1"/>
  <c r="T1425" i="1"/>
  <c r="T1426" i="1"/>
  <c r="T1427" i="1"/>
  <c r="T1428" i="1"/>
  <c r="T1429" i="1"/>
  <c r="T1430" i="1"/>
  <c r="T1431" i="1"/>
  <c r="T1432" i="1"/>
  <c r="T1433" i="1"/>
  <c r="T1434" i="1"/>
  <c r="T1435" i="1"/>
  <c r="T1436" i="1"/>
  <c r="T1437" i="1"/>
  <c r="T1438" i="1"/>
  <c r="T1439" i="1"/>
  <c r="T1440" i="1"/>
  <c r="T1441" i="1"/>
  <c r="T1442" i="1"/>
  <c r="T1443" i="1"/>
  <c r="T1444" i="1"/>
  <c r="T1445" i="1"/>
  <c r="T1446" i="1"/>
  <c r="T1447" i="1"/>
  <c r="T1448" i="1"/>
  <c r="T1449" i="1"/>
  <c r="T1450" i="1"/>
  <c r="T1451" i="1"/>
  <c r="T1452" i="1"/>
  <c r="T1453" i="1"/>
  <c r="T1454" i="1"/>
  <c r="T1455" i="1"/>
  <c r="T1456" i="1"/>
  <c r="T1457" i="1"/>
  <c r="T1458" i="1"/>
  <c r="T1459" i="1"/>
  <c r="T1460" i="1"/>
  <c r="T1461" i="1"/>
  <c r="T1462" i="1"/>
  <c r="T1463" i="1"/>
  <c r="T1464" i="1"/>
  <c r="T1465" i="1"/>
  <c r="T1466" i="1"/>
  <c r="T1467" i="1"/>
  <c r="T1468" i="1"/>
  <c r="T1469" i="1"/>
  <c r="T1470" i="1"/>
  <c r="T1471" i="1"/>
  <c r="T1472" i="1"/>
  <c r="T1473" i="1"/>
  <c r="T1474" i="1"/>
  <c r="T1475" i="1"/>
  <c r="T1476" i="1"/>
  <c r="T1477" i="1"/>
  <c r="T1478" i="1"/>
  <c r="T1479" i="1"/>
  <c r="T1480" i="1"/>
  <c r="T1481" i="1"/>
  <c r="T1482" i="1"/>
  <c r="T1483" i="1"/>
  <c r="T1484" i="1"/>
  <c r="T1485" i="1"/>
  <c r="T1486" i="1"/>
  <c r="T1487" i="1"/>
  <c r="T1488" i="1"/>
  <c r="T1489" i="1"/>
  <c r="T1490" i="1"/>
  <c r="T1491" i="1"/>
  <c r="T1492" i="1"/>
  <c r="T1493" i="1"/>
  <c r="T1494" i="1"/>
  <c r="T1495" i="1"/>
  <c r="T1496" i="1"/>
  <c r="T1497" i="1"/>
  <c r="T1498" i="1"/>
  <c r="T1499" i="1"/>
  <c r="T1500" i="1"/>
  <c r="T1501" i="1"/>
  <c r="T1502" i="1"/>
  <c r="T1503" i="1"/>
  <c r="T1504" i="1"/>
  <c r="T1505" i="1"/>
  <c r="T1506" i="1"/>
  <c r="T1507" i="1"/>
  <c r="T1508" i="1"/>
  <c r="T1509" i="1"/>
  <c r="T1510" i="1"/>
  <c r="T1511" i="1"/>
  <c r="T1512" i="1"/>
  <c r="T1513" i="1"/>
  <c r="T1514" i="1"/>
  <c r="T1515" i="1"/>
  <c r="T1516" i="1"/>
  <c r="T1517" i="1"/>
  <c r="T1518" i="1"/>
  <c r="T1519" i="1"/>
  <c r="T1520" i="1"/>
  <c r="T1521" i="1"/>
  <c r="T1522" i="1"/>
  <c r="T1523" i="1"/>
  <c r="T1524" i="1"/>
  <c r="T1525" i="1"/>
  <c r="T1526" i="1"/>
  <c r="T1527" i="1"/>
  <c r="T1528" i="1"/>
  <c r="T1529" i="1"/>
  <c r="T1530" i="1"/>
  <c r="T1531" i="1"/>
  <c r="T1532" i="1"/>
  <c r="T1533" i="1"/>
  <c r="T1534" i="1"/>
  <c r="T1535" i="1"/>
  <c r="T1536" i="1"/>
  <c r="T1537" i="1"/>
  <c r="T1538" i="1"/>
  <c r="T1539" i="1"/>
  <c r="T1540" i="1"/>
  <c r="T1541" i="1"/>
  <c r="T1542" i="1"/>
  <c r="T1543" i="1"/>
  <c r="T1544" i="1"/>
  <c r="T1545" i="1"/>
  <c r="T1546" i="1"/>
  <c r="T1547" i="1"/>
  <c r="T1548" i="1"/>
  <c r="T1549" i="1"/>
  <c r="T1550" i="1"/>
  <c r="T1551" i="1"/>
  <c r="T1552" i="1"/>
  <c r="T1553" i="1"/>
  <c r="T1554" i="1"/>
  <c r="T1555" i="1"/>
  <c r="T1556" i="1"/>
  <c r="T1557" i="1"/>
  <c r="T1558" i="1"/>
  <c r="T1559" i="1"/>
  <c r="T1560" i="1"/>
  <c r="T1561" i="1"/>
  <c r="T1562" i="1"/>
  <c r="T1563" i="1"/>
  <c r="T1564" i="1"/>
  <c r="T1565" i="1"/>
  <c r="T1566" i="1"/>
  <c r="T1567" i="1"/>
  <c r="T1568" i="1"/>
  <c r="T1569" i="1"/>
  <c r="T1570" i="1"/>
  <c r="T1571" i="1"/>
  <c r="T1572" i="1"/>
  <c r="T1573" i="1"/>
  <c r="T1574" i="1"/>
  <c r="T1575" i="1"/>
  <c r="T1576" i="1"/>
  <c r="T1577" i="1"/>
  <c r="T1578" i="1"/>
  <c r="T1579" i="1"/>
  <c r="T1580" i="1"/>
  <c r="T1581" i="1"/>
  <c r="T1582" i="1"/>
  <c r="T1583" i="1"/>
  <c r="T1584" i="1"/>
  <c r="T1585" i="1"/>
  <c r="T1586" i="1"/>
  <c r="T1587" i="1"/>
  <c r="T1588" i="1"/>
  <c r="T1589" i="1"/>
  <c r="T1590" i="1"/>
  <c r="T1591" i="1"/>
  <c r="T1592" i="1"/>
  <c r="T1593" i="1"/>
  <c r="T1594" i="1"/>
  <c r="T1595" i="1"/>
  <c r="T1596" i="1"/>
  <c r="T1597" i="1"/>
  <c r="T1598" i="1"/>
  <c r="T1599" i="1"/>
  <c r="T1600" i="1"/>
  <c r="T1601" i="1"/>
  <c r="T1602" i="1"/>
  <c r="T1603" i="1"/>
  <c r="T1604" i="1"/>
  <c r="T1605" i="1"/>
  <c r="T1606" i="1"/>
  <c r="T1607" i="1"/>
  <c r="T1608" i="1"/>
  <c r="T1609" i="1"/>
  <c r="T1610" i="1"/>
  <c r="T1611" i="1"/>
  <c r="T1612" i="1"/>
  <c r="T1613" i="1"/>
  <c r="T1614" i="1"/>
  <c r="T1615" i="1"/>
  <c r="T1616" i="1"/>
  <c r="T1617" i="1"/>
  <c r="T1618" i="1"/>
  <c r="T1619" i="1"/>
  <c r="T1620" i="1"/>
  <c r="T1621" i="1"/>
  <c r="T1622" i="1"/>
  <c r="T1623" i="1"/>
  <c r="T1624" i="1"/>
  <c r="T1625" i="1"/>
  <c r="T1626" i="1"/>
  <c r="T1627" i="1"/>
  <c r="T1628" i="1"/>
  <c r="T1629" i="1"/>
  <c r="T1630" i="1"/>
  <c r="T1631" i="1"/>
  <c r="T1632" i="1"/>
  <c r="T1633" i="1"/>
  <c r="T1634" i="1"/>
  <c r="T1635" i="1"/>
  <c r="T1636" i="1"/>
  <c r="T1637" i="1"/>
  <c r="T1638" i="1"/>
  <c r="T1639" i="1"/>
  <c r="T1640" i="1"/>
  <c r="T1641" i="1"/>
  <c r="T1642" i="1"/>
  <c r="T1643" i="1"/>
  <c r="T1644" i="1"/>
  <c r="T1645" i="1"/>
  <c r="T1646" i="1"/>
  <c r="T1647" i="1"/>
  <c r="T1648" i="1"/>
  <c r="T1649" i="1"/>
  <c r="T1650" i="1"/>
  <c r="T1651" i="1"/>
  <c r="T1652" i="1"/>
  <c r="T1653" i="1"/>
  <c r="T1654" i="1"/>
  <c r="T1655" i="1"/>
  <c r="T1656" i="1"/>
  <c r="T1657" i="1"/>
  <c r="T1658" i="1"/>
  <c r="T1659" i="1"/>
  <c r="T1660" i="1"/>
  <c r="T1661" i="1"/>
  <c r="T1662" i="1"/>
  <c r="T1663" i="1"/>
  <c r="T1664" i="1"/>
  <c r="T1665" i="1"/>
  <c r="T1666" i="1"/>
  <c r="T1667" i="1"/>
  <c r="T1668" i="1"/>
  <c r="T1669" i="1"/>
  <c r="T1670" i="1"/>
  <c r="T1671" i="1"/>
  <c r="T1672" i="1"/>
  <c r="T1673" i="1"/>
  <c r="T1674" i="1"/>
  <c r="T1675" i="1"/>
  <c r="T1676" i="1"/>
  <c r="T1677" i="1"/>
  <c r="T1678" i="1"/>
  <c r="T1679" i="1"/>
  <c r="T1680" i="1"/>
  <c r="T1681" i="1"/>
  <c r="T1682" i="1"/>
  <c r="T1683" i="1"/>
  <c r="T1684" i="1"/>
  <c r="T1685" i="1"/>
  <c r="T1686" i="1"/>
  <c r="T1687" i="1"/>
  <c r="T1688" i="1"/>
  <c r="T1689" i="1"/>
  <c r="T1690" i="1"/>
  <c r="T1691" i="1"/>
  <c r="T1692" i="1"/>
  <c r="T1693" i="1"/>
  <c r="T1694" i="1"/>
  <c r="T1695" i="1"/>
  <c r="T1696" i="1"/>
  <c r="T1697" i="1"/>
  <c r="T1698" i="1"/>
  <c r="T1699" i="1"/>
  <c r="T1700" i="1"/>
  <c r="T1701" i="1"/>
  <c r="T1702" i="1"/>
  <c r="T1703" i="1"/>
  <c r="T1704" i="1"/>
  <c r="T1705" i="1"/>
  <c r="T1706" i="1"/>
  <c r="T1707" i="1"/>
  <c r="T1708" i="1"/>
  <c r="T1709" i="1"/>
  <c r="T1710" i="1"/>
  <c r="T1711" i="1"/>
  <c r="T1712" i="1"/>
  <c r="T1713" i="1"/>
  <c r="T1714" i="1"/>
  <c r="T1715" i="1"/>
  <c r="T1716" i="1"/>
  <c r="T1717" i="1"/>
  <c r="T1718" i="1"/>
  <c r="T1719" i="1"/>
  <c r="T1720" i="1"/>
  <c r="T1721" i="1"/>
  <c r="T1722" i="1"/>
  <c r="T1723" i="1"/>
  <c r="T1724" i="1"/>
  <c r="T1725" i="1"/>
  <c r="T1726" i="1"/>
  <c r="T1727" i="1"/>
  <c r="T1728" i="1"/>
  <c r="T1729" i="1"/>
  <c r="T1730" i="1"/>
  <c r="T1731" i="1"/>
  <c r="T1732" i="1"/>
  <c r="T1733" i="1"/>
  <c r="T1734" i="1"/>
  <c r="T1735" i="1"/>
  <c r="T1736" i="1"/>
  <c r="T1737" i="1"/>
  <c r="T1738" i="1"/>
  <c r="T1739" i="1"/>
  <c r="T1740" i="1"/>
  <c r="T1741" i="1"/>
  <c r="T1742" i="1"/>
  <c r="T1743" i="1"/>
  <c r="T1744" i="1"/>
  <c r="T1745" i="1"/>
  <c r="T1746" i="1"/>
  <c r="T1747" i="1"/>
  <c r="T1748" i="1"/>
  <c r="T1749" i="1"/>
  <c r="T1750" i="1"/>
  <c r="T1751" i="1"/>
  <c r="T1752" i="1"/>
  <c r="T1753" i="1"/>
  <c r="T1754" i="1"/>
  <c r="T1755" i="1"/>
  <c r="T1756" i="1"/>
  <c r="T1757" i="1"/>
  <c r="T1758" i="1"/>
  <c r="T1759" i="1"/>
  <c r="T1760" i="1"/>
  <c r="T1761" i="1"/>
  <c r="T1762" i="1"/>
  <c r="T1763" i="1"/>
  <c r="T1764" i="1"/>
  <c r="T1765" i="1"/>
  <c r="T1766" i="1"/>
  <c r="T1767" i="1"/>
  <c r="T1768" i="1"/>
  <c r="T1769" i="1"/>
  <c r="T1770" i="1"/>
  <c r="T1771" i="1"/>
  <c r="T1772" i="1"/>
  <c r="T1773" i="1"/>
  <c r="T1774" i="1"/>
  <c r="T1775" i="1"/>
  <c r="T1776" i="1"/>
  <c r="T1777" i="1"/>
  <c r="T1778" i="1"/>
  <c r="T1779" i="1"/>
  <c r="T1780" i="1"/>
  <c r="T1781" i="1"/>
  <c r="T1782" i="1"/>
  <c r="T1783" i="1"/>
  <c r="T1784" i="1"/>
  <c r="T1785" i="1"/>
  <c r="T1786" i="1"/>
  <c r="T1787" i="1"/>
  <c r="T1788" i="1"/>
  <c r="T1789" i="1"/>
  <c r="T1790" i="1"/>
  <c r="T1791" i="1"/>
  <c r="T1792" i="1"/>
  <c r="T1793" i="1"/>
  <c r="T1794" i="1"/>
  <c r="T1795" i="1"/>
  <c r="T1796" i="1"/>
  <c r="T1797" i="1"/>
  <c r="T1798" i="1"/>
  <c r="T1799" i="1"/>
  <c r="T1800" i="1"/>
  <c r="T1801" i="1"/>
  <c r="T1802" i="1"/>
  <c r="T1803" i="1"/>
  <c r="T1804" i="1"/>
  <c r="T1805" i="1"/>
  <c r="T1806" i="1"/>
  <c r="T1807" i="1"/>
  <c r="T1808" i="1"/>
  <c r="T1809" i="1"/>
  <c r="T1810" i="1"/>
  <c r="T1811" i="1"/>
  <c r="T1812" i="1"/>
  <c r="T1813" i="1"/>
  <c r="T1814" i="1"/>
  <c r="T1815" i="1"/>
  <c r="T1816" i="1"/>
  <c r="T1817" i="1"/>
  <c r="T1818" i="1"/>
  <c r="T1819" i="1"/>
  <c r="T1820" i="1"/>
  <c r="T1821" i="1"/>
  <c r="T1822" i="1"/>
  <c r="T1823" i="1"/>
  <c r="T1824" i="1"/>
  <c r="T1825" i="1"/>
  <c r="T1826" i="1"/>
  <c r="T1827" i="1"/>
  <c r="T1828" i="1"/>
  <c r="T1829" i="1"/>
  <c r="T1830" i="1"/>
  <c r="T1831" i="1"/>
  <c r="T1832" i="1"/>
  <c r="T1833" i="1"/>
  <c r="T1834" i="1"/>
  <c r="T1835" i="1"/>
  <c r="T1836" i="1"/>
  <c r="T1837" i="1"/>
  <c r="T1838" i="1"/>
  <c r="T1839" i="1"/>
  <c r="T1840" i="1"/>
  <c r="T1841" i="1"/>
  <c r="T1842" i="1"/>
  <c r="T1843" i="1"/>
  <c r="T1844" i="1"/>
  <c r="T1845" i="1"/>
  <c r="T1846" i="1"/>
  <c r="T1847" i="1"/>
  <c r="T1848" i="1"/>
  <c r="T1849" i="1"/>
  <c r="T1850" i="1"/>
  <c r="T1851" i="1"/>
  <c r="T1852" i="1"/>
  <c r="T1853" i="1"/>
  <c r="T1854" i="1"/>
  <c r="T1855" i="1"/>
  <c r="T1856" i="1"/>
  <c r="T1857" i="1"/>
  <c r="T1858" i="1"/>
  <c r="T1859" i="1"/>
  <c r="T1860" i="1"/>
  <c r="T1861" i="1"/>
  <c r="T1862" i="1"/>
  <c r="T1863" i="1"/>
  <c r="T1864" i="1"/>
  <c r="T1865" i="1"/>
  <c r="T1866" i="1"/>
  <c r="T1867" i="1"/>
  <c r="T1868" i="1"/>
  <c r="T1869" i="1"/>
  <c r="T1870" i="1"/>
  <c r="T1871" i="1"/>
  <c r="T1872" i="1"/>
  <c r="T1873" i="1"/>
  <c r="T1874" i="1"/>
  <c r="T1875" i="1"/>
  <c r="T1876" i="1"/>
  <c r="T1877" i="1"/>
  <c r="T1878" i="1"/>
  <c r="T1879" i="1"/>
  <c r="T1880" i="1"/>
  <c r="T1881" i="1"/>
  <c r="T1882" i="1"/>
  <c r="T1883" i="1"/>
  <c r="T1884" i="1"/>
  <c r="T1885" i="1"/>
  <c r="T1886" i="1"/>
  <c r="T1887" i="1"/>
  <c r="T1888" i="1"/>
  <c r="T1889" i="1"/>
  <c r="T1890" i="1"/>
  <c r="T1891" i="1"/>
  <c r="T1892" i="1"/>
  <c r="T1893" i="1"/>
  <c r="T1894" i="1"/>
  <c r="T1895" i="1"/>
  <c r="T1896" i="1"/>
  <c r="T1897" i="1"/>
  <c r="T1898" i="1"/>
  <c r="T1899" i="1"/>
  <c r="T1900" i="1"/>
  <c r="T1901" i="1"/>
  <c r="T1902" i="1"/>
  <c r="T1903" i="1"/>
  <c r="T1904" i="1"/>
  <c r="T1905" i="1"/>
  <c r="T1906" i="1"/>
  <c r="T1907" i="1"/>
  <c r="T1908" i="1"/>
  <c r="T1909" i="1"/>
  <c r="T1910" i="1"/>
  <c r="T1911" i="1"/>
  <c r="T1912" i="1"/>
  <c r="T1913" i="1"/>
  <c r="T1914" i="1"/>
  <c r="T1915" i="1"/>
  <c r="T1916" i="1"/>
  <c r="T1917" i="1"/>
  <c r="T1918" i="1"/>
  <c r="T1919" i="1"/>
  <c r="T1920" i="1"/>
  <c r="T1921" i="1"/>
  <c r="T1922" i="1"/>
  <c r="T1923" i="1"/>
  <c r="T1924" i="1"/>
  <c r="T1925" i="1"/>
  <c r="T1926" i="1"/>
  <c r="T1927" i="1"/>
  <c r="T1928" i="1"/>
  <c r="T1929" i="1"/>
  <c r="T1930" i="1"/>
  <c r="T1931" i="1"/>
  <c r="T1932" i="1"/>
  <c r="T1933" i="1"/>
  <c r="T1934" i="1"/>
  <c r="T1935" i="1"/>
  <c r="T1936" i="1"/>
  <c r="T1937" i="1"/>
  <c r="T1938" i="1"/>
  <c r="T1939" i="1"/>
  <c r="T1940" i="1"/>
  <c r="T1941" i="1"/>
  <c r="T1942" i="1"/>
  <c r="T1943" i="1"/>
  <c r="T1944" i="1"/>
  <c r="T1945" i="1"/>
  <c r="T1946" i="1"/>
  <c r="T1947" i="1"/>
  <c r="T1948" i="1"/>
  <c r="T1949" i="1"/>
  <c r="T1950" i="1"/>
  <c r="T1951" i="1"/>
  <c r="T1952" i="1"/>
  <c r="T1953" i="1"/>
  <c r="T1954" i="1"/>
  <c r="T1955" i="1"/>
  <c r="T1956" i="1"/>
  <c r="T1957" i="1"/>
  <c r="T1958" i="1"/>
  <c r="T1959" i="1"/>
  <c r="T1960" i="1"/>
  <c r="T1961" i="1"/>
  <c r="T1962" i="1"/>
  <c r="T1963" i="1"/>
  <c r="T1964" i="1"/>
  <c r="T1965" i="1"/>
  <c r="T1966" i="1"/>
  <c r="T1967" i="1"/>
  <c r="T1968" i="1"/>
  <c r="T1969" i="1"/>
  <c r="T1970" i="1"/>
  <c r="T1971" i="1"/>
  <c r="T1972" i="1"/>
  <c r="T1973" i="1"/>
  <c r="T1974" i="1"/>
  <c r="T1975" i="1"/>
  <c r="T1976" i="1"/>
  <c r="T1977" i="1"/>
  <c r="T1978" i="1"/>
  <c r="T1979" i="1"/>
  <c r="T1980" i="1"/>
  <c r="T1981" i="1"/>
  <c r="T1982" i="1"/>
  <c r="T1983" i="1"/>
  <c r="T1984" i="1"/>
  <c r="T1985" i="1"/>
  <c r="T1986" i="1"/>
  <c r="T1987" i="1"/>
  <c r="T1988" i="1"/>
  <c r="T1989" i="1"/>
  <c r="T1990" i="1"/>
  <c r="T1991" i="1"/>
  <c r="T1992" i="1"/>
  <c r="T1993" i="1"/>
  <c r="T1994" i="1"/>
  <c r="T1995" i="1"/>
  <c r="T1996" i="1"/>
  <c r="T1997" i="1"/>
  <c r="T1998" i="1"/>
  <c r="T1999" i="1"/>
  <c r="T2000" i="1"/>
  <c r="T2001" i="1"/>
  <c r="T2002" i="1"/>
  <c r="T2003" i="1"/>
  <c r="T2004" i="1"/>
  <c r="T2005" i="1"/>
  <c r="T2006" i="1"/>
  <c r="T2007" i="1"/>
  <c r="T2008" i="1"/>
  <c r="T2009" i="1"/>
  <c r="T2010" i="1"/>
  <c r="T2011" i="1"/>
  <c r="T2012" i="1"/>
  <c r="T2013" i="1"/>
  <c r="T2014" i="1"/>
  <c r="T2015" i="1"/>
  <c r="T2016" i="1"/>
  <c r="T2017" i="1"/>
  <c r="T2018" i="1"/>
  <c r="T2019" i="1"/>
  <c r="T2020" i="1"/>
  <c r="T2021" i="1"/>
  <c r="T2022" i="1"/>
  <c r="T2023" i="1"/>
  <c r="T2024" i="1"/>
  <c r="T2025" i="1"/>
  <c r="T2026" i="1"/>
  <c r="T2027" i="1"/>
  <c r="T2028" i="1"/>
  <c r="T2029" i="1"/>
  <c r="T2030" i="1"/>
  <c r="T2031" i="1"/>
  <c r="T2032" i="1"/>
  <c r="T2033" i="1"/>
  <c r="T2034" i="1"/>
  <c r="T2035" i="1"/>
  <c r="T2036" i="1"/>
  <c r="T2037" i="1"/>
  <c r="T2038" i="1"/>
  <c r="T2039" i="1"/>
  <c r="T2040" i="1"/>
  <c r="T2041" i="1"/>
  <c r="T2042" i="1"/>
  <c r="T2043" i="1"/>
  <c r="T2044" i="1"/>
  <c r="T2045" i="1"/>
  <c r="T2046" i="1"/>
  <c r="T2047" i="1"/>
  <c r="T2048" i="1"/>
  <c r="T2049" i="1"/>
  <c r="T2050" i="1"/>
  <c r="T2051" i="1"/>
  <c r="T2052" i="1"/>
  <c r="T2053" i="1"/>
  <c r="T2054" i="1"/>
  <c r="T2055" i="1"/>
  <c r="T2056" i="1"/>
  <c r="T2057" i="1"/>
  <c r="T2058" i="1"/>
  <c r="T2059" i="1"/>
  <c r="T2060" i="1"/>
  <c r="T2061" i="1"/>
  <c r="T2062" i="1"/>
  <c r="T2063" i="1"/>
  <c r="T2064" i="1"/>
  <c r="T2065" i="1"/>
  <c r="T2066" i="1"/>
  <c r="T2067" i="1"/>
  <c r="T2068" i="1"/>
  <c r="T2069" i="1"/>
  <c r="T2070" i="1"/>
  <c r="T2071" i="1"/>
  <c r="T2072" i="1"/>
  <c r="T2073" i="1"/>
  <c r="T2074" i="1"/>
  <c r="T2075" i="1"/>
  <c r="T2076" i="1"/>
  <c r="T2077" i="1"/>
  <c r="T2078" i="1"/>
  <c r="T2079" i="1"/>
  <c r="T2080" i="1"/>
  <c r="T2081" i="1"/>
  <c r="T2082" i="1"/>
  <c r="T2083" i="1"/>
  <c r="T2084" i="1"/>
  <c r="T2085" i="1"/>
  <c r="T2086" i="1"/>
  <c r="T2087" i="1"/>
  <c r="T2088" i="1"/>
  <c r="T2089" i="1"/>
  <c r="T2090" i="1"/>
  <c r="T2091" i="1"/>
  <c r="T2092" i="1"/>
  <c r="T2093" i="1"/>
  <c r="T2094" i="1"/>
  <c r="T2095" i="1"/>
  <c r="T2096" i="1"/>
  <c r="T2097" i="1"/>
  <c r="T2098" i="1"/>
  <c r="T2099" i="1"/>
  <c r="T2100" i="1"/>
  <c r="T2101" i="1"/>
  <c r="T2102" i="1"/>
  <c r="T2103" i="1"/>
  <c r="T2104" i="1"/>
  <c r="T2105" i="1"/>
  <c r="T2106" i="1"/>
  <c r="T2107" i="1"/>
  <c r="T2108" i="1"/>
  <c r="T2109" i="1"/>
  <c r="T2110" i="1"/>
  <c r="T2111" i="1"/>
  <c r="T2112" i="1"/>
  <c r="T2113" i="1"/>
  <c r="T2114" i="1"/>
  <c r="T2115" i="1"/>
  <c r="T2116" i="1"/>
  <c r="T2117" i="1"/>
  <c r="T2118" i="1"/>
  <c r="T2119" i="1"/>
  <c r="T2120" i="1"/>
  <c r="T2121" i="1"/>
  <c r="T2122" i="1"/>
  <c r="T2123" i="1"/>
  <c r="T2124" i="1"/>
  <c r="T2125" i="1"/>
  <c r="T2126" i="1"/>
  <c r="T2127" i="1"/>
  <c r="T2128" i="1"/>
  <c r="T2129" i="1"/>
  <c r="T2130" i="1"/>
  <c r="T2131" i="1"/>
  <c r="T2132" i="1"/>
  <c r="T2133" i="1"/>
  <c r="T2134" i="1"/>
  <c r="T2135" i="1"/>
  <c r="T2136" i="1"/>
  <c r="T2137" i="1"/>
  <c r="T2138" i="1"/>
  <c r="T2139" i="1"/>
  <c r="T2140" i="1"/>
  <c r="T2141" i="1"/>
  <c r="T2142" i="1"/>
  <c r="T2143" i="1"/>
  <c r="T2144" i="1"/>
  <c r="T2145" i="1"/>
  <c r="T2146" i="1"/>
  <c r="T2147" i="1"/>
  <c r="T2148" i="1"/>
  <c r="T2149" i="1"/>
  <c r="T2150" i="1"/>
  <c r="T2151" i="1"/>
  <c r="T2152" i="1"/>
  <c r="T2153" i="1"/>
  <c r="T2154" i="1"/>
  <c r="T2155" i="1"/>
  <c r="T2156" i="1"/>
  <c r="T2157" i="1"/>
  <c r="T2158" i="1"/>
  <c r="T2159" i="1"/>
  <c r="T2160" i="1"/>
  <c r="T2161" i="1"/>
  <c r="T2162" i="1"/>
  <c r="T2163" i="1"/>
  <c r="T2164" i="1"/>
  <c r="T2165" i="1"/>
  <c r="T2166" i="1"/>
  <c r="T2167" i="1"/>
  <c r="T2168" i="1"/>
  <c r="T2169" i="1"/>
  <c r="T2170" i="1"/>
  <c r="T2171" i="1"/>
  <c r="T2172" i="1"/>
  <c r="T2173" i="1"/>
  <c r="T2174" i="1"/>
  <c r="T2175" i="1"/>
  <c r="T2176" i="1"/>
  <c r="T2177" i="1"/>
  <c r="T2178" i="1"/>
  <c r="T2179" i="1"/>
  <c r="T2180" i="1"/>
  <c r="T2181" i="1"/>
  <c r="T2182" i="1"/>
  <c r="T2183" i="1"/>
  <c r="T2184" i="1"/>
  <c r="T2185" i="1"/>
  <c r="T2186" i="1"/>
  <c r="T2187" i="1"/>
  <c r="T2188" i="1"/>
  <c r="T2189" i="1"/>
  <c r="T2190" i="1"/>
  <c r="T2191" i="1"/>
  <c r="T2192" i="1"/>
  <c r="T2193" i="1"/>
  <c r="T2194" i="1"/>
  <c r="T2195" i="1"/>
  <c r="T2196" i="1"/>
  <c r="T2197" i="1"/>
  <c r="T2198" i="1"/>
  <c r="T2199" i="1"/>
  <c r="T2200" i="1"/>
  <c r="T2201" i="1"/>
  <c r="T2202" i="1"/>
  <c r="T2203" i="1"/>
  <c r="T2204" i="1"/>
  <c r="T2205" i="1"/>
  <c r="T2206" i="1"/>
  <c r="T2207" i="1"/>
  <c r="T2208" i="1"/>
  <c r="T2209" i="1"/>
  <c r="T2210" i="1"/>
  <c r="T2211" i="1"/>
  <c r="T2212" i="1"/>
  <c r="T2213" i="1"/>
  <c r="T2214" i="1"/>
  <c r="T2215" i="1"/>
  <c r="T2216" i="1"/>
  <c r="T2217" i="1"/>
  <c r="T2218" i="1"/>
  <c r="T2219" i="1"/>
  <c r="T2220" i="1"/>
  <c r="T2221" i="1"/>
  <c r="T2222" i="1"/>
  <c r="T2223" i="1"/>
  <c r="T2224" i="1"/>
  <c r="T2225" i="1"/>
  <c r="T2226" i="1"/>
  <c r="T2227" i="1"/>
  <c r="T2228" i="1"/>
  <c r="T2229" i="1"/>
  <c r="T2230" i="1"/>
  <c r="T2231" i="1"/>
  <c r="T2232" i="1"/>
  <c r="T2233" i="1"/>
  <c r="T2234" i="1"/>
  <c r="T2235" i="1"/>
  <c r="T2236" i="1"/>
  <c r="T2237" i="1"/>
  <c r="T2238" i="1"/>
  <c r="T2239" i="1"/>
  <c r="T2240" i="1"/>
  <c r="T2241" i="1"/>
  <c r="T2242" i="1"/>
  <c r="T2243" i="1"/>
  <c r="T2244" i="1"/>
  <c r="T2245" i="1"/>
  <c r="T2246" i="1"/>
  <c r="T2247" i="1"/>
  <c r="T2248" i="1"/>
  <c r="T2249" i="1"/>
  <c r="T2250" i="1"/>
  <c r="T2251" i="1"/>
  <c r="T2252" i="1"/>
  <c r="T2253" i="1"/>
  <c r="T2254" i="1"/>
  <c r="T2255" i="1"/>
  <c r="T2256" i="1"/>
  <c r="T2257" i="1"/>
  <c r="T2258" i="1"/>
  <c r="T2259" i="1"/>
  <c r="T2260" i="1"/>
  <c r="T2261" i="1"/>
  <c r="T2262" i="1"/>
  <c r="T2263" i="1"/>
  <c r="T2264" i="1"/>
  <c r="T2265" i="1"/>
  <c r="T2266" i="1"/>
  <c r="T2267" i="1"/>
  <c r="T2268" i="1"/>
  <c r="T2269" i="1"/>
  <c r="T2270" i="1"/>
  <c r="T2271" i="1"/>
  <c r="T2272" i="1"/>
  <c r="T2273" i="1"/>
  <c r="T2274" i="1"/>
  <c r="T2275" i="1"/>
  <c r="T2276" i="1"/>
  <c r="T2277" i="1"/>
  <c r="T2278" i="1"/>
  <c r="T2279" i="1"/>
  <c r="T2280" i="1"/>
  <c r="T2281" i="1"/>
  <c r="T2282" i="1"/>
  <c r="T2283" i="1"/>
  <c r="T2284" i="1"/>
  <c r="T2285" i="1"/>
  <c r="T2286" i="1"/>
  <c r="T2287" i="1"/>
  <c r="T2288" i="1"/>
  <c r="T2289" i="1"/>
  <c r="T2290" i="1"/>
  <c r="T2291" i="1"/>
  <c r="T2292" i="1"/>
  <c r="T2293" i="1"/>
  <c r="T2294" i="1"/>
  <c r="T2295" i="1"/>
  <c r="T2296" i="1"/>
  <c r="T2297" i="1"/>
  <c r="T2298" i="1"/>
  <c r="T2299" i="1"/>
  <c r="T2300" i="1"/>
  <c r="T2301" i="1"/>
  <c r="T2302" i="1"/>
  <c r="T2303" i="1"/>
  <c r="T2304" i="1"/>
  <c r="T2305" i="1"/>
  <c r="T2306" i="1"/>
  <c r="T2307" i="1"/>
  <c r="T2308" i="1"/>
  <c r="T2309" i="1"/>
  <c r="T2310" i="1"/>
  <c r="T2311" i="1"/>
  <c r="T2312" i="1"/>
  <c r="T2313" i="1"/>
  <c r="T2314" i="1"/>
  <c r="T2315" i="1"/>
  <c r="T2316" i="1"/>
  <c r="T2317" i="1"/>
  <c r="T2318" i="1"/>
  <c r="T2319" i="1"/>
  <c r="T2320" i="1"/>
  <c r="T2321" i="1"/>
  <c r="T2322" i="1"/>
  <c r="T2323" i="1"/>
  <c r="T2324" i="1"/>
  <c r="T2325" i="1"/>
  <c r="T2326" i="1"/>
  <c r="T2327" i="1"/>
  <c r="T2328" i="1"/>
  <c r="T2329" i="1"/>
  <c r="T2330" i="1"/>
  <c r="T2331" i="1"/>
  <c r="T2332" i="1"/>
  <c r="T2333" i="1"/>
  <c r="T2334" i="1"/>
  <c r="T2335" i="1"/>
  <c r="T2336" i="1"/>
  <c r="T2337" i="1"/>
  <c r="T2338" i="1"/>
  <c r="T2339" i="1"/>
  <c r="T2340" i="1"/>
  <c r="T2341" i="1"/>
  <c r="T2342" i="1"/>
  <c r="T2343" i="1"/>
  <c r="T2344" i="1"/>
  <c r="T2345" i="1"/>
  <c r="T2346" i="1"/>
  <c r="T2347" i="1"/>
  <c r="T2348" i="1"/>
  <c r="T2349" i="1"/>
  <c r="T2350" i="1"/>
  <c r="T2351" i="1"/>
  <c r="T2352" i="1"/>
  <c r="T2353" i="1"/>
  <c r="T2354" i="1"/>
  <c r="T2355" i="1"/>
  <c r="T2356" i="1"/>
  <c r="T2357" i="1"/>
  <c r="T2358" i="1"/>
  <c r="T2359" i="1"/>
  <c r="T2360" i="1"/>
  <c r="T2361" i="1"/>
  <c r="T2362" i="1"/>
  <c r="T2363" i="1"/>
  <c r="T2364" i="1"/>
  <c r="T2365" i="1"/>
  <c r="T2366" i="1"/>
  <c r="T2367" i="1"/>
  <c r="T2368" i="1"/>
  <c r="T2369" i="1"/>
  <c r="T2370" i="1"/>
  <c r="T2371" i="1"/>
  <c r="T2372" i="1"/>
  <c r="T2373" i="1"/>
  <c r="T2374" i="1"/>
  <c r="T2375" i="1"/>
  <c r="T2376" i="1"/>
  <c r="T2377" i="1"/>
  <c r="T2378" i="1"/>
  <c r="T2379" i="1"/>
  <c r="T2380" i="1"/>
  <c r="T2381" i="1"/>
  <c r="T2382" i="1"/>
  <c r="T2383" i="1"/>
  <c r="T2384" i="1"/>
  <c r="T2385" i="1"/>
  <c r="T2386" i="1"/>
  <c r="T2387" i="1"/>
  <c r="T2388" i="1"/>
  <c r="T2389" i="1"/>
  <c r="T2390" i="1"/>
  <c r="T2391" i="1"/>
  <c r="T2392" i="1"/>
  <c r="T2393" i="1"/>
  <c r="T2394" i="1"/>
  <c r="T2395" i="1"/>
  <c r="T2396" i="1"/>
  <c r="T2397" i="1"/>
  <c r="T2398" i="1"/>
  <c r="T2399" i="1"/>
  <c r="T2400" i="1"/>
  <c r="T2401" i="1"/>
  <c r="T2402" i="1"/>
  <c r="T2403" i="1"/>
  <c r="T2404" i="1"/>
  <c r="T2405" i="1"/>
  <c r="T2406" i="1"/>
  <c r="T2407" i="1"/>
  <c r="T2408" i="1"/>
  <c r="T2409" i="1"/>
  <c r="T2410" i="1"/>
  <c r="T2411" i="1"/>
  <c r="T2412" i="1"/>
  <c r="T2413" i="1"/>
  <c r="T2414" i="1"/>
  <c r="T2415" i="1"/>
  <c r="T2416" i="1"/>
  <c r="T2417" i="1"/>
  <c r="T2418" i="1"/>
  <c r="T2419" i="1"/>
  <c r="T2420" i="1"/>
  <c r="T2421" i="1"/>
  <c r="T2422" i="1"/>
  <c r="T2423" i="1"/>
  <c r="T2424" i="1"/>
  <c r="T2425" i="1"/>
  <c r="T2426" i="1"/>
  <c r="T2427" i="1"/>
  <c r="T2428" i="1"/>
  <c r="T2429" i="1"/>
  <c r="T2430" i="1"/>
  <c r="T2431" i="1"/>
  <c r="T2432" i="1"/>
  <c r="T2433" i="1"/>
  <c r="T2434" i="1"/>
  <c r="T2435" i="1"/>
  <c r="T2436" i="1"/>
  <c r="T2437" i="1"/>
  <c r="T2438" i="1"/>
  <c r="T2439" i="1"/>
  <c r="T2440" i="1"/>
  <c r="T2441" i="1"/>
  <c r="T2442" i="1"/>
  <c r="T2443" i="1"/>
  <c r="T2444" i="1"/>
  <c r="T2445" i="1"/>
  <c r="T2446" i="1"/>
  <c r="T2447" i="1"/>
  <c r="T2448" i="1"/>
  <c r="T2449" i="1"/>
  <c r="T2450" i="1"/>
  <c r="T2451" i="1"/>
  <c r="T2452" i="1"/>
  <c r="T2453" i="1"/>
  <c r="T2454" i="1"/>
  <c r="T2455" i="1"/>
  <c r="T2456" i="1"/>
  <c r="T2457" i="1"/>
  <c r="T2458" i="1"/>
  <c r="T2459" i="1"/>
  <c r="T2460" i="1"/>
  <c r="T2461" i="1"/>
  <c r="T2462" i="1"/>
  <c r="T2463" i="1"/>
  <c r="T2464" i="1"/>
  <c r="T2465" i="1"/>
  <c r="T2466" i="1"/>
  <c r="T2467" i="1"/>
  <c r="T2468" i="1"/>
  <c r="T2469" i="1"/>
  <c r="T2470" i="1"/>
  <c r="T2471" i="1"/>
  <c r="T2472" i="1"/>
  <c r="T2473" i="1"/>
  <c r="T2474" i="1"/>
  <c r="T2475" i="1"/>
  <c r="T2476" i="1"/>
  <c r="T2477" i="1"/>
  <c r="T2478" i="1"/>
  <c r="T2479" i="1"/>
  <c r="T2480" i="1"/>
  <c r="T2481" i="1"/>
  <c r="T2482" i="1"/>
  <c r="T2483" i="1"/>
  <c r="T2484" i="1"/>
  <c r="T2485" i="1"/>
  <c r="T2486" i="1"/>
  <c r="T2487" i="1"/>
  <c r="T2488" i="1"/>
  <c r="T2489" i="1"/>
  <c r="T2490" i="1"/>
  <c r="T2491" i="1"/>
  <c r="T2492" i="1"/>
  <c r="T2493" i="1"/>
  <c r="T2494" i="1"/>
  <c r="T2495" i="1"/>
  <c r="T2496" i="1"/>
  <c r="T2497" i="1"/>
  <c r="T2498" i="1"/>
  <c r="T2499" i="1"/>
  <c r="T2500" i="1"/>
  <c r="T2501" i="1"/>
  <c r="T2502" i="1"/>
  <c r="T2503" i="1"/>
  <c r="T2504" i="1"/>
  <c r="T2505" i="1"/>
  <c r="T2506" i="1"/>
  <c r="T2507" i="1"/>
  <c r="T2508" i="1"/>
  <c r="T2509" i="1"/>
  <c r="T2510" i="1"/>
  <c r="T2511" i="1"/>
  <c r="T2512" i="1"/>
  <c r="T2513" i="1"/>
  <c r="T2514" i="1"/>
  <c r="T2515" i="1"/>
  <c r="T2516" i="1"/>
  <c r="T2517" i="1"/>
  <c r="T2518" i="1"/>
  <c r="T2519" i="1"/>
  <c r="T2520" i="1"/>
  <c r="T2521" i="1"/>
  <c r="T2522" i="1"/>
  <c r="T2523" i="1"/>
  <c r="T2524" i="1"/>
  <c r="T2525" i="1"/>
  <c r="T2526" i="1"/>
  <c r="T2527" i="1"/>
  <c r="T2528" i="1"/>
  <c r="T2529" i="1"/>
  <c r="T2530" i="1"/>
  <c r="T2531" i="1"/>
  <c r="T2532" i="1"/>
  <c r="T2533" i="1"/>
  <c r="T2534" i="1"/>
  <c r="T2535" i="1"/>
  <c r="T2536" i="1"/>
  <c r="T2537" i="1"/>
  <c r="T2538" i="1"/>
  <c r="T2539" i="1"/>
  <c r="T2540" i="1"/>
  <c r="T2541" i="1"/>
  <c r="T2542" i="1"/>
  <c r="T2543" i="1"/>
  <c r="T2544" i="1"/>
  <c r="T2545" i="1"/>
  <c r="T2546" i="1"/>
  <c r="T2547" i="1"/>
  <c r="T2548" i="1"/>
  <c r="T2549" i="1"/>
  <c r="T2550" i="1"/>
  <c r="T2551" i="1"/>
  <c r="T2552" i="1"/>
  <c r="T2553" i="1"/>
  <c r="T2554" i="1"/>
  <c r="T2555" i="1"/>
  <c r="T2556" i="1"/>
  <c r="T2557" i="1"/>
  <c r="T2558" i="1"/>
  <c r="T2559" i="1"/>
  <c r="T2560" i="1"/>
  <c r="T2561" i="1"/>
  <c r="T2562" i="1"/>
  <c r="T2563" i="1"/>
  <c r="T2564" i="1"/>
  <c r="T2565" i="1"/>
  <c r="T2566" i="1"/>
  <c r="T2567" i="1"/>
  <c r="T2568" i="1"/>
  <c r="T2569" i="1"/>
  <c r="T2570" i="1"/>
  <c r="T2571" i="1"/>
  <c r="T2572" i="1"/>
  <c r="T2573" i="1"/>
  <c r="T2574" i="1"/>
  <c r="T2575" i="1"/>
  <c r="T2576" i="1"/>
  <c r="T2577" i="1"/>
  <c r="T2578" i="1"/>
  <c r="T2579" i="1"/>
  <c r="T2580" i="1"/>
  <c r="T2581" i="1"/>
  <c r="T2582" i="1"/>
  <c r="T2583" i="1"/>
  <c r="T2584" i="1"/>
  <c r="T2585" i="1"/>
  <c r="T2586" i="1"/>
  <c r="T2587" i="1"/>
  <c r="T2588" i="1"/>
  <c r="T2589" i="1"/>
  <c r="T2590" i="1"/>
  <c r="T2591" i="1"/>
  <c r="T2592" i="1"/>
  <c r="T2593" i="1"/>
  <c r="T2594" i="1"/>
  <c r="T2595" i="1"/>
  <c r="T2596" i="1"/>
  <c r="T2597" i="1"/>
  <c r="T2598" i="1"/>
  <c r="T2599" i="1"/>
  <c r="T2600" i="1"/>
  <c r="T2601" i="1"/>
  <c r="T2602" i="1"/>
  <c r="T2603" i="1"/>
  <c r="T2604" i="1"/>
  <c r="T2605" i="1"/>
  <c r="T2606" i="1"/>
  <c r="T2607" i="1"/>
  <c r="T2608" i="1"/>
  <c r="T2609" i="1"/>
  <c r="T2610" i="1"/>
  <c r="T2611" i="1"/>
  <c r="T2612" i="1"/>
  <c r="T2613" i="1"/>
  <c r="T2614" i="1"/>
  <c r="T2615" i="1"/>
  <c r="T2616" i="1"/>
  <c r="T2617" i="1"/>
  <c r="T2618" i="1"/>
  <c r="T2619" i="1"/>
  <c r="T2620" i="1"/>
  <c r="T2621" i="1"/>
  <c r="T2622" i="1"/>
  <c r="T2623" i="1"/>
  <c r="T2624" i="1"/>
  <c r="T2625" i="1"/>
  <c r="T2626" i="1"/>
  <c r="T2627" i="1"/>
  <c r="T2628" i="1"/>
  <c r="T2629" i="1"/>
  <c r="T2630" i="1"/>
  <c r="T2631" i="1"/>
  <c r="T2632" i="1"/>
  <c r="T2633" i="1"/>
  <c r="T2634" i="1"/>
  <c r="T2635" i="1"/>
  <c r="T2636" i="1"/>
  <c r="T2637" i="1"/>
  <c r="T2638" i="1"/>
  <c r="T2639" i="1"/>
  <c r="T2640" i="1"/>
  <c r="T2641" i="1"/>
  <c r="T2642" i="1"/>
  <c r="T2643" i="1"/>
  <c r="T2644" i="1"/>
  <c r="T2645" i="1"/>
  <c r="T2646" i="1"/>
  <c r="T2647" i="1"/>
  <c r="T2648" i="1"/>
  <c r="T2649" i="1"/>
  <c r="T2650" i="1"/>
  <c r="T2651" i="1"/>
  <c r="T2652" i="1"/>
  <c r="T2653" i="1"/>
  <c r="T2654" i="1"/>
  <c r="T2655" i="1"/>
  <c r="T2656" i="1"/>
  <c r="T2657" i="1"/>
  <c r="T2658" i="1"/>
  <c r="T2659" i="1"/>
  <c r="T2660" i="1"/>
  <c r="T2661" i="1"/>
  <c r="T2662" i="1"/>
  <c r="T2663" i="1"/>
  <c r="T2664" i="1"/>
  <c r="T2665" i="1"/>
  <c r="T2666" i="1"/>
  <c r="T2667" i="1"/>
  <c r="T2668" i="1"/>
  <c r="T2669" i="1"/>
  <c r="T2670" i="1"/>
  <c r="T2671" i="1"/>
  <c r="T2672" i="1"/>
  <c r="T2673" i="1"/>
  <c r="T2674" i="1"/>
  <c r="T2675" i="1"/>
  <c r="T2676" i="1"/>
  <c r="T2677" i="1"/>
  <c r="T2678" i="1"/>
  <c r="T2679" i="1"/>
  <c r="T2680" i="1"/>
  <c r="T2681" i="1"/>
  <c r="T2682" i="1"/>
  <c r="T2683" i="1"/>
  <c r="T2684" i="1"/>
  <c r="T2685" i="1"/>
  <c r="T2686" i="1"/>
  <c r="T2687" i="1"/>
  <c r="T2688" i="1"/>
  <c r="T2689" i="1"/>
  <c r="T2690" i="1"/>
  <c r="T2691" i="1"/>
  <c r="T2692" i="1"/>
  <c r="T2693" i="1"/>
  <c r="T2694" i="1"/>
  <c r="T2695" i="1"/>
  <c r="T2696" i="1"/>
  <c r="T2697" i="1"/>
  <c r="T2698" i="1"/>
  <c r="T2699" i="1"/>
  <c r="T2700" i="1"/>
  <c r="T2701" i="1"/>
  <c r="T2702" i="1"/>
  <c r="T2703" i="1"/>
  <c r="T2704" i="1"/>
  <c r="T2705" i="1"/>
  <c r="T2706" i="1"/>
  <c r="T2707" i="1"/>
  <c r="T2708" i="1"/>
  <c r="T2709" i="1"/>
  <c r="T2710" i="1"/>
  <c r="T2711" i="1"/>
  <c r="T2712" i="1"/>
  <c r="T2713" i="1"/>
  <c r="T2714" i="1"/>
  <c r="T2715" i="1"/>
  <c r="T2716" i="1"/>
  <c r="T2717" i="1"/>
  <c r="T2718" i="1"/>
  <c r="T2719" i="1"/>
  <c r="T2720" i="1"/>
  <c r="T2721" i="1"/>
  <c r="T2722" i="1"/>
  <c r="T2723" i="1"/>
  <c r="T2724" i="1"/>
  <c r="T2725" i="1"/>
  <c r="T2726" i="1"/>
  <c r="T2727" i="1"/>
  <c r="T2728" i="1"/>
  <c r="T2729" i="1"/>
  <c r="T2730" i="1"/>
  <c r="T2731" i="1"/>
  <c r="T2732" i="1"/>
  <c r="T2733" i="1"/>
  <c r="T2734" i="1"/>
  <c r="T2735" i="1"/>
  <c r="T2736" i="1"/>
  <c r="T2737" i="1"/>
  <c r="T2738" i="1"/>
  <c r="T2739" i="1"/>
  <c r="T2740" i="1"/>
  <c r="T2741" i="1"/>
  <c r="T2742" i="1"/>
  <c r="T2743" i="1"/>
  <c r="T2744" i="1"/>
  <c r="T2745" i="1"/>
  <c r="T2746" i="1"/>
  <c r="T2747" i="1"/>
  <c r="T2748" i="1"/>
  <c r="T2749" i="1"/>
  <c r="T2750" i="1"/>
  <c r="T2751" i="1"/>
  <c r="T2752" i="1"/>
  <c r="T2753" i="1"/>
  <c r="T2754" i="1"/>
  <c r="T2755" i="1"/>
  <c r="T2756" i="1"/>
  <c r="T2757" i="1"/>
  <c r="T2758" i="1"/>
  <c r="T2759" i="1"/>
  <c r="T2760" i="1"/>
  <c r="T2761" i="1"/>
  <c r="T2762" i="1"/>
  <c r="T2763" i="1"/>
  <c r="T2764" i="1"/>
  <c r="T2765" i="1"/>
  <c r="T2766" i="1"/>
  <c r="T2767" i="1"/>
  <c r="T2768" i="1"/>
  <c r="T2769" i="1"/>
  <c r="T2770" i="1"/>
  <c r="T2771" i="1"/>
  <c r="T2772" i="1"/>
  <c r="T2773" i="1"/>
  <c r="T2774" i="1"/>
  <c r="T2775" i="1"/>
  <c r="T2776" i="1"/>
  <c r="T2777" i="1"/>
  <c r="T2778" i="1"/>
  <c r="T2779" i="1"/>
  <c r="T2780" i="1"/>
  <c r="T2781" i="1"/>
  <c r="T2782" i="1"/>
  <c r="T2783" i="1"/>
  <c r="T2784" i="1"/>
  <c r="T2785" i="1"/>
  <c r="T2786" i="1"/>
  <c r="T2787" i="1"/>
  <c r="T2788" i="1"/>
  <c r="T2789" i="1"/>
  <c r="T2790" i="1"/>
  <c r="T2791" i="1"/>
  <c r="T2792" i="1"/>
  <c r="T2793" i="1"/>
  <c r="T2794" i="1"/>
  <c r="T2795" i="1"/>
  <c r="T2796" i="1"/>
  <c r="T2797" i="1"/>
  <c r="T2798" i="1"/>
  <c r="T2799" i="1"/>
  <c r="T2800" i="1"/>
  <c r="T2801" i="1"/>
  <c r="T2802" i="1"/>
  <c r="T2803" i="1"/>
  <c r="T2804" i="1"/>
  <c r="T2805" i="1"/>
  <c r="T2806" i="1"/>
  <c r="T2807" i="1"/>
  <c r="T2808" i="1"/>
  <c r="T2809" i="1"/>
  <c r="T2810" i="1"/>
  <c r="T2811" i="1"/>
  <c r="T2812" i="1"/>
  <c r="T2813" i="1"/>
  <c r="T2814" i="1"/>
  <c r="T2815" i="1"/>
  <c r="T2816" i="1"/>
  <c r="T2817" i="1"/>
  <c r="T2818" i="1"/>
  <c r="T2819" i="1"/>
  <c r="T2820" i="1"/>
  <c r="T2821" i="1"/>
  <c r="T2822" i="1"/>
  <c r="T2823" i="1"/>
  <c r="T2824" i="1"/>
  <c r="T2825" i="1"/>
  <c r="T2826" i="1"/>
  <c r="T2827" i="1"/>
  <c r="T2828" i="1"/>
  <c r="T2829" i="1"/>
  <c r="T2830" i="1"/>
  <c r="T2831" i="1"/>
  <c r="T2832" i="1"/>
  <c r="T2833" i="1"/>
  <c r="T2834" i="1"/>
  <c r="T2835" i="1"/>
  <c r="T2836" i="1"/>
  <c r="T2837" i="1"/>
  <c r="T2838" i="1"/>
  <c r="T2839" i="1"/>
  <c r="T2840" i="1"/>
  <c r="T2841" i="1"/>
  <c r="T2842" i="1"/>
  <c r="T2843" i="1"/>
  <c r="T2844" i="1"/>
  <c r="T2845" i="1"/>
  <c r="T2846" i="1"/>
  <c r="T2847" i="1"/>
  <c r="T2848" i="1"/>
  <c r="T2849" i="1"/>
  <c r="T2850" i="1"/>
  <c r="T2851" i="1"/>
  <c r="T2852" i="1"/>
  <c r="T2853" i="1"/>
  <c r="T2854" i="1"/>
  <c r="T2855" i="1"/>
  <c r="T2856" i="1"/>
  <c r="T2857" i="1"/>
  <c r="T2858" i="1"/>
  <c r="T2859" i="1"/>
  <c r="T2860" i="1"/>
  <c r="T2861" i="1"/>
  <c r="T2862" i="1"/>
  <c r="T2863" i="1"/>
  <c r="T2864" i="1"/>
  <c r="T2865" i="1"/>
  <c r="T2866" i="1"/>
  <c r="T2867" i="1"/>
  <c r="T2868" i="1"/>
  <c r="T2869" i="1"/>
  <c r="T2870" i="1"/>
  <c r="T2871" i="1"/>
  <c r="T2872" i="1"/>
  <c r="T2873" i="1"/>
  <c r="T2874" i="1"/>
  <c r="T2875" i="1"/>
  <c r="T2876" i="1"/>
  <c r="T2877" i="1"/>
  <c r="T2878" i="1"/>
  <c r="T2879" i="1"/>
  <c r="T2880" i="1"/>
  <c r="T2881" i="1"/>
  <c r="T2882" i="1"/>
  <c r="T2883" i="1"/>
  <c r="T2884" i="1"/>
  <c r="T2885" i="1"/>
  <c r="T2886" i="1"/>
  <c r="T2887" i="1"/>
  <c r="T2888" i="1"/>
  <c r="T2889" i="1"/>
  <c r="T2890" i="1"/>
  <c r="T2891" i="1"/>
  <c r="T2892" i="1"/>
  <c r="T2893" i="1"/>
  <c r="T2894" i="1"/>
  <c r="T2895" i="1"/>
  <c r="T2896" i="1"/>
  <c r="T2897" i="1"/>
  <c r="T2898" i="1"/>
  <c r="T2899" i="1"/>
  <c r="T2900" i="1"/>
  <c r="T2901" i="1"/>
  <c r="T2902" i="1"/>
  <c r="T2903" i="1"/>
  <c r="T2904" i="1"/>
  <c r="T2905" i="1"/>
  <c r="T2906" i="1"/>
  <c r="T2907" i="1"/>
  <c r="T2908" i="1"/>
  <c r="T2909" i="1"/>
  <c r="T2910" i="1"/>
  <c r="T2911" i="1"/>
  <c r="T2912" i="1"/>
  <c r="T2913" i="1"/>
  <c r="T2914" i="1"/>
  <c r="T2915" i="1"/>
  <c r="T2916" i="1"/>
  <c r="T2917" i="1"/>
  <c r="T2918" i="1"/>
  <c r="T2919" i="1"/>
  <c r="T2920" i="1"/>
  <c r="T2921" i="1"/>
  <c r="T2922" i="1"/>
  <c r="T2923" i="1"/>
  <c r="T2924" i="1"/>
  <c r="T2925" i="1"/>
  <c r="T2926" i="1"/>
  <c r="T2927" i="1"/>
  <c r="T2928" i="1"/>
  <c r="T2929" i="1"/>
  <c r="T2930" i="1"/>
  <c r="T2931" i="1"/>
  <c r="T2932" i="1"/>
  <c r="T2933" i="1"/>
  <c r="T2934" i="1"/>
  <c r="T2935" i="1"/>
  <c r="T2936" i="1"/>
  <c r="T2937" i="1"/>
  <c r="T2938" i="1"/>
  <c r="T2939" i="1"/>
  <c r="T2940" i="1"/>
  <c r="T2941" i="1"/>
  <c r="T2942" i="1"/>
  <c r="T2943" i="1"/>
  <c r="T2944" i="1"/>
  <c r="T2945" i="1"/>
  <c r="T2946" i="1"/>
  <c r="T2947" i="1"/>
  <c r="T2948" i="1"/>
  <c r="T2949" i="1"/>
  <c r="T2950" i="1"/>
  <c r="T2951" i="1"/>
  <c r="T2952" i="1"/>
  <c r="T2953" i="1"/>
  <c r="T2954" i="1"/>
  <c r="T2955" i="1"/>
  <c r="T2956" i="1"/>
  <c r="T2957" i="1"/>
  <c r="T2958" i="1"/>
  <c r="T2959" i="1"/>
  <c r="T2960" i="1"/>
  <c r="T2961" i="1"/>
  <c r="T2962" i="1"/>
  <c r="T2963" i="1"/>
  <c r="T2964" i="1"/>
  <c r="T2965" i="1"/>
  <c r="T2966" i="1"/>
  <c r="T2967" i="1"/>
  <c r="T2968" i="1"/>
  <c r="T2969" i="1"/>
  <c r="T2970" i="1"/>
  <c r="T2971" i="1"/>
  <c r="T2972" i="1"/>
  <c r="T2973" i="1"/>
  <c r="T2974" i="1"/>
  <c r="T2975" i="1"/>
  <c r="T2976" i="1"/>
  <c r="T2977" i="1"/>
  <c r="T2978" i="1"/>
  <c r="T2979" i="1"/>
  <c r="T2980" i="1"/>
  <c r="T2981" i="1"/>
  <c r="T2982" i="1"/>
  <c r="T2983" i="1"/>
  <c r="T2984" i="1"/>
  <c r="T2985" i="1"/>
  <c r="T2986" i="1"/>
  <c r="T2987" i="1"/>
  <c r="T2988" i="1"/>
  <c r="T2989" i="1"/>
  <c r="T2990" i="1"/>
  <c r="T2991" i="1"/>
  <c r="T2992" i="1"/>
  <c r="T2993" i="1"/>
  <c r="T2994" i="1"/>
  <c r="T2995" i="1"/>
  <c r="T2996" i="1"/>
  <c r="T2997" i="1"/>
  <c r="T2998" i="1"/>
  <c r="T2999" i="1"/>
  <c r="T3000" i="1"/>
  <c r="T3001" i="1"/>
  <c r="T2" i="1"/>
  <c r="S3" i="1"/>
  <c r="S4" i="1"/>
  <c r="S5" i="1"/>
  <c r="S6" i="1"/>
  <c r="S7" i="1"/>
  <c r="S8" i="1"/>
  <c r="S9" i="1"/>
  <c r="S10" i="1"/>
  <c r="S11" i="1"/>
  <c r="S12" i="1"/>
  <c r="S13" i="1"/>
  <c r="S14" i="1"/>
  <c r="S15" i="1"/>
  <c r="S16" i="1"/>
  <c r="S17" i="1"/>
  <c r="S18" i="1"/>
  <c r="S19" i="1"/>
  <c r="S20" i="1"/>
  <c r="S21" i="1"/>
  <c r="S22" i="1"/>
  <c r="S23" i="1"/>
  <c r="S24" i="1"/>
  <c r="S25" i="1"/>
  <c r="S26" i="1"/>
  <c r="S27" i="1"/>
  <c r="S28" i="1"/>
  <c r="S29" i="1"/>
  <c r="S30" i="1"/>
  <c r="S31" i="1"/>
  <c r="S32" i="1"/>
  <c r="S33" i="1"/>
  <c r="S34" i="1"/>
  <c r="S35" i="1"/>
  <c r="S36" i="1"/>
  <c r="S37" i="1"/>
  <c r="S38" i="1"/>
  <c r="S39" i="1"/>
  <c r="S40" i="1"/>
  <c r="S41" i="1"/>
  <c r="S42" i="1"/>
  <c r="S43" i="1"/>
  <c r="S44" i="1"/>
  <c r="S45" i="1"/>
  <c r="S46" i="1"/>
  <c r="S47" i="1"/>
  <c r="S48" i="1"/>
  <c r="S49" i="1"/>
  <c r="S50" i="1"/>
  <c r="S51" i="1"/>
  <c r="S52" i="1"/>
  <c r="S53" i="1"/>
  <c r="S54" i="1"/>
  <c r="S55" i="1"/>
  <c r="S56" i="1"/>
  <c r="S57" i="1"/>
  <c r="S58" i="1"/>
  <c r="S59" i="1"/>
  <c r="S60" i="1"/>
  <c r="S61" i="1"/>
  <c r="S62" i="1"/>
  <c r="S63" i="1"/>
  <c r="S64" i="1"/>
  <c r="S65" i="1"/>
  <c r="S66" i="1"/>
  <c r="S67" i="1"/>
  <c r="S68" i="1"/>
  <c r="S69" i="1"/>
  <c r="S70" i="1"/>
  <c r="S71" i="1"/>
  <c r="S72" i="1"/>
  <c r="S73" i="1"/>
  <c r="S74" i="1"/>
  <c r="S75" i="1"/>
  <c r="S76" i="1"/>
  <c r="S77" i="1"/>
  <c r="S78" i="1"/>
  <c r="S79" i="1"/>
  <c r="S80" i="1"/>
  <c r="S81" i="1"/>
  <c r="S82" i="1"/>
  <c r="S83" i="1"/>
  <c r="S84" i="1"/>
  <c r="S85" i="1"/>
  <c r="S86" i="1"/>
  <c r="S87" i="1"/>
  <c r="S88" i="1"/>
  <c r="S89" i="1"/>
  <c r="S90" i="1"/>
  <c r="S91" i="1"/>
  <c r="S92" i="1"/>
  <c r="S93" i="1"/>
  <c r="S94" i="1"/>
  <c r="S95" i="1"/>
  <c r="S96" i="1"/>
  <c r="S97" i="1"/>
  <c r="S98" i="1"/>
  <c r="S99" i="1"/>
  <c r="S100" i="1"/>
  <c r="S101" i="1"/>
  <c r="S102" i="1"/>
  <c r="S103" i="1"/>
  <c r="S104" i="1"/>
  <c r="S105" i="1"/>
  <c r="S106" i="1"/>
  <c r="S107" i="1"/>
  <c r="S108" i="1"/>
  <c r="S109" i="1"/>
  <c r="S110" i="1"/>
  <c r="S111" i="1"/>
  <c r="S112" i="1"/>
  <c r="S113" i="1"/>
  <c r="S114" i="1"/>
  <c r="S115" i="1"/>
  <c r="S116" i="1"/>
  <c r="S117" i="1"/>
  <c r="S118" i="1"/>
  <c r="S119" i="1"/>
  <c r="S120" i="1"/>
  <c r="S121" i="1"/>
  <c r="S122" i="1"/>
  <c r="S123" i="1"/>
  <c r="S124" i="1"/>
  <c r="S125" i="1"/>
  <c r="S126" i="1"/>
  <c r="S127" i="1"/>
  <c r="S128" i="1"/>
  <c r="S129" i="1"/>
  <c r="S130" i="1"/>
  <c r="S131" i="1"/>
  <c r="S132" i="1"/>
  <c r="S133" i="1"/>
  <c r="S134" i="1"/>
  <c r="S135" i="1"/>
  <c r="S136" i="1"/>
  <c r="S137" i="1"/>
  <c r="S138" i="1"/>
  <c r="S139" i="1"/>
  <c r="S140" i="1"/>
  <c r="S141" i="1"/>
  <c r="S142" i="1"/>
  <c r="S143" i="1"/>
  <c r="S144" i="1"/>
  <c r="S145" i="1"/>
  <c r="S146" i="1"/>
  <c r="S147" i="1"/>
  <c r="S148" i="1"/>
  <c r="S149" i="1"/>
  <c r="S150" i="1"/>
  <c r="S151" i="1"/>
  <c r="S152" i="1"/>
  <c r="S153" i="1"/>
  <c r="S154" i="1"/>
  <c r="S155" i="1"/>
  <c r="S156" i="1"/>
  <c r="S157" i="1"/>
  <c r="S158" i="1"/>
  <c r="S159" i="1"/>
  <c r="S160" i="1"/>
  <c r="S161" i="1"/>
  <c r="S162" i="1"/>
  <c r="S163" i="1"/>
  <c r="S164" i="1"/>
  <c r="S165" i="1"/>
  <c r="S166" i="1"/>
  <c r="S167" i="1"/>
  <c r="S168" i="1"/>
  <c r="S169" i="1"/>
  <c r="S170" i="1"/>
  <c r="S171" i="1"/>
  <c r="S172" i="1"/>
  <c r="S173" i="1"/>
  <c r="S174" i="1"/>
  <c r="S175" i="1"/>
  <c r="S176" i="1"/>
  <c r="S177" i="1"/>
  <c r="S178" i="1"/>
  <c r="S179" i="1"/>
  <c r="S180" i="1"/>
  <c r="S181" i="1"/>
  <c r="S182" i="1"/>
  <c r="S183" i="1"/>
  <c r="S184" i="1"/>
  <c r="S185" i="1"/>
  <c r="S186" i="1"/>
  <c r="S187" i="1"/>
  <c r="S188" i="1"/>
  <c r="S189" i="1"/>
  <c r="S190" i="1"/>
  <c r="S191" i="1"/>
  <c r="S192" i="1"/>
  <c r="S193" i="1"/>
  <c r="S194" i="1"/>
  <c r="S195" i="1"/>
  <c r="S196" i="1"/>
  <c r="S197" i="1"/>
  <c r="S198" i="1"/>
  <c r="S199" i="1"/>
  <c r="S200" i="1"/>
  <c r="S201" i="1"/>
  <c r="S202" i="1"/>
  <c r="S203" i="1"/>
  <c r="S204" i="1"/>
  <c r="S205" i="1"/>
  <c r="S206" i="1"/>
  <c r="S207" i="1"/>
  <c r="S208" i="1"/>
  <c r="S209" i="1"/>
  <c r="S210" i="1"/>
  <c r="S211" i="1"/>
  <c r="S212" i="1"/>
  <c r="S213" i="1"/>
  <c r="S214" i="1"/>
  <c r="S215" i="1"/>
  <c r="S216" i="1"/>
  <c r="S217" i="1"/>
  <c r="S218" i="1"/>
  <c r="S219" i="1"/>
  <c r="S220" i="1"/>
  <c r="S221" i="1"/>
  <c r="S222" i="1"/>
  <c r="S223" i="1"/>
  <c r="S224" i="1"/>
  <c r="S225" i="1"/>
  <c r="S226" i="1"/>
  <c r="S227" i="1"/>
  <c r="S228" i="1"/>
  <c r="S229" i="1"/>
  <c r="S230" i="1"/>
  <c r="S231" i="1"/>
  <c r="S232" i="1"/>
  <c r="S233" i="1"/>
  <c r="S234" i="1"/>
  <c r="S235" i="1"/>
  <c r="S236" i="1"/>
  <c r="S237" i="1"/>
  <c r="S238" i="1"/>
  <c r="S239" i="1"/>
  <c r="S240" i="1"/>
  <c r="S241" i="1"/>
  <c r="S242" i="1"/>
  <c r="S243" i="1"/>
  <c r="S244" i="1"/>
  <c r="S245" i="1"/>
  <c r="S246" i="1"/>
  <c r="S247" i="1"/>
  <c r="S248" i="1"/>
  <c r="S249" i="1"/>
  <c r="S250" i="1"/>
  <c r="S251" i="1"/>
  <c r="S252" i="1"/>
  <c r="S253" i="1"/>
  <c r="S254" i="1"/>
  <c r="S255" i="1"/>
  <c r="S256" i="1"/>
  <c r="S257" i="1"/>
  <c r="S258" i="1"/>
  <c r="S259" i="1"/>
  <c r="S260" i="1"/>
  <c r="S261" i="1"/>
  <c r="S262" i="1"/>
  <c r="S263" i="1"/>
  <c r="S264" i="1"/>
  <c r="S265" i="1"/>
  <c r="S266" i="1"/>
  <c r="S267" i="1"/>
  <c r="S268" i="1"/>
  <c r="S269" i="1"/>
  <c r="S270" i="1"/>
  <c r="S271" i="1"/>
  <c r="S272" i="1"/>
  <c r="S273" i="1"/>
  <c r="S274" i="1"/>
  <c r="S275" i="1"/>
  <c r="S276" i="1"/>
  <c r="S277" i="1"/>
  <c r="S278" i="1"/>
  <c r="S279" i="1"/>
  <c r="S280" i="1"/>
  <c r="S281" i="1"/>
  <c r="S282" i="1"/>
  <c r="S283" i="1"/>
  <c r="S284" i="1"/>
  <c r="S285" i="1"/>
  <c r="S286" i="1"/>
  <c r="S287" i="1"/>
  <c r="S288" i="1"/>
  <c r="S289" i="1"/>
  <c r="S290" i="1"/>
  <c r="S291" i="1"/>
  <c r="S292" i="1"/>
  <c r="S293" i="1"/>
  <c r="S294" i="1"/>
  <c r="S295" i="1"/>
  <c r="S296" i="1"/>
  <c r="S297" i="1"/>
  <c r="S298" i="1"/>
  <c r="S299" i="1"/>
  <c r="S300" i="1"/>
  <c r="S301" i="1"/>
  <c r="S302" i="1"/>
  <c r="S303" i="1"/>
  <c r="S304" i="1"/>
  <c r="S305" i="1"/>
  <c r="S306" i="1"/>
  <c r="S307" i="1"/>
  <c r="S308" i="1"/>
  <c r="S309" i="1"/>
  <c r="S310" i="1"/>
  <c r="S311" i="1"/>
  <c r="S312" i="1"/>
  <c r="S313" i="1"/>
  <c r="S314" i="1"/>
  <c r="S315" i="1"/>
  <c r="S316" i="1"/>
  <c r="S317" i="1"/>
  <c r="S318" i="1"/>
  <c r="S319" i="1"/>
  <c r="S320" i="1"/>
  <c r="S321" i="1"/>
  <c r="S322" i="1"/>
  <c r="S323" i="1"/>
  <c r="S324" i="1"/>
  <c r="S325" i="1"/>
  <c r="S326" i="1"/>
  <c r="S327" i="1"/>
  <c r="S328" i="1"/>
  <c r="S329" i="1"/>
  <c r="S330" i="1"/>
  <c r="S331" i="1"/>
  <c r="S332" i="1"/>
  <c r="S333" i="1"/>
  <c r="S334" i="1"/>
  <c r="S335" i="1"/>
  <c r="S336" i="1"/>
  <c r="S337" i="1"/>
  <c r="S338" i="1"/>
  <c r="S339" i="1"/>
  <c r="S340" i="1"/>
  <c r="S341" i="1"/>
  <c r="S342" i="1"/>
  <c r="S343" i="1"/>
  <c r="S344" i="1"/>
  <c r="S345" i="1"/>
  <c r="S346" i="1"/>
  <c r="S347" i="1"/>
  <c r="S348" i="1"/>
  <c r="S349" i="1"/>
  <c r="S350" i="1"/>
  <c r="S351" i="1"/>
  <c r="S352" i="1"/>
  <c r="S353" i="1"/>
  <c r="S354" i="1"/>
  <c r="S355" i="1"/>
  <c r="S356" i="1"/>
  <c r="S357" i="1"/>
  <c r="S358" i="1"/>
  <c r="S359" i="1"/>
  <c r="S360" i="1"/>
  <c r="S361" i="1"/>
  <c r="S362" i="1"/>
  <c r="S363" i="1"/>
  <c r="S364" i="1"/>
  <c r="S365" i="1"/>
  <c r="S366" i="1"/>
  <c r="S367" i="1"/>
  <c r="S368" i="1"/>
  <c r="S369" i="1"/>
  <c r="S370" i="1"/>
  <c r="S371" i="1"/>
  <c r="S372" i="1"/>
  <c r="S373" i="1"/>
  <c r="S374" i="1"/>
  <c r="S375" i="1"/>
  <c r="S376" i="1"/>
  <c r="S377" i="1"/>
  <c r="S378" i="1"/>
  <c r="S379" i="1"/>
  <c r="S380" i="1"/>
  <c r="S381" i="1"/>
  <c r="S382" i="1"/>
  <c r="S383" i="1"/>
  <c r="S384" i="1"/>
  <c r="S385" i="1"/>
  <c r="S386" i="1"/>
  <c r="S387" i="1"/>
  <c r="S388" i="1"/>
  <c r="S389" i="1"/>
  <c r="S390" i="1"/>
  <c r="S391" i="1"/>
  <c r="S392" i="1"/>
  <c r="S393" i="1"/>
  <c r="S394" i="1"/>
  <c r="S395" i="1"/>
  <c r="S396" i="1"/>
  <c r="S397" i="1"/>
  <c r="S398" i="1"/>
  <c r="S399" i="1"/>
  <c r="S400" i="1"/>
  <c r="S401" i="1"/>
  <c r="S402" i="1"/>
  <c r="S403" i="1"/>
  <c r="S404" i="1"/>
  <c r="S405" i="1"/>
  <c r="S406" i="1"/>
  <c r="S407" i="1"/>
  <c r="S408" i="1"/>
  <c r="S409" i="1"/>
  <c r="S410" i="1"/>
  <c r="S411" i="1"/>
  <c r="S412" i="1"/>
  <c r="S413" i="1"/>
  <c r="S414" i="1"/>
  <c r="S415" i="1"/>
  <c r="S416" i="1"/>
  <c r="S417" i="1"/>
  <c r="S418" i="1"/>
  <c r="S419" i="1"/>
  <c r="S420" i="1"/>
  <c r="S421" i="1"/>
  <c r="S422" i="1"/>
  <c r="S423" i="1"/>
  <c r="S424" i="1"/>
  <c r="S425" i="1"/>
  <c r="S426" i="1"/>
  <c r="S427" i="1"/>
  <c r="S428" i="1"/>
  <c r="S429" i="1"/>
  <c r="S430" i="1"/>
  <c r="S431" i="1"/>
  <c r="S432" i="1"/>
  <c r="S433" i="1"/>
  <c r="S434" i="1"/>
  <c r="S435" i="1"/>
  <c r="S436" i="1"/>
  <c r="S437" i="1"/>
  <c r="S438" i="1"/>
  <c r="S439" i="1"/>
  <c r="S440" i="1"/>
  <c r="S441" i="1"/>
  <c r="S442" i="1"/>
  <c r="S443" i="1"/>
  <c r="S444" i="1"/>
  <c r="S445" i="1"/>
  <c r="S446" i="1"/>
  <c r="S447" i="1"/>
  <c r="S448" i="1"/>
  <c r="S449" i="1"/>
  <c r="S450" i="1"/>
  <c r="S451" i="1"/>
  <c r="S452" i="1"/>
  <c r="S453" i="1"/>
  <c r="S454" i="1"/>
  <c r="S455" i="1"/>
  <c r="S456" i="1"/>
  <c r="S457" i="1"/>
  <c r="S458" i="1"/>
  <c r="S459" i="1"/>
  <c r="S460" i="1"/>
  <c r="S461" i="1"/>
  <c r="S462" i="1"/>
  <c r="S463" i="1"/>
  <c r="S464" i="1"/>
  <c r="S465" i="1"/>
  <c r="S466" i="1"/>
  <c r="S467" i="1"/>
  <c r="S468" i="1"/>
  <c r="S469" i="1"/>
  <c r="S470" i="1"/>
  <c r="S471" i="1"/>
  <c r="S472" i="1"/>
  <c r="S473" i="1"/>
  <c r="S474" i="1"/>
  <c r="S475" i="1"/>
  <c r="S476" i="1"/>
  <c r="S477" i="1"/>
  <c r="S478" i="1"/>
  <c r="S479" i="1"/>
  <c r="S480" i="1"/>
  <c r="S481" i="1"/>
  <c r="S482" i="1"/>
  <c r="S483" i="1"/>
  <c r="S484" i="1"/>
  <c r="S485" i="1"/>
  <c r="S486" i="1"/>
  <c r="S487" i="1"/>
  <c r="S488" i="1"/>
  <c r="S489" i="1"/>
  <c r="S490" i="1"/>
  <c r="S491" i="1"/>
  <c r="S492" i="1"/>
  <c r="S493" i="1"/>
  <c r="S494" i="1"/>
  <c r="S495" i="1"/>
  <c r="S496" i="1"/>
  <c r="S497" i="1"/>
  <c r="S498" i="1"/>
  <c r="S499" i="1"/>
  <c r="S500" i="1"/>
  <c r="S501" i="1"/>
  <c r="S502" i="1"/>
  <c r="S503" i="1"/>
  <c r="S504" i="1"/>
  <c r="S505" i="1"/>
  <c r="S506" i="1"/>
  <c r="S507" i="1"/>
  <c r="S508" i="1"/>
  <c r="S509" i="1"/>
  <c r="S510" i="1"/>
  <c r="S511" i="1"/>
  <c r="S512" i="1"/>
  <c r="S513" i="1"/>
  <c r="S514" i="1"/>
  <c r="S515" i="1"/>
  <c r="S516" i="1"/>
  <c r="S517" i="1"/>
  <c r="S518" i="1"/>
  <c r="S519" i="1"/>
  <c r="S520" i="1"/>
  <c r="S521" i="1"/>
  <c r="S522" i="1"/>
  <c r="S523" i="1"/>
  <c r="S524" i="1"/>
  <c r="S525" i="1"/>
  <c r="S526" i="1"/>
  <c r="S527" i="1"/>
  <c r="S528" i="1"/>
  <c r="S529" i="1"/>
  <c r="S530" i="1"/>
  <c r="S531" i="1"/>
  <c r="S532" i="1"/>
  <c r="S533" i="1"/>
  <c r="S534" i="1"/>
  <c r="S535" i="1"/>
  <c r="S536" i="1"/>
  <c r="S537" i="1"/>
  <c r="S538" i="1"/>
  <c r="S539" i="1"/>
  <c r="S540" i="1"/>
  <c r="S541" i="1"/>
  <c r="S542" i="1"/>
  <c r="S543" i="1"/>
  <c r="S544" i="1"/>
  <c r="S545" i="1"/>
  <c r="S546" i="1"/>
  <c r="S547" i="1"/>
  <c r="S548" i="1"/>
  <c r="S549" i="1"/>
  <c r="S550" i="1"/>
  <c r="S551" i="1"/>
  <c r="S552" i="1"/>
  <c r="S553" i="1"/>
  <c r="S554" i="1"/>
  <c r="S555" i="1"/>
  <c r="S556" i="1"/>
  <c r="S557" i="1"/>
  <c r="S558" i="1"/>
  <c r="S559" i="1"/>
  <c r="S560" i="1"/>
  <c r="S561" i="1"/>
  <c r="S562" i="1"/>
  <c r="S563" i="1"/>
  <c r="S564" i="1"/>
  <c r="S565" i="1"/>
  <c r="S566" i="1"/>
  <c r="S567" i="1"/>
  <c r="S568" i="1"/>
  <c r="S569" i="1"/>
  <c r="S570" i="1"/>
  <c r="S571" i="1"/>
  <c r="S572" i="1"/>
  <c r="S573" i="1"/>
  <c r="S574" i="1"/>
  <c r="S575" i="1"/>
  <c r="S576" i="1"/>
  <c r="S577" i="1"/>
  <c r="S578" i="1"/>
  <c r="S579" i="1"/>
  <c r="S580" i="1"/>
  <c r="S581" i="1"/>
  <c r="S582" i="1"/>
  <c r="S583" i="1"/>
  <c r="S584" i="1"/>
  <c r="S585" i="1"/>
  <c r="S586" i="1"/>
  <c r="S587" i="1"/>
  <c r="S588" i="1"/>
  <c r="S589" i="1"/>
  <c r="S590" i="1"/>
  <c r="S591" i="1"/>
  <c r="S592" i="1"/>
  <c r="S593" i="1"/>
  <c r="S594" i="1"/>
  <c r="S595" i="1"/>
  <c r="S596" i="1"/>
  <c r="S597" i="1"/>
  <c r="S598" i="1"/>
  <c r="S599" i="1"/>
  <c r="S600" i="1"/>
  <c r="S601" i="1"/>
  <c r="S602" i="1"/>
  <c r="S603" i="1"/>
  <c r="S604" i="1"/>
  <c r="S605" i="1"/>
  <c r="S606" i="1"/>
  <c r="S607" i="1"/>
  <c r="S608" i="1"/>
  <c r="S609" i="1"/>
  <c r="S610" i="1"/>
  <c r="S611" i="1"/>
  <c r="S612" i="1"/>
  <c r="S613" i="1"/>
  <c r="S614" i="1"/>
  <c r="S615" i="1"/>
  <c r="S616" i="1"/>
  <c r="S617" i="1"/>
  <c r="S618" i="1"/>
  <c r="S619" i="1"/>
  <c r="S620" i="1"/>
  <c r="S621" i="1"/>
  <c r="S622" i="1"/>
  <c r="S623" i="1"/>
  <c r="S624" i="1"/>
  <c r="S625" i="1"/>
  <c r="S626" i="1"/>
  <c r="S627" i="1"/>
  <c r="S628" i="1"/>
  <c r="S629" i="1"/>
  <c r="S630" i="1"/>
  <c r="S631" i="1"/>
  <c r="S632" i="1"/>
  <c r="S633" i="1"/>
  <c r="S634" i="1"/>
  <c r="S635" i="1"/>
  <c r="S636" i="1"/>
  <c r="S637" i="1"/>
  <c r="S638" i="1"/>
  <c r="S639" i="1"/>
  <c r="S640" i="1"/>
  <c r="S641" i="1"/>
  <c r="S642" i="1"/>
  <c r="S643" i="1"/>
  <c r="S644" i="1"/>
  <c r="S645" i="1"/>
  <c r="S646" i="1"/>
  <c r="S647" i="1"/>
  <c r="S648" i="1"/>
  <c r="S649" i="1"/>
  <c r="S650" i="1"/>
  <c r="S651" i="1"/>
  <c r="S652" i="1"/>
  <c r="S653" i="1"/>
  <c r="S654" i="1"/>
  <c r="S655" i="1"/>
  <c r="S656" i="1"/>
  <c r="S657" i="1"/>
  <c r="S658" i="1"/>
  <c r="S659" i="1"/>
  <c r="S660" i="1"/>
  <c r="S661" i="1"/>
  <c r="S662" i="1"/>
  <c r="S663" i="1"/>
  <c r="S664" i="1"/>
  <c r="S665" i="1"/>
  <c r="S666" i="1"/>
  <c r="S667" i="1"/>
  <c r="S668" i="1"/>
  <c r="S669" i="1"/>
  <c r="S670" i="1"/>
  <c r="S671" i="1"/>
  <c r="S672" i="1"/>
  <c r="S673" i="1"/>
  <c r="S674" i="1"/>
  <c r="S675" i="1"/>
  <c r="S676" i="1"/>
  <c r="S677" i="1"/>
  <c r="S678" i="1"/>
  <c r="S679" i="1"/>
  <c r="S680" i="1"/>
  <c r="S681" i="1"/>
  <c r="S682" i="1"/>
  <c r="S683" i="1"/>
  <c r="S684" i="1"/>
  <c r="S685" i="1"/>
  <c r="S686" i="1"/>
  <c r="S687" i="1"/>
  <c r="S688" i="1"/>
  <c r="S689" i="1"/>
  <c r="S690" i="1"/>
  <c r="S691" i="1"/>
  <c r="S692" i="1"/>
  <c r="S693" i="1"/>
  <c r="S694" i="1"/>
  <c r="S695" i="1"/>
  <c r="S696" i="1"/>
  <c r="S697" i="1"/>
  <c r="S698" i="1"/>
  <c r="S699" i="1"/>
  <c r="S700" i="1"/>
  <c r="S701" i="1"/>
  <c r="S702" i="1"/>
  <c r="S703" i="1"/>
  <c r="S704" i="1"/>
  <c r="S705" i="1"/>
  <c r="S706" i="1"/>
  <c r="S707" i="1"/>
  <c r="S708" i="1"/>
  <c r="S709" i="1"/>
  <c r="S710" i="1"/>
  <c r="S711" i="1"/>
  <c r="S712" i="1"/>
  <c r="S713" i="1"/>
  <c r="S714" i="1"/>
  <c r="S715" i="1"/>
  <c r="S716" i="1"/>
  <c r="S717" i="1"/>
  <c r="S718" i="1"/>
  <c r="S719" i="1"/>
  <c r="S720" i="1"/>
  <c r="S721" i="1"/>
  <c r="S722" i="1"/>
  <c r="S723" i="1"/>
  <c r="S724" i="1"/>
  <c r="S725" i="1"/>
  <c r="S726" i="1"/>
  <c r="S727" i="1"/>
  <c r="S728" i="1"/>
  <c r="S729" i="1"/>
  <c r="S730" i="1"/>
  <c r="S731" i="1"/>
  <c r="S732" i="1"/>
  <c r="S733" i="1"/>
  <c r="S734" i="1"/>
  <c r="S735" i="1"/>
  <c r="S736" i="1"/>
  <c r="S737" i="1"/>
  <c r="S738" i="1"/>
  <c r="S739" i="1"/>
  <c r="S740" i="1"/>
  <c r="S741" i="1"/>
  <c r="S742" i="1"/>
  <c r="S743" i="1"/>
  <c r="S744" i="1"/>
  <c r="S745" i="1"/>
  <c r="S746" i="1"/>
  <c r="S747" i="1"/>
  <c r="S748" i="1"/>
  <c r="S749" i="1"/>
  <c r="S750" i="1"/>
  <c r="S751" i="1"/>
  <c r="S752" i="1"/>
  <c r="S753" i="1"/>
  <c r="S754" i="1"/>
  <c r="S755" i="1"/>
  <c r="S756" i="1"/>
  <c r="S757" i="1"/>
  <c r="S758" i="1"/>
  <c r="S759" i="1"/>
  <c r="S760" i="1"/>
  <c r="S761" i="1"/>
  <c r="S762" i="1"/>
  <c r="S763" i="1"/>
  <c r="S764" i="1"/>
  <c r="S765" i="1"/>
  <c r="S766" i="1"/>
  <c r="S767" i="1"/>
  <c r="S768" i="1"/>
  <c r="S769" i="1"/>
  <c r="S770" i="1"/>
  <c r="S771" i="1"/>
  <c r="S772" i="1"/>
  <c r="S773" i="1"/>
  <c r="S774" i="1"/>
  <c r="S775" i="1"/>
  <c r="S776" i="1"/>
  <c r="S777" i="1"/>
  <c r="S778" i="1"/>
  <c r="S779" i="1"/>
  <c r="S780" i="1"/>
  <c r="S781" i="1"/>
  <c r="S782" i="1"/>
  <c r="S783" i="1"/>
  <c r="S784" i="1"/>
  <c r="S785" i="1"/>
  <c r="S786" i="1"/>
  <c r="S787" i="1"/>
  <c r="S788" i="1"/>
  <c r="S789" i="1"/>
  <c r="S790" i="1"/>
  <c r="S791" i="1"/>
  <c r="S792" i="1"/>
  <c r="S793" i="1"/>
  <c r="S794" i="1"/>
  <c r="S795" i="1"/>
  <c r="S796" i="1"/>
  <c r="S797" i="1"/>
  <c r="S798" i="1"/>
  <c r="S799" i="1"/>
  <c r="S800" i="1"/>
  <c r="S801" i="1"/>
  <c r="S802" i="1"/>
  <c r="S803" i="1"/>
  <c r="S804" i="1"/>
  <c r="S805" i="1"/>
  <c r="S806" i="1"/>
  <c r="S807" i="1"/>
  <c r="S808" i="1"/>
  <c r="S809" i="1"/>
  <c r="S810" i="1"/>
  <c r="S811" i="1"/>
  <c r="S812" i="1"/>
  <c r="S813" i="1"/>
  <c r="S814" i="1"/>
  <c r="S815" i="1"/>
  <c r="S816" i="1"/>
  <c r="S817" i="1"/>
  <c r="S818" i="1"/>
  <c r="S819" i="1"/>
  <c r="S820" i="1"/>
  <c r="S821" i="1"/>
  <c r="S822" i="1"/>
  <c r="S823" i="1"/>
  <c r="S824" i="1"/>
  <c r="S825" i="1"/>
  <c r="S826" i="1"/>
  <c r="S827" i="1"/>
  <c r="S828" i="1"/>
  <c r="S829" i="1"/>
  <c r="S830" i="1"/>
  <c r="S831" i="1"/>
  <c r="S832" i="1"/>
  <c r="S833" i="1"/>
  <c r="S834" i="1"/>
  <c r="S835" i="1"/>
  <c r="S836" i="1"/>
  <c r="S837" i="1"/>
  <c r="S838" i="1"/>
  <c r="S839" i="1"/>
  <c r="S840" i="1"/>
  <c r="S841" i="1"/>
  <c r="S842" i="1"/>
  <c r="S843" i="1"/>
  <c r="S844" i="1"/>
  <c r="S845" i="1"/>
  <c r="S846" i="1"/>
  <c r="S847" i="1"/>
  <c r="S848" i="1"/>
  <c r="S849" i="1"/>
  <c r="S850" i="1"/>
  <c r="S851" i="1"/>
  <c r="S852" i="1"/>
  <c r="S853" i="1"/>
  <c r="S854" i="1"/>
  <c r="S855" i="1"/>
  <c r="S856" i="1"/>
  <c r="S857" i="1"/>
  <c r="S858" i="1"/>
  <c r="S859" i="1"/>
  <c r="S860" i="1"/>
  <c r="S861" i="1"/>
  <c r="S862" i="1"/>
  <c r="S863" i="1"/>
  <c r="S864" i="1"/>
  <c r="S865" i="1"/>
  <c r="S866" i="1"/>
  <c r="S867" i="1"/>
  <c r="S868" i="1"/>
  <c r="S869" i="1"/>
  <c r="S870" i="1"/>
  <c r="S871" i="1"/>
  <c r="S872" i="1"/>
  <c r="S873" i="1"/>
  <c r="S874" i="1"/>
  <c r="S875" i="1"/>
  <c r="S876" i="1"/>
  <c r="S877" i="1"/>
  <c r="S878" i="1"/>
  <c r="S879" i="1"/>
  <c r="S880" i="1"/>
  <c r="S881" i="1"/>
  <c r="S882" i="1"/>
  <c r="S883" i="1"/>
  <c r="S884" i="1"/>
  <c r="S885" i="1"/>
  <c r="S886" i="1"/>
  <c r="S887" i="1"/>
  <c r="S888" i="1"/>
  <c r="S889" i="1"/>
  <c r="S890" i="1"/>
  <c r="S891" i="1"/>
  <c r="S892" i="1"/>
  <c r="S893" i="1"/>
  <c r="S894" i="1"/>
  <c r="S895" i="1"/>
  <c r="S896" i="1"/>
  <c r="S897" i="1"/>
  <c r="S898" i="1"/>
  <c r="S899" i="1"/>
  <c r="S900" i="1"/>
  <c r="S901" i="1"/>
  <c r="S902" i="1"/>
  <c r="S903" i="1"/>
  <c r="S904" i="1"/>
  <c r="S905" i="1"/>
  <c r="S906" i="1"/>
  <c r="S907" i="1"/>
  <c r="S908" i="1"/>
  <c r="S909" i="1"/>
  <c r="S910" i="1"/>
  <c r="S911" i="1"/>
  <c r="S912" i="1"/>
  <c r="S913" i="1"/>
  <c r="S914" i="1"/>
  <c r="S915" i="1"/>
  <c r="S916" i="1"/>
  <c r="S917" i="1"/>
  <c r="S918" i="1"/>
  <c r="S919" i="1"/>
  <c r="S920" i="1"/>
  <c r="S921" i="1"/>
  <c r="S922" i="1"/>
  <c r="S923" i="1"/>
  <c r="S924" i="1"/>
  <c r="S925" i="1"/>
  <c r="S926" i="1"/>
  <c r="S927" i="1"/>
  <c r="S928" i="1"/>
  <c r="S929" i="1"/>
  <c r="S930" i="1"/>
  <c r="S931" i="1"/>
  <c r="S932" i="1"/>
  <c r="S933" i="1"/>
  <c r="S934" i="1"/>
  <c r="S935" i="1"/>
  <c r="S936" i="1"/>
  <c r="S937" i="1"/>
  <c r="S938" i="1"/>
  <c r="S939" i="1"/>
  <c r="S940" i="1"/>
  <c r="S941" i="1"/>
  <c r="S942" i="1"/>
  <c r="S943" i="1"/>
  <c r="S944" i="1"/>
  <c r="S945" i="1"/>
  <c r="S946" i="1"/>
  <c r="S947" i="1"/>
  <c r="S948" i="1"/>
  <c r="S949" i="1"/>
  <c r="S950" i="1"/>
  <c r="S951" i="1"/>
  <c r="S952" i="1"/>
  <c r="S953" i="1"/>
  <c r="S954" i="1"/>
  <c r="S955" i="1"/>
  <c r="S956" i="1"/>
  <c r="S957" i="1"/>
  <c r="S958" i="1"/>
  <c r="S959" i="1"/>
  <c r="S960" i="1"/>
  <c r="S961" i="1"/>
  <c r="S962" i="1"/>
  <c r="S963" i="1"/>
  <c r="S964" i="1"/>
  <c r="S965" i="1"/>
  <c r="S966" i="1"/>
  <c r="S967" i="1"/>
  <c r="S968" i="1"/>
  <c r="S969" i="1"/>
  <c r="S970" i="1"/>
  <c r="S971" i="1"/>
  <c r="S972" i="1"/>
  <c r="S973" i="1"/>
  <c r="S974" i="1"/>
  <c r="S975" i="1"/>
  <c r="S976" i="1"/>
  <c r="S977" i="1"/>
  <c r="S978" i="1"/>
  <c r="S979" i="1"/>
  <c r="S980" i="1"/>
  <c r="S981" i="1"/>
  <c r="S982" i="1"/>
  <c r="S983" i="1"/>
  <c r="S984" i="1"/>
  <c r="S985" i="1"/>
  <c r="S986" i="1"/>
  <c r="S987" i="1"/>
  <c r="S988" i="1"/>
  <c r="S989" i="1"/>
  <c r="S990" i="1"/>
  <c r="S991" i="1"/>
  <c r="S992" i="1"/>
  <c r="S993" i="1"/>
  <c r="S994" i="1"/>
  <c r="S995" i="1"/>
  <c r="S996" i="1"/>
  <c r="S997" i="1"/>
  <c r="S998" i="1"/>
  <c r="S999" i="1"/>
  <c r="S1000" i="1"/>
  <c r="S1001" i="1"/>
  <c r="S1002" i="1"/>
  <c r="S1003" i="1"/>
  <c r="S1004" i="1"/>
  <c r="S1005" i="1"/>
  <c r="S1006" i="1"/>
  <c r="S1007" i="1"/>
  <c r="S1008" i="1"/>
  <c r="S1009" i="1"/>
  <c r="S1010" i="1"/>
  <c r="S1011" i="1"/>
  <c r="S1012" i="1"/>
  <c r="S1013" i="1"/>
  <c r="S1014" i="1"/>
  <c r="S1015" i="1"/>
  <c r="S1016" i="1"/>
  <c r="S1017" i="1"/>
  <c r="S1018" i="1"/>
  <c r="S1019" i="1"/>
  <c r="S1020" i="1"/>
  <c r="S1021" i="1"/>
  <c r="S1022" i="1"/>
  <c r="S1023" i="1"/>
  <c r="S1024" i="1"/>
  <c r="S1025" i="1"/>
  <c r="S1026" i="1"/>
  <c r="S1027" i="1"/>
  <c r="S1028" i="1"/>
  <c r="S1029" i="1"/>
  <c r="S1030" i="1"/>
  <c r="S1031" i="1"/>
  <c r="S1032" i="1"/>
  <c r="S1033" i="1"/>
  <c r="S1034" i="1"/>
  <c r="S1035" i="1"/>
  <c r="S1036" i="1"/>
  <c r="S1037" i="1"/>
  <c r="S1038" i="1"/>
  <c r="S1039" i="1"/>
  <c r="S1040" i="1"/>
  <c r="S1041" i="1"/>
  <c r="S1042" i="1"/>
  <c r="S1043" i="1"/>
  <c r="S1044" i="1"/>
  <c r="S1045" i="1"/>
  <c r="S1046" i="1"/>
  <c r="S1047" i="1"/>
  <c r="S1048" i="1"/>
  <c r="S1049" i="1"/>
  <c r="S1050" i="1"/>
  <c r="S1051" i="1"/>
  <c r="S1052" i="1"/>
  <c r="S1053" i="1"/>
  <c r="S1054" i="1"/>
  <c r="S1055" i="1"/>
  <c r="S1056" i="1"/>
  <c r="S1057" i="1"/>
  <c r="S1058" i="1"/>
  <c r="S1059" i="1"/>
  <c r="S1060" i="1"/>
  <c r="S1061" i="1"/>
  <c r="S1062" i="1"/>
  <c r="S1063" i="1"/>
  <c r="S1064" i="1"/>
  <c r="S1065" i="1"/>
  <c r="S1066" i="1"/>
  <c r="S1067" i="1"/>
  <c r="S1068" i="1"/>
  <c r="S1069" i="1"/>
  <c r="S1070" i="1"/>
  <c r="S1071" i="1"/>
  <c r="S1072" i="1"/>
  <c r="S1073" i="1"/>
  <c r="S1074" i="1"/>
  <c r="S1075" i="1"/>
  <c r="S1076" i="1"/>
  <c r="S1077" i="1"/>
  <c r="S1078" i="1"/>
  <c r="S1079" i="1"/>
  <c r="S1080" i="1"/>
  <c r="S1081" i="1"/>
  <c r="S1082" i="1"/>
  <c r="S1083" i="1"/>
  <c r="S1084" i="1"/>
  <c r="S1085" i="1"/>
  <c r="S1086" i="1"/>
  <c r="S1087" i="1"/>
  <c r="S1088" i="1"/>
  <c r="S1089" i="1"/>
  <c r="S1090" i="1"/>
  <c r="S1091" i="1"/>
  <c r="S1092" i="1"/>
  <c r="S1093" i="1"/>
  <c r="S1094" i="1"/>
  <c r="S1095" i="1"/>
  <c r="S1096" i="1"/>
  <c r="S1097" i="1"/>
  <c r="S1098" i="1"/>
  <c r="S1099" i="1"/>
  <c r="S1100" i="1"/>
  <c r="S1101" i="1"/>
  <c r="S1102" i="1"/>
  <c r="S1103" i="1"/>
  <c r="S1104" i="1"/>
  <c r="S1105" i="1"/>
  <c r="S1106" i="1"/>
  <c r="S1107" i="1"/>
  <c r="S1108" i="1"/>
  <c r="S1109" i="1"/>
  <c r="S1110" i="1"/>
  <c r="S1111" i="1"/>
  <c r="S1112" i="1"/>
  <c r="S1113" i="1"/>
  <c r="S1114" i="1"/>
  <c r="S1115" i="1"/>
  <c r="S1116" i="1"/>
  <c r="S1117" i="1"/>
  <c r="S1118" i="1"/>
  <c r="S1119" i="1"/>
  <c r="S1120" i="1"/>
  <c r="S1121" i="1"/>
  <c r="S1122" i="1"/>
  <c r="S1123" i="1"/>
  <c r="S1124" i="1"/>
  <c r="S1125" i="1"/>
  <c r="S1126" i="1"/>
  <c r="S1127" i="1"/>
  <c r="S1128" i="1"/>
  <c r="S1129" i="1"/>
  <c r="S1130" i="1"/>
  <c r="S1131" i="1"/>
  <c r="S1132" i="1"/>
  <c r="S1133" i="1"/>
  <c r="S1134" i="1"/>
  <c r="S1135" i="1"/>
  <c r="S1136" i="1"/>
  <c r="S1137" i="1"/>
  <c r="S1138" i="1"/>
  <c r="S1139" i="1"/>
  <c r="S1140" i="1"/>
  <c r="S1141" i="1"/>
  <c r="S1142" i="1"/>
  <c r="S1143" i="1"/>
  <c r="S1144" i="1"/>
  <c r="S1145" i="1"/>
  <c r="S1146" i="1"/>
  <c r="S1147" i="1"/>
  <c r="S1148" i="1"/>
  <c r="S1149" i="1"/>
  <c r="S1150" i="1"/>
  <c r="S1151" i="1"/>
  <c r="S1152" i="1"/>
  <c r="S1153" i="1"/>
  <c r="S1154" i="1"/>
  <c r="S1155" i="1"/>
  <c r="S1156" i="1"/>
  <c r="S1157" i="1"/>
  <c r="S1158" i="1"/>
  <c r="S1159" i="1"/>
  <c r="S1160" i="1"/>
  <c r="S1161" i="1"/>
  <c r="S1162" i="1"/>
  <c r="S1163" i="1"/>
  <c r="S1164" i="1"/>
  <c r="S1165" i="1"/>
  <c r="S1166" i="1"/>
  <c r="S1167" i="1"/>
  <c r="S1168" i="1"/>
  <c r="S1169" i="1"/>
  <c r="S1170" i="1"/>
  <c r="S1171" i="1"/>
  <c r="S1172" i="1"/>
  <c r="S1173" i="1"/>
  <c r="S1174" i="1"/>
  <c r="S1175" i="1"/>
  <c r="S1176" i="1"/>
  <c r="S1177" i="1"/>
  <c r="S1178" i="1"/>
  <c r="S1179" i="1"/>
  <c r="S1180" i="1"/>
  <c r="S1181" i="1"/>
  <c r="S1182" i="1"/>
  <c r="S1183" i="1"/>
  <c r="S1184" i="1"/>
  <c r="S1185" i="1"/>
  <c r="S1186" i="1"/>
  <c r="S1187" i="1"/>
  <c r="S1188" i="1"/>
  <c r="S1189" i="1"/>
  <c r="S1190" i="1"/>
  <c r="S1191" i="1"/>
  <c r="S1192" i="1"/>
  <c r="S1193" i="1"/>
  <c r="S1194" i="1"/>
  <c r="S1195" i="1"/>
  <c r="S1196" i="1"/>
  <c r="S1197" i="1"/>
  <c r="S1198" i="1"/>
  <c r="S1199" i="1"/>
  <c r="S1200" i="1"/>
  <c r="S1201" i="1"/>
  <c r="S1202" i="1"/>
  <c r="S1203" i="1"/>
  <c r="S1204" i="1"/>
  <c r="S1205" i="1"/>
  <c r="S1206" i="1"/>
  <c r="S1207" i="1"/>
  <c r="S1208" i="1"/>
  <c r="S1209" i="1"/>
  <c r="S1210" i="1"/>
  <c r="S1211" i="1"/>
  <c r="S1212" i="1"/>
  <c r="S1213" i="1"/>
  <c r="S1214" i="1"/>
  <c r="S1215" i="1"/>
  <c r="S1216" i="1"/>
  <c r="S1217" i="1"/>
  <c r="S1218" i="1"/>
  <c r="S1219" i="1"/>
  <c r="S1220" i="1"/>
  <c r="S1221" i="1"/>
  <c r="S1222" i="1"/>
  <c r="S1223" i="1"/>
  <c r="S1224" i="1"/>
  <c r="S1225" i="1"/>
  <c r="S1226" i="1"/>
  <c r="S1227" i="1"/>
  <c r="S1228" i="1"/>
  <c r="S1229" i="1"/>
  <c r="S1230" i="1"/>
  <c r="S1231" i="1"/>
  <c r="S1232" i="1"/>
  <c r="S1233" i="1"/>
  <c r="S1234" i="1"/>
  <c r="S1235" i="1"/>
  <c r="S1236" i="1"/>
  <c r="S1237" i="1"/>
  <c r="S1238" i="1"/>
  <c r="S1239" i="1"/>
  <c r="S1240" i="1"/>
  <c r="S1241" i="1"/>
  <c r="S1242" i="1"/>
  <c r="S1243" i="1"/>
  <c r="S1244" i="1"/>
  <c r="S1245" i="1"/>
  <c r="S1246" i="1"/>
  <c r="S1247" i="1"/>
  <c r="S1248" i="1"/>
  <c r="S1249" i="1"/>
  <c r="S1250" i="1"/>
  <c r="S1251" i="1"/>
  <c r="S1252" i="1"/>
  <c r="S1253" i="1"/>
  <c r="S1254" i="1"/>
  <c r="S1255" i="1"/>
  <c r="S1256" i="1"/>
  <c r="S1257" i="1"/>
  <c r="S1258" i="1"/>
  <c r="S1259" i="1"/>
  <c r="S1260" i="1"/>
  <c r="S1261" i="1"/>
  <c r="S1262" i="1"/>
  <c r="S1263" i="1"/>
  <c r="S1264" i="1"/>
  <c r="S1265" i="1"/>
  <c r="S1266" i="1"/>
  <c r="S1267" i="1"/>
  <c r="S1268" i="1"/>
  <c r="S1269" i="1"/>
  <c r="S1270" i="1"/>
  <c r="S1271" i="1"/>
  <c r="S1272" i="1"/>
  <c r="S1273" i="1"/>
  <c r="S1274" i="1"/>
  <c r="S1275" i="1"/>
  <c r="S1276" i="1"/>
  <c r="S1277" i="1"/>
  <c r="S1278" i="1"/>
  <c r="S1279" i="1"/>
  <c r="S1280" i="1"/>
  <c r="S1281" i="1"/>
  <c r="S1282" i="1"/>
  <c r="S1283" i="1"/>
  <c r="S1284" i="1"/>
  <c r="S1285" i="1"/>
  <c r="S1286" i="1"/>
  <c r="S1287" i="1"/>
  <c r="S1288" i="1"/>
  <c r="S1289" i="1"/>
  <c r="S1290" i="1"/>
  <c r="S1291" i="1"/>
  <c r="S1292" i="1"/>
  <c r="S1293" i="1"/>
  <c r="S1294" i="1"/>
  <c r="S1295" i="1"/>
  <c r="S1296" i="1"/>
  <c r="S1297" i="1"/>
  <c r="S1298" i="1"/>
  <c r="S1299" i="1"/>
  <c r="S1300" i="1"/>
  <c r="S1301" i="1"/>
  <c r="S1302" i="1"/>
  <c r="S1303" i="1"/>
  <c r="S1304" i="1"/>
  <c r="S1305" i="1"/>
  <c r="S1306" i="1"/>
  <c r="S1307" i="1"/>
  <c r="S1308" i="1"/>
  <c r="S1309" i="1"/>
  <c r="S1310" i="1"/>
  <c r="S1311" i="1"/>
  <c r="S1312" i="1"/>
  <c r="S1313" i="1"/>
  <c r="S1314" i="1"/>
  <c r="S1315" i="1"/>
  <c r="S1316" i="1"/>
  <c r="S1317" i="1"/>
  <c r="S1318" i="1"/>
  <c r="S1319" i="1"/>
  <c r="S1320" i="1"/>
  <c r="S1321" i="1"/>
  <c r="S1322" i="1"/>
  <c r="S1323" i="1"/>
  <c r="S1324" i="1"/>
  <c r="S1325" i="1"/>
  <c r="S1326" i="1"/>
  <c r="S1327" i="1"/>
  <c r="S1328" i="1"/>
  <c r="S1329" i="1"/>
  <c r="S1330" i="1"/>
  <c r="S1331" i="1"/>
  <c r="S1332" i="1"/>
  <c r="S1333" i="1"/>
  <c r="S1334" i="1"/>
  <c r="S1335" i="1"/>
  <c r="S1336" i="1"/>
  <c r="S1337" i="1"/>
  <c r="S1338" i="1"/>
  <c r="S1339" i="1"/>
  <c r="S1340" i="1"/>
  <c r="S1341" i="1"/>
  <c r="S1342" i="1"/>
  <c r="S1343" i="1"/>
  <c r="S1344" i="1"/>
  <c r="S1345" i="1"/>
  <c r="S1346" i="1"/>
  <c r="S1347" i="1"/>
  <c r="S1348" i="1"/>
  <c r="S1349" i="1"/>
  <c r="S1350" i="1"/>
  <c r="S1351" i="1"/>
  <c r="S1352" i="1"/>
  <c r="S1353" i="1"/>
  <c r="S1354" i="1"/>
  <c r="S1355" i="1"/>
  <c r="S1356" i="1"/>
  <c r="S1357" i="1"/>
  <c r="S1358" i="1"/>
  <c r="S1359" i="1"/>
  <c r="S1360" i="1"/>
  <c r="S1361" i="1"/>
  <c r="S1362" i="1"/>
  <c r="S1363" i="1"/>
  <c r="S1364" i="1"/>
  <c r="S1365" i="1"/>
  <c r="S1366" i="1"/>
  <c r="S1367" i="1"/>
  <c r="S1368" i="1"/>
  <c r="S1369" i="1"/>
  <c r="S1370" i="1"/>
  <c r="S1371" i="1"/>
  <c r="S1372" i="1"/>
  <c r="S1373" i="1"/>
  <c r="S1374" i="1"/>
  <c r="S1375" i="1"/>
  <c r="S1376" i="1"/>
  <c r="S1377" i="1"/>
  <c r="S1378" i="1"/>
  <c r="S1379" i="1"/>
  <c r="S1380" i="1"/>
  <c r="S1381" i="1"/>
  <c r="S1382" i="1"/>
  <c r="S1383" i="1"/>
  <c r="S1384" i="1"/>
  <c r="S1385" i="1"/>
  <c r="S1386" i="1"/>
  <c r="S1387" i="1"/>
  <c r="S1388" i="1"/>
  <c r="S1389" i="1"/>
  <c r="S1390" i="1"/>
  <c r="S1391" i="1"/>
  <c r="S1392" i="1"/>
  <c r="S1393" i="1"/>
  <c r="S1394" i="1"/>
  <c r="S1395" i="1"/>
  <c r="S1396" i="1"/>
  <c r="S1397" i="1"/>
  <c r="S1398" i="1"/>
  <c r="S1399" i="1"/>
  <c r="S1400" i="1"/>
  <c r="S1401" i="1"/>
  <c r="S1402" i="1"/>
  <c r="S1403" i="1"/>
  <c r="S1404" i="1"/>
  <c r="S1405" i="1"/>
  <c r="S1406" i="1"/>
  <c r="S1407" i="1"/>
  <c r="S1408" i="1"/>
  <c r="S1409" i="1"/>
  <c r="S1410" i="1"/>
  <c r="S1411" i="1"/>
  <c r="S1412" i="1"/>
  <c r="S1413" i="1"/>
  <c r="S1414" i="1"/>
  <c r="S1415" i="1"/>
  <c r="S1416" i="1"/>
  <c r="S1417" i="1"/>
  <c r="S1418" i="1"/>
  <c r="S1419" i="1"/>
  <c r="S1420" i="1"/>
  <c r="S1421" i="1"/>
  <c r="S1422" i="1"/>
  <c r="S1423" i="1"/>
  <c r="S1424" i="1"/>
  <c r="S1425" i="1"/>
  <c r="S1426" i="1"/>
  <c r="S1427" i="1"/>
  <c r="S1428" i="1"/>
  <c r="S1429" i="1"/>
  <c r="S1430" i="1"/>
  <c r="S1431" i="1"/>
  <c r="S1432" i="1"/>
  <c r="S1433" i="1"/>
  <c r="S1434" i="1"/>
  <c r="S1435" i="1"/>
  <c r="S1436" i="1"/>
  <c r="S1437" i="1"/>
  <c r="S1438" i="1"/>
  <c r="S1439" i="1"/>
  <c r="S1440" i="1"/>
  <c r="S1441" i="1"/>
  <c r="S1442" i="1"/>
  <c r="S1443" i="1"/>
  <c r="S1444" i="1"/>
  <c r="S1445" i="1"/>
  <c r="S1446" i="1"/>
  <c r="S1447" i="1"/>
  <c r="S1448" i="1"/>
  <c r="S1449" i="1"/>
  <c r="S1450" i="1"/>
  <c r="S1451" i="1"/>
  <c r="S1452" i="1"/>
  <c r="S1453" i="1"/>
  <c r="S1454" i="1"/>
  <c r="S1455" i="1"/>
  <c r="S1456" i="1"/>
  <c r="S1457" i="1"/>
  <c r="S1458" i="1"/>
  <c r="S1459" i="1"/>
  <c r="S1460" i="1"/>
  <c r="S1461" i="1"/>
  <c r="S1462" i="1"/>
  <c r="S1463" i="1"/>
  <c r="S1464" i="1"/>
  <c r="S1465" i="1"/>
  <c r="S1466" i="1"/>
  <c r="S1467" i="1"/>
  <c r="S1468" i="1"/>
  <c r="S1469" i="1"/>
  <c r="S1470" i="1"/>
  <c r="S1471" i="1"/>
  <c r="S1472" i="1"/>
  <c r="S1473" i="1"/>
  <c r="S1474" i="1"/>
  <c r="S1475" i="1"/>
  <c r="S1476" i="1"/>
  <c r="S1477" i="1"/>
  <c r="S1478" i="1"/>
  <c r="S1479" i="1"/>
  <c r="S1480" i="1"/>
  <c r="S1481" i="1"/>
  <c r="S1482" i="1"/>
  <c r="S1483" i="1"/>
  <c r="S1484" i="1"/>
  <c r="S1485" i="1"/>
  <c r="S1486" i="1"/>
  <c r="S1487" i="1"/>
  <c r="S1488" i="1"/>
  <c r="S1489" i="1"/>
  <c r="S1490" i="1"/>
  <c r="S1491" i="1"/>
  <c r="S1492" i="1"/>
  <c r="S1493" i="1"/>
  <c r="S1494" i="1"/>
  <c r="S1495" i="1"/>
  <c r="S1496" i="1"/>
  <c r="S1497" i="1"/>
  <c r="S1498" i="1"/>
  <c r="S1499" i="1"/>
  <c r="S1500" i="1"/>
  <c r="S1501" i="1"/>
  <c r="S1502" i="1"/>
  <c r="S1503" i="1"/>
  <c r="S1504" i="1"/>
  <c r="S1505" i="1"/>
  <c r="S1506" i="1"/>
  <c r="S1507" i="1"/>
  <c r="S1508" i="1"/>
  <c r="S1509" i="1"/>
  <c r="S1510" i="1"/>
  <c r="S1511" i="1"/>
  <c r="S1512" i="1"/>
  <c r="S1513" i="1"/>
  <c r="S1514" i="1"/>
  <c r="S1515" i="1"/>
  <c r="S1516" i="1"/>
  <c r="S1517" i="1"/>
  <c r="S1518" i="1"/>
  <c r="S1519" i="1"/>
  <c r="S1520" i="1"/>
  <c r="S1521" i="1"/>
  <c r="S1522" i="1"/>
  <c r="S1523" i="1"/>
  <c r="S1524" i="1"/>
  <c r="S1525" i="1"/>
  <c r="S1526" i="1"/>
  <c r="S1527" i="1"/>
  <c r="S1528" i="1"/>
  <c r="S1529" i="1"/>
  <c r="S1530" i="1"/>
  <c r="S1531" i="1"/>
  <c r="S1532" i="1"/>
  <c r="S1533" i="1"/>
  <c r="S1534" i="1"/>
  <c r="S1535" i="1"/>
  <c r="S1536" i="1"/>
  <c r="S1537" i="1"/>
  <c r="S1538" i="1"/>
  <c r="S1539" i="1"/>
  <c r="S1540" i="1"/>
  <c r="S1541" i="1"/>
  <c r="S1542" i="1"/>
  <c r="S1543" i="1"/>
  <c r="S1544" i="1"/>
  <c r="S1545" i="1"/>
  <c r="S1546" i="1"/>
  <c r="S1547" i="1"/>
  <c r="S1548" i="1"/>
  <c r="S1549" i="1"/>
  <c r="S1550" i="1"/>
  <c r="S1551" i="1"/>
  <c r="S1552" i="1"/>
  <c r="S1553" i="1"/>
  <c r="S1554" i="1"/>
  <c r="S1555" i="1"/>
  <c r="S1556" i="1"/>
  <c r="S1557" i="1"/>
  <c r="S1558" i="1"/>
  <c r="S1559" i="1"/>
  <c r="S1560" i="1"/>
  <c r="S1561" i="1"/>
  <c r="S1562" i="1"/>
  <c r="S1563" i="1"/>
  <c r="S1564" i="1"/>
  <c r="S1565" i="1"/>
  <c r="S1566" i="1"/>
  <c r="S1567" i="1"/>
  <c r="S1568" i="1"/>
  <c r="S1569" i="1"/>
  <c r="S1570" i="1"/>
  <c r="S1571" i="1"/>
  <c r="S1572" i="1"/>
  <c r="S1573" i="1"/>
  <c r="S1574" i="1"/>
  <c r="S1575" i="1"/>
  <c r="S1576" i="1"/>
  <c r="S1577" i="1"/>
  <c r="S1578" i="1"/>
  <c r="S1579" i="1"/>
  <c r="S1580" i="1"/>
  <c r="S1581" i="1"/>
  <c r="S1582" i="1"/>
  <c r="S1583" i="1"/>
  <c r="S1584" i="1"/>
  <c r="S1585" i="1"/>
  <c r="S1586" i="1"/>
  <c r="S1587" i="1"/>
  <c r="S1588" i="1"/>
  <c r="S1589" i="1"/>
  <c r="S1590" i="1"/>
  <c r="S1591" i="1"/>
  <c r="S1592" i="1"/>
  <c r="S1593" i="1"/>
  <c r="S1594" i="1"/>
  <c r="S1595" i="1"/>
  <c r="S1596" i="1"/>
  <c r="S1597" i="1"/>
  <c r="S1598" i="1"/>
  <c r="S1599" i="1"/>
  <c r="S1600" i="1"/>
  <c r="S1601" i="1"/>
  <c r="S1602" i="1"/>
  <c r="S1603" i="1"/>
  <c r="S1604" i="1"/>
  <c r="S1605" i="1"/>
  <c r="S1606" i="1"/>
  <c r="S1607" i="1"/>
  <c r="S1608" i="1"/>
  <c r="S1609" i="1"/>
  <c r="S1610" i="1"/>
  <c r="S1611" i="1"/>
  <c r="S1612" i="1"/>
  <c r="S1613" i="1"/>
  <c r="S1614" i="1"/>
  <c r="S1615" i="1"/>
  <c r="S1616" i="1"/>
  <c r="S1617" i="1"/>
  <c r="S1618" i="1"/>
  <c r="S1619" i="1"/>
  <c r="S1620" i="1"/>
  <c r="S1621" i="1"/>
  <c r="S1622" i="1"/>
  <c r="S1623" i="1"/>
  <c r="S1624" i="1"/>
  <c r="S1625" i="1"/>
  <c r="S1626" i="1"/>
  <c r="S1627" i="1"/>
  <c r="S1628" i="1"/>
  <c r="S1629" i="1"/>
  <c r="S1630" i="1"/>
  <c r="S1631" i="1"/>
  <c r="S1632" i="1"/>
  <c r="S1633" i="1"/>
  <c r="S1634" i="1"/>
  <c r="S1635" i="1"/>
  <c r="S1636" i="1"/>
  <c r="S1637" i="1"/>
  <c r="S1638" i="1"/>
  <c r="S1639" i="1"/>
  <c r="S1640" i="1"/>
  <c r="S1641" i="1"/>
  <c r="S1642" i="1"/>
  <c r="S1643" i="1"/>
  <c r="S1644" i="1"/>
  <c r="S1645" i="1"/>
  <c r="S1646" i="1"/>
  <c r="S1647" i="1"/>
  <c r="S1648" i="1"/>
  <c r="S1649" i="1"/>
  <c r="S1650" i="1"/>
  <c r="S1651" i="1"/>
  <c r="S1652" i="1"/>
  <c r="S1653" i="1"/>
  <c r="S1654" i="1"/>
  <c r="S1655" i="1"/>
  <c r="S1656" i="1"/>
  <c r="S1657" i="1"/>
  <c r="S1658" i="1"/>
  <c r="S1659" i="1"/>
  <c r="S1660" i="1"/>
  <c r="S1661" i="1"/>
  <c r="S1662" i="1"/>
  <c r="S1663" i="1"/>
  <c r="S1664" i="1"/>
  <c r="S1665" i="1"/>
  <c r="S1666" i="1"/>
  <c r="S1667" i="1"/>
  <c r="S1668" i="1"/>
  <c r="S1669" i="1"/>
  <c r="S1670" i="1"/>
  <c r="S1671" i="1"/>
  <c r="S1672" i="1"/>
  <c r="S1673" i="1"/>
  <c r="S1674" i="1"/>
  <c r="S1675" i="1"/>
  <c r="S1676" i="1"/>
  <c r="S1677" i="1"/>
  <c r="S1678" i="1"/>
  <c r="S1679" i="1"/>
  <c r="S1680" i="1"/>
  <c r="S1681" i="1"/>
  <c r="S1682" i="1"/>
  <c r="S1683" i="1"/>
  <c r="S1684" i="1"/>
  <c r="S1685" i="1"/>
  <c r="S1686" i="1"/>
  <c r="S1687" i="1"/>
  <c r="S1688" i="1"/>
  <c r="S1689" i="1"/>
  <c r="S1690" i="1"/>
  <c r="S1691" i="1"/>
  <c r="S1692" i="1"/>
  <c r="S1693" i="1"/>
  <c r="S1694" i="1"/>
  <c r="S1695" i="1"/>
  <c r="S1696" i="1"/>
  <c r="S1697" i="1"/>
  <c r="S1698" i="1"/>
  <c r="S1699" i="1"/>
  <c r="S1700" i="1"/>
  <c r="S1701" i="1"/>
  <c r="S1702" i="1"/>
  <c r="S1703" i="1"/>
  <c r="S1704" i="1"/>
  <c r="S1705" i="1"/>
  <c r="S1706" i="1"/>
  <c r="S1707" i="1"/>
  <c r="S1708" i="1"/>
  <c r="S1709" i="1"/>
  <c r="S1710" i="1"/>
  <c r="S1711" i="1"/>
  <c r="S1712" i="1"/>
  <c r="S1713" i="1"/>
  <c r="S1714" i="1"/>
  <c r="S1715" i="1"/>
  <c r="S1716" i="1"/>
  <c r="S1717" i="1"/>
  <c r="S1718" i="1"/>
  <c r="S1719" i="1"/>
  <c r="S1720" i="1"/>
  <c r="S1721" i="1"/>
  <c r="S1722" i="1"/>
  <c r="S1723" i="1"/>
  <c r="S1724" i="1"/>
  <c r="S1725" i="1"/>
  <c r="S1726" i="1"/>
  <c r="S1727" i="1"/>
  <c r="S1728" i="1"/>
  <c r="S1729" i="1"/>
  <c r="S1730" i="1"/>
  <c r="S1731" i="1"/>
  <c r="S1732" i="1"/>
  <c r="S1733" i="1"/>
  <c r="S1734" i="1"/>
  <c r="S1735" i="1"/>
  <c r="S1736" i="1"/>
  <c r="S1737" i="1"/>
  <c r="S1738" i="1"/>
  <c r="S1739" i="1"/>
  <c r="S1740" i="1"/>
  <c r="S1741" i="1"/>
  <c r="S1742" i="1"/>
  <c r="S1743" i="1"/>
  <c r="S1744" i="1"/>
  <c r="S1745" i="1"/>
  <c r="S1746" i="1"/>
  <c r="S1747" i="1"/>
  <c r="S1748" i="1"/>
  <c r="S1749" i="1"/>
  <c r="S1750" i="1"/>
  <c r="S1751" i="1"/>
  <c r="S1752" i="1"/>
  <c r="S1753" i="1"/>
  <c r="S1754" i="1"/>
  <c r="S1755" i="1"/>
  <c r="S1756" i="1"/>
  <c r="S1757" i="1"/>
  <c r="S1758" i="1"/>
  <c r="S1759" i="1"/>
  <c r="S1760" i="1"/>
  <c r="S1761" i="1"/>
  <c r="S1762" i="1"/>
  <c r="S1763" i="1"/>
  <c r="S1764" i="1"/>
  <c r="S1765" i="1"/>
  <c r="S1766" i="1"/>
  <c r="S1767" i="1"/>
  <c r="S1768" i="1"/>
  <c r="S1769" i="1"/>
  <c r="S1770" i="1"/>
  <c r="S1771" i="1"/>
  <c r="S1772" i="1"/>
  <c r="S1773" i="1"/>
  <c r="S1774" i="1"/>
  <c r="S1775" i="1"/>
  <c r="S1776" i="1"/>
  <c r="S1777" i="1"/>
  <c r="S1778" i="1"/>
  <c r="S1779" i="1"/>
  <c r="S1780" i="1"/>
  <c r="S1781" i="1"/>
  <c r="S1782" i="1"/>
  <c r="S1783" i="1"/>
  <c r="S1784" i="1"/>
  <c r="S1785" i="1"/>
  <c r="S1786" i="1"/>
  <c r="S1787" i="1"/>
  <c r="S1788" i="1"/>
  <c r="S1789" i="1"/>
  <c r="S1790" i="1"/>
  <c r="S1791" i="1"/>
  <c r="S1792" i="1"/>
  <c r="S1793" i="1"/>
  <c r="S1794" i="1"/>
  <c r="S1795" i="1"/>
  <c r="S1796" i="1"/>
  <c r="S1797" i="1"/>
  <c r="S1798" i="1"/>
  <c r="S1799" i="1"/>
  <c r="S1800" i="1"/>
  <c r="S1801" i="1"/>
  <c r="S1802" i="1"/>
  <c r="S1803" i="1"/>
  <c r="S1804" i="1"/>
  <c r="S1805" i="1"/>
  <c r="S1806" i="1"/>
  <c r="S1807" i="1"/>
  <c r="S1808" i="1"/>
  <c r="S1809" i="1"/>
  <c r="S1810" i="1"/>
  <c r="S1811" i="1"/>
  <c r="S1812" i="1"/>
  <c r="S1813" i="1"/>
  <c r="S1814" i="1"/>
  <c r="S1815" i="1"/>
  <c r="S1816" i="1"/>
  <c r="S1817" i="1"/>
  <c r="S1818" i="1"/>
  <c r="S1819" i="1"/>
  <c r="S1820" i="1"/>
  <c r="S1821" i="1"/>
  <c r="S1822" i="1"/>
  <c r="S1823" i="1"/>
  <c r="S1824" i="1"/>
  <c r="S1825" i="1"/>
  <c r="S1826" i="1"/>
  <c r="S1827" i="1"/>
  <c r="S1828" i="1"/>
  <c r="S1829" i="1"/>
  <c r="S1830" i="1"/>
  <c r="S1831" i="1"/>
  <c r="S1832" i="1"/>
  <c r="S1833" i="1"/>
  <c r="S1834" i="1"/>
  <c r="S1835" i="1"/>
  <c r="S1836" i="1"/>
  <c r="S1837" i="1"/>
  <c r="S1838" i="1"/>
  <c r="S1839" i="1"/>
  <c r="S1840" i="1"/>
  <c r="S1841" i="1"/>
  <c r="S1842" i="1"/>
  <c r="S1843" i="1"/>
  <c r="S1844" i="1"/>
  <c r="S1845" i="1"/>
  <c r="S1846" i="1"/>
  <c r="S1847" i="1"/>
  <c r="S1848" i="1"/>
  <c r="S1849" i="1"/>
  <c r="S1850" i="1"/>
  <c r="S1851" i="1"/>
  <c r="S1852" i="1"/>
  <c r="S1853" i="1"/>
  <c r="S1854" i="1"/>
  <c r="S1855" i="1"/>
  <c r="S1856" i="1"/>
  <c r="S1857" i="1"/>
  <c r="S1858" i="1"/>
  <c r="S1859" i="1"/>
  <c r="S1860" i="1"/>
  <c r="S1861" i="1"/>
  <c r="S1862" i="1"/>
  <c r="S1863" i="1"/>
  <c r="S1864" i="1"/>
  <c r="S1865" i="1"/>
  <c r="S1866" i="1"/>
  <c r="S1867" i="1"/>
  <c r="S1868" i="1"/>
  <c r="S1869" i="1"/>
  <c r="S1870" i="1"/>
  <c r="S1871" i="1"/>
  <c r="S1872" i="1"/>
  <c r="S1873" i="1"/>
  <c r="S1874" i="1"/>
  <c r="S1875" i="1"/>
  <c r="S1876" i="1"/>
  <c r="S1877" i="1"/>
  <c r="S1878" i="1"/>
  <c r="S1879" i="1"/>
  <c r="S1880" i="1"/>
  <c r="S1881" i="1"/>
  <c r="S1882" i="1"/>
  <c r="S1883" i="1"/>
  <c r="S1884" i="1"/>
  <c r="S1885" i="1"/>
  <c r="S1886" i="1"/>
  <c r="S1887" i="1"/>
  <c r="S1888" i="1"/>
  <c r="S1889" i="1"/>
  <c r="S1890" i="1"/>
  <c r="S1891" i="1"/>
  <c r="S1892" i="1"/>
  <c r="S1893" i="1"/>
  <c r="S1894" i="1"/>
  <c r="S1895" i="1"/>
  <c r="S1896" i="1"/>
  <c r="S1897" i="1"/>
  <c r="S1898" i="1"/>
  <c r="S1899" i="1"/>
  <c r="S1900" i="1"/>
  <c r="S1901" i="1"/>
  <c r="S1902" i="1"/>
  <c r="S1903" i="1"/>
  <c r="S1904" i="1"/>
  <c r="S1905" i="1"/>
  <c r="S1906" i="1"/>
  <c r="S1907" i="1"/>
  <c r="S1908" i="1"/>
  <c r="S1909" i="1"/>
  <c r="S1910" i="1"/>
  <c r="S1911" i="1"/>
  <c r="S1912" i="1"/>
  <c r="S1913" i="1"/>
  <c r="S1914" i="1"/>
  <c r="S1915" i="1"/>
  <c r="S1916" i="1"/>
  <c r="S1917" i="1"/>
  <c r="S1918" i="1"/>
  <c r="S1919" i="1"/>
  <c r="S1920" i="1"/>
  <c r="S1921" i="1"/>
  <c r="S1922" i="1"/>
  <c r="S1923" i="1"/>
  <c r="S1924" i="1"/>
  <c r="S1925" i="1"/>
  <c r="S1926" i="1"/>
  <c r="S1927" i="1"/>
  <c r="S1928" i="1"/>
  <c r="S1929" i="1"/>
  <c r="S1930" i="1"/>
  <c r="S1931" i="1"/>
  <c r="S1932" i="1"/>
  <c r="S1933" i="1"/>
  <c r="S1934" i="1"/>
  <c r="S1935" i="1"/>
  <c r="S1936" i="1"/>
  <c r="S1937" i="1"/>
  <c r="S1938" i="1"/>
  <c r="S1939" i="1"/>
  <c r="S1940" i="1"/>
  <c r="S1941" i="1"/>
  <c r="S1942" i="1"/>
  <c r="S1943" i="1"/>
  <c r="S1944" i="1"/>
  <c r="S1945" i="1"/>
  <c r="S1946" i="1"/>
  <c r="S1947" i="1"/>
  <c r="S1948" i="1"/>
  <c r="S1949" i="1"/>
  <c r="S1950" i="1"/>
  <c r="S1951" i="1"/>
  <c r="S1952" i="1"/>
  <c r="S1953" i="1"/>
  <c r="S1954" i="1"/>
  <c r="S1955" i="1"/>
  <c r="S1956" i="1"/>
  <c r="S1957" i="1"/>
  <c r="S1958" i="1"/>
  <c r="S1959" i="1"/>
  <c r="S1960" i="1"/>
  <c r="S1961" i="1"/>
  <c r="S1962" i="1"/>
  <c r="S1963" i="1"/>
  <c r="S1964" i="1"/>
  <c r="S1965" i="1"/>
  <c r="S1966" i="1"/>
  <c r="S1967" i="1"/>
  <c r="S1968" i="1"/>
  <c r="S1969" i="1"/>
  <c r="S1970" i="1"/>
  <c r="S1971" i="1"/>
  <c r="S1972" i="1"/>
  <c r="S1973" i="1"/>
  <c r="S1974" i="1"/>
  <c r="S1975" i="1"/>
  <c r="S1976" i="1"/>
  <c r="S1977" i="1"/>
  <c r="S1978" i="1"/>
  <c r="S1979" i="1"/>
  <c r="S1980" i="1"/>
  <c r="S1981" i="1"/>
  <c r="S1982" i="1"/>
  <c r="S1983" i="1"/>
  <c r="S1984" i="1"/>
  <c r="S1985" i="1"/>
  <c r="S1986" i="1"/>
  <c r="S1987" i="1"/>
  <c r="S1988" i="1"/>
  <c r="S1989" i="1"/>
  <c r="S1990" i="1"/>
  <c r="S1991" i="1"/>
  <c r="S1992" i="1"/>
  <c r="S1993" i="1"/>
  <c r="S1994" i="1"/>
  <c r="S1995" i="1"/>
  <c r="S1996" i="1"/>
  <c r="S1997" i="1"/>
  <c r="S1998" i="1"/>
  <c r="S1999" i="1"/>
  <c r="S2000" i="1"/>
  <c r="S2001" i="1"/>
  <c r="S2002" i="1"/>
  <c r="S2003" i="1"/>
  <c r="S2004" i="1"/>
  <c r="S2005" i="1"/>
  <c r="S2006" i="1"/>
  <c r="S2007" i="1"/>
  <c r="S2008" i="1"/>
  <c r="S2009" i="1"/>
  <c r="S2010" i="1"/>
  <c r="S2011" i="1"/>
  <c r="S2012" i="1"/>
  <c r="S2013" i="1"/>
  <c r="S2014" i="1"/>
  <c r="S2015" i="1"/>
  <c r="S2016" i="1"/>
  <c r="S2017" i="1"/>
  <c r="S2018" i="1"/>
  <c r="S2019" i="1"/>
  <c r="S2020" i="1"/>
  <c r="S2021" i="1"/>
  <c r="S2022" i="1"/>
  <c r="S2023" i="1"/>
  <c r="S2024" i="1"/>
  <c r="S2025" i="1"/>
  <c r="S2026" i="1"/>
  <c r="S2027" i="1"/>
  <c r="S2028" i="1"/>
  <c r="S2029" i="1"/>
  <c r="S2030" i="1"/>
  <c r="S2031" i="1"/>
  <c r="S2032" i="1"/>
  <c r="S2033" i="1"/>
  <c r="S2034" i="1"/>
  <c r="S2035" i="1"/>
  <c r="S2036" i="1"/>
  <c r="S2037" i="1"/>
  <c r="S2038" i="1"/>
  <c r="S2039" i="1"/>
  <c r="S2040" i="1"/>
  <c r="S2041" i="1"/>
  <c r="S2042" i="1"/>
  <c r="S2043" i="1"/>
  <c r="S2044" i="1"/>
  <c r="S2045" i="1"/>
  <c r="S2046" i="1"/>
  <c r="S2047" i="1"/>
  <c r="S2048" i="1"/>
  <c r="S2049" i="1"/>
  <c r="S2050" i="1"/>
  <c r="S2051" i="1"/>
  <c r="S2052" i="1"/>
  <c r="S2053" i="1"/>
  <c r="S2054" i="1"/>
  <c r="S2055" i="1"/>
  <c r="S2056" i="1"/>
  <c r="S2057" i="1"/>
  <c r="S2058" i="1"/>
  <c r="S2059" i="1"/>
  <c r="S2060" i="1"/>
  <c r="S2061" i="1"/>
  <c r="S2062" i="1"/>
  <c r="S2063" i="1"/>
  <c r="S2064" i="1"/>
  <c r="S2065" i="1"/>
  <c r="S2066" i="1"/>
  <c r="S2067" i="1"/>
  <c r="S2068" i="1"/>
  <c r="S2069" i="1"/>
  <c r="S2070" i="1"/>
  <c r="S2071" i="1"/>
  <c r="S2072" i="1"/>
  <c r="S2073" i="1"/>
  <c r="S2074" i="1"/>
  <c r="S2075" i="1"/>
  <c r="S2076" i="1"/>
  <c r="S2077" i="1"/>
  <c r="S2078" i="1"/>
  <c r="S2079" i="1"/>
  <c r="S2080" i="1"/>
  <c r="S2081" i="1"/>
  <c r="S2082" i="1"/>
  <c r="S2083" i="1"/>
  <c r="S2084" i="1"/>
  <c r="S2085" i="1"/>
  <c r="S2086" i="1"/>
  <c r="S2087" i="1"/>
  <c r="S2088" i="1"/>
  <c r="S2089" i="1"/>
  <c r="S2090" i="1"/>
  <c r="S2091" i="1"/>
  <c r="S2092" i="1"/>
  <c r="S2093" i="1"/>
  <c r="S2094" i="1"/>
  <c r="S2095" i="1"/>
  <c r="S2096" i="1"/>
  <c r="S2097" i="1"/>
  <c r="S2098" i="1"/>
  <c r="S2099" i="1"/>
  <c r="S2100" i="1"/>
  <c r="S2101" i="1"/>
  <c r="S2102" i="1"/>
  <c r="S2103" i="1"/>
  <c r="S2104" i="1"/>
  <c r="S2105" i="1"/>
  <c r="S2106" i="1"/>
  <c r="S2107" i="1"/>
  <c r="S2108" i="1"/>
  <c r="S2109" i="1"/>
  <c r="S2110" i="1"/>
  <c r="S2111" i="1"/>
  <c r="S2112" i="1"/>
  <c r="S2113" i="1"/>
  <c r="S2114" i="1"/>
  <c r="S2115" i="1"/>
  <c r="S2116" i="1"/>
  <c r="S2117" i="1"/>
  <c r="S2118" i="1"/>
  <c r="S2119" i="1"/>
  <c r="S2120" i="1"/>
  <c r="S2121" i="1"/>
  <c r="S2122" i="1"/>
  <c r="S2123" i="1"/>
  <c r="S2124" i="1"/>
  <c r="S2125" i="1"/>
  <c r="S2126" i="1"/>
  <c r="S2127" i="1"/>
  <c r="S2128" i="1"/>
  <c r="S2129" i="1"/>
  <c r="S2130" i="1"/>
  <c r="S2131" i="1"/>
  <c r="S2132" i="1"/>
  <c r="S2133" i="1"/>
  <c r="S2134" i="1"/>
  <c r="S2135" i="1"/>
  <c r="S2136" i="1"/>
  <c r="S2137" i="1"/>
  <c r="S2138" i="1"/>
  <c r="S2139" i="1"/>
  <c r="S2140" i="1"/>
  <c r="S2141" i="1"/>
  <c r="S2142" i="1"/>
  <c r="S2143" i="1"/>
  <c r="S2144" i="1"/>
  <c r="S2145" i="1"/>
  <c r="S2146" i="1"/>
  <c r="S2147" i="1"/>
  <c r="S2148" i="1"/>
  <c r="S2149" i="1"/>
  <c r="S2150" i="1"/>
  <c r="S2151" i="1"/>
  <c r="S2152" i="1"/>
  <c r="S2153" i="1"/>
  <c r="S2154" i="1"/>
  <c r="S2155" i="1"/>
  <c r="S2156" i="1"/>
  <c r="S2157" i="1"/>
  <c r="S2158" i="1"/>
  <c r="S2159" i="1"/>
  <c r="S2160" i="1"/>
  <c r="S2161" i="1"/>
  <c r="S2162" i="1"/>
  <c r="S2163" i="1"/>
  <c r="S2164" i="1"/>
  <c r="S2165" i="1"/>
  <c r="S2166" i="1"/>
  <c r="S2167" i="1"/>
  <c r="S2168" i="1"/>
  <c r="S2169" i="1"/>
  <c r="S2170" i="1"/>
  <c r="S2171" i="1"/>
  <c r="S2172" i="1"/>
  <c r="S2173" i="1"/>
  <c r="S2174" i="1"/>
  <c r="S2175" i="1"/>
  <c r="S2176" i="1"/>
  <c r="S2177" i="1"/>
  <c r="S2178" i="1"/>
  <c r="S2179" i="1"/>
  <c r="S2180" i="1"/>
  <c r="S2181" i="1"/>
  <c r="S2182" i="1"/>
  <c r="S2183" i="1"/>
  <c r="S2184" i="1"/>
  <c r="S2185" i="1"/>
  <c r="S2186" i="1"/>
  <c r="S2187" i="1"/>
  <c r="S2188" i="1"/>
  <c r="S2189" i="1"/>
  <c r="S2190" i="1"/>
  <c r="S2191" i="1"/>
  <c r="S2192" i="1"/>
  <c r="S2193" i="1"/>
  <c r="S2194" i="1"/>
  <c r="S2195" i="1"/>
  <c r="S2196" i="1"/>
  <c r="S2197" i="1"/>
  <c r="S2198" i="1"/>
  <c r="S2199" i="1"/>
  <c r="S2200" i="1"/>
  <c r="S2201" i="1"/>
  <c r="S2202" i="1"/>
  <c r="S2203" i="1"/>
  <c r="S2204" i="1"/>
  <c r="S2205" i="1"/>
  <c r="S2206" i="1"/>
  <c r="S2207" i="1"/>
  <c r="S2208" i="1"/>
  <c r="S2209" i="1"/>
  <c r="S2210" i="1"/>
  <c r="S2211" i="1"/>
  <c r="S2212" i="1"/>
  <c r="S2213" i="1"/>
  <c r="S2214" i="1"/>
  <c r="S2215" i="1"/>
  <c r="S2216" i="1"/>
  <c r="S2217" i="1"/>
  <c r="S2218" i="1"/>
  <c r="S2219" i="1"/>
  <c r="S2220" i="1"/>
  <c r="S2221" i="1"/>
  <c r="S2222" i="1"/>
  <c r="S2223" i="1"/>
  <c r="S2224" i="1"/>
  <c r="S2225" i="1"/>
  <c r="S2226" i="1"/>
  <c r="S2227" i="1"/>
  <c r="S2228" i="1"/>
  <c r="S2229" i="1"/>
  <c r="S2230" i="1"/>
  <c r="S2231" i="1"/>
  <c r="S2232" i="1"/>
  <c r="S2233" i="1"/>
  <c r="S2234" i="1"/>
  <c r="S2235" i="1"/>
  <c r="S2236" i="1"/>
  <c r="S2237" i="1"/>
  <c r="S2238" i="1"/>
  <c r="S2239" i="1"/>
  <c r="S2240" i="1"/>
  <c r="S2241" i="1"/>
  <c r="S2242" i="1"/>
  <c r="S2243" i="1"/>
  <c r="S2244" i="1"/>
  <c r="S2245" i="1"/>
  <c r="S2246" i="1"/>
  <c r="S2247" i="1"/>
  <c r="S2248" i="1"/>
  <c r="S2249" i="1"/>
  <c r="S2250" i="1"/>
  <c r="S2251" i="1"/>
  <c r="S2252" i="1"/>
  <c r="S2253" i="1"/>
  <c r="S2254" i="1"/>
  <c r="S2255" i="1"/>
  <c r="S2256" i="1"/>
  <c r="S2257" i="1"/>
  <c r="S2258" i="1"/>
  <c r="S2259" i="1"/>
  <c r="S2260" i="1"/>
  <c r="S2261" i="1"/>
  <c r="S2262" i="1"/>
  <c r="S2263" i="1"/>
  <c r="S2264" i="1"/>
  <c r="S2265" i="1"/>
  <c r="S2266" i="1"/>
  <c r="S2267" i="1"/>
  <c r="S2268" i="1"/>
  <c r="S2269" i="1"/>
  <c r="S2270" i="1"/>
  <c r="S2271" i="1"/>
  <c r="S2272" i="1"/>
  <c r="S2273" i="1"/>
  <c r="S2274" i="1"/>
  <c r="S2275" i="1"/>
  <c r="S2276" i="1"/>
  <c r="S2277" i="1"/>
  <c r="S2278" i="1"/>
  <c r="S2279" i="1"/>
  <c r="S2280" i="1"/>
  <c r="S2281" i="1"/>
  <c r="S2282" i="1"/>
  <c r="S2283" i="1"/>
  <c r="S2284" i="1"/>
  <c r="S2285" i="1"/>
  <c r="S2286" i="1"/>
  <c r="S2287" i="1"/>
  <c r="S2288" i="1"/>
  <c r="S2289" i="1"/>
  <c r="S2290" i="1"/>
  <c r="S2291" i="1"/>
  <c r="S2292" i="1"/>
  <c r="S2293" i="1"/>
  <c r="S2294" i="1"/>
  <c r="S2295" i="1"/>
  <c r="S2296" i="1"/>
  <c r="S2297" i="1"/>
  <c r="S2298" i="1"/>
  <c r="S2299" i="1"/>
  <c r="S2300" i="1"/>
  <c r="S2301" i="1"/>
  <c r="S2302" i="1"/>
  <c r="S2303" i="1"/>
  <c r="S2304" i="1"/>
  <c r="S2305" i="1"/>
  <c r="S2306" i="1"/>
  <c r="S2307" i="1"/>
  <c r="S2308" i="1"/>
  <c r="S2309" i="1"/>
  <c r="S2310" i="1"/>
  <c r="S2311" i="1"/>
  <c r="S2312" i="1"/>
  <c r="S2313" i="1"/>
  <c r="S2314" i="1"/>
  <c r="S2315" i="1"/>
  <c r="S2316" i="1"/>
  <c r="S2317" i="1"/>
  <c r="S2318" i="1"/>
  <c r="S2319" i="1"/>
  <c r="S2320" i="1"/>
  <c r="S2321" i="1"/>
  <c r="S2322" i="1"/>
  <c r="S2323" i="1"/>
  <c r="S2324" i="1"/>
  <c r="S2325" i="1"/>
  <c r="S2326" i="1"/>
  <c r="S2327" i="1"/>
  <c r="S2328" i="1"/>
  <c r="S2329" i="1"/>
  <c r="S2330" i="1"/>
  <c r="S2331" i="1"/>
  <c r="S2332" i="1"/>
  <c r="S2333" i="1"/>
  <c r="S2334" i="1"/>
  <c r="S2335" i="1"/>
  <c r="S2336" i="1"/>
  <c r="S2337" i="1"/>
  <c r="S2338" i="1"/>
  <c r="S2339" i="1"/>
  <c r="S2340" i="1"/>
  <c r="S2341" i="1"/>
  <c r="S2342" i="1"/>
  <c r="S2343" i="1"/>
  <c r="S2344" i="1"/>
  <c r="S2345" i="1"/>
  <c r="S2346" i="1"/>
  <c r="S2347" i="1"/>
  <c r="S2348" i="1"/>
  <c r="S2349" i="1"/>
  <c r="S2350" i="1"/>
  <c r="S2351" i="1"/>
  <c r="S2352" i="1"/>
  <c r="S2353" i="1"/>
  <c r="S2354" i="1"/>
  <c r="S2355" i="1"/>
  <c r="S2356" i="1"/>
  <c r="S2357" i="1"/>
  <c r="S2358" i="1"/>
  <c r="S2359" i="1"/>
  <c r="S2360" i="1"/>
  <c r="S2361" i="1"/>
  <c r="S2362" i="1"/>
  <c r="S2363" i="1"/>
  <c r="S2364" i="1"/>
  <c r="S2365" i="1"/>
  <c r="S2366" i="1"/>
  <c r="S2367" i="1"/>
  <c r="S2368" i="1"/>
  <c r="S2369" i="1"/>
  <c r="S2370" i="1"/>
  <c r="S2371" i="1"/>
  <c r="S2372" i="1"/>
  <c r="S2373" i="1"/>
  <c r="S2374" i="1"/>
  <c r="S2375" i="1"/>
  <c r="S2376" i="1"/>
  <c r="S2377" i="1"/>
  <c r="S2378" i="1"/>
  <c r="S2379" i="1"/>
  <c r="S2380" i="1"/>
  <c r="S2381" i="1"/>
  <c r="S2382" i="1"/>
  <c r="S2383" i="1"/>
  <c r="S2384" i="1"/>
  <c r="S2385" i="1"/>
  <c r="S2386" i="1"/>
  <c r="S2387" i="1"/>
  <c r="S2388" i="1"/>
  <c r="S2389" i="1"/>
  <c r="S2390" i="1"/>
  <c r="S2391" i="1"/>
  <c r="S2392" i="1"/>
  <c r="S2393" i="1"/>
  <c r="S2394" i="1"/>
  <c r="S2395" i="1"/>
  <c r="S2396" i="1"/>
  <c r="S2397" i="1"/>
  <c r="S2398" i="1"/>
  <c r="S2399" i="1"/>
  <c r="S2400" i="1"/>
  <c r="S2401" i="1"/>
  <c r="S2402" i="1"/>
  <c r="S2403" i="1"/>
  <c r="S2404" i="1"/>
  <c r="S2405" i="1"/>
  <c r="S2406" i="1"/>
  <c r="S2407" i="1"/>
  <c r="S2408" i="1"/>
  <c r="S2409" i="1"/>
  <c r="S2410" i="1"/>
  <c r="S2411" i="1"/>
  <c r="S2412" i="1"/>
  <c r="S2413" i="1"/>
  <c r="S2414" i="1"/>
  <c r="S2415" i="1"/>
  <c r="S2416" i="1"/>
  <c r="S2417" i="1"/>
  <c r="S2418" i="1"/>
  <c r="S2419" i="1"/>
  <c r="S2420" i="1"/>
  <c r="S2421" i="1"/>
  <c r="S2422" i="1"/>
  <c r="S2423" i="1"/>
  <c r="S2424" i="1"/>
  <c r="S2425" i="1"/>
  <c r="S2426" i="1"/>
  <c r="S2427" i="1"/>
  <c r="S2428" i="1"/>
  <c r="S2429" i="1"/>
  <c r="S2430" i="1"/>
  <c r="S2431" i="1"/>
  <c r="S2432" i="1"/>
  <c r="S2433" i="1"/>
  <c r="S2434" i="1"/>
  <c r="S2435" i="1"/>
  <c r="S2436" i="1"/>
  <c r="S2437" i="1"/>
  <c r="S2438" i="1"/>
  <c r="S2439" i="1"/>
  <c r="S2440" i="1"/>
  <c r="S2441" i="1"/>
  <c r="S2442" i="1"/>
  <c r="S2443" i="1"/>
  <c r="S2444" i="1"/>
  <c r="S2445" i="1"/>
  <c r="S2446" i="1"/>
  <c r="S2447" i="1"/>
  <c r="S2448" i="1"/>
  <c r="S2449" i="1"/>
  <c r="S2450" i="1"/>
  <c r="S2451" i="1"/>
  <c r="S2452" i="1"/>
  <c r="S2453" i="1"/>
  <c r="S2454" i="1"/>
  <c r="S2455" i="1"/>
  <c r="S2456" i="1"/>
  <c r="S2457" i="1"/>
  <c r="S2458" i="1"/>
  <c r="S2459" i="1"/>
  <c r="S2460" i="1"/>
  <c r="S2461" i="1"/>
  <c r="S2462" i="1"/>
  <c r="S2463" i="1"/>
  <c r="S2464" i="1"/>
  <c r="S2465" i="1"/>
  <c r="S2466" i="1"/>
  <c r="S2467" i="1"/>
  <c r="S2468" i="1"/>
  <c r="S2469" i="1"/>
  <c r="S2470" i="1"/>
  <c r="S2471" i="1"/>
  <c r="S2472" i="1"/>
  <c r="S2473" i="1"/>
  <c r="S2474" i="1"/>
  <c r="S2475" i="1"/>
  <c r="S2476" i="1"/>
  <c r="S2477" i="1"/>
  <c r="S2478" i="1"/>
  <c r="S2479" i="1"/>
  <c r="S2480" i="1"/>
  <c r="S2481" i="1"/>
  <c r="S2482" i="1"/>
  <c r="S2483" i="1"/>
  <c r="S2484" i="1"/>
  <c r="S2485" i="1"/>
  <c r="S2486" i="1"/>
  <c r="S2487" i="1"/>
  <c r="S2488" i="1"/>
  <c r="S2489" i="1"/>
  <c r="S2490" i="1"/>
  <c r="S2491" i="1"/>
  <c r="S2492" i="1"/>
  <c r="S2493" i="1"/>
  <c r="S2494" i="1"/>
  <c r="S2495" i="1"/>
  <c r="S2496" i="1"/>
  <c r="S2497" i="1"/>
  <c r="S2498" i="1"/>
  <c r="S2499" i="1"/>
  <c r="S2500" i="1"/>
  <c r="S2501" i="1"/>
  <c r="S2502" i="1"/>
  <c r="S2503" i="1"/>
  <c r="S2504" i="1"/>
  <c r="S2505" i="1"/>
  <c r="S2506" i="1"/>
  <c r="S2507" i="1"/>
  <c r="S2508" i="1"/>
  <c r="S2509" i="1"/>
  <c r="S2510" i="1"/>
  <c r="S2511" i="1"/>
  <c r="S2512" i="1"/>
  <c r="S2513" i="1"/>
  <c r="S2514" i="1"/>
  <c r="S2515" i="1"/>
  <c r="S2516" i="1"/>
  <c r="S2517" i="1"/>
  <c r="S2518" i="1"/>
  <c r="S2519" i="1"/>
  <c r="S2520" i="1"/>
  <c r="S2521" i="1"/>
  <c r="S2522" i="1"/>
  <c r="S2523" i="1"/>
  <c r="S2524" i="1"/>
  <c r="S2525" i="1"/>
  <c r="S2526" i="1"/>
  <c r="S2527" i="1"/>
  <c r="S2528" i="1"/>
  <c r="S2529" i="1"/>
  <c r="S2530" i="1"/>
  <c r="S2531" i="1"/>
  <c r="S2532" i="1"/>
  <c r="S2533" i="1"/>
  <c r="S2534" i="1"/>
  <c r="S2535" i="1"/>
  <c r="S2536" i="1"/>
  <c r="S2537" i="1"/>
  <c r="S2538" i="1"/>
  <c r="S2539" i="1"/>
  <c r="S2540" i="1"/>
  <c r="S2541" i="1"/>
  <c r="S2542" i="1"/>
  <c r="S2543" i="1"/>
  <c r="S2544" i="1"/>
  <c r="S2545" i="1"/>
  <c r="S2546" i="1"/>
  <c r="S2547" i="1"/>
  <c r="S2548" i="1"/>
  <c r="S2549" i="1"/>
  <c r="S2550" i="1"/>
  <c r="S2551" i="1"/>
  <c r="S2552" i="1"/>
  <c r="S2553" i="1"/>
  <c r="S2554" i="1"/>
  <c r="S2555" i="1"/>
  <c r="S2556" i="1"/>
  <c r="S2557" i="1"/>
  <c r="S2558" i="1"/>
  <c r="S2559" i="1"/>
  <c r="S2560" i="1"/>
  <c r="S2561" i="1"/>
  <c r="S2562" i="1"/>
  <c r="S2563" i="1"/>
  <c r="S2564" i="1"/>
  <c r="S2565" i="1"/>
  <c r="S2566" i="1"/>
  <c r="S2567" i="1"/>
  <c r="S2568" i="1"/>
  <c r="S2569" i="1"/>
  <c r="S2570" i="1"/>
  <c r="S2571" i="1"/>
  <c r="S2572" i="1"/>
  <c r="S2573" i="1"/>
  <c r="S2574" i="1"/>
  <c r="S2575" i="1"/>
  <c r="S2576" i="1"/>
  <c r="S2577" i="1"/>
  <c r="S2578" i="1"/>
  <c r="S2579" i="1"/>
  <c r="S2580" i="1"/>
  <c r="S2581" i="1"/>
  <c r="S2582" i="1"/>
  <c r="S2583" i="1"/>
  <c r="S2584" i="1"/>
  <c r="S2585" i="1"/>
  <c r="S2586" i="1"/>
  <c r="S2587" i="1"/>
  <c r="S2588" i="1"/>
  <c r="S2589" i="1"/>
  <c r="S2590" i="1"/>
  <c r="S2591" i="1"/>
  <c r="S2592" i="1"/>
  <c r="S2593" i="1"/>
  <c r="S2594" i="1"/>
  <c r="S2595" i="1"/>
  <c r="S2596" i="1"/>
  <c r="S2597" i="1"/>
  <c r="S2598" i="1"/>
  <c r="S2599" i="1"/>
  <c r="S2600" i="1"/>
  <c r="S2601" i="1"/>
  <c r="S2602" i="1"/>
  <c r="S2603" i="1"/>
  <c r="S2604" i="1"/>
  <c r="S2605" i="1"/>
  <c r="S2606" i="1"/>
  <c r="S2607" i="1"/>
  <c r="S2608" i="1"/>
  <c r="S2609" i="1"/>
  <c r="S2610" i="1"/>
  <c r="S2611" i="1"/>
  <c r="S2612" i="1"/>
  <c r="S2613" i="1"/>
  <c r="S2614" i="1"/>
  <c r="S2615" i="1"/>
  <c r="S2616" i="1"/>
  <c r="S2617" i="1"/>
  <c r="S2618" i="1"/>
  <c r="S2619" i="1"/>
  <c r="S2620" i="1"/>
  <c r="S2621" i="1"/>
  <c r="S2622" i="1"/>
  <c r="S2623" i="1"/>
  <c r="S2624" i="1"/>
  <c r="S2625" i="1"/>
  <c r="S2626" i="1"/>
  <c r="S2627" i="1"/>
  <c r="S2628" i="1"/>
  <c r="S2629" i="1"/>
  <c r="S2630" i="1"/>
  <c r="S2631" i="1"/>
  <c r="S2632" i="1"/>
  <c r="S2633" i="1"/>
  <c r="S2634" i="1"/>
  <c r="S2635" i="1"/>
  <c r="S2636" i="1"/>
  <c r="S2637" i="1"/>
  <c r="S2638" i="1"/>
  <c r="S2639" i="1"/>
  <c r="S2640" i="1"/>
  <c r="S2641" i="1"/>
  <c r="S2642" i="1"/>
  <c r="S2643" i="1"/>
  <c r="S2644" i="1"/>
  <c r="S2645" i="1"/>
  <c r="S2646" i="1"/>
  <c r="S2647" i="1"/>
  <c r="S2648" i="1"/>
  <c r="S2649" i="1"/>
  <c r="S2650" i="1"/>
  <c r="S2651" i="1"/>
  <c r="S2652" i="1"/>
  <c r="S2653" i="1"/>
  <c r="S2654" i="1"/>
  <c r="S2655" i="1"/>
  <c r="S2656" i="1"/>
  <c r="S2657" i="1"/>
  <c r="S2658" i="1"/>
  <c r="S2659" i="1"/>
  <c r="S2660" i="1"/>
  <c r="S2661" i="1"/>
  <c r="S2662" i="1"/>
  <c r="S2663" i="1"/>
  <c r="S2664" i="1"/>
  <c r="S2665" i="1"/>
  <c r="S2666" i="1"/>
  <c r="S2667" i="1"/>
  <c r="S2668" i="1"/>
  <c r="S2669" i="1"/>
  <c r="S2670" i="1"/>
  <c r="S2671" i="1"/>
  <c r="S2672" i="1"/>
  <c r="S2673" i="1"/>
  <c r="S2674" i="1"/>
  <c r="S2675" i="1"/>
  <c r="S2676" i="1"/>
  <c r="S2677" i="1"/>
  <c r="S2678" i="1"/>
  <c r="S2679" i="1"/>
  <c r="S2680" i="1"/>
  <c r="S2681" i="1"/>
  <c r="S2682" i="1"/>
  <c r="S2683" i="1"/>
  <c r="S2684" i="1"/>
  <c r="S2685" i="1"/>
  <c r="S2686" i="1"/>
  <c r="S2687" i="1"/>
  <c r="S2688" i="1"/>
  <c r="S2689" i="1"/>
  <c r="S2690" i="1"/>
  <c r="S2691" i="1"/>
  <c r="S2692" i="1"/>
  <c r="S2693" i="1"/>
  <c r="S2694" i="1"/>
  <c r="S2695" i="1"/>
  <c r="S2696" i="1"/>
  <c r="S2697" i="1"/>
  <c r="S2698" i="1"/>
  <c r="S2699" i="1"/>
  <c r="S2700" i="1"/>
  <c r="S2701" i="1"/>
  <c r="S2702" i="1"/>
  <c r="S2703" i="1"/>
  <c r="S2704" i="1"/>
  <c r="S2705" i="1"/>
  <c r="S2706" i="1"/>
  <c r="S2707" i="1"/>
  <c r="S2708" i="1"/>
  <c r="S2709" i="1"/>
  <c r="S2710" i="1"/>
  <c r="S2711" i="1"/>
  <c r="S2712" i="1"/>
  <c r="S2713" i="1"/>
  <c r="S2714" i="1"/>
  <c r="S2715" i="1"/>
  <c r="S2716" i="1"/>
  <c r="S2717" i="1"/>
  <c r="S2718" i="1"/>
  <c r="S2719" i="1"/>
  <c r="S2720" i="1"/>
  <c r="S2721" i="1"/>
  <c r="S2722" i="1"/>
  <c r="S2723" i="1"/>
  <c r="S2724" i="1"/>
  <c r="S2725" i="1"/>
  <c r="S2726" i="1"/>
  <c r="S2727" i="1"/>
  <c r="S2728" i="1"/>
  <c r="S2729" i="1"/>
  <c r="S2730" i="1"/>
  <c r="S2731" i="1"/>
  <c r="S2732" i="1"/>
  <c r="S2733" i="1"/>
  <c r="S2734" i="1"/>
  <c r="S2735" i="1"/>
  <c r="S2736" i="1"/>
  <c r="S2737" i="1"/>
  <c r="S2738" i="1"/>
  <c r="S2739" i="1"/>
  <c r="S2740" i="1"/>
  <c r="S2741" i="1"/>
  <c r="S2742" i="1"/>
  <c r="S2743" i="1"/>
  <c r="S2744" i="1"/>
  <c r="S2745" i="1"/>
  <c r="S2746" i="1"/>
  <c r="S2747" i="1"/>
  <c r="S2748" i="1"/>
  <c r="S2749" i="1"/>
  <c r="S2750" i="1"/>
  <c r="S2751" i="1"/>
  <c r="S2752" i="1"/>
  <c r="S2753" i="1"/>
  <c r="S2754" i="1"/>
  <c r="S2755" i="1"/>
  <c r="S2756" i="1"/>
  <c r="S2757" i="1"/>
  <c r="S2758" i="1"/>
  <c r="S2759" i="1"/>
  <c r="S2760" i="1"/>
  <c r="S2761" i="1"/>
  <c r="S2762" i="1"/>
  <c r="S2763" i="1"/>
  <c r="S2764" i="1"/>
  <c r="S2765" i="1"/>
  <c r="S2766" i="1"/>
  <c r="S2767" i="1"/>
  <c r="S2768" i="1"/>
  <c r="S2769" i="1"/>
  <c r="S2770" i="1"/>
  <c r="S2771" i="1"/>
  <c r="S2772" i="1"/>
  <c r="S2773" i="1"/>
  <c r="S2774" i="1"/>
  <c r="S2775" i="1"/>
  <c r="S2776" i="1"/>
  <c r="S2777" i="1"/>
  <c r="S2778" i="1"/>
  <c r="S2779" i="1"/>
  <c r="S2780" i="1"/>
  <c r="S2781" i="1"/>
  <c r="S2782" i="1"/>
  <c r="S2783" i="1"/>
  <c r="S2784" i="1"/>
  <c r="S2785" i="1"/>
  <c r="S2786" i="1"/>
  <c r="S2787" i="1"/>
  <c r="S2788" i="1"/>
  <c r="S2789" i="1"/>
  <c r="S2790" i="1"/>
  <c r="S2791" i="1"/>
  <c r="S2792" i="1"/>
  <c r="S2793" i="1"/>
  <c r="S2794" i="1"/>
  <c r="S2795" i="1"/>
  <c r="S2796" i="1"/>
  <c r="S2797" i="1"/>
  <c r="S2798" i="1"/>
  <c r="S2799" i="1"/>
  <c r="S2800" i="1"/>
  <c r="S2801" i="1"/>
  <c r="S2802" i="1"/>
  <c r="S2803" i="1"/>
  <c r="S2804" i="1"/>
  <c r="S2805" i="1"/>
  <c r="S2806" i="1"/>
  <c r="S2807" i="1"/>
  <c r="S2808" i="1"/>
  <c r="S2809" i="1"/>
  <c r="S2810" i="1"/>
  <c r="S2811" i="1"/>
  <c r="S2812" i="1"/>
  <c r="S2813" i="1"/>
  <c r="S2814" i="1"/>
  <c r="S2815" i="1"/>
  <c r="S2816" i="1"/>
  <c r="S2817" i="1"/>
  <c r="S2818" i="1"/>
  <c r="S2819" i="1"/>
  <c r="S2820" i="1"/>
  <c r="S2821" i="1"/>
  <c r="S2822" i="1"/>
  <c r="S2823" i="1"/>
  <c r="S2824" i="1"/>
  <c r="S2825" i="1"/>
  <c r="S2826" i="1"/>
  <c r="S2827" i="1"/>
  <c r="S2828" i="1"/>
  <c r="S2829" i="1"/>
  <c r="S2830" i="1"/>
  <c r="S2831" i="1"/>
  <c r="S2832" i="1"/>
  <c r="S2833" i="1"/>
  <c r="S2834" i="1"/>
  <c r="S2835" i="1"/>
  <c r="S2836" i="1"/>
  <c r="S2837" i="1"/>
  <c r="S2838" i="1"/>
  <c r="S2839" i="1"/>
  <c r="S2840" i="1"/>
  <c r="S2841" i="1"/>
  <c r="S2842" i="1"/>
  <c r="S2843" i="1"/>
  <c r="S2844" i="1"/>
  <c r="S2845" i="1"/>
  <c r="S2846" i="1"/>
  <c r="S2847" i="1"/>
  <c r="S2848" i="1"/>
  <c r="S2849" i="1"/>
  <c r="S2850" i="1"/>
  <c r="S2851" i="1"/>
  <c r="S2852" i="1"/>
  <c r="S2853" i="1"/>
  <c r="S2854" i="1"/>
  <c r="S2855" i="1"/>
  <c r="S2856" i="1"/>
  <c r="S2857" i="1"/>
  <c r="S2858" i="1"/>
  <c r="S2859" i="1"/>
  <c r="S2860" i="1"/>
  <c r="S2861" i="1"/>
  <c r="S2862" i="1"/>
  <c r="S2863" i="1"/>
  <c r="S2864" i="1"/>
  <c r="S2865" i="1"/>
  <c r="S2866" i="1"/>
  <c r="S2867" i="1"/>
  <c r="S2868" i="1"/>
  <c r="S2869" i="1"/>
  <c r="S2870" i="1"/>
  <c r="S2871" i="1"/>
  <c r="S2872" i="1"/>
  <c r="S2873" i="1"/>
  <c r="S2874" i="1"/>
  <c r="S2875" i="1"/>
  <c r="S2876" i="1"/>
  <c r="S2877" i="1"/>
  <c r="S2878" i="1"/>
  <c r="S2879" i="1"/>
  <c r="S2880" i="1"/>
  <c r="S2881" i="1"/>
  <c r="S2882" i="1"/>
  <c r="S2883" i="1"/>
  <c r="S2884" i="1"/>
  <c r="S2885" i="1"/>
  <c r="S2886" i="1"/>
  <c r="S2887" i="1"/>
  <c r="S2888" i="1"/>
  <c r="S2889" i="1"/>
  <c r="S2890" i="1"/>
  <c r="S2891" i="1"/>
  <c r="S2892" i="1"/>
  <c r="S2893" i="1"/>
  <c r="S2894" i="1"/>
  <c r="S2895" i="1"/>
  <c r="S2896" i="1"/>
  <c r="S2897" i="1"/>
  <c r="S2898" i="1"/>
  <c r="S2899" i="1"/>
  <c r="S2900" i="1"/>
  <c r="S2901" i="1"/>
  <c r="S2902" i="1"/>
  <c r="S2903" i="1"/>
  <c r="S2904" i="1"/>
  <c r="S2905" i="1"/>
  <c r="S2906" i="1"/>
  <c r="S2907" i="1"/>
  <c r="S2908" i="1"/>
  <c r="S2909" i="1"/>
  <c r="S2910" i="1"/>
  <c r="S2911" i="1"/>
  <c r="S2912" i="1"/>
  <c r="S2913" i="1"/>
  <c r="S2914" i="1"/>
  <c r="S2915" i="1"/>
  <c r="S2916" i="1"/>
  <c r="S2917" i="1"/>
  <c r="S2918" i="1"/>
  <c r="S2919" i="1"/>
  <c r="S2920" i="1"/>
  <c r="S2921" i="1"/>
  <c r="S2922" i="1"/>
  <c r="S2923" i="1"/>
  <c r="S2924" i="1"/>
  <c r="S2925" i="1"/>
  <c r="S2926" i="1"/>
  <c r="S2927" i="1"/>
  <c r="S2928" i="1"/>
  <c r="S2929" i="1"/>
  <c r="S2930" i="1"/>
  <c r="S2931" i="1"/>
  <c r="S2932" i="1"/>
  <c r="S2933" i="1"/>
  <c r="S2934" i="1"/>
  <c r="S2935" i="1"/>
  <c r="S2936" i="1"/>
  <c r="S2937" i="1"/>
  <c r="S2938" i="1"/>
  <c r="S2939" i="1"/>
  <c r="S2940" i="1"/>
  <c r="S2941" i="1"/>
  <c r="S2942" i="1"/>
  <c r="S2943" i="1"/>
  <c r="S2944" i="1"/>
  <c r="S2945" i="1"/>
  <c r="S2946" i="1"/>
  <c r="S2947" i="1"/>
  <c r="S2948" i="1"/>
  <c r="S2949" i="1"/>
  <c r="S2950" i="1"/>
  <c r="S2951" i="1"/>
  <c r="S2952" i="1"/>
  <c r="S2953" i="1"/>
  <c r="S2954" i="1"/>
  <c r="S2955" i="1"/>
  <c r="S2956" i="1"/>
  <c r="S2957" i="1"/>
  <c r="S2958" i="1"/>
  <c r="S2959" i="1"/>
  <c r="S2960" i="1"/>
  <c r="S2961" i="1"/>
  <c r="S2962" i="1"/>
  <c r="S2963" i="1"/>
  <c r="S2964" i="1"/>
  <c r="S2965" i="1"/>
  <c r="S2966" i="1"/>
  <c r="S2967" i="1"/>
  <c r="S2968" i="1"/>
  <c r="S2969" i="1"/>
  <c r="S2970" i="1"/>
  <c r="S2971" i="1"/>
  <c r="S2972" i="1"/>
  <c r="S2973" i="1"/>
  <c r="S2974" i="1"/>
  <c r="S2975" i="1"/>
  <c r="S2976" i="1"/>
  <c r="S2977" i="1"/>
  <c r="S2978" i="1"/>
  <c r="S2979" i="1"/>
  <c r="S2980" i="1"/>
  <c r="S2981" i="1"/>
  <c r="S2982" i="1"/>
  <c r="S2983" i="1"/>
  <c r="S2984" i="1"/>
  <c r="S2985" i="1"/>
  <c r="S2986" i="1"/>
  <c r="S2987" i="1"/>
  <c r="S2988" i="1"/>
  <c r="S2989" i="1"/>
  <c r="S2990" i="1"/>
  <c r="S2991" i="1"/>
  <c r="S2992" i="1"/>
  <c r="S2993" i="1"/>
  <c r="S2994" i="1"/>
  <c r="S2995" i="1"/>
  <c r="S2996" i="1"/>
  <c r="S2997" i="1"/>
  <c r="S2998" i="1"/>
  <c r="S2999" i="1"/>
  <c r="S3000" i="1"/>
  <c r="S3001" i="1"/>
  <c r="S2" i="1"/>
  <c r="I4" i="2" l="1"/>
  <c r="I19" i="2"/>
  <c r="H16" i="2"/>
  <c r="H15" i="2"/>
  <c r="H8" i="2"/>
  <c r="H22" i="2"/>
  <c r="H14" i="2"/>
  <c r="H6" i="2"/>
  <c r="I18" i="2"/>
  <c r="I10" i="2"/>
  <c r="H4" i="2"/>
  <c r="I12" i="2"/>
  <c r="H7" i="2"/>
  <c r="I20" i="2"/>
  <c r="H23" i="2"/>
  <c r="I11" i="2"/>
  <c r="H21" i="2"/>
  <c r="H13" i="2"/>
  <c r="H5" i="2"/>
  <c r="I17" i="2"/>
  <c r="I9" i="2"/>
  <c r="H20" i="2"/>
  <c r="H12" i="2"/>
  <c r="I16" i="2"/>
  <c r="I8" i="2"/>
  <c r="H19" i="2"/>
  <c r="H11" i="2"/>
  <c r="I23" i="2"/>
  <c r="I15" i="2"/>
  <c r="I7" i="2"/>
  <c r="H18" i="2"/>
  <c r="H10" i="2"/>
  <c r="I22" i="2"/>
  <c r="I14" i="2"/>
  <c r="I6" i="2"/>
  <c r="H17" i="2"/>
  <c r="H9" i="2"/>
  <c r="I21" i="2"/>
  <c r="I13" i="2"/>
  <c r="I5" i="2"/>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<sst xmlns="http://schemas.openxmlformats.org/spreadsheetml/2006/main" count="9081" uniqueCount="66">
  <si>
    <t>Job_Title</t>
  </si>
  <si>
    <t>Average_Salary</t>
  </si>
  <si>
    <t>Years_Experience</t>
  </si>
  <si>
    <t>Education_Level</t>
  </si>
  <si>
    <t>AI_Exposure_Index</t>
  </si>
  <si>
    <t>Tech_Growth_Factor</t>
  </si>
  <si>
    <t>Automation_Probability_2030</t>
  </si>
  <si>
    <t>Risk_Category</t>
  </si>
  <si>
    <t>Skill_1</t>
  </si>
  <si>
    <t>Skill_2</t>
  </si>
  <si>
    <t>Skill_3</t>
  </si>
  <si>
    <t>Skill_4</t>
  </si>
  <si>
    <t>Skill_5</t>
  </si>
  <si>
    <t>Skill_6</t>
  </si>
  <si>
    <t>Skill_7</t>
  </si>
  <si>
    <t>Skill_8</t>
  </si>
  <si>
    <t>Skill_9</t>
  </si>
  <si>
    <t>Skill_10</t>
  </si>
  <si>
    <t>Security Guard</t>
  </si>
  <si>
    <t>Master's</t>
  </si>
  <si>
    <t>High</t>
  </si>
  <si>
    <t>Research Scientist</t>
  </si>
  <si>
    <t>PhD</t>
  </si>
  <si>
    <t>Low</t>
  </si>
  <si>
    <t>Construction Worker</t>
  </si>
  <si>
    <t>High School</t>
  </si>
  <si>
    <t>Software Engineer</t>
  </si>
  <si>
    <t>Medium</t>
  </si>
  <si>
    <t>Financial Analyst</t>
  </si>
  <si>
    <t>AI Engineer</t>
  </si>
  <si>
    <t>Mechanic</t>
  </si>
  <si>
    <t>Teacher</t>
  </si>
  <si>
    <t>HR Specialist</t>
  </si>
  <si>
    <t>Customer Support</t>
  </si>
  <si>
    <t>UX Researcher</t>
  </si>
  <si>
    <t>Lawyer</t>
  </si>
  <si>
    <t>Data Scientist</t>
  </si>
  <si>
    <t>Graphic Designer</t>
  </si>
  <si>
    <t>Bachelor's</t>
  </si>
  <si>
    <t>Retail Worker</t>
  </si>
  <si>
    <t>Doctor</t>
  </si>
  <si>
    <t>Truck Driver</t>
  </si>
  <si>
    <t>Chef</t>
  </si>
  <si>
    <t>Nurse</t>
  </si>
  <si>
    <t>Marketing Manager</t>
  </si>
  <si>
    <t>Career_Stage</t>
  </si>
  <si>
    <t>Exposure_Level_Text</t>
  </si>
  <si>
    <t>Job Title</t>
  </si>
  <si>
    <t>Average Salary (by job title)</t>
  </si>
  <si>
    <t>Average years of experience (By job title)</t>
  </si>
  <si>
    <t>Avg Salary</t>
  </si>
  <si>
    <t>Avg Experience</t>
  </si>
  <si>
    <t>VLOOKUP Table</t>
  </si>
  <si>
    <t>Count of Risk_Category</t>
  </si>
  <si>
    <t>Row Labels</t>
  </si>
  <si>
    <t>Grand Total</t>
  </si>
  <si>
    <t>Risk Category Summary</t>
  </si>
  <si>
    <t>Education-Level Impact</t>
  </si>
  <si>
    <t>Average of Automation_Probability_2030</t>
  </si>
  <si>
    <t>Career Stage Patterns</t>
  </si>
  <si>
    <t>Early Career</t>
  </si>
  <si>
    <t>Mid Career</t>
  </si>
  <si>
    <t>Senior Level</t>
  </si>
  <si>
    <t>Averge_Salary</t>
  </si>
  <si>
    <t>Count of Job</t>
  </si>
  <si>
    <t>Avg_Salary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</si>
</sst>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4"/>
      <color theme="1"/>
      <name val="Calibri"/>
      <family val="2"/>
      <scheme val="minor"/>
    </font>
  </fonts>
  <fills count="41">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39997558519241921"/>
        <bgColor indexed="64"/>
      </patternFill>
    </fill>
    <fill>
      <patternFill patternType="solid">
        <fgColor theme="7"/>
        <bgColor indexed="64"/>
      </patternFill>
    </fill>
    <fill>
      <patternFill patternType="solid">
        <fgColor theme="9"/>
        <bgColor indexed="64"/>
      </patternFill>
    </fill>
    <fill>
      <patternFill patternType="solid">
        <fgColor rgb="FFCC00FF"/>
        <bgColor indexed="64"/>
      </patternFill>
    </fill>
    <fill>
      <patternFill patternType="solid">
        <fgColor theme="5" tint="0.59999389629810485"/>
        <bgColor indexed="64"/>
      </patternFill>
    </fill>
    <fill>
      <patternFill patternType="solid">
        <fgColor theme="7" tint="0.39997558519241921"/>
        <bgColor indexed="64"/>
      </patternFill>
    </fill>
    <fill>
      <patternFill patternType="solid">
        <fgColor rgb="FF92D050"/>
        <bgColor indexed="64"/>
      </patternFill>
    </fill>
    <fill>
      <patternFill patternType="solid">
        <fgColor theme="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2">
    <xf numFmtId="0" fontId="0" fillId="0" borderId="0" xfId="0"/>
    <xf numFmtId="0" fontId="0" fillId="0" borderId="0" xfId="0" applyAlignment="1">
      <alignment horizontal="center" vertical="center"/>
    </xf>
    <xf numFmtId="0" fontId="0" fillId="0" borderId="0" xfId="0" applyAlignment="1">
      <alignment horizontal="center"/>
    </xf>
    <xf numFmtId="0" fontId="0" fillId="33" borderId="0" xfId="0" applyFill="1"/>
    <xf numFmtId="0" fontId="0" fillId="33" borderId="0" xfId="0" applyFill="1" applyAlignment="1">
      <alignment horizontal="center" vertical="center"/>
    </xf>
    <xf numFmtId="0" fontId="0" fillId="33" borderId="0" xfId="0" applyFill="1" applyAlignment="1">
      <alignment horizontal="center"/>
    </xf>
    <xf numFmtId="2" fontId="0" fillId="33" borderId="0" xfId="0" applyNumberFormat="1" applyFill="1" applyAlignment="1">
      <alignment horizontal="center"/>
    </xf>
    <xf numFmtId="2" fontId="0" fillId="0" borderId="0" xfId="0" applyNumberFormat="1" applyAlignment="1">
      <alignment horizontal="center"/>
    </xf>
    <xf numFmtId="49" fontId="0" fillId="33" borderId="0" xfId="0" applyNumberFormat="1" applyFill="1"/>
    <xf numFmtId="49" fontId="0" fillId="0" borderId="0" xfId="0" applyNumberFormat="1"/>
    <xf numFmtId="0" fontId="16" fillId="33" borderId="0" xfId="0" applyFont="1" applyFill="1"/>
    <xf numFmtId="0" fontId="0" fillId="34" borderId="0" xfId="0" applyFill="1"/>
    <xf numFmtId="0" fontId="18" fillId="35" borderId="0" xfId="0" applyFont="1" applyFill="1"/>
    <xf numFmtId="0" fontId="0" fillId="36" borderId="0" xfId="0" applyFill="1"/>
    <xf numFmtId="0" fontId="0" fillId="0" borderId="0" xfId="0" pivotButton="1"/>
    <xf numFmtId="0" fontId="0" fillId="0" borderId="0" xfId="0" applyAlignment="1">
      <alignment horizontal="left"/>
    </xf>
    <xf numFmtId="0" fontId="0" fillId="37" borderId="0" xfId="0" applyFill="1"/>
    <xf numFmtId="2" fontId="0" fillId="0" borderId="0" xfId="0" applyNumberFormat="1"/>
    <xf numFmtId="0" fontId="0" fillId="38" borderId="0" xfId="0" applyFill="1"/>
    <xf numFmtId="0" fontId="0" fillId="39" borderId="0" xfId="0" applyFill="1"/>
    <xf numFmtId="0" fontId="0" fillId="40" borderId="0" xfId="0" applyFill="1"/>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9">
    <dxf>
      <font>
        <color rgb="FF9C0006"/>
      </font>
      <fill>
        <patternFill>
          <bgColor rgb="FFFFC7CE"/>
        </patternFill>
      </fill>
    </dxf>
    <dxf>
      <font>
        <color rgb="FF9C0006"/>
      </font>
      <fill>
        <patternFill>
          <bgColor rgb="FFFFC7CE"/>
        </patternFill>
      </fill>
    </dxf>
    <dxf>
      <alignment horizontal="center" vertical="bottom" textRotation="0" wrapText="0" indent="0" justifyLastLine="0" shrinkToFit="0" readingOrder="0"/>
    </dxf>
    <dxf>
      <numFmt numFmtId="30" formatCode="@"/>
    </dxf>
    <dxf>
      <numFmt numFmtId="2" formatCode="0.00"/>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2" formatCode="0.00"/>
      <alignment horizontal="center" vertical="bottom" textRotation="0" wrapText="0" indent="0" justifyLastLine="0" shrinkToFit="0" readingOrder="0"/>
    </dxf>
    <dxf>
      <alignment horizontal="center" vertical="center" textRotation="0" wrapText="0" indent="0" justifyLastLine="0" shrinkToFit="0" readingOrder="0"/>
    </dxf>
    <dxf>
      <fill>
        <patternFill patternType="solid">
          <fgColor indexed="64"/>
          <bgColor theme="4" tint="0.39997558519241921"/>
        </patternFill>
      </fill>
    </dxf>
  </dxfs>
  <tableStyles count="0" defaultTableStyle="TableStyleMedium2" defaultPivotStyle="PivotStyleLight16"/>
  <colors>
    <mruColors>
      <color rgb="FFCC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[Analysis job risk by Abhishek Kumar.xlsx]Pivot!PivotTable1</c:name>
    <c:fmtId val="18"/>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IN" sz="1400" b="0" i="0" u="none" strike="noStrike" baseline="0">
                <a:solidFill>
                  <a:schemeClr val="tx1"/>
                </a:solidFill>
              </a:rPr>
              <a:t>Risk Category Distribution</a:t>
            </a:r>
            <a:endParaRPr lang="en-IN">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pivotFmt>
      <c:pivotFmt>
        <c:idx val="38"/>
        <c:spPr>
          <a:solidFill>
            <a:schemeClr val="accent1"/>
          </a:solidFill>
          <a:ln w="19050">
            <a:solidFill>
              <a:schemeClr val="lt1"/>
            </a:solidFill>
          </a:ln>
          <a:effectLst/>
        </c:spPr>
      </c:pivotFmt>
      <c:pivotFmt>
        <c:idx val="39"/>
        <c:spPr>
          <a:solidFill>
            <a:schemeClr val="accent1"/>
          </a:solidFill>
          <a:ln w="19050">
            <a:solidFill>
              <a:schemeClr val="lt1"/>
            </a:solidFill>
          </a:ln>
          <a:effectLst/>
        </c:spPr>
      </c:pivotFmt>
      <c:pivotFmt>
        <c:idx val="40"/>
        <c:spPr>
          <a:solidFill>
            <a:schemeClr val="accent1"/>
          </a:solidFill>
          <a:ln w="19050">
            <a:solidFill>
              <a:schemeClr val="lt1"/>
            </a:solidFill>
          </a:ln>
          <a:effectLst/>
        </c:spPr>
      </c:pivotFmt>
      <c:pivotFmt>
        <c:idx val="41"/>
        <c:spPr>
          <a:solidFill>
            <a:schemeClr val="accent1"/>
          </a:solidFill>
          <a:ln w="19050">
            <a:solidFill>
              <a:schemeClr val="lt1"/>
            </a:solidFill>
          </a:ln>
          <a:effectLst/>
        </c:spPr>
      </c:pivotFmt>
      <c:pivotFmt>
        <c:idx val="42"/>
        <c:spPr>
          <a:solidFill>
            <a:schemeClr val="accent1"/>
          </a:solidFill>
          <a:ln w="19050">
            <a:solidFill>
              <a:schemeClr val="lt1"/>
            </a:solidFill>
          </a:ln>
          <a:effectLst/>
        </c:spPr>
      </c:pivotFmt>
      <c:pivotFmt>
        <c:idx val="43"/>
        <c:spPr>
          <a:solidFill>
            <a:schemeClr val="accent1"/>
          </a:solidFill>
          <a:ln w="19050">
            <a:solidFill>
              <a:schemeClr val="lt1"/>
            </a:solidFill>
          </a:ln>
          <a:effectLst/>
        </c:spPr>
      </c:pivotFmt>
      <c:pivotFmt>
        <c:idx val="4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w="19050">
            <a:solidFill>
              <a:schemeClr val="lt1"/>
            </a:solidFill>
          </a:ln>
          <a:effectLst/>
        </c:spPr>
      </c:pivotFmt>
      <c:pivotFmt>
        <c:idx val="46"/>
        <c:spPr>
          <a:solidFill>
            <a:schemeClr val="accent1"/>
          </a:solidFill>
          <a:ln w="19050">
            <a:solidFill>
              <a:schemeClr val="lt1"/>
            </a:solidFill>
          </a:ln>
          <a:effectLst/>
        </c:spPr>
      </c:pivotFmt>
      <c:pivotFmt>
        <c:idx val="47"/>
        <c:spPr>
          <a:solidFill>
            <a:schemeClr val="accent1"/>
          </a:solidFill>
          <a:ln w="19050">
            <a:solidFill>
              <a:schemeClr val="lt1"/>
            </a:solidFill>
          </a:ln>
          <a:effectLst/>
        </c:spPr>
      </c:pivotFmt>
      <c:pivotFmt>
        <c:idx val="48"/>
        <c:spPr>
          <a:solidFill>
            <a:schemeClr val="accent1"/>
          </a:solidFill>
          <a:ln w="19050">
            <a:solidFill>
              <a:schemeClr val="lt1"/>
            </a:solidFill>
          </a:ln>
          <a:effectLst/>
        </c:spPr>
      </c:pivotFmt>
      <c:pivotFmt>
        <c:idx val="49"/>
        <c:spPr>
          <a:solidFill>
            <a:schemeClr val="accent1"/>
          </a:solidFill>
          <a:ln w="19050">
            <a:solidFill>
              <a:schemeClr val="lt1"/>
            </a:solidFill>
          </a:ln>
          <a:effectLst/>
        </c:spPr>
      </c:pivotFmt>
      <c:pivotFmt>
        <c:idx val="50"/>
        <c:spPr>
          <a:solidFill>
            <a:schemeClr val="accent1"/>
          </a:solidFill>
          <a:ln w="19050">
            <a:solidFill>
              <a:schemeClr val="lt1"/>
            </a:solidFill>
          </a:ln>
          <a:effectLst/>
        </c:spPr>
      </c:pivotFmt>
      <c:pivotFmt>
        <c:idx val="51"/>
        <c:spPr>
          <a:solidFill>
            <a:schemeClr val="accent1"/>
          </a:solidFill>
          <a:ln w="19050">
            <a:solidFill>
              <a:schemeClr val="lt1"/>
            </a:solidFill>
          </a:ln>
          <a:effectLst/>
        </c:spPr>
      </c:pivotFmt>
      <c:pivotFmt>
        <c:idx val="52"/>
        <c:spPr>
          <a:solidFill>
            <a:schemeClr val="accent1"/>
          </a:solidFill>
          <a:ln w="19050">
            <a:solidFill>
              <a:schemeClr val="lt1"/>
            </a:solidFill>
          </a:ln>
          <a:effectLst/>
        </c:spPr>
      </c:pivotFmt>
      <c:pivotFmt>
        <c:idx val="53"/>
        <c:spPr>
          <a:solidFill>
            <a:schemeClr val="accent1"/>
          </a:solidFill>
          <a:ln w="19050">
            <a:solidFill>
              <a:schemeClr val="lt1"/>
            </a:solidFill>
          </a:ln>
          <a:effectLst/>
        </c:spPr>
      </c:pivotFmt>
      <c:pivotFmt>
        <c:idx val="54"/>
        <c:spPr>
          <a:solidFill>
            <a:schemeClr val="accent1"/>
          </a:solidFill>
          <a:ln w="19050">
            <a:solidFill>
              <a:schemeClr val="lt1"/>
            </a:solidFill>
          </a:ln>
          <a:effectLst/>
        </c:spPr>
      </c:pivotFmt>
      <c:pivotFmt>
        <c:idx val="55"/>
        <c:spPr>
          <a:solidFill>
            <a:schemeClr val="accent1"/>
          </a:solidFill>
          <a:ln w="19050">
            <a:solidFill>
              <a:schemeClr val="lt1"/>
            </a:solidFill>
          </a:ln>
          <a:effectLst/>
        </c:spPr>
      </c:pivotFmt>
      <c:pivotFmt>
        <c:idx val="56"/>
        <c:spPr>
          <a:solidFill>
            <a:schemeClr val="accent1"/>
          </a:solidFill>
          <a:ln w="19050">
            <a:solidFill>
              <a:schemeClr val="lt1"/>
            </a:solidFill>
          </a:ln>
          <a:effectLst/>
        </c:spPr>
      </c:pivotFmt>
      <c:pivotFmt>
        <c:idx val="57"/>
        <c:spPr>
          <a:solidFill>
            <a:schemeClr val="accent1"/>
          </a:solidFill>
          <a:ln w="19050">
            <a:solidFill>
              <a:schemeClr val="lt1"/>
            </a:solidFill>
          </a:ln>
          <a:effectLst/>
        </c:spPr>
      </c:pivotFmt>
      <c:pivotFmt>
        <c:idx val="58"/>
        <c:spPr>
          <a:solidFill>
            <a:schemeClr val="accent1"/>
          </a:solidFill>
          <a:ln w="19050">
            <a:solidFill>
              <a:schemeClr val="lt1"/>
            </a:solidFill>
          </a:ln>
          <a:effectLst/>
        </c:spPr>
      </c:pivotFmt>
      <c:pivotFmt>
        <c:idx val="59"/>
        <c:spPr>
          <a:solidFill>
            <a:schemeClr val="accent1"/>
          </a:solidFill>
          <a:ln w="19050">
            <a:solidFill>
              <a:schemeClr val="lt1"/>
            </a:solidFill>
          </a:ln>
          <a:effectLst/>
        </c:spPr>
      </c:pivotFmt>
      <c:pivotFmt>
        <c:idx val="60"/>
        <c:spPr>
          <a:solidFill>
            <a:schemeClr val="accent1"/>
          </a:solidFill>
          <a:ln w="19050">
            <a:solidFill>
              <a:schemeClr val="lt1"/>
            </a:solidFill>
          </a:ln>
          <a:effectLst/>
        </c:spPr>
      </c:pivotFmt>
      <c:pivotFmt>
        <c:idx val="61"/>
        <c:spPr>
          <a:solidFill>
            <a:schemeClr val="accent1"/>
          </a:solidFill>
          <a:ln w="19050">
            <a:solidFill>
              <a:schemeClr val="lt1"/>
            </a:solidFill>
          </a:ln>
          <a:effectLst/>
        </c:spPr>
      </c:pivotFmt>
      <c:pivotFmt>
        <c:idx val="62"/>
        <c:spPr>
          <a:solidFill>
            <a:schemeClr val="accent1"/>
          </a:solidFill>
          <a:ln w="19050">
            <a:solidFill>
              <a:schemeClr val="lt1"/>
            </a:solidFill>
          </a:ln>
          <a:effectLst/>
        </c:spPr>
      </c:pivotFmt>
      <c:pivotFmt>
        <c:idx val="63"/>
        <c:spPr>
          <a:solidFill>
            <a:schemeClr val="accent1"/>
          </a:solidFill>
          <a:ln w="19050">
            <a:solidFill>
              <a:schemeClr val="lt1"/>
            </a:solidFill>
          </a:ln>
          <a:effectLst/>
        </c:spPr>
      </c:pivotFmt>
      <c:pivotFmt>
        <c:idx val="64"/>
        <c:spPr>
          <a:solidFill>
            <a:schemeClr val="accent1"/>
          </a:solidFill>
          <a:ln w="19050">
            <a:solidFill>
              <a:schemeClr val="lt1"/>
            </a:solidFill>
          </a:ln>
          <a:effectLst/>
        </c:spPr>
      </c:pivotFmt>
      <c:pivotFmt>
        <c:idx val="6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6"/>
        <c:spPr>
          <a:solidFill>
            <a:schemeClr val="accent1"/>
          </a:solidFill>
          <a:ln w="19050">
            <a:solidFill>
              <a:schemeClr val="lt1"/>
            </a:solidFill>
          </a:ln>
          <a:effectLst/>
        </c:spPr>
      </c:pivotFmt>
      <c:pivotFmt>
        <c:idx val="67"/>
        <c:spPr>
          <a:solidFill>
            <a:schemeClr val="accent1"/>
          </a:solidFill>
          <a:ln w="19050">
            <a:solidFill>
              <a:schemeClr val="lt1"/>
            </a:solidFill>
          </a:ln>
          <a:effectLst/>
        </c:spPr>
      </c:pivotFmt>
      <c:pivotFmt>
        <c:idx val="68"/>
        <c:spPr>
          <a:solidFill>
            <a:schemeClr val="accent1"/>
          </a:solidFill>
          <a:ln w="19050">
            <a:solidFill>
              <a:schemeClr val="lt1"/>
            </a:solidFill>
          </a:ln>
          <a:effectLst/>
        </c:spPr>
      </c:pivotFmt>
      <c:pivotFmt>
        <c:idx val="69"/>
        <c:spPr>
          <a:solidFill>
            <a:schemeClr val="accent1"/>
          </a:solidFill>
          <a:ln w="19050">
            <a:solidFill>
              <a:schemeClr val="lt1"/>
            </a:solidFill>
          </a:ln>
          <a:effectLst/>
        </c:spPr>
      </c:pivotFmt>
      <c:pivotFmt>
        <c:idx val="70"/>
        <c:spPr>
          <a:solidFill>
            <a:schemeClr val="accent1"/>
          </a:solidFill>
          <a:ln w="19050">
            <a:solidFill>
              <a:schemeClr val="lt1"/>
            </a:solidFill>
          </a:ln>
          <a:effectLst/>
        </c:spPr>
      </c:pivotFmt>
      <c:pivotFmt>
        <c:idx val="71"/>
        <c:spPr>
          <a:solidFill>
            <a:schemeClr val="accent1"/>
          </a:solidFill>
          <a:ln w="19050">
            <a:solidFill>
              <a:schemeClr val="lt1"/>
            </a:solidFill>
          </a:ln>
          <a:effectLst/>
        </c:spPr>
      </c:pivotFmt>
      <c:pivotFmt>
        <c:idx val="72"/>
        <c:spPr>
          <a:solidFill>
            <a:schemeClr val="accent1"/>
          </a:solidFill>
          <a:ln w="19050">
            <a:solidFill>
              <a:schemeClr val="lt1"/>
            </a:solidFill>
          </a:ln>
          <a:effectLst/>
        </c:spPr>
      </c:pivotFmt>
      <c:pivotFmt>
        <c:idx val="73"/>
        <c:spPr>
          <a:solidFill>
            <a:schemeClr val="accent1"/>
          </a:solidFill>
          <a:ln w="19050">
            <a:solidFill>
              <a:schemeClr val="lt1"/>
            </a:solidFill>
          </a:ln>
          <a:effectLst/>
        </c:spPr>
      </c:pivotFmt>
      <c:pivotFmt>
        <c:idx val="74"/>
        <c:spPr>
          <a:solidFill>
            <a:schemeClr val="accent1"/>
          </a:solidFill>
          <a:ln w="19050">
            <a:solidFill>
              <a:schemeClr val="lt1"/>
            </a:solidFill>
          </a:ln>
          <a:effectLst/>
        </c:spPr>
      </c:pivotFmt>
      <c:pivotFmt>
        <c:idx val="75"/>
        <c:spPr>
          <a:solidFill>
            <a:schemeClr val="accent1"/>
          </a:solidFill>
          <a:ln w="19050">
            <a:solidFill>
              <a:schemeClr val="lt1"/>
            </a:solidFill>
          </a:ln>
          <a:effectLst/>
        </c:spPr>
      </c:pivotFmt>
      <c:pivotFmt>
        <c:idx val="76"/>
        <c:spPr>
          <a:solidFill>
            <a:schemeClr val="accent1"/>
          </a:solidFill>
          <a:ln w="19050">
            <a:solidFill>
              <a:schemeClr val="lt1"/>
            </a:solidFill>
          </a:ln>
          <a:effectLst/>
        </c:spPr>
      </c:pivotFmt>
      <c:pivotFmt>
        <c:idx val="77"/>
        <c:spPr>
          <a:solidFill>
            <a:schemeClr val="accent1"/>
          </a:solidFill>
          <a:ln w="19050">
            <a:solidFill>
              <a:schemeClr val="lt1"/>
            </a:solidFill>
          </a:ln>
          <a:effectLst/>
        </c:spPr>
      </c:pivotFmt>
      <c:pivotFmt>
        <c:idx val="78"/>
        <c:spPr>
          <a:solidFill>
            <a:schemeClr val="accent1"/>
          </a:solidFill>
          <a:ln w="19050">
            <a:solidFill>
              <a:schemeClr val="lt1"/>
            </a:solidFill>
          </a:ln>
          <a:effectLst/>
        </c:spPr>
      </c:pivotFmt>
      <c:pivotFmt>
        <c:idx val="79"/>
        <c:spPr>
          <a:solidFill>
            <a:schemeClr val="accent1"/>
          </a:solidFill>
          <a:ln w="19050">
            <a:solidFill>
              <a:schemeClr val="lt1"/>
            </a:solidFill>
          </a:ln>
          <a:effectLst/>
        </c:spPr>
      </c:pivotFmt>
      <c:pivotFmt>
        <c:idx val="80"/>
        <c:spPr>
          <a:solidFill>
            <a:schemeClr val="accent1"/>
          </a:solidFill>
          <a:ln w="19050">
            <a:solidFill>
              <a:schemeClr val="lt1"/>
            </a:solidFill>
          </a:ln>
          <a:effectLst/>
        </c:spPr>
      </c:pivotFmt>
      <c:pivotFmt>
        <c:idx val="81"/>
        <c:spPr>
          <a:solidFill>
            <a:schemeClr val="accent1"/>
          </a:solidFill>
          <a:ln w="19050">
            <a:solidFill>
              <a:schemeClr val="lt1"/>
            </a:solidFill>
          </a:ln>
          <a:effectLst/>
        </c:spPr>
      </c:pivotFmt>
      <c:pivotFmt>
        <c:idx val="82"/>
        <c:spPr>
          <a:solidFill>
            <a:schemeClr val="accent1"/>
          </a:solidFill>
          <a:ln w="19050">
            <a:solidFill>
              <a:schemeClr val="lt1"/>
            </a:solidFill>
          </a:ln>
          <a:effectLst/>
        </c:spPr>
      </c:pivotFmt>
      <c:pivotFmt>
        <c:idx val="83"/>
        <c:spPr>
          <a:solidFill>
            <a:schemeClr val="accent1"/>
          </a:solidFill>
          <a:ln w="19050">
            <a:solidFill>
              <a:schemeClr val="lt1"/>
            </a:solidFill>
          </a:ln>
          <a:effectLst/>
        </c:spPr>
      </c:pivotFmt>
      <c:pivotFmt>
        <c:idx val="84"/>
        <c:spPr>
          <a:solidFill>
            <a:schemeClr val="accent1"/>
          </a:solidFill>
          <a:ln w="19050">
            <a:solidFill>
              <a:schemeClr val="lt1"/>
            </a:solidFill>
          </a:ln>
          <a:effectLst/>
        </c:spPr>
      </c:pivotFmt>
      <c:pivotFmt>
        <c:idx val="85"/>
        <c:spPr>
          <a:solidFill>
            <a:schemeClr val="accent1"/>
          </a:solidFill>
          <a:ln w="19050">
            <a:solidFill>
              <a:schemeClr val="lt1"/>
            </a:solidFill>
          </a:ln>
          <a:effectLst/>
        </c:spPr>
      </c:pivotFmt>
      <c:pivotFmt>
        <c:idx val="8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7"/>
        <c:spPr>
          <a:solidFill>
            <a:schemeClr val="accent1"/>
          </a:solidFill>
          <a:ln w="19050">
            <a:solidFill>
              <a:schemeClr val="lt1"/>
            </a:solidFill>
          </a:ln>
          <a:effectLst/>
        </c:spPr>
      </c:pivotFmt>
      <c:pivotFmt>
        <c:idx val="88"/>
        <c:spPr>
          <a:solidFill>
            <a:schemeClr val="accent1"/>
          </a:solidFill>
          <a:ln w="19050">
            <a:solidFill>
              <a:schemeClr val="lt1"/>
            </a:solidFill>
          </a:ln>
          <a:effectLst/>
        </c:spPr>
      </c:pivotFmt>
      <c:pivotFmt>
        <c:idx val="89"/>
        <c:spPr>
          <a:solidFill>
            <a:schemeClr val="accent1"/>
          </a:solidFill>
          <a:ln w="19050">
            <a:solidFill>
              <a:schemeClr val="lt1"/>
            </a:solidFill>
          </a:ln>
          <a:effectLst/>
        </c:spPr>
      </c:pivotFmt>
      <c:pivotFmt>
        <c:idx val="90"/>
        <c:spPr>
          <a:solidFill>
            <a:schemeClr val="accent1"/>
          </a:solidFill>
          <a:ln w="19050">
            <a:solidFill>
              <a:schemeClr val="lt1"/>
            </a:solidFill>
          </a:ln>
          <a:effectLst/>
        </c:spPr>
      </c:pivotFmt>
      <c:pivotFmt>
        <c:idx val="91"/>
        <c:spPr>
          <a:solidFill>
            <a:schemeClr val="accent1"/>
          </a:solidFill>
          <a:ln w="19050">
            <a:solidFill>
              <a:schemeClr val="lt1"/>
            </a:solidFill>
          </a:ln>
          <a:effectLst/>
        </c:spPr>
      </c:pivotFmt>
      <c:pivotFmt>
        <c:idx val="92"/>
        <c:spPr>
          <a:solidFill>
            <a:schemeClr val="accent1"/>
          </a:solidFill>
          <a:ln w="19050">
            <a:solidFill>
              <a:schemeClr val="lt1"/>
            </a:solidFill>
          </a:ln>
          <a:effectLst/>
        </c:spPr>
      </c:pivotFmt>
      <c:pivotFmt>
        <c:idx val="93"/>
        <c:spPr>
          <a:solidFill>
            <a:schemeClr val="accent1"/>
          </a:solidFill>
          <a:ln w="19050">
            <a:solidFill>
              <a:schemeClr val="lt1"/>
            </a:solidFill>
          </a:ln>
          <a:effectLst/>
        </c:spPr>
      </c:pivotFmt>
      <c:pivotFmt>
        <c:idx val="94"/>
        <c:spPr>
          <a:solidFill>
            <a:schemeClr val="accent1"/>
          </a:solidFill>
          <a:ln w="19050">
            <a:solidFill>
              <a:schemeClr val="lt1"/>
            </a:solidFill>
          </a:ln>
          <a:effectLst/>
        </c:spPr>
      </c:pivotFmt>
      <c:pivotFmt>
        <c:idx val="95"/>
        <c:spPr>
          <a:solidFill>
            <a:schemeClr val="accent1"/>
          </a:solidFill>
          <a:ln w="19050">
            <a:solidFill>
              <a:schemeClr val="lt1"/>
            </a:solidFill>
          </a:ln>
          <a:effectLst/>
        </c:spPr>
      </c:pivotFmt>
      <c:pivotFmt>
        <c:idx val="96"/>
        <c:spPr>
          <a:solidFill>
            <a:schemeClr val="accent1"/>
          </a:solidFill>
          <a:ln w="19050">
            <a:solidFill>
              <a:schemeClr val="lt1"/>
            </a:solidFill>
          </a:ln>
          <a:effectLst/>
        </c:spPr>
      </c:pivotFmt>
      <c:pivotFmt>
        <c:idx val="97"/>
        <c:spPr>
          <a:solidFill>
            <a:schemeClr val="accent1"/>
          </a:solidFill>
          <a:ln w="19050">
            <a:solidFill>
              <a:schemeClr val="lt1"/>
            </a:solidFill>
          </a:ln>
          <a:effectLst/>
        </c:spPr>
      </c:pivotFmt>
      <c:pivotFmt>
        <c:idx val="98"/>
        <c:spPr>
          <a:solidFill>
            <a:schemeClr val="accent1"/>
          </a:solidFill>
          <a:ln w="19050">
            <a:solidFill>
              <a:schemeClr val="lt1"/>
            </a:solidFill>
          </a:ln>
          <a:effectLst/>
        </c:spPr>
      </c:pivotFmt>
      <c:pivotFmt>
        <c:idx val="99"/>
        <c:spPr>
          <a:solidFill>
            <a:schemeClr val="accent1"/>
          </a:solidFill>
          <a:ln w="19050">
            <a:solidFill>
              <a:schemeClr val="lt1"/>
            </a:solidFill>
          </a:ln>
          <a:effectLst/>
        </c:spPr>
      </c:pivotFmt>
      <c:pivotFmt>
        <c:idx val="100"/>
        <c:spPr>
          <a:solidFill>
            <a:schemeClr val="accent1"/>
          </a:solidFill>
          <a:ln w="19050">
            <a:solidFill>
              <a:schemeClr val="lt1"/>
            </a:solidFill>
          </a:ln>
          <a:effectLst/>
        </c:spPr>
      </c:pivotFmt>
      <c:pivotFmt>
        <c:idx val="101"/>
        <c:spPr>
          <a:solidFill>
            <a:schemeClr val="accent1"/>
          </a:solidFill>
          <a:ln w="19050">
            <a:solidFill>
              <a:schemeClr val="lt1"/>
            </a:solidFill>
          </a:ln>
          <a:effectLst/>
        </c:spPr>
      </c:pivotFmt>
      <c:pivotFmt>
        <c:idx val="102"/>
        <c:spPr>
          <a:solidFill>
            <a:schemeClr val="accent1"/>
          </a:solidFill>
          <a:ln w="19050">
            <a:solidFill>
              <a:schemeClr val="lt1"/>
            </a:solidFill>
          </a:ln>
          <a:effectLst/>
        </c:spPr>
      </c:pivotFmt>
      <c:pivotFmt>
        <c:idx val="103"/>
        <c:spPr>
          <a:solidFill>
            <a:schemeClr val="accent1"/>
          </a:solidFill>
          <a:ln w="19050">
            <a:solidFill>
              <a:schemeClr val="lt1"/>
            </a:solidFill>
          </a:ln>
          <a:effectLst/>
        </c:spPr>
      </c:pivotFmt>
      <c:pivotFmt>
        <c:idx val="104"/>
        <c:spPr>
          <a:solidFill>
            <a:schemeClr val="accent1"/>
          </a:solidFill>
          <a:ln w="19050">
            <a:solidFill>
              <a:schemeClr val="lt1"/>
            </a:solidFill>
          </a:ln>
          <a:effectLst/>
        </c:spPr>
      </c:pivotFmt>
      <c:pivotFmt>
        <c:idx val="105"/>
        <c:spPr>
          <a:solidFill>
            <a:schemeClr val="accent1"/>
          </a:solidFill>
          <a:ln w="19050">
            <a:solidFill>
              <a:schemeClr val="lt1"/>
            </a:solidFill>
          </a:ln>
          <a:effectLst/>
        </c:spPr>
      </c:pivotFmt>
      <c:pivotFmt>
        <c:idx val="106"/>
        <c:spPr>
          <a:solidFill>
            <a:schemeClr val="accent1"/>
          </a:solidFill>
          <a:ln w="19050">
            <a:solidFill>
              <a:schemeClr val="lt1"/>
            </a:solidFill>
          </a:ln>
          <a:effectLst/>
        </c:spPr>
      </c:pivotFmt>
      <c:pivotFmt>
        <c:idx val="10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8"/>
        <c:spPr>
          <a:solidFill>
            <a:schemeClr val="accent1"/>
          </a:solidFill>
          <a:ln w="19050">
            <a:solidFill>
              <a:schemeClr val="lt1"/>
            </a:solidFill>
          </a:ln>
          <a:effectLst/>
        </c:spPr>
      </c:pivotFmt>
      <c:pivotFmt>
        <c:idx val="109"/>
        <c:spPr>
          <a:solidFill>
            <a:schemeClr val="accent1"/>
          </a:solidFill>
          <a:ln w="19050">
            <a:solidFill>
              <a:schemeClr val="lt1"/>
            </a:solidFill>
          </a:ln>
          <a:effectLst/>
        </c:spPr>
      </c:pivotFmt>
      <c:pivotFmt>
        <c:idx val="110"/>
        <c:spPr>
          <a:solidFill>
            <a:schemeClr val="accent1"/>
          </a:solidFill>
          <a:ln w="19050">
            <a:solidFill>
              <a:schemeClr val="lt1"/>
            </a:solidFill>
          </a:ln>
          <a:effectLst/>
        </c:spPr>
      </c:pivotFmt>
      <c:pivotFmt>
        <c:idx val="111"/>
        <c:spPr>
          <a:solidFill>
            <a:schemeClr val="accent1"/>
          </a:solidFill>
          <a:ln w="19050">
            <a:solidFill>
              <a:schemeClr val="lt1"/>
            </a:solidFill>
          </a:ln>
          <a:effectLst/>
        </c:spPr>
      </c:pivotFmt>
      <c:pivotFmt>
        <c:idx val="112"/>
        <c:spPr>
          <a:solidFill>
            <a:schemeClr val="accent1"/>
          </a:solidFill>
          <a:ln w="19050">
            <a:solidFill>
              <a:schemeClr val="lt1"/>
            </a:solidFill>
          </a:ln>
          <a:effectLst/>
        </c:spPr>
      </c:pivotFmt>
      <c:pivotFmt>
        <c:idx val="113"/>
        <c:spPr>
          <a:solidFill>
            <a:schemeClr val="accent1"/>
          </a:solidFill>
          <a:ln w="19050">
            <a:solidFill>
              <a:schemeClr val="lt1"/>
            </a:solidFill>
          </a:ln>
          <a:effectLst/>
        </c:spPr>
      </c:pivotFmt>
      <c:pivotFmt>
        <c:idx val="114"/>
        <c:spPr>
          <a:solidFill>
            <a:schemeClr val="accent1"/>
          </a:solidFill>
          <a:ln w="19050">
            <a:solidFill>
              <a:schemeClr val="lt1"/>
            </a:solidFill>
          </a:ln>
          <a:effectLst/>
        </c:spPr>
      </c:pivotFmt>
      <c:pivotFmt>
        <c:idx val="115"/>
        <c:spPr>
          <a:solidFill>
            <a:schemeClr val="accent1"/>
          </a:solidFill>
          <a:ln w="19050">
            <a:solidFill>
              <a:schemeClr val="lt1"/>
            </a:solidFill>
          </a:ln>
          <a:effectLst/>
        </c:spPr>
      </c:pivotFmt>
      <c:pivotFmt>
        <c:idx val="116"/>
        <c:spPr>
          <a:solidFill>
            <a:schemeClr val="accent1"/>
          </a:solidFill>
          <a:ln w="19050">
            <a:solidFill>
              <a:schemeClr val="lt1"/>
            </a:solidFill>
          </a:ln>
          <a:effectLst/>
        </c:spPr>
      </c:pivotFmt>
      <c:pivotFmt>
        <c:idx val="117"/>
        <c:spPr>
          <a:solidFill>
            <a:schemeClr val="accent1"/>
          </a:solidFill>
          <a:ln w="19050">
            <a:solidFill>
              <a:schemeClr val="lt1"/>
            </a:solidFill>
          </a:ln>
          <a:effectLst/>
        </c:spPr>
      </c:pivotFmt>
      <c:pivotFmt>
        <c:idx val="118"/>
        <c:spPr>
          <a:solidFill>
            <a:schemeClr val="accent1"/>
          </a:solidFill>
          <a:ln w="19050">
            <a:solidFill>
              <a:schemeClr val="lt1"/>
            </a:solidFill>
          </a:ln>
          <a:effectLst/>
        </c:spPr>
      </c:pivotFmt>
      <c:pivotFmt>
        <c:idx val="119"/>
        <c:spPr>
          <a:solidFill>
            <a:schemeClr val="accent1"/>
          </a:solidFill>
          <a:ln w="19050">
            <a:solidFill>
              <a:schemeClr val="lt1"/>
            </a:solidFill>
          </a:ln>
          <a:effectLst/>
        </c:spPr>
      </c:pivotFmt>
      <c:pivotFmt>
        <c:idx val="120"/>
        <c:spPr>
          <a:solidFill>
            <a:schemeClr val="accent1"/>
          </a:solidFill>
          <a:ln w="19050">
            <a:solidFill>
              <a:schemeClr val="lt1"/>
            </a:solidFill>
          </a:ln>
          <a:effectLst/>
        </c:spPr>
      </c:pivotFmt>
      <c:pivotFmt>
        <c:idx val="121"/>
        <c:spPr>
          <a:solidFill>
            <a:schemeClr val="accent1"/>
          </a:solidFill>
          <a:ln w="19050">
            <a:solidFill>
              <a:schemeClr val="lt1"/>
            </a:solidFill>
          </a:ln>
          <a:effectLst/>
        </c:spPr>
      </c:pivotFmt>
      <c:pivotFmt>
        <c:idx val="122"/>
        <c:spPr>
          <a:solidFill>
            <a:schemeClr val="accent1"/>
          </a:solidFill>
          <a:ln w="19050">
            <a:solidFill>
              <a:schemeClr val="lt1"/>
            </a:solidFill>
          </a:ln>
          <a:effectLst/>
        </c:spPr>
      </c:pivotFmt>
      <c:pivotFmt>
        <c:idx val="123"/>
        <c:spPr>
          <a:solidFill>
            <a:schemeClr val="accent1"/>
          </a:solidFill>
          <a:ln w="19050">
            <a:solidFill>
              <a:schemeClr val="lt1"/>
            </a:solidFill>
          </a:ln>
          <a:effectLst/>
        </c:spPr>
      </c:pivotFmt>
      <c:pivotFmt>
        <c:idx val="124"/>
        <c:spPr>
          <a:solidFill>
            <a:schemeClr val="accent1"/>
          </a:solidFill>
          <a:ln w="19050">
            <a:solidFill>
              <a:schemeClr val="lt1"/>
            </a:solidFill>
          </a:ln>
          <a:effectLst/>
        </c:spPr>
      </c:pivotFmt>
      <c:pivotFmt>
        <c:idx val="125"/>
        <c:spPr>
          <a:solidFill>
            <a:schemeClr val="accent1"/>
          </a:solidFill>
          <a:ln w="19050">
            <a:solidFill>
              <a:schemeClr val="lt1"/>
            </a:solidFill>
          </a:ln>
          <a:effectLst/>
        </c:spPr>
      </c:pivotFmt>
      <c:pivotFmt>
        <c:idx val="126"/>
        <c:spPr>
          <a:solidFill>
            <a:schemeClr val="accent1"/>
          </a:solidFill>
          <a:ln w="19050">
            <a:solidFill>
              <a:schemeClr val="lt1"/>
            </a:solidFill>
          </a:ln>
          <a:effectLst/>
        </c:spPr>
      </c:pivotFmt>
      <c:pivotFmt>
        <c:idx val="127"/>
        <c:spPr>
          <a:solidFill>
            <a:schemeClr val="accent1"/>
          </a:solidFill>
          <a:ln w="19050">
            <a:solidFill>
              <a:schemeClr val="lt1"/>
            </a:solidFill>
          </a:ln>
          <a:effectLst/>
        </c:spPr>
      </c:pivotFmt>
    </c:pivotFmts>
    <c:plotArea>
      <c:layout/>
      <c:doughnutChart>
        <c:varyColors val="1"/>
        <c:ser>
          <c:idx val="0"/>
          <c:order val="0"/>
          <c:tx>
            <c:strRef>
              <c:f>Pivot!$B$4</c:f>
              <c:strCache>
                <c:ptCount val="1"/>
                <c:pt idx="0">
                  <c:v>Count of Risk_Category</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B06-47D2-AEDB-6189C0B3BFA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B06-47D2-AEDB-6189C0B3BFA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B06-47D2-AEDB-6189C0B3BFA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7B06-47D2-AEDB-6189C0B3BFA5}"/>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7B06-47D2-AEDB-6189C0B3BFA5}"/>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7B06-47D2-AEDB-6189C0B3BFA5}"/>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7B06-47D2-AEDB-6189C0B3BFA5}"/>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7B06-47D2-AEDB-6189C0B3BFA5}"/>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7B06-47D2-AEDB-6189C0B3BFA5}"/>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7B06-47D2-AEDB-6189C0B3BFA5}"/>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7B06-47D2-AEDB-6189C0B3BFA5}"/>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7B06-47D2-AEDB-6189C0B3BFA5}"/>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19-7B06-47D2-AEDB-6189C0B3BFA5}"/>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1B-7B06-47D2-AEDB-6189C0B3BFA5}"/>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1D-7B06-47D2-AEDB-6189C0B3BFA5}"/>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1F-7B06-47D2-AEDB-6189C0B3BFA5}"/>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21-7B06-47D2-AEDB-6189C0B3BFA5}"/>
              </c:ext>
            </c:extLst>
          </c:dPt>
          <c:dPt>
            <c:idx val="1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23-7B06-47D2-AEDB-6189C0B3BFA5}"/>
              </c:ext>
            </c:extLst>
          </c:dPt>
          <c:dPt>
            <c:idx val="18"/>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025-7B06-47D2-AEDB-6189C0B3BFA5}"/>
              </c:ext>
            </c:extLst>
          </c:dPt>
          <c:dPt>
            <c:idx val="19"/>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027-7B06-47D2-AEDB-6189C0B3BFA5}"/>
              </c:ext>
            </c:extLst>
          </c:dPt>
          <c:cat>
            <c:strRef>
              <c:f>Pivot!$A$5:$A$25</c:f>
              <c:strCache>
                <c:ptCount val="20"/>
                <c:pt idx="0">
                  <c:v>AI Engineer</c:v>
                </c:pt>
                <c:pt idx="1">
                  <c:v>Chef</c:v>
                </c:pt>
                <c:pt idx="2">
                  <c:v>Construction Worker</c:v>
                </c:pt>
                <c:pt idx="3">
                  <c:v>Customer Support</c:v>
                </c:pt>
                <c:pt idx="4">
                  <c:v>Data Scientist</c:v>
                </c:pt>
                <c:pt idx="5">
                  <c:v>Doctor</c:v>
                </c:pt>
                <c:pt idx="6">
                  <c:v>Financial Analyst</c:v>
                </c:pt>
                <c:pt idx="7">
                  <c:v>Graphic Designer</c:v>
                </c:pt>
                <c:pt idx="8">
                  <c:v>HR Specialist</c:v>
                </c:pt>
                <c:pt idx="9">
                  <c:v>Lawyer</c:v>
                </c:pt>
                <c:pt idx="10">
                  <c:v>Marketing Manager</c:v>
                </c:pt>
                <c:pt idx="11">
                  <c:v>Mechanic</c:v>
                </c:pt>
                <c:pt idx="12">
                  <c:v>Nurse</c:v>
                </c:pt>
                <c:pt idx="13">
                  <c:v>Research Scientist</c:v>
                </c:pt>
                <c:pt idx="14">
                  <c:v>Retail Worker</c:v>
                </c:pt>
                <c:pt idx="15">
                  <c:v>Security Guard</c:v>
                </c:pt>
                <c:pt idx="16">
                  <c:v>Software Engineer</c:v>
                </c:pt>
                <c:pt idx="17">
                  <c:v>Teacher</c:v>
                </c:pt>
                <c:pt idx="18">
                  <c:v>Truck Driver</c:v>
                </c:pt>
                <c:pt idx="19">
                  <c:v>UX Researcher</c:v>
                </c:pt>
              </c:strCache>
            </c:strRef>
          </c:cat>
          <c:val>
            <c:numRef>
              <c:f>Pivot!$B$5:$B$25</c:f>
              <c:numCache>
                <c:formatCode>General</c:formatCode>
                <c:ptCount val="20"/>
                <c:pt idx="0">
                  <c:v>140</c:v>
                </c:pt>
                <c:pt idx="1">
                  <c:v>141</c:v>
                </c:pt>
                <c:pt idx="2">
                  <c:v>156</c:v>
                </c:pt>
                <c:pt idx="3">
                  <c:v>133</c:v>
                </c:pt>
                <c:pt idx="4">
                  <c:v>167</c:v>
                </c:pt>
                <c:pt idx="5">
                  <c:v>132</c:v>
                </c:pt>
                <c:pt idx="6">
                  <c:v>151</c:v>
                </c:pt>
                <c:pt idx="7">
                  <c:v>160</c:v>
                </c:pt>
                <c:pt idx="8">
                  <c:v>157</c:v>
                </c:pt>
                <c:pt idx="9">
                  <c:v>132</c:v>
                </c:pt>
                <c:pt idx="10">
                  <c:v>134</c:v>
                </c:pt>
                <c:pt idx="11">
                  <c:v>136</c:v>
                </c:pt>
                <c:pt idx="12">
                  <c:v>142</c:v>
                </c:pt>
                <c:pt idx="13">
                  <c:v>149</c:v>
                </c:pt>
                <c:pt idx="14">
                  <c:v>155</c:v>
                </c:pt>
                <c:pt idx="15">
                  <c:v>154</c:v>
                </c:pt>
                <c:pt idx="16">
                  <c:v>175</c:v>
                </c:pt>
                <c:pt idx="17">
                  <c:v>166</c:v>
                </c:pt>
                <c:pt idx="18">
                  <c:v>153</c:v>
                </c:pt>
                <c:pt idx="19">
                  <c:v>167</c:v>
                </c:pt>
              </c:numCache>
            </c:numRef>
          </c:val>
          <c:extLst>
            <c:ext xmlns:c16="http://schemas.microsoft.com/office/drawing/2014/chart" uri="{C3380CC4-5D6E-409C-BE32-E72D297353CC}">
              <c16:uniqueId val="{00000028-7B06-47D2-AEDB-6189C0B3BFA5}"/>
            </c:ext>
          </c:extLst>
        </c:ser>
        <c:ser>
          <c:idx val="1"/>
          <c:order val="1"/>
          <c:tx>
            <c:strRef>
              <c:f>Pivot!$C$4</c:f>
              <c:strCache>
                <c:ptCount val="1"/>
                <c:pt idx="0">
                  <c:v>Avg_Salary</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2A-7B06-47D2-AEDB-6189C0B3BFA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2C-7B06-47D2-AEDB-6189C0B3BFA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2E-7B06-47D2-AEDB-6189C0B3BFA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30-7B06-47D2-AEDB-6189C0B3BFA5}"/>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32-7B06-47D2-AEDB-6189C0B3BFA5}"/>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34-7B06-47D2-AEDB-6189C0B3BFA5}"/>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36-7B06-47D2-AEDB-6189C0B3BFA5}"/>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38-7B06-47D2-AEDB-6189C0B3BFA5}"/>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3A-7B06-47D2-AEDB-6189C0B3BFA5}"/>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3C-7B06-47D2-AEDB-6189C0B3BFA5}"/>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3E-7B06-47D2-AEDB-6189C0B3BFA5}"/>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40-7B06-47D2-AEDB-6189C0B3BFA5}"/>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42-7B06-47D2-AEDB-6189C0B3BFA5}"/>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44-7B06-47D2-AEDB-6189C0B3BFA5}"/>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46-7B06-47D2-AEDB-6189C0B3BFA5}"/>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48-7B06-47D2-AEDB-6189C0B3BFA5}"/>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4A-7B06-47D2-AEDB-6189C0B3BFA5}"/>
              </c:ext>
            </c:extLst>
          </c:dPt>
          <c:dPt>
            <c:idx val="1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4C-7B06-47D2-AEDB-6189C0B3BFA5}"/>
              </c:ext>
            </c:extLst>
          </c:dPt>
          <c:dPt>
            <c:idx val="18"/>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04E-7B06-47D2-AEDB-6189C0B3BFA5}"/>
              </c:ext>
            </c:extLst>
          </c:dPt>
          <c:dPt>
            <c:idx val="19"/>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050-7B06-47D2-AEDB-6189C0B3BFA5}"/>
              </c:ext>
            </c:extLst>
          </c:dPt>
          <c:cat>
            <c:strRef>
              <c:f>Pivot!$A$5:$A$25</c:f>
              <c:strCache>
                <c:ptCount val="20"/>
                <c:pt idx="0">
                  <c:v>AI Engineer</c:v>
                </c:pt>
                <c:pt idx="1">
                  <c:v>Chef</c:v>
                </c:pt>
                <c:pt idx="2">
                  <c:v>Construction Worker</c:v>
                </c:pt>
                <c:pt idx="3">
                  <c:v>Customer Support</c:v>
                </c:pt>
                <c:pt idx="4">
                  <c:v>Data Scientist</c:v>
                </c:pt>
                <c:pt idx="5">
                  <c:v>Doctor</c:v>
                </c:pt>
                <c:pt idx="6">
                  <c:v>Financial Analyst</c:v>
                </c:pt>
                <c:pt idx="7">
                  <c:v>Graphic Designer</c:v>
                </c:pt>
                <c:pt idx="8">
                  <c:v>HR Specialist</c:v>
                </c:pt>
                <c:pt idx="9">
                  <c:v>Lawyer</c:v>
                </c:pt>
                <c:pt idx="10">
                  <c:v>Marketing Manager</c:v>
                </c:pt>
                <c:pt idx="11">
                  <c:v>Mechanic</c:v>
                </c:pt>
                <c:pt idx="12">
                  <c:v>Nurse</c:v>
                </c:pt>
                <c:pt idx="13">
                  <c:v>Research Scientist</c:v>
                </c:pt>
                <c:pt idx="14">
                  <c:v>Retail Worker</c:v>
                </c:pt>
                <c:pt idx="15">
                  <c:v>Security Guard</c:v>
                </c:pt>
                <c:pt idx="16">
                  <c:v>Software Engineer</c:v>
                </c:pt>
                <c:pt idx="17">
                  <c:v>Teacher</c:v>
                </c:pt>
                <c:pt idx="18">
                  <c:v>Truck Driver</c:v>
                </c:pt>
                <c:pt idx="19">
                  <c:v>UX Researcher</c:v>
                </c:pt>
              </c:strCache>
            </c:strRef>
          </c:cat>
          <c:val>
            <c:numRef>
              <c:f>Pivot!$C$5:$C$25</c:f>
              <c:numCache>
                <c:formatCode>General</c:formatCode>
                <c:ptCount val="20"/>
                <c:pt idx="0">
                  <c:v>90759.828571428574</c:v>
                </c:pt>
                <c:pt idx="1">
                  <c:v>91407.801418439718</c:v>
                </c:pt>
                <c:pt idx="2">
                  <c:v>90800.333333333328</c:v>
                </c:pt>
                <c:pt idx="3">
                  <c:v>87487</c:v>
                </c:pt>
                <c:pt idx="4">
                  <c:v>90629.550898203597</c:v>
                </c:pt>
                <c:pt idx="5">
                  <c:v>89091.742424242431</c:v>
                </c:pt>
                <c:pt idx="6">
                  <c:v>88030.311258278147</c:v>
                </c:pt>
                <c:pt idx="7">
                  <c:v>96423.46875</c:v>
                </c:pt>
                <c:pt idx="8">
                  <c:v>89242.254777070062</c:v>
                </c:pt>
                <c:pt idx="9">
                  <c:v>92441.878787878784</c:v>
                </c:pt>
                <c:pt idx="10">
                  <c:v>86458.111940298506</c:v>
                </c:pt>
                <c:pt idx="11">
                  <c:v>89807.647058823524</c:v>
                </c:pt>
                <c:pt idx="12">
                  <c:v>88955.323943661977</c:v>
                </c:pt>
                <c:pt idx="13">
                  <c:v>87204.744966442959</c:v>
                </c:pt>
                <c:pt idx="14">
                  <c:v>87208.412903225806</c:v>
                </c:pt>
                <c:pt idx="15">
                  <c:v>87290.435064935067</c:v>
                </c:pt>
                <c:pt idx="16">
                  <c:v>90264.73714285715</c:v>
                </c:pt>
                <c:pt idx="17">
                  <c:v>90885.759036144576</c:v>
                </c:pt>
                <c:pt idx="18">
                  <c:v>84519.92810457517</c:v>
                </c:pt>
                <c:pt idx="19">
                  <c:v>87982.419161676647</c:v>
                </c:pt>
              </c:numCache>
            </c:numRef>
          </c:val>
          <c:extLst>
            <c:ext xmlns:c16="http://schemas.microsoft.com/office/drawing/2014/chart" uri="{C3380CC4-5D6E-409C-BE32-E72D297353CC}">
              <c16:uniqueId val="{00000051-7B06-47D2-AEDB-6189C0B3BFA5}"/>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[Analysis job risk by Abhishek Kumar.xlsx]Pivot!PivotTable4</c:name>
    <c:fmtId val="3"/>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chemeClr val="tx1"/>
                </a:solidFill>
                <a:latin typeface="+mn-lt"/>
                <a:ea typeface="+mn-ea"/>
                <a:cs typeface="+mn-cs"/>
              </a:defRPr>
            </a:pPr>
            <a:r>
              <a:rPr lang="en-IN">
                <a:solidFill>
                  <a:schemeClr val="tx1"/>
                </a:solidFill>
              </a:rPr>
              <a:t>Job vs Automation Probability</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Pivot!$J$21</c:f>
              <c:strCache>
                <c:ptCount val="1"/>
                <c:pt idx="0">
                  <c:v>Total</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Pivot!$I$22:$I$32</c:f>
              <c:strCache>
                <c:ptCount val="10"/>
                <c:pt idx="0">
                  <c:v>Retail Worker</c:v>
                </c:pt>
                <c:pt idx="1">
                  <c:v>Security Guard</c:v>
                </c:pt>
                <c:pt idx="2">
                  <c:v>Construction Worker</c:v>
                </c:pt>
                <c:pt idx="3">
                  <c:v>Customer Support</c:v>
                </c:pt>
                <c:pt idx="4">
                  <c:v>Truck Driver</c:v>
                </c:pt>
                <c:pt idx="5">
                  <c:v>Graphic Designer</c:v>
                </c:pt>
                <c:pt idx="6">
                  <c:v>Software Engineer</c:v>
                </c:pt>
                <c:pt idx="7">
                  <c:v>Data Scientist</c:v>
                </c:pt>
                <c:pt idx="8">
                  <c:v>Chef</c:v>
                </c:pt>
                <c:pt idx="9">
                  <c:v>Marketing Manager</c:v>
                </c:pt>
              </c:strCache>
            </c:strRef>
          </c:cat>
          <c:val>
            <c:numRef>
              <c:f>Pivot!$J$22:$J$32</c:f>
              <c:numCache>
                <c:formatCode>0.00</c:formatCode>
                <c:ptCount val="10"/>
                <c:pt idx="0">
                  <c:v>0.83470967741935465</c:v>
                </c:pt>
                <c:pt idx="1">
                  <c:v>0.83305194805194804</c:v>
                </c:pt>
                <c:pt idx="2">
                  <c:v>0.82596153846153819</c:v>
                </c:pt>
                <c:pt idx="3">
                  <c:v>0.82526315789473692</c:v>
                </c:pt>
                <c:pt idx="4">
                  <c:v>0.81862745098039225</c:v>
                </c:pt>
                <c:pt idx="5">
                  <c:v>0.52899999999999969</c:v>
                </c:pt>
                <c:pt idx="6">
                  <c:v>0.5086857142857143</c:v>
                </c:pt>
                <c:pt idx="7">
                  <c:v>0.49628742514970076</c:v>
                </c:pt>
                <c:pt idx="8">
                  <c:v>0.49567375886524812</c:v>
                </c:pt>
                <c:pt idx="9">
                  <c:v>0.49477611940298494</c:v>
                </c:pt>
              </c:numCache>
            </c:numRef>
          </c:val>
          <c:extLst>
            <c:ext xmlns:c16="http://schemas.microsoft.com/office/drawing/2014/chart" uri="{C3380CC4-5D6E-409C-BE32-E72D297353CC}">
              <c16:uniqueId val="{00000000-B4D3-4782-8445-8F304456D330}"/>
            </c:ext>
          </c:extLst>
        </c:ser>
        <c:dLbls>
          <c:dLblPos val="outEnd"/>
          <c:showLegendKey val="0"/>
          <c:showVal val="1"/>
          <c:showCatName val="0"/>
          <c:showSerName val="0"/>
          <c:showPercent val="0"/>
          <c:showBubbleSize val="0"/>
        </c:dLbls>
        <c:gapWidth val="219"/>
        <c:overlap val="-27"/>
        <c:axId val="1633603071"/>
        <c:axId val="1633593471"/>
      </c:barChart>
      <c:catAx>
        <c:axId val="163360307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633593471"/>
        <c:crosses val="autoZero"/>
        <c:auto val="1"/>
        <c:lblAlgn val="ctr"/>
        <c:lblOffset val="100"/>
        <c:noMultiLvlLbl val="0"/>
      </c:catAx>
      <c:valAx>
        <c:axId val="1633593471"/>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3603071"/>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IN" sz="1400" b="0" i="0" u="none" strike="noStrike" baseline="0">
                <a:solidFill>
                  <a:schemeClr val="tx1"/>
                </a:solidFill>
              </a:rPr>
              <a:t>AI Exposure vs Automation Probability</a:t>
            </a:r>
            <a:endParaRPr lang="en-IN">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IN"/>
        </a:p>
      </c:txPr>
    </c:title>
    <c:autoTitleDeleted val="0"/>
    <c:plotArea>
      <c:layout/>
      <c:scatterChart>
        <c:scatterStyle val="lineMarker"/>
        <c:varyColors val="0"/>
        <c:ser>
          <c:idx val="0"/>
          <c:order val="0"/>
          <c:tx>
            <c:strRef>
              <c:f>'AI Impact on Jobs 2030 - Sheet1'!$G$1</c:f>
              <c:strCache>
                <c:ptCount val="1"/>
                <c:pt idx="0">
                  <c:v>Automation_Probability_2030</c:v>
                </c:pt>
              </c:strCache>
            </c:strRef>
          </c:tx>
          <c:spPr>
            <a:ln w="19050" cap="rnd">
              <a:noFill/>
              <a:round/>
            </a:ln>
            <a:effectLst/>
          </c:spPr>
          <c:marker>
            <c:symbol val="circle"/>
            <c:size val="5"/>
            <c:spPr>
              <a:solidFill>
                <a:schemeClr val="accent1"/>
              </a:solidFill>
              <a:ln w="9525">
                <a:solidFill>
                  <a:schemeClr val="accent1"/>
                </a:solidFill>
              </a:ln>
              <a:effectLst/>
            </c:spPr>
          </c:marker>
          <c:xVal>
            <c:numRef>
              <c:f>'AI Impact on Jobs 2030 - Sheet1'!$F$2:$F$3001</c:f>
              <c:numCache>
                <c:formatCode>General</c:formatCode>
                <c:ptCount val="3000"/>
                <c:pt idx="0">
                  <c:v>0.18</c:v>
                </c:pt>
                <c:pt idx="1">
                  <c:v>0.62</c:v>
                </c:pt>
                <c:pt idx="2">
                  <c:v>0.86</c:v>
                </c:pt>
                <c:pt idx="3">
                  <c:v>0.39</c:v>
                </c:pt>
                <c:pt idx="4">
                  <c:v>0.52</c:v>
                </c:pt>
                <c:pt idx="5">
                  <c:v>0.28999999999999998</c:v>
                </c:pt>
                <c:pt idx="6">
                  <c:v>0.67</c:v>
                </c:pt>
                <c:pt idx="7">
                  <c:v>0.2</c:v>
                </c:pt>
                <c:pt idx="8">
                  <c:v>0.3</c:v>
                </c:pt>
                <c:pt idx="9">
                  <c:v>0.01</c:v>
                </c:pt>
                <c:pt idx="10">
                  <c:v>0.5</c:v>
                </c:pt>
                <c:pt idx="11">
                  <c:v>0.67</c:v>
                </c:pt>
                <c:pt idx="12">
                  <c:v>0.68</c:v>
                </c:pt>
                <c:pt idx="13">
                  <c:v>0.26</c:v>
                </c:pt>
                <c:pt idx="14">
                  <c:v>0.89</c:v>
                </c:pt>
                <c:pt idx="15">
                  <c:v>0.65</c:v>
                </c:pt>
                <c:pt idx="16">
                  <c:v>0.97</c:v>
                </c:pt>
                <c:pt idx="17">
                  <c:v>0.94</c:v>
                </c:pt>
                <c:pt idx="18">
                  <c:v>0.17</c:v>
                </c:pt>
                <c:pt idx="19">
                  <c:v>0.55000000000000004</c:v>
                </c:pt>
                <c:pt idx="20">
                  <c:v>0.09</c:v>
                </c:pt>
                <c:pt idx="21">
                  <c:v>0.22</c:v>
                </c:pt>
                <c:pt idx="22">
                  <c:v>0.08</c:v>
                </c:pt>
                <c:pt idx="23">
                  <c:v>0.74</c:v>
                </c:pt>
                <c:pt idx="24">
                  <c:v>0.1</c:v>
                </c:pt>
                <c:pt idx="25">
                  <c:v>0.16</c:v>
                </c:pt>
                <c:pt idx="26">
                  <c:v>0.91</c:v>
                </c:pt>
                <c:pt idx="27">
                  <c:v>0.7</c:v>
                </c:pt>
                <c:pt idx="28">
                  <c:v>0.93</c:v>
                </c:pt>
                <c:pt idx="29">
                  <c:v>0.09</c:v>
                </c:pt>
                <c:pt idx="30">
                  <c:v>0.49</c:v>
                </c:pt>
                <c:pt idx="31">
                  <c:v>0.82</c:v>
                </c:pt>
                <c:pt idx="32">
                  <c:v>0.56000000000000005</c:v>
                </c:pt>
                <c:pt idx="33">
                  <c:v>0.37</c:v>
                </c:pt>
                <c:pt idx="34">
                  <c:v>0.52</c:v>
                </c:pt>
                <c:pt idx="35">
                  <c:v>0.19</c:v>
                </c:pt>
                <c:pt idx="36">
                  <c:v>0.82</c:v>
                </c:pt>
                <c:pt idx="37">
                  <c:v>0.38</c:v>
                </c:pt>
                <c:pt idx="38">
                  <c:v>0.94</c:v>
                </c:pt>
                <c:pt idx="39">
                  <c:v>0.77</c:v>
                </c:pt>
                <c:pt idx="40">
                  <c:v>0.98</c:v>
                </c:pt>
                <c:pt idx="41">
                  <c:v>0.84</c:v>
                </c:pt>
                <c:pt idx="42">
                  <c:v>0.18</c:v>
                </c:pt>
                <c:pt idx="43">
                  <c:v>0.21</c:v>
                </c:pt>
                <c:pt idx="44">
                  <c:v>0.99</c:v>
                </c:pt>
                <c:pt idx="45">
                  <c:v>0.87</c:v>
                </c:pt>
                <c:pt idx="46">
                  <c:v>0.65</c:v>
                </c:pt>
                <c:pt idx="47">
                  <c:v>0.93</c:v>
                </c:pt>
                <c:pt idx="48">
                  <c:v>0.4</c:v>
                </c:pt>
                <c:pt idx="49">
                  <c:v>0.43</c:v>
                </c:pt>
                <c:pt idx="50">
                  <c:v>0.99</c:v>
                </c:pt>
                <c:pt idx="51">
                  <c:v>0.99</c:v>
                </c:pt>
                <c:pt idx="52">
                  <c:v>0.91</c:v>
                </c:pt>
                <c:pt idx="53">
                  <c:v>7.0000000000000007E-2</c:v>
                </c:pt>
                <c:pt idx="54">
                  <c:v>0.71</c:v>
                </c:pt>
                <c:pt idx="55">
                  <c:v>0.49</c:v>
                </c:pt>
                <c:pt idx="56">
                  <c:v>0.61</c:v>
                </c:pt>
                <c:pt idx="57">
                  <c:v>7.0000000000000007E-2</c:v>
                </c:pt>
                <c:pt idx="58">
                  <c:v>0.38</c:v>
                </c:pt>
                <c:pt idx="59">
                  <c:v>0.91</c:v>
                </c:pt>
                <c:pt idx="60">
                  <c:v>0.86</c:v>
                </c:pt>
                <c:pt idx="61">
                  <c:v>0.28999999999999998</c:v>
                </c:pt>
                <c:pt idx="62">
                  <c:v>0.03</c:v>
                </c:pt>
                <c:pt idx="63">
                  <c:v>0.1</c:v>
                </c:pt>
                <c:pt idx="64">
                  <c:v>0.18</c:v>
                </c:pt>
                <c:pt idx="65">
                  <c:v>0.22</c:v>
                </c:pt>
                <c:pt idx="66">
                  <c:v>0.65</c:v>
                </c:pt>
                <c:pt idx="67">
                  <c:v>0.11</c:v>
                </c:pt>
                <c:pt idx="68">
                  <c:v>0.96</c:v>
                </c:pt>
                <c:pt idx="69">
                  <c:v>0.48</c:v>
                </c:pt>
                <c:pt idx="70">
                  <c:v>0.6</c:v>
                </c:pt>
                <c:pt idx="71">
                  <c:v>0.54</c:v>
                </c:pt>
                <c:pt idx="72">
                  <c:v>0.93</c:v>
                </c:pt>
                <c:pt idx="73">
                  <c:v>0.83</c:v>
                </c:pt>
                <c:pt idx="74">
                  <c:v>0.63</c:v>
                </c:pt>
                <c:pt idx="75">
                  <c:v>0.4</c:v>
                </c:pt>
                <c:pt idx="76">
                  <c:v>0.23</c:v>
                </c:pt>
                <c:pt idx="77">
                  <c:v>0.61</c:v>
                </c:pt>
                <c:pt idx="78">
                  <c:v>0.06</c:v>
                </c:pt>
                <c:pt idx="79">
                  <c:v>0.59</c:v>
                </c:pt>
                <c:pt idx="80">
                  <c:v>0.37</c:v>
                </c:pt>
                <c:pt idx="81">
                  <c:v>0.68</c:v>
                </c:pt>
                <c:pt idx="82">
                  <c:v>0.16</c:v>
                </c:pt>
                <c:pt idx="83">
                  <c:v>0.62</c:v>
                </c:pt>
                <c:pt idx="84">
                  <c:v>0.1</c:v>
                </c:pt>
                <c:pt idx="85">
                  <c:v>0.75</c:v>
                </c:pt>
                <c:pt idx="86">
                  <c:v>0.16</c:v>
                </c:pt>
                <c:pt idx="87">
                  <c:v>0.4</c:v>
                </c:pt>
                <c:pt idx="88">
                  <c:v>0.87</c:v>
                </c:pt>
                <c:pt idx="89">
                  <c:v>0.69</c:v>
                </c:pt>
                <c:pt idx="90">
                  <c:v>0.6</c:v>
                </c:pt>
                <c:pt idx="91">
                  <c:v>0.56000000000000005</c:v>
                </c:pt>
                <c:pt idx="92">
                  <c:v>0.17</c:v>
                </c:pt>
                <c:pt idx="93">
                  <c:v>0.66</c:v>
                </c:pt>
                <c:pt idx="94">
                  <c:v>0.47</c:v>
                </c:pt>
                <c:pt idx="95">
                  <c:v>0.42</c:v>
                </c:pt>
                <c:pt idx="96">
                  <c:v>0.03</c:v>
                </c:pt>
                <c:pt idx="97">
                  <c:v>0.91</c:v>
                </c:pt>
                <c:pt idx="98">
                  <c:v>0.39</c:v>
                </c:pt>
                <c:pt idx="99">
                  <c:v>0.15</c:v>
                </c:pt>
                <c:pt idx="100">
                  <c:v>0.56000000000000005</c:v>
                </c:pt>
                <c:pt idx="101">
                  <c:v>0.4</c:v>
                </c:pt>
                <c:pt idx="102">
                  <c:v>0.94</c:v>
                </c:pt>
                <c:pt idx="103">
                  <c:v>0.83</c:v>
                </c:pt>
                <c:pt idx="104">
                  <c:v>0.32</c:v>
                </c:pt>
                <c:pt idx="105">
                  <c:v>0.87</c:v>
                </c:pt>
                <c:pt idx="106">
                  <c:v>0.59</c:v>
                </c:pt>
                <c:pt idx="107">
                  <c:v>0.48</c:v>
                </c:pt>
                <c:pt idx="108">
                  <c:v>0.48</c:v>
                </c:pt>
                <c:pt idx="109">
                  <c:v>0.52</c:v>
                </c:pt>
                <c:pt idx="110">
                  <c:v>0.11</c:v>
                </c:pt>
                <c:pt idx="111">
                  <c:v>0.82</c:v>
                </c:pt>
                <c:pt idx="112">
                  <c:v>0.61</c:v>
                </c:pt>
                <c:pt idx="113">
                  <c:v>0.13</c:v>
                </c:pt>
                <c:pt idx="114">
                  <c:v>7.0000000000000007E-2</c:v>
                </c:pt>
                <c:pt idx="115">
                  <c:v>0.33</c:v>
                </c:pt>
                <c:pt idx="116">
                  <c:v>0.38</c:v>
                </c:pt>
                <c:pt idx="117">
                  <c:v>0.16</c:v>
                </c:pt>
                <c:pt idx="118">
                  <c:v>0.79</c:v>
                </c:pt>
                <c:pt idx="119">
                  <c:v>0.32</c:v>
                </c:pt>
                <c:pt idx="120">
                  <c:v>0.32</c:v>
                </c:pt>
                <c:pt idx="121">
                  <c:v>0.28000000000000003</c:v>
                </c:pt>
                <c:pt idx="122">
                  <c:v>0.43</c:v>
                </c:pt>
                <c:pt idx="123">
                  <c:v>0.85</c:v>
                </c:pt>
                <c:pt idx="124">
                  <c:v>0.79</c:v>
                </c:pt>
                <c:pt idx="125">
                  <c:v>0.84</c:v>
                </c:pt>
                <c:pt idx="126">
                  <c:v>0.32</c:v>
                </c:pt>
                <c:pt idx="127">
                  <c:v>0.52</c:v>
                </c:pt>
                <c:pt idx="128">
                  <c:v>0.99</c:v>
                </c:pt>
                <c:pt idx="129">
                  <c:v>0.62</c:v>
                </c:pt>
                <c:pt idx="130">
                  <c:v>0.57999999999999996</c:v>
                </c:pt>
                <c:pt idx="131">
                  <c:v>0.12</c:v>
                </c:pt>
                <c:pt idx="132">
                  <c:v>0.78</c:v>
                </c:pt>
                <c:pt idx="133">
                  <c:v>0.73</c:v>
                </c:pt>
                <c:pt idx="134">
                  <c:v>0.73</c:v>
                </c:pt>
                <c:pt idx="135">
                  <c:v>0.76</c:v>
                </c:pt>
                <c:pt idx="136">
                  <c:v>0.89</c:v>
                </c:pt>
                <c:pt idx="137">
                  <c:v>0.57999999999999996</c:v>
                </c:pt>
                <c:pt idx="138">
                  <c:v>0.79</c:v>
                </c:pt>
                <c:pt idx="139">
                  <c:v>0.64</c:v>
                </c:pt>
                <c:pt idx="140">
                  <c:v>0.27</c:v>
                </c:pt>
                <c:pt idx="141">
                  <c:v>0.73</c:v>
                </c:pt>
                <c:pt idx="142">
                  <c:v>0.26</c:v>
                </c:pt>
                <c:pt idx="143">
                  <c:v>0.53</c:v>
                </c:pt>
                <c:pt idx="144">
                  <c:v>0.26</c:v>
                </c:pt>
                <c:pt idx="145">
                  <c:v>0.52</c:v>
                </c:pt>
                <c:pt idx="146">
                  <c:v>0.46</c:v>
                </c:pt>
                <c:pt idx="147">
                  <c:v>0.76</c:v>
                </c:pt>
                <c:pt idx="148">
                  <c:v>0.54</c:v>
                </c:pt>
                <c:pt idx="149">
                  <c:v>0.64</c:v>
                </c:pt>
                <c:pt idx="150">
                  <c:v>0.89</c:v>
                </c:pt>
                <c:pt idx="151">
                  <c:v>0.17</c:v>
                </c:pt>
                <c:pt idx="152">
                  <c:v>0.54</c:v>
                </c:pt>
                <c:pt idx="153">
                  <c:v>0.24</c:v>
                </c:pt>
                <c:pt idx="154">
                  <c:v>0.31</c:v>
                </c:pt>
                <c:pt idx="155">
                  <c:v>0.41</c:v>
                </c:pt>
                <c:pt idx="156">
                  <c:v>0.38</c:v>
                </c:pt>
                <c:pt idx="157">
                  <c:v>0.84</c:v>
                </c:pt>
                <c:pt idx="158">
                  <c:v>0.28000000000000003</c:v>
                </c:pt>
                <c:pt idx="159">
                  <c:v>0.84</c:v>
                </c:pt>
                <c:pt idx="160">
                  <c:v>0.06</c:v>
                </c:pt>
                <c:pt idx="161">
                  <c:v>0.64</c:v>
                </c:pt>
                <c:pt idx="162">
                  <c:v>0.04</c:v>
                </c:pt>
                <c:pt idx="163">
                  <c:v>0.05</c:v>
                </c:pt>
                <c:pt idx="164">
                  <c:v>0.88</c:v>
                </c:pt>
                <c:pt idx="165">
                  <c:v>0.3</c:v>
                </c:pt>
                <c:pt idx="166">
                  <c:v>0.09</c:v>
                </c:pt>
                <c:pt idx="167">
                  <c:v>0.12</c:v>
                </c:pt>
                <c:pt idx="168">
                  <c:v>0.91</c:v>
                </c:pt>
                <c:pt idx="169">
                  <c:v>0.38</c:v>
                </c:pt>
                <c:pt idx="170">
                  <c:v>0.04</c:v>
                </c:pt>
                <c:pt idx="171">
                  <c:v>0.57999999999999996</c:v>
                </c:pt>
                <c:pt idx="172">
                  <c:v>0.31</c:v>
                </c:pt>
                <c:pt idx="173">
                  <c:v>0.03</c:v>
                </c:pt>
                <c:pt idx="174">
                  <c:v>0.68</c:v>
                </c:pt>
                <c:pt idx="175">
                  <c:v>0.79</c:v>
                </c:pt>
                <c:pt idx="176">
                  <c:v>0.55000000000000004</c:v>
                </c:pt>
                <c:pt idx="177">
                  <c:v>0.56000000000000005</c:v>
                </c:pt>
                <c:pt idx="178">
                  <c:v>0.85</c:v>
                </c:pt>
                <c:pt idx="179">
                  <c:v>0.69</c:v>
                </c:pt>
                <c:pt idx="180">
                  <c:v>0.74</c:v>
                </c:pt>
                <c:pt idx="181">
                  <c:v>0.41</c:v>
                </c:pt>
                <c:pt idx="182">
                  <c:v>0.05</c:v>
                </c:pt>
                <c:pt idx="183">
                  <c:v>0.98</c:v>
                </c:pt>
                <c:pt idx="184">
                  <c:v>0.82</c:v>
                </c:pt>
                <c:pt idx="185">
                  <c:v>0</c:v>
                </c:pt>
                <c:pt idx="186">
                  <c:v>0.84</c:v>
                </c:pt>
                <c:pt idx="187">
                  <c:v>0.14000000000000001</c:v>
                </c:pt>
                <c:pt idx="188">
                  <c:v>0.39</c:v>
                </c:pt>
                <c:pt idx="189">
                  <c:v>0.73</c:v>
                </c:pt>
                <c:pt idx="190">
                  <c:v>0.09</c:v>
                </c:pt>
                <c:pt idx="191">
                  <c:v>0.74</c:v>
                </c:pt>
                <c:pt idx="192">
                  <c:v>0.57999999999999996</c:v>
                </c:pt>
                <c:pt idx="193">
                  <c:v>0.55000000000000004</c:v>
                </c:pt>
                <c:pt idx="194">
                  <c:v>0.06</c:v>
                </c:pt>
                <c:pt idx="195">
                  <c:v>0.85</c:v>
                </c:pt>
                <c:pt idx="196">
                  <c:v>0.69</c:v>
                </c:pt>
                <c:pt idx="197">
                  <c:v>0.76</c:v>
                </c:pt>
                <c:pt idx="198">
                  <c:v>0.11</c:v>
                </c:pt>
                <c:pt idx="199">
                  <c:v>0.73</c:v>
                </c:pt>
                <c:pt idx="200">
                  <c:v>0.76</c:v>
                </c:pt>
                <c:pt idx="201">
                  <c:v>0.25</c:v>
                </c:pt>
                <c:pt idx="202">
                  <c:v>0.06</c:v>
                </c:pt>
                <c:pt idx="203">
                  <c:v>0.75</c:v>
                </c:pt>
                <c:pt idx="204">
                  <c:v>0.9</c:v>
                </c:pt>
                <c:pt idx="205">
                  <c:v>0.3</c:v>
                </c:pt>
                <c:pt idx="206">
                  <c:v>0.93</c:v>
                </c:pt>
                <c:pt idx="207">
                  <c:v>0.19</c:v>
                </c:pt>
                <c:pt idx="208">
                  <c:v>0.41</c:v>
                </c:pt>
                <c:pt idx="209">
                  <c:v>0.36</c:v>
                </c:pt>
                <c:pt idx="210">
                  <c:v>0.12</c:v>
                </c:pt>
                <c:pt idx="211">
                  <c:v>0.55000000000000004</c:v>
                </c:pt>
                <c:pt idx="212">
                  <c:v>0.5</c:v>
                </c:pt>
                <c:pt idx="213">
                  <c:v>0.68</c:v>
                </c:pt>
                <c:pt idx="214">
                  <c:v>0.02</c:v>
                </c:pt>
                <c:pt idx="215">
                  <c:v>0.37</c:v>
                </c:pt>
                <c:pt idx="216">
                  <c:v>0.98</c:v>
                </c:pt>
                <c:pt idx="217">
                  <c:v>0.55000000000000004</c:v>
                </c:pt>
                <c:pt idx="218">
                  <c:v>0.37</c:v>
                </c:pt>
                <c:pt idx="219">
                  <c:v>0.01</c:v>
                </c:pt>
                <c:pt idx="220">
                  <c:v>0.98</c:v>
                </c:pt>
                <c:pt idx="221">
                  <c:v>0.64</c:v>
                </c:pt>
                <c:pt idx="222">
                  <c:v>0.73</c:v>
                </c:pt>
                <c:pt idx="223">
                  <c:v>0.52</c:v>
                </c:pt>
                <c:pt idx="224">
                  <c:v>0.71</c:v>
                </c:pt>
                <c:pt idx="225">
                  <c:v>0.93</c:v>
                </c:pt>
                <c:pt idx="226">
                  <c:v>0.11</c:v>
                </c:pt>
                <c:pt idx="227">
                  <c:v>0.35</c:v>
                </c:pt>
                <c:pt idx="228">
                  <c:v>0.44</c:v>
                </c:pt>
                <c:pt idx="229">
                  <c:v>0.08</c:v>
                </c:pt>
                <c:pt idx="230">
                  <c:v>0.22</c:v>
                </c:pt>
                <c:pt idx="231">
                  <c:v>0.53</c:v>
                </c:pt>
                <c:pt idx="232">
                  <c:v>0.79</c:v>
                </c:pt>
                <c:pt idx="233">
                  <c:v>0.33</c:v>
                </c:pt>
                <c:pt idx="234">
                  <c:v>0.39</c:v>
                </c:pt>
                <c:pt idx="235">
                  <c:v>0.37</c:v>
                </c:pt>
                <c:pt idx="236">
                  <c:v>0.55000000000000004</c:v>
                </c:pt>
                <c:pt idx="237">
                  <c:v>0.39</c:v>
                </c:pt>
                <c:pt idx="238">
                  <c:v>0.19</c:v>
                </c:pt>
                <c:pt idx="239">
                  <c:v>0.53</c:v>
                </c:pt>
                <c:pt idx="240">
                  <c:v>0.98</c:v>
                </c:pt>
                <c:pt idx="241">
                  <c:v>0.43</c:v>
                </c:pt>
                <c:pt idx="242">
                  <c:v>0.81</c:v>
                </c:pt>
                <c:pt idx="243">
                  <c:v>0.01</c:v>
                </c:pt>
                <c:pt idx="244">
                  <c:v>0.44</c:v>
                </c:pt>
                <c:pt idx="245">
                  <c:v>0.72</c:v>
                </c:pt>
                <c:pt idx="246">
                  <c:v>0.16</c:v>
                </c:pt>
                <c:pt idx="247">
                  <c:v>0.8</c:v>
                </c:pt>
                <c:pt idx="248">
                  <c:v>0.42</c:v>
                </c:pt>
                <c:pt idx="249">
                  <c:v>0.03</c:v>
                </c:pt>
                <c:pt idx="250">
                  <c:v>0.39</c:v>
                </c:pt>
                <c:pt idx="251">
                  <c:v>0.8</c:v>
                </c:pt>
                <c:pt idx="252">
                  <c:v>0.15</c:v>
                </c:pt>
                <c:pt idx="253">
                  <c:v>0.46</c:v>
                </c:pt>
                <c:pt idx="254">
                  <c:v>0.99</c:v>
                </c:pt>
                <c:pt idx="255">
                  <c:v>0.76</c:v>
                </c:pt>
                <c:pt idx="256">
                  <c:v>0.85</c:v>
                </c:pt>
                <c:pt idx="257">
                  <c:v>0.34</c:v>
                </c:pt>
                <c:pt idx="258">
                  <c:v>0.38</c:v>
                </c:pt>
                <c:pt idx="259">
                  <c:v>0.77</c:v>
                </c:pt>
                <c:pt idx="260">
                  <c:v>0.23</c:v>
                </c:pt>
                <c:pt idx="261">
                  <c:v>0.47</c:v>
                </c:pt>
                <c:pt idx="262">
                  <c:v>0.84</c:v>
                </c:pt>
                <c:pt idx="263">
                  <c:v>0.6</c:v>
                </c:pt>
                <c:pt idx="264">
                  <c:v>0.44</c:v>
                </c:pt>
                <c:pt idx="265">
                  <c:v>0.16</c:v>
                </c:pt>
                <c:pt idx="266">
                  <c:v>0.76</c:v>
                </c:pt>
                <c:pt idx="267">
                  <c:v>0.18</c:v>
                </c:pt>
                <c:pt idx="268">
                  <c:v>0.55000000000000004</c:v>
                </c:pt>
                <c:pt idx="269">
                  <c:v>0.8</c:v>
                </c:pt>
                <c:pt idx="270">
                  <c:v>0.17</c:v>
                </c:pt>
                <c:pt idx="271">
                  <c:v>0.23</c:v>
                </c:pt>
                <c:pt idx="272">
                  <c:v>0.47</c:v>
                </c:pt>
                <c:pt idx="273">
                  <c:v>0.6</c:v>
                </c:pt>
                <c:pt idx="274">
                  <c:v>0.69</c:v>
                </c:pt>
                <c:pt idx="275">
                  <c:v>0.28000000000000003</c:v>
                </c:pt>
                <c:pt idx="276">
                  <c:v>0.31</c:v>
                </c:pt>
                <c:pt idx="277">
                  <c:v>0.66</c:v>
                </c:pt>
                <c:pt idx="278">
                  <c:v>0.56000000000000005</c:v>
                </c:pt>
                <c:pt idx="279">
                  <c:v>0.78</c:v>
                </c:pt>
                <c:pt idx="280">
                  <c:v>0.56999999999999995</c:v>
                </c:pt>
                <c:pt idx="281">
                  <c:v>0.3</c:v>
                </c:pt>
                <c:pt idx="282">
                  <c:v>0.25</c:v>
                </c:pt>
                <c:pt idx="283">
                  <c:v>0.16</c:v>
                </c:pt>
                <c:pt idx="284">
                  <c:v>0.44</c:v>
                </c:pt>
                <c:pt idx="285">
                  <c:v>0.06</c:v>
                </c:pt>
                <c:pt idx="286">
                  <c:v>0.83</c:v>
                </c:pt>
                <c:pt idx="287">
                  <c:v>0.79</c:v>
                </c:pt>
                <c:pt idx="288">
                  <c:v>0.28000000000000003</c:v>
                </c:pt>
                <c:pt idx="289">
                  <c:v>0.06</c:v>
                </c:pt>
                <c:pt idx="290">
                  <c:v>0.46</c:v>
                </c:pt>
                <c:pt idx="291">
                  <c:v>0.41</c:v>
                </c:pt>
                <c:pt idx="292">
                  <c:v>0.81</c:v>
                </c:pt>
                <c:pt idx="293">
                  <c:v>0.78</c:v>
                </c:pt>
                <c:pt idx="294">
                  <c:v>0.73</c:v>
                </c:pt>
                <c:pt idx="295">
                  <c:v>0.12</c:v>
                </c:pt>
                <c:pt idx="296">
                  <c:v>0.61</c:v>
                </c:pt>
                <c:pt idx="297">
                  <c:v>0.48</c:v>
                </c:pt>
                <c:pt idx="298">
                  <c:v>0.99</c:v>
                </c:pt>
                <c:pt idx="299">
                  <c:v>0.28000000000000003</c:v>
                </c:pt>
                <c:pt idx="300">
                  <c:v>0.65</c:v>
                </c:pt>
                <c:pt idx="301">
                  <c:v>0.73</c:v>
                </c:pt>
                <c:pt idx="302">
                  <c:v>0.57999999999999996</c:v>
                </c:pt>
                <c:pt idx="303">
                  <c:v>0</c:v>
                </c:pt>
                <c:pt idx="304">
                  <c:v>0.87</c:v>
                </c:pt>
                <c:pt idx="305">
                  <c:v>0.53</c:v>
                </c:pt>
                <c:pt idx="306">
                  <c:v>0.2</c:v>
                </c:pt>
                <c:pt idx="307">
                  <c:v>0.47</c:v>
                </c:pt>
                <c:pt idx="308">
                  <c:v>0.61</c:v>
                </c:pt>
                <c:pt idx="309">
                  <c:v>7.0000000000000007E-2</c:v>
                </c:pt>
                <c:pt idx="310">
                  <c:v>0.6</c:v>
                </c:pt>
                <c:pt idx="311">
                  <c:v>0.48</c:v>
                </c:pt>
                <c:pt idx="312">
                  <c:v>0.04</c:v>
                </c:pt>
                <c:pt idx="313">
                  <c:v>0.99</c:v>
                </c:pt>
                <c:pt idx="314">
                  <c:v>0.34</c:v>
                </c:pt>
                <c:pt idx="315">
                  <c:v>0.48</c:v>
                </c:pt>
                <c:pt idx="316">
                  <c:v>0.18</c:v>
                </c:pt>
                <c:pt idx="317">
                  <c:v>0.4</c:v>
                </c:pt>
                <c:pt idx="318">
                  <c:v>0.67</c:v>
                </c:pt>
                <c:pt idx="319">
                  <c:v>0.78</c:v>
                </c:pt>
                <c:pt idx="320">
                  <c:v>0.28999999999999998</c:v>
                </c:pt>
                <c:pt idx="321">
                  <c:v>0.52</c:v>
                </c:pt>
                <c:pt idx="322">
                  <c:v>0.18</c:v>
                </c:pt>
                <c:pt idx="323">
                  <c:v>0.36</c:v>
                </c:pt>
                <c:pt idx="324">
                  <c:v>0.02</c:v>
                </c:pt>
                <c:pt idx="325">
                  <c:v>0.91</c:v>
                </c:pt>
                <c:pt idx="326">
                  <c:v>0.05</c:v>
                </c:pt>
                <c:pt idx="327">
                  <c:v>0.92</c:v>
                </c:pt>
                <c:pt idx="328">
                  <c:v>0.08</c:v>
                </c:pt>
                <c:pt idx="329">
                  <c:v>0.23</c:v>
                </c:pt>
                <c:pt idx="330">
                  <c:v>0.8</c:v>
                </c:pt>
                <c:pt idx="331">
                  <c:v>0.68</c:v>
                </c:pt>
                <c:pt idx="332">
                  <c:v>0.3</c:v>
                </c:pt>
                <c:pt idx="333">
                  <c:v>0.14000000000000001</c:v>
                </c:pt>
                <c:pt idx="334">
                  <c:v>0.25</c:v>
                </c:pt>
                <c:pt idx="335">
                  <c:v>0.51</c:v>
                </c:pt>
                <c:pt idx="336">
                  <c:v>0.74</c:v>
                </c:pt>
                <c:pt idx="337">
                  <c:v>0.04</c:v>
                </c:pt>
                <c:pt idx="338">
                  <c:v>0.01</c:v>
                </c:pt>
                <c:pt idx="339">
                  <c:v>0.33</c:v>
                </c:pt>
                <c:pt idx="340">
                  <c:v>0.36</c:v>
                </c:pt>
                <c:pt idx="341">
                  <c:v>0.72</c:v>
                </c:pt>
                <c:pt idx="342">
                  <c:v>0.21</c:v>
                </c:pt>
                <c:pt idx="343">
                  <c:v>0.7</c:v>
                </c:pt>
                <c:pt idx="344">
                  <c:v>0.95</c:v>
                </c:pt>
                <c:pt idx="345">
                  <c:v>0.19</c:v>
                </c:pt>
                <c:pt idx="346">
                  <c:v>0.81</c:v>
                </c:pt>
                <c:pt idx="347">
                  <c:v>0.18</c:v>
                </c:pt>
                <c:pt idx="348">
                  <c:v>0.3</c:v>
                </c:pt>
                <c:pt idx="349">
                  <c:v>0.55000000000000004</c:v>
                </c:pt>
                <c:pt idx="350">
                  <c:v>0.26</c:v>
                </c:pt>
                <c:pt idx="351">
                  <c:v>0.31</c:v>
                </c:pt>
                <c:pt idx="352">
                  <c:v>0.39</c:v>
                </c:pt>
                <c:pt idx="353">
                  <c:v>0.4</c:v>
                </c:pt>
                <c:pt idx="354">
                  <c:v>0.33</c:v>
                </c:pt>
                <c:pt idx="355">
                  <c:v>0.12</c:v>
                </c:pt>
                <c:pt idx="356">
                  <c:v>0.17</c:v>
                </c:pt>
                <c:pt idx="357">
                  <c:v>0.93</c:v>
                </c:pt>
                <c:pt idx="358">
                  <c:v>0.73</c:v>
                </c:pt>
                <c:pt idx="359">
                  <c:v>0.77</c:v>
                </c:pt>
                <c:pt idx="360">
                  <c:v>0.32</c:v>
                </c:pt>
                <c:pt idx="361">
                  <c:v>0.75</c:v>
                </c:pt>
                <c:pt idx="362">
                  <c:v>0.44</c:v>
                </c:pt>
                <c:pt idx="363">
                  <c:v>0.97</c:v>
                </c:pt>
                <c:pt idx="364">
                  <c:v>0.49</c:v>
                </c:pt>
                <c:pt idx="365">
                  <c:v>0.08</c:v>
                </c:pt>
                <c:pt idx="366">
                  <c:v>0.48</c:v>
                </c:pt>
                <c:pt idx="367">
                  <c:v>0.85</c:v>
                </c:pt>
                <c:pt idx="368">
                  <c:v>0.63</c:v>
                </c:pt>
                <c:pt idx="369">
                  <c:v>0.2</c:v>
                </c:pt>
                <c:pt idx="370">
                  <c:v>0.87</c:v>
                </c:pt>
                <c:pt idx="371">
                  <c:v>0.17</c:v>
                </c:pt>
                <c:pt idx="372">
                  <c:v>0.13</c:v>
                </c:pt>
                <c:pt idx="373">
                  <c:v>0.48</c:v>
                </c:pt>
                <c:pt idx="374">
                  <c:v>0.31</c:v>
                </c:pt>
                <c:pt idx="375">
                  <c:v>0.34</c:v>
                </c:pt>
                <c:pt idx="376">
                  <c:v>0.02</c:v>
                </c:pt>
                <c:pt idx="377">
                  <c:v>0.39</c:v>
                </c:pt>
                <c:pt idx="378">
                  <c:v>0.28000000000000003</c:v>
                </c:pt>
                <c:pt idx="379">
                  <c:v>0.94</c:v>
                </c:pt>
                <c:pt idx="380">
                  <c:v>0.69</c:v>
                </c:pt>
                <c:pt idx="381">
                  <c:v>0.69</c:v>
                </c:pt>
                <c:pt idx="382">
                  <c:v>0.34</c:v>
                </c:pt>
                <c:pt idx="383">
                  <c:v>0.56999999999999995</c:v>
                </c:pt>
                <c:pt idx="384">
                  <c:v>0.97</c:v>
                </c:pt>
                <c:pt idx="385">
                  <c:v>0.19</c:v>
                </c:pt>
                <c:pt idx="386">
                  <c:v>0.6</c:v>
                </c:pt>
                <c:pt idx="387">
                  <c:v>0.54</c:v>
                </c:pt>
                <c:pt idx="388">
                  <c:v>7.0000000000000007E-2</c:v>
                </c:pt>
                <c:pt idx="389">
                  <c:v>0.33</c:v>
                </c:pt>
                <c:pt idx="390">
                  <c:v>0.4</c:v>
                </c:pt>
                <c:pt idx="391">
                  <c:v>0.93</c:v>
                </c:pt>
                <c:pt idx="392">
                  <c:v>0.44</c:v>
                </c:pt>
                <c:pt idx="393">
                  <c:v>1</c:v>
                </c:pt>
                <c:pt idx="394">
                  <c:v>0.62</c:v>
                </c:pt>
                <c:pt idx="395">
                  <c:v>0.44</c:v>
                </c:pt>
                <c:pt idx="396">
                  <c:v>0.51</c:v>
                </c:pt>
                <c:pt idx="397">
                  <c:v>0.95</c:v>
                </c:pt>
                <c:pt idx="398">
                  <c:v>0.67</c:v>
                </c:pt>
                <c:pt idx="399">
                  <c:v>0.35</c:v>
                </c:pt>
                <c:pt idx="400">
                  <c:v>0.75</c:v>
                </c:pt>
                <c:pt idx="401">
                  <c:v>0.27</c:v>
                </c:pt>
                <c:pt idx="402">
                  <c:v>0.63</c:v>
                </c:pt>
                <c:pt idx="403">
                  <c:v>0.31</c:v>
                </c:pt>
                <c:pt idx="404">
                  <c:v>0.91</c:v>
                </c:pt>
                <c:pt idx="405">
                  <c:v>0.35</c:v>
                </c:pt>
                <c:pt idx="406">
                  <c:v>0.3</c:v>
                </c:pt>
                <c:pt idx="407">
                  <c:v>0.92</c:v>
                </c:pt>
                <c:pt idx="408">
                  <c:v>0.34</c:v>
                </c:pt>
                <c:pt idx="409">
                  <c:v>0.22</c:v>
                </c:pt>
                <c:pt idx="410">
                  <c:v>0.35</c:v>
                </c:pt>
                <c:pt idx="411">
                  <c:v>0.91</c:v>
                </c:pt>
                <c:pt idx="412">
                  <c:v>0.3</c:v>
                </c:pt>
                <c:pt idx="413">
                  <c:v>7.0000000000000007E-2</c:v>
                </c:pt>
                <c:pt idx="414">
                  <c:v>0.57999999999999996</c:v>
                </c:pt>
                <c:pt idx="415">
                  <c:v>0.03</c:v>
                </c:pt>
                <c:pt idx="416">
                  <c:v>0.69</c:v>
                </c:pt>
                <c:pt idx="417">
                  <c:v>0.35</c:v>
                </c:pt>
                <c:pt idx="418">
                  <c:v>0.44</c:v>
                </c:pt>
                <c:pt idx="419">
                  <c:v>0.49</c:v>
                </c:pt>
                <c:pt idx="420">
                  <c:v>0.93</c:v>
                </c:pt>
                <c:pt idx="421">
                  <c:v>0.97</c:v>
                </c:pt>
                <c:pt idx="422">
                  <c:v>0.21</c:v>
                </c:pt>
                <c:pt idx="423">
                  <c:v>0.12</c:v>
                </c:pt>
                <c:pt idx="424">
                  <c:v>0.22</c:v>
                </c:pt>
                <c:pt idx="425">
                  <c:v>0.54</c:v>
                </c:pt>
                <c:pt idx="426">
                  <c:v>0.77</c:v>
                </c:pt>
                <c:pt idx="427">
                  <c:v>0.12</c:v>
                </c:pt>
                <c:pt idx="428">
                  <c:v>0.26</c:v>
                </c:pt>
                <c:pt idx="429">
                  <c:v>0.87</c:v>
                </c:pt>
                <c:pt idx="430">
                  <c:v>0.39</c:v>
                </c:pt>
                <c:pt idx="431">
                  <c:v>0.33</c:v>
                </c:pt>
                <c:pt idx="432">
                  <c:v>0.97</c:v>
                </c:pt>
                <c:pt idx="433">
                  <c:v>0.74</c:v>
                </c:pt>
                <c:pt idx="434">
                  <c:v>0.94</c:v>
                </c:pt>
                <c:pt idx="435">
                  <c:v>1</c:v>
                </c:pt>
                <c:pt idx="436">
                  <c:v>0.93</c:v>
                </c:pt>
                <c:pt idx="437">
                  <c:v>0.17</c:v>
                </c:pt>
                <c:pt idx="438">
                  <c:v>0.2</c:v>
                </c:pt>
                <c:pt idx="439">
                  <c:v>0.51</c:v>
                </c:pt>
                <c:pt idx="440">
                  <c:v>0.64</c:v>
                </c:pt>
                <c:pt idx="441">
                  <c:v>0.79</c:v>
                </c:pt>
                <c:pt idx="442">
                  <c:v>0.81</c:v>
                </c:pt>
                <c:pt idx="443">
                  <c:v>0.35</c:v>
                </c:pt>
                <c:pt idx="444">
                  <c:v>0.89</c:v>
                </c:pt>
                <c:pt idx="445">
                  <c:v>0.9</c:v>
                </c:pt>
                <c:pt idx="446">
                  <c:v>0.85</c:v>
                </c:pt>
                <c:pt idx="447">
                  <c:v>0.72</c:v>
                </c:pt>
                <c:pt idx="448">
                  <c:v>0.01</c:v>
                </c:pt>
                <c:pt idx="449">
                  <c:v>0.71</c:v>
                </c:pt>
                <c:pt idx="450">
                  <c:v>0.09</c:v>
                </c:pt>
                <c:pt idx="451">
                  <c:v>0.27</c:v>
                </c:pt>
                <c:pt idx="452">
                  <c:v>0.54</c:v>
                </c:pt>
                <c:pt idx="453">
                  <c:v>0.57999999999999996</c:v>
                </c:pt>
                <c:pt idx="454">
                  <c:v>0.65</c:v>
                </c:pt>
                <c:pt idx="455">
                  <c:v>0.66</c:v>
                </c:pt>
                <c:pt idx="456">
                  <c:v>0.8</c:v>
                </c:pt>
                <c:pt idx="457">
                  <c:v>0.49</c:v>
                </c:pt>
                <c:pt idx="458">
                  <c:v>0.62</c:v>
                </c:pt>
                <c:pt idx="459">
                  <c:v>0.69</c:v>
                </c:pt>
                <c:pt idx="460">
                  <c:v>0.65</c:v>
                </c:pt>
                <c:pt idx="461">
                  <c:v>0.28000000000000003</c:v>
                </c:pt>
                <c:pt idx="462">
                  <c:v>0.04</c:v>
                </c:pt>
                <c:pt idx="463">
                  <c:v>0.21</c:v>
                </c:pt>
                <c:pt idx="464">
                  <c:v>0.93</c:v>
                </c:pt>
                <c:pt idx="465">
                  <c:v>0.56000000000000005</c:v>
                </c:pt>
                <c:pt idx="466">
                  <c:v>0.24</c:v>
                </c:pt>
                <c:pt idx="467">
                  <c:v>0.08</c:v>
                </c:pt>
                <c:pt idx="468">
                  <c:v>0.19</c:v>
                </c:pt>
                <c:pt idx="469">
                  <c:v>0.37</c:v>
                </c:pt>
                <c:pt idx="470">
                  <c:v>0.2</c:v>
                </c:pt>
                <c:pt idx="471">
                  <c:v>0.41</c:v>
                </c:pt>
                <c:pt idx="472">
                  <c:v>0.27</c:v>
                </c:pt>
                <c:pt idx="473">
                  <c:v>0.13</c:v>
                </c:pt>
                <c:pt idx="474">
                  <c:v>0.25</c:v>
                </c:pt>
                <c:pt idx="475">
                  <c:v>0.37</c:v>
                </c:pt>
                <c:pt idx="476">
                  <c:v>0.56999999999999995</c:v>
                </c:pt>
                <c:pt idx="477">
                  <c:v>0.86</c:v>
                </c:pt>
                <c:pt idx="478">
                  <c:v>0.96</c:v>
                </c:pt>
                <c:pt idx="479">
                  <c:v>0.56999999999999995</c:v>
                </c:pt>
                <c:pt idx="480">
                  <c:v>0.18</c:v>
                </c:pt>
                <c:pt idx="481">
                  <c:v>0.51</c:v>
                </c:pt>
                <c:pt idx="482">
                  <c:v>0.87</c:v>
                </c:pt>
                <c:pt idx="483">
                  <c:v>0.53</c:v>
                </c:pt>
                <c:pt idx="484">
                  <c:v>0.8</c:v>
                </c:pt>
                <c:pt idx="485">
                  <c:v>0.12</c:v>
                </c:pt>
                <c:pt idx="486">
                  <c:v>0.72</c:v>
                </c:pt>
                <c:pt idx="487">
                  <c:v>0.63</c:v>
                </c:pt>
                <c:pt idx="488">
                  <c:v>0.5</c:v>
                </c:pt>
                <c:pt idx="489">
                  <c:v>0.94</c:v>
                </c:pt>
                <c:pt idx="490">
                  <c:v>0.32</c:v>
                </c:pt>
                <c:pt idx="491">
                  <c:v>0.93</c:v>
                </c:pt>
                <c:pt idx="492">
                  <c:v>0.38</c:v>
                </c:pt>
                <c:pt idx="493">
                  <c:v>0.59</c:v>
                </c:pt>
                <c:pt idx="494">
                  <c:v>0.89</c:v>
                </c:pt>
                <c:pt idx="495">
                  <c:v>0.41</c:v>
                </c:pt>
                <c:pt idx="496">
                  <c:v>0.35</c:v>
                </c:pt>
                <c:pt idx="497">
                  <c:v>0.46</c:v>
                </c:pt>
                <c:pt idx="498">
                  <c:v>0.02</c:v>
                </c:pt>
                <c:pt idx="499">
                  <c:v>0.4</c:v>
                </c:pt>
                <c:pt idx="500">
                  <c:v>0.27</c:v>
                </c:pt>
                <c:pt idx="501">
                  <c:v>0.27</c:v>
                </c:pt>
                <c:pt idx="502">
                  <c:v>0.24</c:v>
                </c:pt>
                <c:pt idx="503">
                  <c:v>0.43</c:v>
                </c:pt>
                <c:pt idx="504">
                  <c:v>0.84</c:v>
                </c:pt>
                <c:pt idx="505">
                  <c:v>0.72</c:v>
                </c:pt>
                <c:pt idx="506">
                  <c:v>0.41</c:v>
                </c:pt>
                <c:pt idx="507">
                  <c:v>0.74</c:v>
                </c:pt>
                <c:pt idx="508">
                  <c:v>0.89</c:v>
                </c:pt>
                <c:pt idx="509">
                  <c:v>0.46</c:v>
                </c:pt>
                <c:pt idx="510">
                  <c:v>0.41</c:v>
                </c:pt>
                <c:pt idx="511">
                  <c:v>0.54</c:v>
                </c:pt>
                <c:pt idx="512">
                  <c:v>0.79</c:v>
                </c:pt>
                <c:pt idx="513">
                  <c:v>0.3</c:v>
                </c:pt>
                <c:pt idx="514">
                  <c:v>0.87</c:v>
                </c:pt>
                <c:pt idx="515">
                  <c:v>0.91</c:v>
                </c:pt>
                <c:pt idx="516">
                  <c:v>0.08</c:v>
                </c:pt>
                <c:pt idx="517">
                  <c:v>0.66</c:v>
                </c:pt>
                <c:pt idx="518">
                  <c:v>0.64</c:v>
                </c:pt>
                <c:pt idx="519">
                  <c:v>0.48</c:v>
                </c:pt>
                <c:pt idx="520">
                  <c:v>0.61</c:v>
                </c:pt>
                <c:pt idx="521">
                  <c:v>0.78</c:v>
                </c:pt>
                <c:pt idx="522">
                  <c:v>0.56000000000000005</c:v>
                </c:pt>
                <c:pt idx="523">
                  <c:v>0.19</c:v>
                </c:pt>
                <c:pt idx="524">
                  <c:v>0.25</c:v>
                </c:pt>
                <c:pt idx="525">
                  <c:v>0.18</c:v>
                </c:pt>
                <c:pt idx="526">
                  <c:v>0.51</c:v>
                </c:pt>
                <c:pt idx="527">
                  <c:v>0.62</c:v>
                </c:pt>
                <c:pt idx="528">
                  <c:v>0.02</c:v>
                </c:pt>
                <c:pt idx="529">
                  <c:v>0.65</c:v>
                </c:pt>
                <c:pt idx="530">
                  <c:v>0.37</c:v>
                </c:pt>
                <c:pt idx="531">
                  <c:v>0.01</c:v>
                </c:pt>
                <c:pt idx="532">
                  <c:v>0.69</c:v>
                </c:pt>
                <c:pt idx="533">
                  <c:v>0.68</c:v>
                </c:pt>
                <c:pt idx="534">
                  <c:v>0.32</c:v>
                </c:pt>
                <c:pt idx="535">
                  <c:v>0.46</c:v>
                </c:pt>
                <c:pt idx="536">
                  <c:v>0.94</c:v>
                </c:pt>
                <c:pt idx="537">
                  <c:v>0.63</c:v>
                </c:pt>
                <c:pt idx="538">
                  <c:v>0.22</c:v>
                </c:pt>
                <c:pt idx="539">
                  <c:v>0.44</c:v>
                </c:pt>
                <c:pt idx="540">
                  <c:v>0.91</c:v>
                </c:pt>
                <c:pt idx="541">
                  <c:v>0.97</c:v>
                </c:pt>
                <c:pt idx="542">
                  <c:v>0.33</c:v>
                </c:pt>
                <c:pt idx="543">
                  <c:v>0.51</c:v>
                </c:pt>
                <c:pt idx="544">
                  <c:v>0.04</c:v>
                </c:pt>
                <c:pt idx="545">
                  <c:v>0.52</c:v>
                </c:pt>
                <c:pt idx="546">
                  <c:v>0.31</c:v>
                </c:pt>
                <c:pt idx="547">
                  <c:v>0.64</c:v>
                </c:pt>
                <c:pt idx="548">
                  <c:v>0.7</c:v>
                </c:pt>
                <c:pt idx="549">
                  <c:v>0.18</c:v>
                </c:pt>
                <c:pt idx="550">
                  <c:v>0.6</c:v>
                </c:pt>
                <c:pt idx="551">
                  <c:v>0.2</c:v>
                </c:pt>
                <c:pt idx="552">
                  <c:v>0.32</c:v>
                </c:pt>
                <c:pt idx="553">
                  <c:v>0.92</c:v>
                </c:pt>
                <c:pt idx="554">
                  <c:v>0.45</c:v>
                </c:pt>
                <c:pt idx="555">
                  <c:v>0.59</c:v>
                </c:pt>
                <c:pt idx="556">
                  <c:v>0.41</c:v>
                </c:pt>
                <c:pt idx="557">
                  <c:v>0.84</c:v>
                </c:pt>
                <c:pt idx="558">
                  <c:v>0.88</c:v>
                </c:pt>
                <c:pt idx="559">
                  <c:v>0.33</c:v>
                </c:pt>
                <c:pt idx="560">
                  <c:v>0.38</c:v>
                </c:pt>
                <c:pt idx="561">
                  <c:v>0.32</c:v>
                </c:pt>
                <c:pt idx="562">
                  <c:v>0.61</c:v>
                </c:pt>
                <c:pt idx="563">
                  <c:v>0.1</c:v>
                </c:pt>
                <c:pt idx="564">
                  <c:v>0.21</c:v>
                </c:pt>
                <c:pt idx="565">
                  <c:v>0.88</c:v>
                </c:pt>
                <c:pt idx="566">
                  <c:v>0.08</c:v>
                </c:pt>
                <c:pt idx="567">
                  <c:v>0.48</c:v>
                </c:pt>
                <c:pt idx="568">
                  <c:v>0.71</c:v>
                </c:pt>
                <c:pt idx="569">
                  <c:v>0.4</c:v>
                </c:pt>
                <c:pt idx="570">
                  <c:v>0.01</c:v>
                </c:pt>
                <c:pt idx="571">
                  <c:v>0.46</c:v>
                </c:pt>
                <c:pt idx="572">
                  <c:v>0.77</c:v>
                </c:pt>
                <c:pt idx="573">
                  <c:v>0.21</c:v>
                </c:pt>
                <c:pt idx="574">
                  <c:v>0.74</c:v>
                </c:pt>
                <c:pt idx="575">
                  <c:v>0.41</c:v>
                </c:pt>
                <c:pt idx="576">
                  <c:v>0.13</c:v>
                </c:pt>
                <c:pt idx="577">
                  <c:v>0.34</c:v>
                </c:pt>
                <c:pt idx="578">
                  <c:v>0.4</c:v>
                </c:pt>
                <c:pt idx="579">
                  <c:v>0.9</c:v>
                </c:pt>
                <c:pt idx="580">
                  <c:v>0.81</c:v>
                </c:pt>
                <c:pt idx="581">
                  <c:v>0.28999999999999998</c:v>
                </c:pt>
                <c:pt idx="582">
                  <c:v>0.35</c:v>
                </c:pt>
                <c:pt idx="583">
                  <c:v>0.16</c:v>
                </c:pt>
                <c:pt idx="584">
                  <c:v>0.9</c:v>
                </c:pt>
                <c:pt idx="585">
                  <c:v>0.79</c:v>
                </c:pt>
                <c:pt idx="586">
                  <c:v>0.98</c:v>
                </c:pt>
                <c:pt idx="587">
                  <c:v>0.01</c:v>
                </c:pt>
                <c:pt idx="588">
                  <c:v>0.03</c:v>
                </c:pt>
                <c:pt idx="589">
                  <c:v>0.19</c:v>
                </c:pt>
                <c:pt idx="590">
                  <c:v>0.34</c:v>
                </c:pt>
                <c:pt idx="591">
                  <c:v>0.7</c:v>
                </c:pt>
                <c:pt idx="592">
                  <c:v>0.46</c:v>
                </c:pt>
                <c:pt idx="593">
                  <c:v>0.65</c:v>
                </c:pt>
                <c:pt idx="594">
                  <c:v>0.63</c:v>
                </c:pt>
                <c:pt idx="595">
                  <c:v>0.5</c:v>
                </c:pt>
                <c:pt idx="596">
                  <c:v>0.97</c:v>
                </c:pt>
                <c:pt idx="597">
                  <c:v>0.85</c:v>
                </c:pt>
                <c:pt idx="598">
                  <c:v>0.38</c:v>
                </c:pt>
                <c:pt idx="599">
                  <c:v>0.5</c:v>
                </c:pt>
                <c:pt idx="600">
                  <c:v>0.31</c:v>
                </c:pt>
                <c:pt idx="601">
                  <c:v>0.27</c:v>
                </c:pt>
                <c:pt idx="602">
                  <c:v>0.09</c:v>
                </c:pt>
                <c:pt idx="603">
                  <c:v>0.81</c:v>
                </c:pt>
                <c:pt idx="604">
                  <c:v>0.15</c:v>
                </c:pt>
                <c:pt idx="605">
                  <c:v>0.46</c:v>
                </c:pt>
                <c:pt idx="606">
                  <c:v>0.56000000000000005</c:v>
                </c:pt>
                <c:pt idx="607">
                  <c:v>0.8</c:v>
                </c:pt>
                <c:pt idx="608">
                  <c:v>0.17</c:v>
                </c:pt>
                <c:pt idx="609">
                  <c:v>0.86</c:v>
                </c:pt>
                <c:pt idx="610">
                  <c:v>0.51</c:v>
                </c:pt>
                <c:pt idx="611">
                  <c:v>0.86</c:v>
                </c:pt>
                <c:pt idx="612">
                  <c:v>0.96</c:v>
                </c:pt>
                <c:pt idx="613">
                  <c:v>0.67</c:v>
                </c:pt>
                <c:pt idx="614">
                  <c:v>0.54</c:v>
                </c:pt>
                <c:pt idx="615">
                  <c:v>0.16</c:v>
                </c:pt>
                <c:pt idx="616">
                  <c:v>0.5</c:v>
                </c:pt>
                <c:pt idx="617">
                  <c:v>0.32</c:v>
                </c:pt>
                <c:pt idx="618">
                  <c:v>0.93</c:v>
                </c:pt>
                <c:pt idx="619">
                  <c:v>0.89</c:v>
                </c:pt>
                <c:pt idx="620">
                  <c:v>0.36</c:v>
                </c:pt>
                <c:pt idx="621">
                  <c:v>0.43</c:v>
                </c:pt>
                <c:pt idx="622">
                  <c:v>0.23</c:v>
                </c:pt>
                <c:pt idx="623">
                  <c:v>0.25</c:v>
                </c:pt>
                <c:pt idx="624">
                  <c:v>0.56999999999999995</c:v>
                </c:pt>
                <c:pt idx="625">
                  <c:v>0.13</c:v>
                </c:pt>
                <c:pt idx="626">
                  <c:v>0.85</c:v>
                </c:pt>
                <c:pt idx="627">
                  <c:v>0.65</c:v>
                </c:pt>
                <c:pt idx="628">
                  <c:v>0.56999999999999995</c:v>
                </c:pt>
                <c:pt idx="629">
                  <c:v>0.48</c:v>
                </c:pt>
                <c:pt idx="630">
                  <c:v>0.65</c:v>
                </c:pt>
                <c:pt idx="631">
                  <c:v>0.03</c:v>
                </c:pt>
                <c:pt idx="632">
                  <c:v>0.05</c:v>
                </c:pt>
                <c:pt idx="633">
                  <c:v>0.2</c:v>
                </c:pt>
                <c:pt idx="634">
                  <c:v>0.72</c:v>
                </c:pt>
                <c:pt idx="635">
                  <c:v>0.37</c:v>
                </c:pt>
                <c:pt idx="636">
                  <c:v>0.76</c:v>
                </c:pt>
                <c:pt idx="637">
                  <c:v>0.53</c:v>
                </c:pt>
                <c:pt idx="638">
                  <c:v>0.76</c:v>
                </c:pt>
                <c:pt idx="639">
                  <c:v>0.1</c:v>
                </c:pt>
                <c:pt idx="640">
                  <c:v>0.12</c:v>
                </c:pt>
                <c:pt idx="641">
                  <c:v>0.53</c:v>
                </c:pt>
                <c:pt idx="642">
                  <c:v>0.57999999999999996</c:v>
                </c:pt>
                <c:pt idx="643">
                  <c:v>0.31</c:v>
                </c:pt>
                <c:pt idx="644">
                  <c:v>0.18</c:v>
                </c:pt>
                <c:pt idx="645">
                  <c:v>0.2</c:v>
                </c:pt>
                <c:pt idx="646">
                  <c:v>0.7</c:v>
                </c:pt>
                <c:pt idx="647">
                  <c:v>0.81</c:v>
                </c:pt>
                <c:pt idx="648">
                  <c:v>0.47</c:v>
                </c:pt>
                <c:pt idx="649">
                  <c:v>0.55000000000000004</c:v>
                </c:pt>
                <c:pt idx="650">
                  <c:v>0.54</c:v>
                </c:pt>
                <c:pt idx="651">
                  <c:v>0.37</c:v>
                </c:pt>
                <c:pt idx="652">
                  <c:v>0.8</c:v>
                </c:pt>
                <c:pt idx="653">
                  <c:v>0.02</c:v>
                </c:pt>
                <c:pt idx="654">
                  <c:v>0.08</c:v>
                </c:pt>
                <c:pt idx="655">
                  <c:v>0.13</c:v>
                </c:pt>
                <c:pt idx="656">
                  <c:v>0.45</c:v>
                </c:pt>
                <c:pt idx="657">
                  <c:v>0.27</c:v>
                </c:pt>
                <c:pt idx="658">
                  <c:v>0.43</c:v>
                </c:pt>
                <c:pt idx="659">
                  <c:v>0.98</c:v>
                </c:pt>
                <c:pt idx="660">
                  <c:v>0.8</c:v>
                </c:pt>
                <c:pt idx="661">
                  <c:v>0.06</c:v>
                </c:pt>
                <c:pt idx="662">
                  <c:v>0.95</c:v>
                </c:pt>
                <c:pt idx="663">
                  <c:v>0.91</c:v>
                </c:pt>
                <c:pt idx="664">
                  <c:v>0.75</c:v>
                </c:pt>
                <c:pt idx="665">
                  <c:v>0.52</c:v>
                </c:pt>
                <c:pt idx="666">
                  <c:v>0.08</c:v>
                </c:pt>
                <c:pt idx="667">
                  <c:v>0.46</c:v>
                </c:pt>
                <c:pt idx="668">
                  <c:v>0.56000000000000005</c:v>
                </c:pt>
                <c:pt idx="669">
                  <c:v>0.6</c:v>
                </c:pt>
                <c:pt idx="670">
                  <c:v>0.82</c:v>
                </c:pt>
                <c:pt idx="671">
                  <c:v>0.48</c:v>
                </c:pt>
                <c:pt idx="672">
                  <c:v>0.66</c:v>
                </c:pt>
                <c:pt idx="673">
                  <c:v>0.88</c:v>
                </c:pt>
                <c:pt idx="674">
                  <c:v>0.01</c:v>
                </c:pt>
                <c:pt idx="675">
                  <c:v>0.52</c:v>
                </c:pt>
                <c:pt idx="676">
                  <c:v>0.62</c:v>
                </c:pt>
                <c:pt idx="677">
                  <c:v>0.99</c:v>
                </c:pt>
                <c:pt idx="678">
                  <c:v>0.35</c:v>
                </c:pt>
                <c:pt idx="679">
                  <c:v>0.11</c:v>
                </c:pt>
                <c:pt idx="680">
                  <c:v>0.4</c:v>
                </c:pt>
                <c:pt idx="681">
                  <c:v>0.42</c:v>
                </c:pt>
                <c:pt idx="682">
                  <c:v>0.19</c:v>
                </c:pt>
                <c:pt idx="683">
                  <c:v>0.45</c:v>
                </c:pt>
                <c:pt idx="684">
                  <c:v>0.43</c:v>
                </c:pt>
                <c:pt idx="685">
                  <c:v>0.19</c:v>
                </c:pt>
                <c:pt idx="686">
                  <c:v>0.92</c:v>
                </c:pt>
                <c:pt idx="687">
                  <c:v>0.78</c:v>
                </c:pt>
                <c:pt idx="688">
                  <c:v>0.82</c:v>
                </c:pt>
                <c:pt idx="689">
                  <c:v>0.74</c:v>
                </c:pt>
                <c:pt idx="690">
                  <c:v>0.86</c:v>
                </c:pt>
                <c:pt idx="691">
                  <c:v>0.97</c:v>
                </c:pt>
                <c:pt idx="692">
                  <c:v>0.64</c:v>
                </c:pt>
                <c:pt idx="693">
                  <c:v>0.77</c:v>
                </c:pt>
                <c:pt idx="694">
                  <c:v>0.76</c:v>
                </c:pt>
                <c:pt idx="695">
                  <c:v>0.04</c:v>
                </c:pt>
                <c:pt idx="696">
                  <c:v>0.87</c:v>
                </c:pt>
                <c:pt idx="697">
                  <c:v>0.26</c:v>
                </c:pt>
                <c:pt idx="698">
                  <c:v>0.99</c:v>
                </c:pt>
                <c:pt idx="699">
                  <c:v>0.73</c:v>
                </c:pt>
                <c:pt idx="700">
                  <c:v>0.06</c:v>
                </c:pt>
                <c:pt idx="701">
                  <c:v>0.43</c:v>
                </c:pt>
                <c:pt idx="702">
                  <c:v>0.42</c:v>
                </c:pt>
                <c:pt idx="703">
                  <c:v>0.73</c:v>
                </c:pt>
                <c:pt idx="704">
                  <c:v>0.17</c:v>
                </c:pt>
                <c:pt idx="705">
                  <c:v>0.6</c:v>
                </c:pt>
                <c:pt idx="706">
                  <c:v>0.47</c:v>
                </c:pt>
                <c:pt idx="707">
                  <c:v>0.51</c:v>
                </c:pt>
                <c:pt idx="708">
                  <c:v>0.49</c:v>
                </c:pt>
                <c:pt idx="709">
                  <c:v>0.95</c:v>
                </c:pt>
                <c:pt idx="710">
                  <c:v>0.49</c:v>
                </c:pt>
                <c:pt idx="711">
                  <c:v>0.94</c:v>
                </c:pt>
                <c:pt idx="712">
                  <c:v>0.75</c:v>
                </c:pt>
                <c:pt idx="713">
                  <c:v>0.96</c:v>
                </c:pt>
                <c:pt idx="714">
                  <c:v>0.64</c:v>
                </c:pt>
                <c:pt idx="715">
                  <c:v>0.61</c:v>
                </c:pt>
                <c:pt idx="716">
                  <c:v>0.44</c:v>
                </c:pt>
                <c:pt idx="717">
                  <c:v>0.16</c:v>
                </c:pt>
                <c:pt idx="718">
                  <c:v>0.34</c:v>
                </c:pt>
                <c:pt idx="719">
                  <c:v>0.01</c:v>
                </c:pt>
                <c:pt idx="720">
                  <c:v>0.12</c:v>
                </c:pt>
                <c:pt idx="721">
                  <c:v>0.85</c:v>
                </c:pt>
                <c:pt idx="722">
                  <c:v>0.83</c:v>
                </c:pt>
                <c:pt idx="723">
                  <c:v>0.54</c:v>
                </c:pt>
                <c:pt idx="724">
                  <c:v>0.19</c:v>
                </c:pt>
                <c:pt idx="725">
                  <c:v>0.43</c:v>
                </c:pt>
                <c:pt idx="726">
                  <c:v>0.17</c:v>
                </c:pt>
                <c:pt idx="727">
                  <c:v>0.59</c:v>
                </c:pt>
                <c:pt idx="728">
                  <c:v>0.16</c:v>
                </c:pt>
                <c:pt idx="729">
                  <c:v>0.68</c:v>
                </c:pt>
                <c:pt idx="730">
                  <c:v>0.92</c:v>
                </c:pt>
                <c:pt idx="731">
                  <c:v>0.62</c:v>
                </c:pt>
                <c:pt idx="732">
                  <c:v>0.37</c:v>
                </c:pt>
                <c:pt idx="733">
                  <c:v>0.55000000000000004</c:v>
                </c:pt>
                <c:pt idx="734">
                  <c:v>0.61</c:v>
                </c:pt>
                <c:pt idx="735">
                  <c:v>0.43</c:v>
                </c:pt>
                <c:pt idx="736">
                  <c:v>0.63</c:v>
                </c:pt>
                <c:pt idx="737">
                  <c:v>0.13</c:v>
                </c:pt>
                <c:pt idx="738">
                  <c:v>0.31</c:v>
                </c:pt>
                <c:pt idx="739">
                  <c:v>0.61</c:v>
                </c:pt>
                <c:pt idx="740">
                  <c:v>0.55000000000000004</c:v>
                </c:pt>
                <c:pt idx="741">
                  <c:v>0.3</c:v>
                </c:pt>
                <c:pt idx="742">
                  <c:v>0.15</c:v>
                </c:pt>
                <c:pt idx="743">
                  <c:v>0.57999999999999996</c:v>
                </c:pt>
                <c:pt idx="744">
                  <c:v>0.84</c:v>
                </c:pt>
                <c:pt idx="745">
                  <c:v>0.1</c:v>
                </c:pt>
                <c:pt idx="746">
                  <c:v>0.79</c:v>
                </c:pt>
                <c:pt idx="747">
                  <c:v>0.78</c:v>
                </c:pt>
                <c:pt idx="748">
                  <c:v>0.71</c:v>
                </c:pt>
                <c:pt idx="749">
                  <c:v>7.0000000000000007E-2</c:v>
                </c:pt>
                <c:pt idx="750">
                  <c:v>0.38</c:v>
                </c:pt>
                <c:pt idx="751">
                  <c:v>0.25</c:v>
                </c:pt>
                <c:pt idx="752">
                  <c:v>0.68</c:v>
                </c:pt>
                <c:pt idx="753">
                  <c:v>0.68</c:v>
                </c:pt>
                <c:pt idx="754">
                  <c:v>0.14000000000000001</c:v>
                </c:pt>
                <c:pt idx="755">
                  <c:v>0.84</c:v>
                </c:pt>
                <c:pt idx="756">
                  <c:v>0.56999999999999995</c:v>
                </c:pt>
                <c:pt idx="757">
                  <c:v>0.38</c:v>
                </c:pt>
                <c:pt idx="758">
                  <c:v>0.7</c:v>
                </c:pt>
                <c:pt idx="759">
                  <c:v>0.25</c:v>
                </c:pt>
                <c:pt idx="760">
                  <c:v>0.97</c:v>
                </c:pt>
                <c:pt idx="761">
                  <c:v>0.56000000000000005</c:v>
                </c:pt>
                <c:pt idx="762">
                  <c:v>0.69</c:v>
                </c:pt>
                <c:pt idx="763">
                  <c:v>0.22</c:v>
                </c:pt>
                <c:pt idx="764">
                  <c:v>0.56000000000000005</c:v>
                </c:pt>
                <c:pt idx="765">
                  <c:v>0.59</c:v>
                </c:pt>
                <c:pt idx="766">
                  <c:v>0.96</c:v>
                </c:pt>
                <c:pt idx="767">
                  <c:v>0.17</c:v>
                </c:pt>
                <c:pt idx="768">
                  <c:v>0.78</c:v>
                </c:pt>
                <c:pt idx="769">
                  <c:v>0.95</c:v>
                </c:pt>
                <c:pt idx="770">
                  <c:v>0.56999999999999995</c:v>
                </c:pt>
                <c:pt idx="771">
                  <c:v>0.49</c:v>
                </c:pt>
                <c:pt idx="772">
                  <c:v>0.82</c:v>
                </c:pt>
                <c:pt idx="773">
                  <c:v>0.96</c:v>
                </c:pt>
                <c:pt idx="774">
                  <c:v>0.84</c:v>
                </c:pt>
                <c:pt idx="775">
                  <c:v>0.65</c:v>
                </c:pt>
                <c:pt idx="776">
                  <c:v>0.97</c:v>
                </c:pt>
                <c:pt idx="777">
                  <c:v>0.19</c:v>
                </c:pt>
                <c:pt idx="778">
                  <c:v>1</c:v>
                </c:pt>
                <c:pt idx="779">
                  <c:v>0.35</c:v>
                </c:pt>
                <c:pt idx="780">
                  <c:v>0.74</c:v>
                </c:pt>
                <c:pt idx="781">
                  <c:v>0.61</c:v>
                </c:pt>
                <c:pt idx="782">
                  <c:v>0.95</c:v>
                </c:pt>
                <c:pt idx="783">
                  <c:v>0.95</c:v>
                </c:pt>
                <c:pt idx="784">
                  <c:v>0.73</c:v>
                </c:pt>
                <c:pt idx="785">
                  <c:v>0.39</c:v>
                </c:pt>
                <c:pt idx="786">
                  <c:v>0.09</c:v>
                </c:pt>
                <c:pt idx="787">
                  <c:v>0.53</c:v>
                </c:pt>
                <c:pt idx="788">
                  <c:v>0.65</c:v>
                </c:pt>
                <c:pt idx="789">
                  <c:v>0.36</c:v>
                </c:pt>
                <c:pt idx="790">
                  <c:v>0.53</c:v>
                </c:pt>
                <c:pt idx="791">
                  <c:v>0.28999999999999998</c:v>
                </c:pt>
                <c:pt idx="792">
                  <c:v>0.67</c:v>
                </c:pt>
                <c:pt idx="793">
                  <c:v>0.67</c:v>
                </c:pt>
                <c:pt idx="794">
                  <c:v>0.56000000000000005</c:v>
                </c:pt>
                <c:pt idx="795">
                  <c:v>0.92</c:v>
                </c:pt>
                <c:pt idx="796">
                  <c:v>0.82</c:v>
                </c:pt>
                <c:pt idx="797">
                  <c:v>0.06</c:v>
                </c:pt>
                <c:pt idx="798">
                  <c:v>0.39</c:v>
                </c:pt>
                <c:pt idx="799">
                  <c:v>0.67</c:v>
                </c:pt>
                <c:pt idx="800">
                  <c:v>0.9</c:v>
                </c:pt>
                <c:pt idx="801">
                  <c:v>0.56000000000000005</c:v>
                </c:pt>
                <c:pt idx="802">
                  <c:v>0.95</c:v>
                </c:pt>
                <c:pt idx="803">
                  <c:v>0.43</c:v>
                </c:pt>
                <c:pt idx="804">
                  <c:v>0.94</c:v>
                </c:pt>
                <c:pt idx="805">
                  <c:v>0.84</c:v>
                </c:pt>
                <c:pt idx="806">
                  <c:v>0.38</c:v>
                </c:pt>
                <c:pt idx="807">
                  <c:v>0.11</c:v>
                </c:pt>
                <c:pt idx="808">
                  <c:v>0.93</c:v>
                </c:pt>
                <c:pt idx="809">
                  <c:v>0.28000000000000003</c:v>
                </c:pt>
                <c:pt idx="810">
                  <c:v>0.32</c:v>
                </c:pt>
                <c:pt idx="811">
                  <c:v>7.0000000000000007E-2</c:v>
                </c:pt>
                <c:pt idx="812">
                  <c:v>0.1</c:v>
                </c:pt>
                <c:pt idx="813">
                  <c:v>0.12</c:v>
                </c:pt>
                <c:pt idx="814">
                  <c:v>0.65</c:v>
                </c:pt>
                <c:pt idx="815">
                  <c:v>0.85</c:v>
                </c:pt>
                <c:pt idx="816">
                  <c:v>7.0000000000000007E-2</c:v>
                </c:pt>
                <c:pt idx="817">
                  <c:v>0.49</c:v>
                </c:pt>
                <c:pt idx="818">
                  <c:v>0</c:v>
                </c:pt>
                <c:pt idx="819">
                  <c:v>0.37</c:v>
                </c:pt>
                <c:pt idx="820">
                  <c:v>0.74</c:v>
                </c:pt>
                <c:pt idx="821">
                  <c:v>0.46</c:v>
                </c:pt>
                <c:pt idx="822">
                  <c:v>0.59</c:v>
                </c:pt>
                <c:pt idx="823">
                  <c:v>0.5</c:v>
                </c:pt>
                <c:pt idx="824">
                  <c:v>0.76</c:v>
                </c:pt>
                <c:pt idx="825">
                  <c:v>0.09</c:v>
                </c:pt>
                <c:pt idx="826">
                  <c:v>0.79</c:v>
                </c:pt>
                <c:pt idx="827">
                  <c:v>0.62</c:v>
                </c:pt>
                <c:pt idx="828">
                  <c:v>0.57999999999999996</c:v>
                </c:pt>
                <c:pt idx="829">
                  <c:v>0.36</c:v>
                </c:pt>
                <c:pt idx="830">
                  <c:v>0.22</c:v>
                </c:pt>
                <c:pt idx="831">
                  <c:v>0.93</c:v>
                </c:pt>
                <c:pt idx="832">
                  <c:v>1</c:v>
                </c:pt>
                <c:pt idx="833">
                  <c:v>0.86</c:v>
                </c:pt>
                <c:pt idx="834">
                  <c:v>0.71</c:v>
                </c:pt>
                <c:pt idx="835">
                  <c:v>0.11</c:v>
                </c:pt>
                <c:pt idx="836">
                  <c:v>0.25</c:v>
                </c:pt>
                <c:pt idx="837">
                  <c:v>0.55000000000000004</c:v>
                </c:pt>
                <c:pt idx="838">
                  <c:v>0.01</c:v>
                </c:pt>
                <c:pt idx="839">
                  <c:v>0.11</c:v>
                </c:pt>
                <c:pt idx="840">
                  <c:v>0.31</c:v>
                </c:pt>
                <c:pt idx="841">
                  <c:v>0.92</c:v>
                </c:pt>
                <c:pt idx="842">
                  <c:v>0.81</c:v>
                </c:pt>
                <c:pt idx="843">
                  <c:v>0.71</c:v>
                </c:pt>
                <c:pt idx="844">
                  <c:v>0.15</c:v>
                </c:pt>
                <c:pt idx="845">
                  <c:v>0.6</c:v>
                </c:pt>
                <c:pt idx="846">
                  <c:v>0.4</c:v>
                </c:pt>
                <c:pt idx="847">
                  <c:v>0.24</c:v>
                </c:pt>
                <c:pt idx="848">
                  <c:v>0.69</c:v>
                </c:pt>
                <c:pt idx="849">
                  <c:v>0.1</c:v>
                </c:pt>
                <c:pt idx="850">
                  <c:v>0.16</c:v>
                </c:pt>
                <c:pt idx="851">
                  <c:v>0.43</c:v>
                </c:pt>
                <c:pt idx="852">
                  <c:v>0.02</c:v>
                </c:pt>
                <c:pt idx="853">
                  <c:v>0.72</c:v>
                </c:pt>
                <c:pt idx="854">
                  <c:v>0.84</c:v>
                </c:pt>
                <c:pt idx="855">
                  <c:v>0.34</c:v>
                </c:pt>
                <c:pt idx="856">
                  <c:v>0.1</c:v>
                </c:pt>
                <c:pt idx="857">
                  <c:v>0.56000000000000005</c:v>
                </c:pt>
                <c:pt idx="858">
                  <c:v>0.96</c:v>
                </c:pt>
                <c:pt idx="859">
                  <c:v>0.44</c:v>
                </c:pt>
                <c:pt idx="860">
                  <c:v>0.03</c:v>
                </c:pt>
                <c:pt idx="861">
                  <c:v>0.35</c:v>
                </c:pt>
                <c:pt idx="862">
                  <c:v>0.8</c:v>
                </c:pt>
                <c:pt idx="863">
                  <c:v>0.21</c:v>
                </c:pt>
                <c:pt idx="864">
                  <c:v>0.78</c:v>
                </c:pt>
                <c:pt idx="865">
                  <c:v>0.35</c:v>
                </c:pt>
                <c:pt idx="866">
                  <c:v>0.92</c:v>
                </c:pt>
                <c:pt idx="867">
                  <c:v>0.97</c:v>
                </c:pt>
                <c:pt idx="868">
                  <c:v>0.86</c:v>
                </c:pt>
                <c:pt idx="869">
                  <c:v>0.26</c:v>
                </c:pt>
                <c:pt idx="870">
                  <c:v>0.86</c:v>
                </c:pt>
                <c:pt idx="871">
                  <c:v>0.31</c:v>
                </c:pt>
                <c:pt idx="872">
                  <c:v>0.92</c:v>
                </c:pt>
                <c:pt idx="873">
                  <c:v>0.28999999999999998</c:v>
                </c:pt>
                <c:pt idx="874">
                  <c:v>0.1</c:v>
                </c:pt>
                <c:pt idx="875">
                  <c:v>0.35</c:v>
                </c:pt>
                <c:pt idx="876">
                  <c:v>0.57999999999999996</c:v>
                </c:pt>
                <c:pt idx="877">
                  <c:v>0.35</c:v>
                </c:pt>
                <c:pt idx="878">
                  <c:v>0.5</c:v>
                </c:pt>
                <c:pt idx="879">
                  <c:v>0.77</c:v>
                </c:pt>
                <c:pt idx="880">
                  <c:v>0.26</c:v>
                </c:pt>
                <c:pt idx="881">
                  <c:v>0.74</c:v>
                </c:pt>
                <c:pt idx="882">
                  <c:v>0.56999999999999995</c:v>
                </c:pt>
                <c:pt idx="883">
                  <c:v>0.56999999999999995</c:v>
                </c:pt>
                <c:pt idx="884">
                  <c:v>0.3</c:v>
                </c:pt>
                <c:pt idx="885">
                  <c:v>0.56999999999999995</c:v>
                </c:pt>
                <c:pt idx="886">
                  <c:v>0.35</c:v>
                </c:pt>
                <c:pt idx="887">
                  <c:v>0.39</c:v>
                </c:pt>
                <c:pt idx="888">
                  <c:v>0.92</c:v>
                </c:pt>
                <c:pt idx="889">
                  <c:v>0.08</c:v>
                </c:pt>
                <c:pt idx="890">
                  <c:v>0.9</c:v>
                </c:pt>
                <c:pt idx="891">
                  <c:v>0.54</c:v>
                </c:pt>
                <c:pt idx="892">
                  <c:v>0.42</c:v>
                </c:pt>
                <c:pt idx="893">
                  <c:v>0.67</c:v>
                </c:pt>
                <c:pt idx="894">
                  <c:v>0.1</c:v>
                </c:pt>
                <c:pt idx="895">
                  <c:v>0.09</c:v>
                </c:pt>
                <c:pt idx="896">
                  <c:v>0.9</c:v>
                </c:pt>
                <c:pt idx="897">
                  <c:v>0.86</c:v>
                </c:pt>
                <c:pt idx="898">
                  <c:v>0.22</c:v>
                </c:pt>
                <c:pt idx="899">
                  <c:v>0.57999999999999996</c:v>
                </c:pt>
                <c:pt idx="900">
                  <c:v>0.45</c:v>
                </c:pt>
                <c:pt idx="901">
                  <c:v>0.75</c:v>
                </c:pt>
                <c:pt idx="902">
                  <c:v>0.51</c:v>
                </c:pt>
                <c:pt idx="903">
                  <c:v>0.18</c:v>
                </c:pt>
                <c:pt idx="904">
                  <c:v>0.56000000000000005</c:v>
                </c:pt>
                <c:pt idx="905">
                  <c:v>0.26</c:v>
                </c:pt>
                <c:pt idx="906">
                  <c:v>0.18</c:v>
                </c:pt>
                <c:pt idx="907">
                  <c:v>0.42</c:v>
                </c:pt>
                <c:pt idx="908">
                  <c:v>0.18</c:v>
                </c:pt>
                <c:pt idx="909">
                  <c:v>0.28999999999999998</c:v>
                </c:pt>
                <c:pt idx="910">
                  <c:v>0.16</c:v>
                </c:pt>
                <c:pt idx="911">
                  <c:v>0.2</c:v>
                </c:pt>
                <c:pt idx="912">
                  <c:v>0.63</c:v>
                </c:pt>
                <c:pt idx="913">
                  <c:v>0.15</c:v>
                </c:pt>
                <c:pt idx="914">
                  <c:v>0.93</c:v>
                </c:pt>
                <c:pt idx="915">
                  <c:v>0.53</c:v>
                </c:pt>
                <c:pt idx="916">
                  <c:v>0.14000000000000001</c:v>
                </c:pt>
                <c:pt idx="917">
                  <c:v>0.15</c:v>
                </c:pt>
                <c:pt idx="918">
                  <c:v>0.38</c:v>
                </c:pt>
                <c:pt idx="919">
                  <c:v>0.82</c:v>
                </c:pt>
                <c:pt idx="920">
                  <c:v>0.31</c:v>
                </c:pt>
                <c:pt idx="921">
                  <c:v>1</c:v>
                </c:pt>
                <c:pt idx="922">
                  <c:v>0.32</c:v>
                </c:pt>
                <c:pt idx="923">
                  <c:v>0.01</c:v>
                </c:pt>
                <c:pt idx="924">
                  <c:v>0.02</c:v>
                </c:pt>
                <c:pt idx="925">
                  <c:v>0.64</c:v>
                </c:pt>
                <c:pt idx="926">
                  <c:v>0.25</c:v>
                </c:pt>
                <c:pt idx="927">
                  <c:v>0.84</c:v>
                </c:pt>
                <c:pt idx="928">
                  <c:v>0.03</c:v>
                </c:pt>
                <c:pt idx="929">
                  <c:v>0.86</c:v>
                </c:pt>
                <c:pt idx="930">
                  <c:v>0</c:v>
                </c:pt>
                <c:pt idx="931">
                  <c:v>0.46</c:v>
                </c:pt>
                <c:pt idx="932">
                  <c:v>0.44</c:v>
                </c:pt>
                <c:pt idx="933">
                  <c:v>0.56000000000000005</c:v>
                </c:pt>
                <c:pt idx="934">
                  <c:v>0.28000000000000003</c:v>
                </c:pt>
                <c:pt idx="935">
                  <c:v>0.06</c:v>
                </c:pt>
                <c:pt idx="936">
                  <c:v>0.69</c:v>
                </c:pt>
                <c:pt idx="937">
                  <c:v>0.19</c:v>
                </c:pt>
                <c:pt idx="938">
                  <c:v>0.51</c:v>
                </c:pt>
                <c:pt idx="939">
                  <c:v>0.17</c:v>
                </c:pt>
                <c:pt idx="940">
                  <c:v>0.23</c:v>
                </c:pt>
                <c:pt idx="941">
                  <c:v>0.96</c:v>
                </c:pt>
                <c:pt idx="942">
                  <c:v>0.28999999999999998</c:v>
                </c:pt>
                <c:pt idx="943">
                  <c:v>0.74</c:v>
                </c:pt>
                <c:pt idx="944">
                  <c:v>0.06</c:v>
                </c:pt>
                <c:pt idx="945">
                  <c:v>0.22</c:v>
                </c:pt>
                <c:pt idx="946">
                  <c:v>0.51</c:v>
                </c:pt>
                <c:pt idx="947">
                  <c:v>0.45</c:v>
                </c:pt>
                <c:pt idx="948">
                  <c:v>0.31</c:v>
                </c:pt>
                <c:pt idx="949">
                  <c:v>0.26</c:v>
                </c:pt>
                <c:pt idx="950">
                  <c:v>0.65</c:v>
                </c:pt>
                <c:pt idx="951">
                  <c:v>0.34</c:v>
                </c:pt>
                <c:pt idx="952">
                  <c:v>0.94</c:v>
                </c:pt>
                <c:pt idx="953">
                  <c:v>0.9</c:v>
                </c:pt>
                <c:pt idx="954">
                  <c:v>0.73</c:v>
                </c:pt>
                <c:pt idx="955">
                  <c:v>0.39</c:v>
                </c:pt>
                <c:pt idx="956">
                  <c:v>0.65</c:v>
                </c:pt>
                <c:pt idx="957">
                  <c:v>0.32</c:v>
                </c:pt>
                <c:pt idx="958">
                  <c:v>0.56999999999999995</c:v>
                </c:pt>
                <c:pt idx="959">
                  <c:v>0.66</c:v>
                </c:pt>
                <c:pt idx="960">
                  <c:v>0.67</c:v>
                </c:pt>
                <c:pt idx="961">
                  <c:v>0.41</c:v>
                </c:pt>
                <c:pt idx="962">
                  <c:v>0.46</c:v>
                </c:pt>
                <c:pt idx="963">
                  <c:v>0.86</c:v>
                </c:pt>
                <c:pt idx="964">
                  <c:v>0.6</c:v>
                </c:pt>
                <c:pt idx="965">
                  <c:v>0.31</c:v>
                </c:pt>
                <c:pt idx="966">
                  <c:v>0.24</c:v>
                </c:pt>
                <c:pt idx="967">
                  <c:v>0.02</c:v>
                </c:pt>
                <c:pt idx="968">
                  <c:v>0.02</c:v>
                </c:pt>
                <c:pt idx="969">
                  <c:v>0.14000000000000001</c:v>
                </c:pt>
                <c:pt idx="970">
                  <c:v>0.72</c:v>
                </c:pt>
                <c:pt idx="971">
                  <c:v>0.22</c:v>
                </c:pt>
                <c:pt idx="972">
                  <c:v>0.62</c:v>
                </c:pt>
                <c:pt idx="973">
                  <c:v>0.49</c:v>
                </c:pt>
                <c:pt idx="974">
                  <c:v>0.43</c:v>
                </c:pt>
                <c:pt idx="975">
                  <c:v>0.21</c:v>
                </c:pt>
                <c:pt idx="976">
                  <c:v>0.93</c:v>
                </c:pt>
                <c:pt idx="977">
                  <c:v>0.32</c:v>
                </c:pt>
                <c:pt idx="978">
                  <c:v>0.46</c:v>
                </c:pt>
                <c:pt idx="979">
                  <c:v>0.24</c:v>
                </c:pt>
                <c:pt idx="980">
                  <c:v>0.93</c:v>
                </c:pt>
                <c:pt idx="981">
                  <c:v>0.04</c:v>
                </c:pt>
                <c:pt idx="982">
                  <c:v>0.12</c:v>
                </c:pt>
                <c:pt idx="983">
                  <c:v>0.82</c:v>
                </c:pt>
                <c:pt idx="984">
                  <c:v>0.73</c:v>
                </c:pt>
                <c:pt idx="985">
                  <c:v>0.51</c:v>
                </c:pt>
                <c:pt idx="986">
                  <c:v>0.65</c:v>
                </c:pt>
                <c:pt idx="987">
                  <c:v>0.46</c:v>
                </c:pt>
                <c:pt idx="988">
                  <c:v>0.1</c:v>
                </c:pt>
                <c:pt idx="989">
                  <c:v>0.52</c:v>
                </c:pt>
                <c:pt idx="990">
                  <c:v>0.74</c:v>
                </c:pt>
                <c:pt idx="991">
                  <c:v>0.36</c:v>
                </c:pt>
                <c:pt idx="992">
                  <c:v>0.74</c:v>
                </c:pt>
                <c:pt idx="993">
                  <c:v>0.9</c:v>
                </c:pt>
                <c:pt idx="994">
                  <c:v>0.69</c:v>
                </c:pt>
                <c:pt idx="995">
                  <c:v>0.28999999999999998</c:v>
                </c:pt>
                <c:pt idx="996">
                  <c:v>0.69</c:v>
                </c:pt>
                <c:pt idx="997">
                  <c:v>0.16</c:v>
                </c:pt>
                <c:pt idx="998">
                  <c:v>0.43</c:v>
                </c:pt>
                <c:pt idx="999">
                  <c:v>0.85</c:v>
                </c:pt>
                <c:pt idx="1000">
                  <c:v>0.53</c:v>
                </c:pt>
                <c:pt idx="1001">
                  <c:v>0.73</c:v>
                </c:pt>
                <c:pt idx="1002">
                  <c:v>0.69</c:v>
                </c:pt>
                <c:pt idx="1003">
                  <c:v>0.19</c:v>
                </c:pt>
                <c:pt idx="1004">
                  <c:v>0.69</c:v>
                </c:pt>
                <c:pt idx="1005">
                  <c:v>0.35</c:v>
                </c:pt>
                <c:pt idx="1006">
                  <c:v>0.76</c:v>
                </c:pt>
                <c:pt idx="1007">
                  <c:v>0.17</c:v>
                </c:pt>
                <c:pt idx="1008">
                  <c:v>0.88</c:v>
                </c:pt>
                <c:pt idx="1009">
                  <c:v>0.15</c:v>
                </c:pt>
                <c:pt idx="1010">
                  <c:v>0.05</c:v>
                </c:pt>
                <c:pt idx="1011">
                  <c:v>0.52</c:v>
                </c:pt>
                <c:pt idx="1012">
                  <c:v>0.51</c:v>
                </c:pt>
                <c:pt idx="1013">
                  <c:v>0.48</c:v>
                </c:pt>
                <c:pt idx="1014">
                  <c:v>0.95</c:v>
                </c:pt>
                <c:pt idx="1015">
                  <c:v>0.89</c:v>
                </c:pt>
                <c:pt idx="1016">
                  <c:v>0.78</c:v>
                </c:pt>
                <c:pt idx="1017">
                  <c:v>0.2</c:v>
                </c:pt>
                <c:pt idx="1018">
                  <c:v>0.63</c:v>
                </c:pt>
                <c:pt idx="1019">
                  <c:v>0.57999999999999996</c:v>
                </c:pt>
                <c:pt idx="1020">
                  <c:v>0.13</c:v>
                </c:pt>
                <c:pt idx="1021">
                  <c:v>0.08</c:v>
                </c:pt>
                <c:pt idx="1022">
                  <c:v>0.3</c:v>
                </c:pt>
                <c:pt idx="1023">
                  <c:v>0.09</c:v>
                </c:pt>
                <c:pt idx="1024">
                  <c:v>0.04</c:v>
                </c:pt>
                <c:pt idx="1025">
                  <c:v>0.95</c:v>
                </c:pt>
                <c:pt idx="1026">
                  <c:v>0.92</c:v>
                </c:pt>
                <c:pt idx="1027">
                  <c:v>0.54</c:v>
                </c:pt>
                <c:pt idx="1028">
                  <c:v>0.24</c:v>
                </c:pt>
                <c:pt idx="1029">
                  <c:v>0.91</c:v>
                </c:pt>
                <c:pt idx="1030">
                  <c:v>0.87</c:v>
                </c:pt>
                <c:pt idx="1031">
                  <c:v>0.69</c:v>
                </c:pt>
                <c:pt idx="1032">
                  <c:v>0.94</c:v>
                </c:pt>
                <c:pt idx="1033">
                  <c:v>0.64</c:v>
                </c:pt>
                <c:pt idx="1034">
                  <c:v>0.68</c:v>
                </c:pt>
                <c:pt idx="1035">
                  <c:v>0.85</c:v>
                </c:pt>
                <c:pt idx="1036">
                  <c:v>0.43</c:v>
                </c:pt>
                <c:pt idx="1037">
                  <c:v>0.13</c:v>
                </c:pt>
                <c:pt idx="1038">
                  <c:v>0.02</c:v>
                </c:pt>
                <c:pt idx="1039">
                  <c:v>0.98</c:v>
                </c:pt>
                <c:pt idx="1040">
                  <c:v>0.78</c:v>
                </c:pt>
                <c:pt idx="1041">
                  <c:v>0.33</c:v>
                </c:pt>
                <c:pt idx="1042">
                  <c:v>0.98</c:v>
                </c:pt>
                <c:pt idx="1043">
                  <c:v>0.79</c:v>
                </c:pt>
                <c:pt idx="1044">
                  <c:v>0.76</c:v>
                </c:pt>
                <c:pt idx="1045">
                  <c:v>0.57999999999999996</c:v>
                </c:pt>
                <c:pt idx="1046">
                  <c:v>0.44</c:v>
                </c:pt>
                <c:pt idx="1047">
                  <c:v>0.56000000000000005</c:v>
                </c:pt>
                <c:pt idx="1048">
                  <c:v>0.25</c:v>
                </c:pt>
                <c:pt idx="1049">
                  <c:v>0.72</c:v>
                </c:pt>
                <c:pt idx="1050">
                  <c:v>0.47</c:v>
                </c:pt>
                <c:pt idx="1051">
                  <c:v>0.74</c:v>
                </c:pt>
                <c:pt idx="1052">
                  <c:v>0.81</c:v>
                </c:pt>
                <c:pt idx="1053">
                  <c:v>0.44</c:v>
                </c:pt>
                <c:pt idx="1054">
                  <c:v>0.93</c:v>
                </c:pt>
                <c:pt idx="1055">
                  <c:v>0.39</c:v>
                </c:pt>
                <c:pt idx="1056">
                  <c:v>0.42</c:v>
                </c:pt>
                <c:pt idx="1057">
                  <c:v>0.25</c:v>
                </c:pt>
                <c:pt idx="1058">
                  <c:v>0.09</c:v>
                </c:pt>
                <c:pt idx="1059">
                  <c:v>0.39</c:v>
                </c:pt>
                <c:pt idx="1060">
                  <c:v>0.33</c:v>
                </c:pt>
                <c:pt idx="1061">
                  <c:v>0.23</c:v>
                </c:pt>
                <c:pt idx="1062">
                  <c:v>0.95</c:v>
                </c:pt>
                <c:pt idx="1063">
                  <c:v>0.33</c:v>
                </c:pt>
                <c:pt idx="1064">
                  <c:v>0.25</c:v>
                </c:pt>
                <c:pt idx="1065">
                  <c:v>0.55000000000000004</c:v>
                </c:pt>
                <c:pt idx="1066">
                  <c:v>0.68</c:v>
                </c:pt>
                <c:pt idx="1067">
                  <c:v>0.98</c:v>
                </c:pt>
                <c:pt idx="1068">
                  <c:v>0.3</c:v>
                </c:pt>
                <c:pt idx="1069">
                  <c:v>0.53</c:v>
                </c:pt>
                <c:pt idx="1070">
                  <c:v>0.47</c:v>
                </c:pt>
                <c:pt idx="1071">
                  <c:v>0.14000000000000001</c:v>
                </c:pt>
                <c:pt idx="1072">
                  <c:v>0.38</c:v>
                </c:pt>
                <c:pt idx="1073">
                  <c:v>0.3</c:v>
                </c:pt>
                <c:pt idx="1074">
                  <c:v>0.77</c:v>
                </c:pt>
                <c:pt idx="1075">
                  <c:v>0.19</c:v>
                </c:pt>
                <c:pt idx="1076">
                  <c:v>0.27</c:v>
                </c:pt>
                <c:pt idx="1077">
                  <c:v>0.95</c:v>
                </c:pt>
                <c:pt idx="1078">
                  <c:v>0.38</c:v>
                </c:pt>
                <c:pt idx="1079">
                  <c:v>0.17</c:v>
                </c:pt>
                <c:pt idx="1080">
                  <c:v>0.78</c:v>
                </c:pt>
                <c:pt idx="1081">
                  <c:v>0.55000000000000004</c:v>
                </c:pt>
                <c:pt idx="1082">
                  <c:v>0.97</c:v>
                </c:pt>
                <c:pt idx="1083">
                  <c:v>0.98</c:v>
                </c:pt>
                <c:pt idx="1084">
                  <c:v>0.33</c:v>
                </c:pt>
                <c:pt idx="1085">
                  <c:v>0.3</c:v>
                </c:pt>
                <c:pt idx="1086">
                  <c:v>0.3</c:v>
                </c:pt>
                <c:pt idx="1087">
                  <c:v>0.85</c:v>
                </c:pt>
                <c:pt idx="1088">
                  <c:v>0.43</c:v>
                </c:pt>
                <c:pt idx="1089">
                  <c:v>0.37</c:v>
                </c:pt>
                <c:pt idx="1090">
                  <c:v>0.77</c:v>
                </c:pt>
                <c:pt idx="1091">
                  <c:v>0.45</c:v>
                </c:pt>
                <c:pt idx="1092">
                  <c:v>0.99</c:v>
                </c:pt>
                <c:pt idx="1093">
                  <c:v>0.93</c:v>
                </c:pt>
                <c:pt idx="1094">
                  <c:v>0.32</c:v>
                </c:pt>
                <c:pt idx="1095">
                  <c:v>0.44</c:v>
                </c:pt>
                <c:pt idx="1096">
                  <c:v>0.35</c:v>
                </c:pt>
                <c:pt idx="1097">
                  <c:v>0.87</c:v>
                </c:pt>
                <c:pt idx="1098">
                  <c:v>0.95</c:v>
                </c:pt>
                <c:pt idx="1099">
                  <c:v>0.38</c:v>
                </c:pt>
                <c:pt idx="1100">
                  <c:v>0.88</c:v>
                </c:pt>
                <c:pt idx="1101">
                  <c:v>0.54</c:v>
                </c:pt>
                <c:pt idx="1102">
                  <c:v>0.89</c:v>
                </c:pt>
                <c:pt idx="1103">
                  <c:v>0.81</c:v>
                </c:pt>
                <c:pt idx="1104">
                  <c:v>0.79</c:v>
                </c:pt>
                <c:pt idx="1105">
                  <c:v>0.94</c:v>
                </c:pt>
                <c:pt idx="1106">
                  <c:v>0.2</c:v>
                </c:pt>
                <c:pt idx="1107">
                  <c:v>0.66</c:v>
                </c:pt>
                <c:pt idx="1108">
                  <c:v>0.08</c:v>
                </c:pt>
                <c:pt idx="1109">
                  <c:v>0.11</c:v>
                </c:pt>
                <c:pt idx="1110">
                  <c:v>0.54</c:v>
                </c:pt>
                <c:pt idx="1111">
                  <c:v>0.37</c:v>
                </c:pt>
                <c:pt idx="1112">
                  <c:v>0.42</c:v>
                </c:pt>
                <c:pt idx="1113">
                  <c:v>0.81</c:v>
                </c:pt>
                <c:pt idx="1114">
                  <c:v>0.4</c:v>
                </c:pt>
                <c:pt idx="1115">
                  <c:v>0.6</c:v>
                </c:pt>
                <c:pt idx="1116">
                  <c:v>0.5</c:v>
                </c:pt>
                <c:pt idx="1117">
                  <c:v>0.6</c:v>
                </c:pt>
                <c:pt idx="1118">
                  <c:v>0.39</c:v>
                </c:pt>
                <c:pt idx="1119">
                  <c:v>0.92</c:v>
                </c:pt>
                <c:pt idx="1120">
                  <c:v>0.67</c:v>
                </c:pt>
                <c:pt idx="1121">
                  <c:v>0.37</c:v>
                </c:pt>
                <c:pt idx="1122">
                  <c:v>0.65</c:v>
                </c:pt>
                <c:pt idx="1123">
                  <c:v>0.13</c:v>
                </c:pt>
                <c:pt idx="1124">
                  <c:v>0.61</c:v>
                </c:pt>
                <c:pt idx="1125">
                  <c:v>0.3</c:v>
                </c:pt>
                <c:pt idx="1126">
                  <c:v>0.57999999999999996</c:v>
                </c:pt>
                <c:pt idx="1127">
                  <c:v>0.14000000000000001</c:v>
                </c:pt>
                <c:pt idx="1128">
                  <c:v>0.91</c:v>
                </c:pt>
                <c:pt idx="1129">
                  <c:v>0.28999999999999998</c:v>
                </c:pt>
                <c:pt idx="1130">
                  <c:v>0.53</c:v>
                </c:pt>
                <c:pt idx="1131">
                  <c:v>0.03</c:v>
                </c:pt>
                <c:pt idx="1132">
                  <c:v>0.28999999999999998</c:v>
                </c:pt>
                <c:pt idx="1133">
                  <c:v>0.74</c:v>
                </c:pt>
                <c:pt idx="1134">
                  <c:v>0.2</c:v>
                </c:pt>
                <c:pt idx="1135">
                  <c:v>0.31</c:v>
                </c:pt>
                <c:pt idx="1136">
                  <c:v>0.24</c:v>
                </c:pt>
                <c:pt idx="1137">
                  <c:v>0.56999999999999995</c:v>
                </c:pt>
                <c:pt idx="1138">
                  <c:v>0.04</c:v>
                </c:pt>
                <c:pt idx="1139">
                  <c:v>0.81</c:v>
                </c:pt>
                <c:pt idx="1140">
                  <c:v>0.57999999999999996</c:v>
                </c:pt>
                <c:pt idx="1141">
                  <c:v>0.62</c:v>
                </c:pt>
                <c:pt idx="1142">
                  <c:v>7.0000000000000007E-2</c:v>
                </c:pt>
                <c:pt idx="1143">
                  <c:v>0.56000000000000005</c:v>
                </c:pt>
                <c:pt idx="1144">
                  <c:v>0.88</c:v>
                </c:pt>
                <c:pt idx="1145">
                  <c:v>0.05</c:v>
                </c:pt>
                <c:pt idx="1146">
                  <c:v>0.91</c:v>
                </c:pt>
                <c:pt idx="1147">
                  <c:v>0.31</c:v>
                </c:pt>
                <c:pt idx="1148">
                  <c:v>0.16</c:v>
                </c:pt>
                <c:pt idx="1149">
                  <c:v>0.82</c:v>
                </c:pt>
                <c:pt idx="1150">
                  <c:v>0.25</c:v>
                </c:pt>
                <c:pt idx="1151">
                  <c:v>0.99</c:v>
                </c:pt>
                <c:pt idx="1152">
                  <c:v>0.26</c:v>
                </c:pt>
                <c:pt idx="1153">
                  <c:v>0.62</c:v>
                </c:pt>
                <c:pt idx="1154">
                  <c:v>0.28999999999999998</c:v>
                </c:pt>
                <c:pt idx="1155">
                  <c:v>0.32</c:v>
                </c:pt>
                <c:pt idx="1156">
                  <c:v>0.66</c:v>
                </c:pt>
                <c:pt idx="1157">
                  <c:v>0.53</c:v>
                </c:pt>
                <c:pt idx="1158">
                  <c:v>0.2</c:v>
                </c:pt>
                <c:pt idx="1159">
                  <c:v>0.59</c:v>
                </c:pt>
                <c:pt idx="1160">
                  <c:v>0.95</c:v>
                </c:pt>
                <c:pt idx="1161">
                  <c:v>0.1</c:v>
                </c:pt>
                <c:pt idx="1162">
                  <c:v>0.18</c:v>
                </c:pt>
                <c:pt idx="1163">
                  <c:v>0.03</c:v>
                </c:pt>
                <c:pt idx="1164">
                  <c:v>0.76</c:v>
                </c:pt>
                <c:pt idx="1165">
                  <c:v>0.14000000000000001</c:v>
                </c:pt>
                <c:pt idx="1166">
                  <c:v>0.87</c:v>
                </c:pt>
                <c:pt idx="1167">
                  <c:v>0.75</c:v>
                </c:pt>
                <c:pt idx="1168">
                  <c:v>0.59</c:v>
                </c:pt>
                <c:pt idx="1169">
                  <c:v>0.16</c:v>
                </c:pt>
                <c:pt idx="1170">
                  <c:v>0.59</c:v>
                </c:pt>
                <c:pt idx="1171">
                  <c:v>0.84</c:v>
                </c:pt>
                <c:pt idx="1172">
                  <c:v>7.0000000000000007E-2</c:v>
                </c:pt>
                <c:pt idx="1173">
                  <c:v>0.06</c:v>
                </c:pt>
                <c:pt idx="1174">
                  <c:v>0.24</c:v>
                </c:pt>
                <c:pt idx="1175">
                  <c:v>0.63</c:v>
                </c:pt>
                <c:pt idx="1176">
                  <c:v>0.53</c:v>
                </c:pt>
                <c:pt idx="1177">
                  <c:v>0.19</c:v>
                </c:pt>
                <c:pt idx="1178">
                  <c:v>0.22</c:v>
                </c:pt>
                <c:pt idx="1179">
                  <c:v>0.85</c:v>
                </c:pt>
                <c:pt idx="1180">
                  <c:v>0.68</c:v>
                </c:pt>
                <c:pt idx="1181">
                  <c:v>0.18</c:v>
                </c:pt>
                <c:pt idx="1182">
                  <c:v>0.15</c:v>
                </c:pt>
                <c:pt idx="1183">
                  <c:v>0.5</c:v>
                </c:pt>
                <c:pt idx="1184">
                  <c:v>0.22</c:v>
                </c:pt>
                <c:pt idx="1185">
                  <c:v>1</c:v>
                </c:pt>
                <c:pt idx="1186">
                  <c:v>0.3</c:v>
                </c:pt>
                <c:pt idx="1187">
                  <c:v>0.85</c:v>
                </c:pt>
                <c:pt idx="1188">
                  <c:v>0.96</c:v>
                </c:pt>
                <c:pt idx="1189">
                  <c:v>0.79</c:v>
                </c:pt>
                <c:pt idx="1190">
                  <c:v>0.79</c:v>
                </c:pt>
                <c:pt idx="1191">
                  <c:v>0.43</c:v>
                </c:pt>
                <c:pt idx="1192">
                  <c:v>0.86</c:v>
                </c:pt>
                <c:pt idx="1193">
                  <c:v>0.28999999999999998</c:v>
                </c:pt>
                <c:pt idx="1194">
                  <c:v>0.31</c:v>
                </c:pt>
                <c:pt idx="1195">
                  <c:v>0.76</c:v>
                </c:pt>
                <c:pt idx="1196">
                  <c:v>0.12</c:v>
                </c:pt>
                <c:pt idx="1197">
                  <c:v>0.85</c:v>
                </c:pt>
                <c:pt idx="1198">
                  <c:v>0.99</c:v>
                </c:pt>
                <c:pt idx="1199">
                  <c:v>0.67</c:v>
                </c:pt>
                <c:pt idx="1200">
                  <c:v>0.59</c:v>
                </c:pt>
                <c:pt idx="1201">
                  <c:v>0.36</c:v>
                </c:pt>
                <c:pt idx="1202">
                  <c:v>0.66</c:v>
                </c:pt>
                <c:pt idx="1203">
                  <c:v>0.92</c:v>
                </c:pt>
                <c:pt idx="1204">
                  <c:v>0.52</c:v>
                </c:pt>
                <c:pt idx="1205">
                  <c:v>0.97</c:v>
                </c:pt>
                <c:pt idx="1206">
                  <c:v>0.24</c:v>
                </c:pt>
                <c:pt idx="1207">
                  <c:v>0.35</c:v>
                </c:pt>
                <c:pt idx="1208">
                  <c:v>0.65</c:v>
                </c:pt>
                <c:pt idx="1209">
                  <c:v>0.82</c:v>
                </c:pt>
                <c:pt idx="1210">
                  <c:v>0.33</c:v>
                </c:pt>
                <c:pt idx="1211">
                  <c:v>0.72</c:v>
                </c:pt>
                <c:pt idx="1212">
                  <c:v>0.2</c:v>
                </c:pt>
                <c:pt idx="1213">
                  <c:v>0.55000000000000004</c:v>
                </c:pt>
                <c:pt idx="1214">
                  <c:v>0.46</c:v>
                </c:pt>
                <c:pt idx="1215">
                  <c:v>0.86</c:v>
                </c:pt>
                <c:pt idx="1216">
                  <c:v>0.73</c:v>
                </c:pt>
                <c:pt idx="1217">
                  <c:v>0.17</c:v>
                </c:pt>
                <c:pt idx="1218">
                  <c:v>0.56000000000000005</c:v>
                </c:pt>
                <c:pt idx="1219">
                  <c:v>0.51</c:v>
                </c:pt>
                <c:pt idx="1220">
                  <c:v>0.9</c:v>
                </c:pt>
                <c:pt idx="1221">
                  <c:v>0.76</c:v>
                </c:pt>
                <c:pt idx="1222">
                  <c:v>0.35</c:v>
                </c:pt>
                <c:pt idx="1223">
                  <c:v>0.51</c:v>
                </c:pt>
                <c:pt idx="1224">
                  <c:v>0.03</c:v>
                </c:pt>
                <c:pt idx="1225">
                  <c:v>0.77</c:v>
                </c:pt>
                <c:pt idx="1226">
                  <c:v>0.82</c:v>
                </c:pt>
                <c:pt idx="1227">
                  <c:v>0.75</c:v>
                </c:pt>
                <c:pt idx="1228">
                  <c:v>0.52</c:v>
                </c:pt>
                <c:pt idx="1229">
                  <c:v>0.45</c:v>
                </c:pt>
                <c:pt idx="1230">
                  <c:v>0.83</c:v>
                </c:pt>
                <c:pt idx="1231">
                  <c:v>0.9</c:v>
                </c:pt>
                <c:pt idx="1232">
                  <c:v>0.72</c:v>
                </c:pt>
                <c:pt idx="1233">
                  <c:v>0.44</c:v>
                </c:pt>
                <c:pt idx="1234">
                  <c:v>0.74</c:v>
                </c:pt>
                <c:pt idx="1235">
                  <c:v>0.64</c:v>
                </c:pt>
                <c:pt idx="1236">
                  <c:v>0.24</c:v>
                </c:pt>
                <c:pt idx="1237">
                  <c:v>0.76</c:v>
                </c:pt>
                <c:pt idx="1238">
                  <c:v>0.4</c:v>
                </c:pt>
                <c:pt idx="1239">
                  <c:v>1</c:v>
                </c:pt>
                <c:pt idx="1240">
                  <c:v>0.78</c:v>
                </c:pt>
                <c:pt idx="1241">
                  <c:v>0.64</c:v>
                </c:pt>
                <c:pt idx="1242">
                  <c:v>0.52</c:v>
                </c:pt>
                <c:pt idx="1243">
                  <c:v>0.81</c:v>
                </c:pt>
                <c:pt idx="1244">
                  <c:v>0.85</c:v>
                </c:pt>
                <c:pt idx="1245">
                  <c:v>0.41</c:v>
                </c:pt>
                <c:pt idx="1246">
                  <c:v>0.79</c:v>
                </c:pt>
                <c:pt idx="1247">
                  <c:v>0.09</c:v>
                </c:pt>
                <c:pt idx="1248">
                  <c:v>0.83</c:v>
                </c:pt>
                <c:pt idx="1249">
                  <c:v>0.05</c:v>
                </c:pt>
                <c:pt idx="1250">
                  <c:v>0.87</c:v>
                </c:pt>
                <c:pt idx="1251">
                  <c:v>0.85</c:v>
                </c:pt>
                <c:pt idx="1252">
                  <c:v>0.02</c:v>
                </c:pt>
                <c:pt idx="1253">
                  <c:v>0.71</c:v>
                </c:pt>
                <c:pt idx="1254">
                  <c:v>0.15</c:v>
                </c:pt>
                <c:pt idx="1255">
                  <c:v>0.99</c:v>
                </c:pt>
                <c:pt idx="1256">
                  <c:v>0.68</c:v>
                </c:pt>
                <c:pt idx="1257">
                  <c:v>0.59</c:v>
                </c:pt>
                <c:pt idx="1258">
                  <c:v>0.64</c:v>
                </c:pt>
                <c:pt idx="1259">
                  <c:v>0.86</c:v>
                </c:pt>
                <c:pt idx="1260">
                  <c:v>0.17</c:v>
                </c:pt>
                <c:pt idx="1261">
                  <c:v>0.41</c:v>
                </c:pt>
                <c:pt idx="1262">
                  <c:v>0.12</c:v>
                </c:pt>
                <c:pt idx="1263">
                  <c:v>0.4</c:v>
                </c:pt>
                <c:pt idx="1264">
                  <c:v>0.43</c:v>
                </c:pt>
                <c:pt idx="1265">
                  <c:v>0.45</c:v>
                </c:pt>
                <c:pt idx="1266">
                  <c:v>0.88</c:v>
                </c:pt>
                <c:pt idx="1267">
                  <c:v>0.11</c:v>
                </c:pt>
                <c:pt idx="1268">
                  <c:v>0.79</c:v>
                </c:pt>
                <c:pt idx="1269">
                  <c:v>0.61</c:v>
                </c:pt>
                <c:pt idx="1270">
                  <c:v>0.08</c:v>
                </c:pt>
                <c:pt idx="1271">
                  <c:v>0.28999999999999998</c:v>
                </c:pt>
                <c:pt idx="1272">
                  <c:v>0.56999999999999995</c:v>
                </c:pt>
                <c:pt idx="1273">
                  <c:v>0.12</c:v>
                </c:pt>
                <c:pt idx="1274">
                  <c:v>0.77</c:v>
                </c:pt>
                <c:pt idx="1275">
                  <c:v>0.77</c:v>
                </c:pt>
                <c:pt idx="1276">
                  <c:v>0.6</c:v>
                </c:pt>
                <c:pt idx="1277">
                  <c:v>0.47</c:v>
                </c:pt>
                <c:pt idx="1278">
                  <c:v>0.18</c:v>
                </c:pt>
                <c:pt idx="1279">
                  <c:v>0.71</c:v>
                </c:pt>
                <c:pt idx="1280">
                  <c:v>0.36</c:v>
                </c:pt>
                <c:pt idx="1281">
                  <c:v>0.1</c:v>
                </c:pt>
                <c:pt idx="1282">
                  <c:v>0.04</c:v>
                </c:pt>
                <c:pt idx="1283">
                  <c:v>0.8</c:v>
                </c:pt>
                <c:pt idx="1284">
                  <c:v>0.22</c:v>
                </c:pt>
                <c:pt idx="1285">
                  <c:v>0.92</c:v>
                </c:pt>
                <c:pt idx="1286">
                  <c:v>0.98</c:v>
                </c:pt>
                <c:pt idx="1287">
                  <c:v>0.81</c:v>
                </c:pt>
                <c:pt idx="1288">
                  <c:v>0.82</c:v>
                </c:pt>
                <c:pt idx="1289">
                  <c:v>0.5</c:v>
                </c:pt>
                <c:pt idx="1290">
                  <c:v>0.32</c:v>
                </c:pt>
                <c:pt idx="1291">
                  <c:v>0.74</c:v>
                </c:pt>
                <c:pt idx="1292">
                  <c:v>0.28000000000000003</c:v>
                </c:pt>
                <c:pt idx="1293">
                  <c:v>0.37</c:v>
                </c:pt>
                <c:pt idx="1294">
                  <c:v>0.04</c:v>
                </c:pt>
                <c:pt idx="1295">
                  <c:v>0.1</c:v>
                </c:pt>
                <c:pt idx="1296">
                  <c:v>0.74</c:v>
                </c:pt>
                <c:pt idx="1297">
                  <c:v>0.1</c:v>
                </c:pt>
                <c:pt idx="1298">
                  <c:v>0.41</c:v>
                </c:pt>
                <c:pt idx="1299">
                  <c:v>0.69</c:v>
                </c:pt>
                <c:pt idx="1300">
                  <c:v>0.22</c:v>
                </c:pt>
                <c:pt idx="1301">
                  <c:v>0.35</c:v>
                </c:pt>
                <c:pt idx="1302">
                  <c:v>0.65</c:v>
                </c:pt>
                <c:pt idx="1303">
                  <c:v>0.37</c:v>
                </c:pt>
                <c:pt idx="1304">
                  <c:v>0.12</c:v>
                </c:pt>
                <c:pt idx="1305">
                  <c:v>0.34</c:v>
                </c:pt>
                <c:pt idx="1306">
                  <c:v>0.14000000000000001</c:v>
                </c:pt>
                <c:pt idx="1307">
                  <c:v>0.01</c:v>
                </c:pt>
                <c:pt idx="1308">
                  <c:v>0.56999999999999995</c:v>
                </c:pt>
                <c:pt idx="1309">
                  <c:v>0.91</c:v>
                </c:pt>
                <c:pt idx="1310">
                  <c:v>0.13</c:v>
                </c:pt>
                <c:pt idx="1311">
                  <c:v>0.24</c:v>
                </c:pt>
                <c:pt idx="1312">
                  <c:v>0.66</c:v>
                </c:pt>
                <c:pt idx="1313">
                  <c:v>0.6</c:v>
                </c:pt>
                <c:pt idx="1314">
                  <c:v>0.18</c:v>
                </c:pt>
                <c:pt idx="1315">
                  <c:v>0.68</c:v>
                </c:pt>
                <c:pt idx="1316">
                  <c:v>0.82</c:v>
                </c:pt>
                <c:pt idx="1317">
                  <c:v>0.52</c:v>
                </c:pt>
                <c:pt idx="1318">
                  <c:v>0.5</c:v>
                </c:pt>
                <c:pt idx="1319">
                  <c:v>0.11</c:v>
                </c:pt>
                <c:pt idx="1320">
                  <c:v>0.15</c:v>
                </c:pt>
                <c:pt idx="1321">
                  <c:v>0.48</c:v>
                </c:pt>
                <c:pt idx="1322">
                  <c:v>0.28000000000000003</c:v>
                </c:pt>
                <c:pt idx="1323">
                  <c:v>0.28000000000000003</c:v>
                </c:pt>
                <c:pt idx="1324">
                  <c:v>0.8</c:v>
                </c:pt>
                <c:pt idx="1325">
                  <c:v>0.03</c:v>
                </c:pt>
                <c:pt idx="1326">
                  <c:v>0.43</c:v>
                </c:pt>
                <c:pt idx="1327">
                  <c:v>0.78</c:v>
                </c:pt>
                <c:pt idx="1328">
                  <c:v>0.28000000000000003</c:v>
                </c:pt>
                <c:pt idx="1329">
                  <c:v>0</c:v>
                </c:pt>
                <c:pt idx="1330">
                  <c:v>0.09</c:v>
                </c:pt>
                <c:pt idx="1331">
                  <c:v>0.83</c:v>
                </c:pt>
                <c:pt idx="1332">
                  <c:v>0.78</c:v>
                </c:pt>
                <c:pt idx="1333">
                  <c:v>0.61</c:v>
                </c:pt>
                <c:pt idx="1334">
                  <c:v>0.71</c:v>
                </c:pt>
                <c:pt idx="1335">
                  <c:v>0.16</c:v>
                </c:pt>
                <c:pt idx="1336">
                  <c:v>0.47</c:v>
                </c:pt>
                <c:pt idx="1337">
                  <c:v>0.21</c:v>
                </c:pt>
                <c:pt idx="1338">
                  <c:v>0.9</c:v>
                </c:pt>
                <c:pt idx="1339">
                  <c:v>0.4</c:v>
                </c:pt>
                <c:pt idx="1340">
                  <c:v>0.06</c:v>
                </c:pt>
                <c:pt idx="1341">
                  <c:v>0.19</c:v>
                </c:pt>
                <c:pt idx="1342">
                  <c:v>0.08</c:v>
                </c:pt>
                <c:pt idx="1343">
                  <c:v>0.54</c:v>
                </c:pt>
                <c:pt idx="1344">
                  <c:v>0.82</c:v>
                </c:pt>
                <c:pt idx="1345">
                  <c:v>0.56999999999999995</c:v>
                </c:pt>
                <c:pt idx="1346">
                  <c:v>0.9</c:v>
                </c:pt>
                <c:pt idx="1347">
                  <c:v>0.24</c:v>
                </c:pt>
                <c:pt idx="1348">
                  <c:v>0.17</c:v>
                </c:pt>
                <c:pt idx="1349">
                  <c:v>0</c:v>
                </c:pt>
                <c:pt idx="1350">
                  <c:v>0.53</c:v>
                </c:pt>
                <c:pt idx="1351">
                  <c:v>0.68</c:v>
                </c:pt>
                <c:pt idx="1352">
                  <c:v>0.92</c:v>
                </c:pt>
                <c:pt idx="1353">
                  <c:v>0.05</c:v>
                </c:pt>
                <c:pt idx="1354">
                  <c:v>0.01</c:v>
                </c:pt>
                <c:pt idx="1355">
                  <c:v>0.03</c:v>
                </c:pt>
                <c:pt idx="1356">
                  <c:v>0.44</c:v>
                </c:pt>
                <c:pt idx="1357">
                  <c:v>0.9</c:v>
                </c:pt>
                <c:pt idx="1358">
                  <c:v>0.97</c:v>
                </c:pt>
                <c:pt idx="1359">
                  <c:v>0.08</c:v>
                </c:pt>
                <c:pt idx="1360">
                  <c:v>0.94</c:v>
                </c:pt>
                <c:pt idx="1361">
                  <c:v>0.55000000000000004</c:v>
                </c:pt>
                <c:pt idx="1362">
                  <c:v>0.6</c:v>
                </c:pt>
                <c:pt idx="1363">
                  <c:v>0.46</c:v>
                </c:pt>
                <c:pt idx="1364">
                  <c:v>0.52</c:v>
                </c:pt>
                <c:pt idx="1365">
                  <c:v>0.8</c:v>
                </c:pt>
                <c:pt idx="1366">
                  <c:v>0.9</c:v>
                </c:pt>
                <c:pt idx="1367">
                  <c:v>0.87</c:v>
                </c:pt>
                <c:pt idx="1368">
                  <c:v>0.66</c:v>
                </c:pt>
                <c:pt idx="1369">
                  <c:v>0.68</c:v>
                </c:pt>
                <c:pt idx="1370">
                  <c:v>0.83</c:v>
                </c:pt>
                <c:pt idx="1371">
                  <c:v>0.87</c:v>
                </c:pt>
                <c:pt idx="1372">
                  <c:v>1</c:v>
                </c:pt>
                <c:pt idx="1373">
                  <c:v>0.01</c:v>
                </c:pt>
                <c:pt idx="1374">
                  <c:v>0.09</c:v>
                </c:pt>
                <c:pt idx="1375">
                  <c:v>0.41</c:v>
                </c:pt>
                <c:pt idx="1376">
                  <c:v>0.17</c:v>
                </c:pt>
                <c:pt idx="1377">
                  <c:v>0.72</c:v>
                </c:pt>
                <c:pt idx="1378">
                  <c:v>0.51</c:v>
                </c:pt>
                <c:pt idx="1379">
                  <c:v>0.5</c:v>
                </c:pt>
                <c:pt idx="1380">
                  <c:v>0.28000000000000003</c:v>
                </c:pt>
                <c:pt idx="1381">
                  <c:v>1</c:v>
                </c:pt>
                <c:pt idx="1382">
                  <c:v>0.19</c:v>
                </c:pt>
                <c:pt idx="1383">
                  <c:v>0.06</c:v>
                </c:pt>
                <c:pt idx="1384">
                  <c:v>0.03</c:v>
                </c:pt>
                <c:pt idx="1385">
                  <c:v>0.59</c:v>
                </c:pt>
                <c:pt idx="1386">
                  <c:v>0.65</c:v>
                </c:pt>
                <c:pt idx="1387">
                  <c:v>0.01</c:v>
                </c:pt>
                <c:pt idx="1388">
                  <c:v>0.77</c:v>
                </c:pt>
                <c:pt idx="1389">
                  <c:v>0</c:v>
                </c:pt>
                <c:pt idx="1390">
                  <c:v>0.66</c:v>
                </c:pt>
                <c:pt idx="1391">
                  <c:v>0.98</c:v>
                </c:pt>
                <c:pt idx="1392">
                  <c:v>0.19</c:v>
                </c:pt>
                <c:pt idx="1393">
                  <c:v>0.2</c:v>
                </c:pt>
                <c:pt idx="1394">
                  <c:v>0.75</c:v>
                </c:pt>
                <c:pt idx="1395">
                  <c:v>0.69</c:v>
                </c:pt>
                <c:pt idx="1396">
                  <c:v>0.53</c:v>
                </c:pt>
                <c:pt idx="1397">
                  <c:v>0.45</c:v>
                </c:pt>
                <c:pt idx="1398">
                  <c:v>0.87</c:v>
                </c:pt>
                <c:pt idx="1399">
                  <c:v>0.1</c:v>
                </c:pt>
                <c:pt idx="1400">
                  <c:v>0.26</c:v>
                </c:pt>
                <c:pt idx="1401">
                  <c:v>0.47</c:v>
                </c:pt>
                <c:pt idx="1402">
                  <c:v>0.13</c:v>
                </c:pt>
                <c:pt idx="1403">
                  <c:v>0.41</c:v>
                </c:pt>
                <c:pt idx="1404">
                  <c:v>0.98</c:v>
                </c:pt>
                <c:pt idx="1405">
                  <c:v>0.76</c:v>
                </c:pt>
                <c:pt idx="1406">
                  <c:v>0.2</c:v>
                </c:pt>
                <c:pt idx="1407">
                  <c:v>0.28999999999999998</c:v>
                </c:pt>
                <c:pt idx="1408">
                  <c:v>7.0000000000000007E-2</c:v>
                </c:pt>
                <c:pt idx="1409">
                  <c:v>0.39</c:v>
                </c:pt>
                <c:pt idx="1410">
                  <c:v>0.89</c:v>
                </c:pt>
                <c:pt idx="1411">
                  <c:v>0.2</c:v>
                </c:pt>
                <c:pt idx="1412">
                  <c:v>0.08</c:v>
                </c:pt>
                <c:pt idx="1413">
                  <c:v>0.16</c:v>
                </c:pt>
                <c:pt idx="1414">
                  <c:v>0.19</c:v>
                </c:pt>
                <c:pt idx="1415">
                  <c:v>0.32</c:v>
                </c:pt>
                <c:pt idx="1416">
                  <c:v>0.92</c:v>
                </c:pt>
                <c:pt idx="1417">
                  <c:v>0.1</c:v>
                </c:pt>
                <c:pt idx="1418">
                  <c:v>0.7</c:v>
                </c:pt>
                <c:pt idx="1419">
                  <c:v>0.55000000000000004</c:v>
                </c:pt>
                <c:pt idx="1420">
                  <c:v>0.89</c:v>
                </c:pt>
                <c:pt idx="1421">
                  <c:v>0.9</c:v>
                </c:pt>
                <c:pt idx="1422">
                  <c:v>0.71</c:v>
                </c:pt>
                <c:pt idx="1423">
                  <c:v>0.33</c:v>
                </c:pt>
                <c:pt idx="1424">
                  <c:v>0.57999999999999996</c:v>
                </c:pt>
                <c:pt idx="1425">
                  <c:v>0.04</c:v>
                </c:pt>
                <c:pt idx="1426">
                  <c:v>0.92</c:v>
                </c:pt>
                <c:pt idx="1427">
                  <c:v>0.79</c:v>
                </c:pt>
                <c:pt idx="1428">
                  <c:v>7.0000000000000007E-2</c:v>
                </c:pt>
                <c:pt idx="1429">
                  <c:v>0.77</c:v>
                </c:pt>
                <c:pt idx="1430">
                  <c:v>0.41</c:v>
                </c:pt>
                <c:pt idx="1431">
                  <c:v>0.91</c:v>
                </c:pt>
                <c:pt idx="1432">
                  <c:v>0.89</c:v>
                </c:pt>
                <c:pt idx="1433">
                  <c:v>0.64</c:v>
                </c:pt>
                <c:pt idx="1434">
                  <c:v>0.04</c:v>
                </c:pt>
                <c:pt idx="1435">
                  <c:v>0.53</c:v>
                </c:pt>
                <c:pt idx="1436">
                  <c:v>0.28000000000000003</c:v>
                </c:pt>
                <c:pt idx="1437">
                  <c:v>0.98</c:v>
                </c:pt>
                <c:pt idx="1438">
                  <c:v>0.77</c:v>
                </c:pt>
                <c:pt idx="1439">
                  <c:v>0.23</c:v>
                </c:pt>
                <c:pt idx="1440">
                  <c:v>0.87</c:v>
                </c:pt>
                <c:pt idx="1441">
                  <c:v>0.27</c:v>
                </c:pt>
                <c:pt idx="1442">
                  <c:v>0.83</c:v>
                </c:pt>
                <c:pt idx="1443">
                  <c:v>0.04</c:v>
                </c:pt>
                <c:pt idx="1444">
                  <c:v>0.7</c:v>
                </c:pt>
                <c:pt idx="1445">
                  <c:v>0.65</c:v>
                </c:pt>
                <c:pt idx="1446">
                  <c:v>0.6</c:v>
                </c:pt>
                <c:pt idx="1447">
                  <c:v>0.19</c:v>
                </c:pt>
                <c:pt idx="1448">
                  <c:v>0.34</c:v>
                </c:pt>
                <c:pt idx="1449">
                  <c:v>0.85</c:v>
                </c:pt>
                <c:pt idx="1450">
                  <c:v>0.21</c:v>
                </c:pt>
                <c:pt idx="1451">
                  <c:v>0.14000000000000001</c:v>
                </c:pt>
                <c:pt idx="1452">
                  <c:v>0.86</c:v>
                </c:pt>
                <c:pt idx="1453">
                  <c:v>0.8</c:v>
                </c:pt>
                <c:pt idx="1454">
                  <c:v>0.32</c:v>
                </c:pt>
                <c:pt idx="1455">
                  <c:v>0.93</c:v>
                </c:pt>
                <c:pt idx="1456">
                  <c:v>0.1</c:v>
                </c:pt>
                <c:pt idx="1457">
                  <c:v>0.7</c:v>
                </c:pt>
                <c:pt idx="1458">
                  <c:v>0.87</c:v>
                </c:pt>
                <c:pt idx="1459">
                  <c:v>0.53</c:v>
                </c:pt>
                <c:pt idx="1460">
                  <c:v>0.53</c:v>
                </c:pt>
                <c:pt idx="1461">
                  <c:v>0.19</c:v>
                </c:pt>
                <c:pt idx="1462">
                  <c:v>0.56000000000000005</c:v>
                </c:pt>
                <c:pt idx="1463">
                  <c:v>0.51</c:v>
                </c:pt>
                <c:pt idx="1464">
                  <c:v>0.41</c:v>
                </c:pt>
                <c:pt idx="1465">
                  <c:v>0.94</c:v>
                </c:pt>
                <c:pt idx="1466">
                  <c:v>0.08</c:v>
                </c:pt>
                <c:pt idx="1467">
                  <c:v>0.83</c:v>
                </c:pt>
                <c:pt idx="1468">
                  <c:v>0.79</c:v>
                </c:pt>
                <c:pt idx="1469">
                  <c:v>0.52</c:v>
                </c:pt>
                <c:pt idx="1470">
                  <c:v>0.47</c:v>
                </c:pt>
                <c:pt idx="1471">
                  <c:v>0.05</c:v>
                </c:pt>
                <c:pt idx="1472">
                  <c:v>0.43</c:v>
                </c:pt>
                <c:pt idx="1473">
                  <c:v>0</c:v>
                </c:pt>
                <c:pt idx="1474">
                  <c:v>0.28999999999999998</c:v>
                </c:pt>
                <c:pt idx="1475">
                  <c:v>0.54</c:v>
                </c:pt>
                <c:pt idx="1476">
                  <c:v>0.99</c:v>
                </c:pt>
                <c:pt idx="1477">
                  <c:v>0.3</c:v>
                </c:pt>
                <c:pt idx="1478">
                  <c:v>0.18</c:v>
                </c:pt>
                <c:pt idx="1479">
                  <c:v>0.35</c:v>
                </c:pt>
                <c:pt idx="1480">
                  <c:v>0.12</c:v>
                </c:pt>
                <c:pt idx="1481">
                  <c:v>0.85</c:v>
                </c:pt>
                <c:pt idx="1482">
                  <c:v>0.96</c:v>
                </c:pt>
                <c:pt idx="1483">
                  <c:v>0.68</c:v>
                </c:pt>
                <c:pt idx="1484">
                  <c:v>0.3</c:v>
                </c:pt>
                <c:pt idx="1485">
                  <c:v>7.0000000000000007E-2</c:v>
                </c:pt>
                <c:pt idx="1486">
                  <c:v>0.89</c:v>
                </c:pt>
                <c:pt idx="1487">
                  <c:v>0.38</c:v>
                </c:pt>
                <c:pt idx="1488">
                  <c:v>0.83</c:v>
                </c:pt>
                <c:pt idx="1489">
                  <c:v>0.99</c:v>
                </c:pt>
                <c:pt idx="1490">
                  <c:v>0.97</c:v>
                </c:pt>
                <c:pt idx="1491">
                  <c:v>0.14000000000000001</c:v>
                </c:pt>
                <c:pt idx="1492">
                  <c:v>0.6</c:v>
                </c:pt>
                <c:pt idx="1493">
                  <c:v>0.9</c:v>
                </c:pt>
                <c:pt idx="1494">
                  <c:v>0.78</c:v>
                </c:pt>
                <c:pt idx="1495">
                  <c:v>0.98</c:v>
                </c:pt>
                <c:pt idx="1496">
                  <c:v>0.15</c:v>
                </c:pt>
                <c:pt idx="1497">
                  <c:v>0.26</c:v>
                </c:pt>
                <c:pt idx="1498">
                  <c:v>0.66</c:v>
                </c:pt>
                <c:pt idx="1499">
                  <c:v>0.91</c:v>
                </c:pt>
                <c:pt idx="1500">
                  <c:v>0.42</c:v>
                </c:pt>
                <c:pt idx="1501">
                  <c:v>0.42</c:v>
                </c:pt>
                <c:pt idx="1502">
                  <c:v>0.95</c:v>
                </c:pt>
                <c:pt idx="1503">
                  <c:v>0.6</c:v>
                </c:pt>
                <c:pt idx="1504">
                  <c:v>1</c:v>
                </c:pt>
                <c:pt idx="1505">
                  <c:v>0.12</c:v>
                </c:pt>
                <c:pt idx="1506">
                  <c:v>0.51</c:v>
                </c:pt>
                <c:pt idx="1507">
                  <c:v>0.02</c:v>
                </c:pt>
                <c:pt idx="1508">
                  <c:v>0.35</c:v>
                </c:pt>
                <c:pt idx="1509">
                  <c:v>0.66</c:v>
                </c:pt>
                <c:pt idx="1510">
                  <c:v>0.46</c:v>
                </c:pt>
                <c:pt idx="1511">
                  <c:v>0.17</c:v>
                </c:pt>
                <c:pt idx="1512">
                  <c:v>0.7</c:v>
                </c:pt>
                <c:pt idx="1513">
                  <c:v>0.78</c:v>
                </c:pt>
                <c:pt idx="1514">
                  <c:v>0.41</c:v>
                </c:pt>
                <c:pt idx="1515">
                  <c:v>0.61</c:v>
                </c:pt>
                <c:pt idx="1516">
                  <c:v>0.9</c:v>
                </c:pt>
                <c:pt idx="1517">
                  <c:v>0.63</c:v>
                </c:pt>
                <c:pt idx="1518">
                  <c:v>0.15</c:v>
                </c:pt>
                <c:pt idx="1519">
                  <c:v>0.28999999999999998</c:v>
                </c:pt>
                <c:pt idx="1520">
                  <c:v>0.56999999999999995</c:v>
                </c:pt>
                <c:pt idx="1521">
                  <c:v>0.01</c:v>
                </c:pt>
                <c:pt idx="1522">
                  <c:v>0.33</c:v>
                </c:pt>
                <c:pt idx="1523">
                  <c:v>0.78</c:v>
                </c:pt>
                <c:pt idx="1524">
                  <c:v>0.19</c:v>
                </c:pt>
                <c:pt idx="1525">
                  <c:v>0.83</c:v>
                </c:pt>
                <c:pt idx="1526">
                  <c:v>0.37</c:v>
                </c:pt>
                <c:pt idx="1527">
                  <c:v>0.2</c:v>
                </c:pt>
                <c:pt idx="1528">
                  <c:v>0.69</c:v>
                </c:pt>
                <c:pt idx="1529">
                  <c:v>0.37</c:v>
                </c:pt>
                <c:pt idx="1530">
                  <c:v>0.11</c:v>
                </c:pt>
                <c:pt idx="1531">
                  <c:v>0.04</c:v>
                </c:pt>
                <c:pt idx="1532">
                  <c:v>0.36</c:v>
                </c:pt>
                <c:pt idx="1533">
                  <c:v>0.62</c:v>
                </c:pt>
                <c:pt idx="1534">
                  <c:v>0.09</c:v>
                </c:pt>
                <c:pt idx="1535">
                  <c:v>0.55000000000000004</c:v>
                </c:pt>
                <c:pt idx="1536">
                  <c:v>0.81</c:v>
                </c:pt>
                <c:pt idx="1537">
                  <c:v>0.19</c:v>
                </c:pt>
                <c:pt idx="1538">
                  <c:v>7.0000000000000007E-2</c:v>
                </c:pt>
                <c:pt idx="1539">
                  <c:v>0.72</c:v>
                </c:pt>
                <c:pt idx="1540">
                  <c:v>0.77</c:v>
                </c:pt>
                <c:pt idx="1541">
                  <c:v>0.47</c:v>
                </c:pt>
                <c:pt idx="1542">
                  <c:v>0.74</c:v>
                </c:pt>
                <c:pt idx="1543">
                  <c:v>0.75</c:v>
                </c:pt>
                <c:pt idx="1544">
                  <c:v>0.52</c:v>
                </c:pt>
                <c:pt idx="1545">
                  <c:v>0.97</c:v>
                </c:pt>
                <c:pt idx="1546">
                  <c:v>0.44</c:v>
                </c:pt>
                <c:pt idx="1547">
                  <c:v>0.39</c:v>
                </c:pt>
                <c:pt idx="1548">
                  <c:v>0.34</c:v>
                </c:pt>
                <c:pt idx="1549">
                  <c:v>0.81</c:v>
                </c:pt>
                <c:pt idx="1550">
                  <c:v>0.34</c:v>
                </c:pt>
                <c:pt idx="1551">
                  <c:v>0.48</c:v>
                </c:pt>
                <c:pt idx="1552">
                  <c:v>0.05</c:v>
                </c:pt>
                <c:pt idx="1553">
                  <c:v>0.1</c:v>
                </c:pt>
                <c:pt idx="1554">
                  <c:v>0.02</c:v>
                </c:pt>
                <c:pt idx="1555">
                  <c:v>0.34</c:v>
                </c:pt>
                <c:pt idx="1556">
                  <c:v>0.43</c:v>
                </c:pt>
                <c:pt idx="1557">
                  <c:v>0.46</c:v>
                </c:pt>
                <c:pt idx="1558">
                  <c:v>0.73</c:v>
                </c:pt>
                <c:pt idx="1559">
                  <c:v>0.72</c:v>
                </c:pt>
                <c:pt idx="1560">
                  <c:v>0.69</c:v>
                </c:pt>
                <c:pt idx="1561">
                  <c:v>0.7</c:v>
                </c:pt>
                <c:pt idx="1562">
                  <c:v>0.97</c:v>
                </c:pt>
                <c:pt idx="1563">
                  <c:v>0.92</c:v>
                </c:pt>
                <c:pt idx="1564">
                  <c:v>0.76</c:v>
                </c:pt>
                <c:pt idx="1565">
                  <c:v>0.37</c:v>
                </c:pt>
                <c:pt idx="1566">
                  <c:v>0.8</c:v>
                </c:pt>
                <c:pt idx="1567">
                  <c:v>0.71</c:v>
                </c:pt>
                <c:pt idx="1568">
                  <c:v>0.28000000000000003</c:v>
                </c:pt>
                <c:pt idx="1569">
                  <c:v>0.3</c:v>
                </c:pt>
                <c:pt idx="1570">
                  <c:v>0.24</c:v>
                </c:pt>
                <c:pt idx="1571">
                  <c:v>0.72</c:v>
                </c:pt>
                <c:pt idx="1572">
                  <c:v>0.44</c:v>
                </c:pt>
                <c:pt idx="1573">
                  <c:v>0.23</c:v>
                </c:pt>
                <c:pt idx="1574">
                  <c:v>0.51</c:v>
                </c:pt>
                <c:pt idx="1575">
                  <c:v>0.27</c:v>
                </c:pt>
                <c:pt idx="1576">
                  <c:v>0.54</c:v>
                </c:pt>
                <c:pt idx="1577">
                  <c:v>0.74</c:v>
                </c:pt>
                <c:pt idx="1578">
                  <c:v>0.39</c:v>
                </c:pt>
                <c:pt idx="1579">
                  <c:v>0.31</c:v>
                </c:pt>
                <c:pt idx="1580">
                  <c:v>0.77</c:v>
                </c:pt>
                <c:pt idx="1581">
                  <c:v>0.18</c:v>
                </c:pt>
                <c:pt idx="1582">
                  <c:v>0.57999999999999996</c:v>
                </c:pt>
                <c:pt idx="1583">
                  <c:v>0.88</c:v>
                </c:pt>
                <c:pt idx="1584">
                  <c:v>0.45</c:v>
                </c:pt>
                <c:pt idx="1585">
                  <c:v>0.33</c:v>
                </c:pt>
                <c:pt idx="1586">
                  <c:v>0.65</c:v>
                </c:pt>
                <c:pt idx="1587">
                  <c:v>0.63</c:v>
                </c:pt>
                <c:pt idx="1588">
                  <c:v>0.67</c:v>
                </c:pt>
                <c:pt idx="1589">
                  <c:v>0.09</c:v>
                </c:pt>
                <c:pt idx="1590">
                  <c:v>7.0000000000000007E-2</c:v>
                </c:pt>
                <c:pt idx="1591">
                  <c:v>0.04</c:v>
                </c:pt>
                <c:pt idx="1592">
                  <c:v>0.86</c:v>
                </c:pt>
                <c:pt idx="1593">
                  <c:v>0.08</c:v>
                </c:pt>
                <c:pt idx="1594">
                  <c:v>0.64</c:v>
                </c:pt>
                <c:pt idx="1595">
                  <c:v>0.73</c:v>
                </c:pt>
                <c:pt idx="1596">
                  <c:v>0.28000000000000003</c:v>
                </c:pt>
                <c:pt idx="1597">
                  <c:v>0.96</c:v>
                </c:pt>
                <c:pt idx="1598">
                  <c:v>0.68</c:v>
                </c:pt>
                <c:pt idx="1599">
                  <c:v>0.87</c:v>
                </c:pt>
                <c:pt idx="1600">
                  <c:v>0.67</c:v>
                </c:pt>
                <c:pt idx="1601">
                  <c:v>0.46</c:v>
                </c:pt>
                <c:pt idx="1602">
                  <c:v>0.61</c:v>
                </c:pt>
                <c:pt idx="1603">
                  <c:v>0.66</c:v>
                </c:pt>
                <c:pt idx="1604">
                  <c:v>0.89</c:v>
                </c:pt>
                <c:pt idx="1605">
                  <c:v>0.34</c:v>
                </c:pt>
                <c:pt idx="1606">
                  <c:v>0.5</c:v>
                </c:pt>
                <c:pt idx="1607">
                  <c:v>0.31</c:v>
                </c:pt>
                <c:pt idx="1608">
                  <c:v>0.27</c:v>
                </c:pt>
                <c:pt idx="1609">
                  <c:v>0.94</c:v>
                </c:pt>
                <c:pt idx="1610">
                  <c:v>0.22</c:v>
                </c:pt>
                <c:pt idx="1611">
                  <c:v>0.51</c:v>
                </c:pt>
                <c:pt idx="1612">
                  <c:v>0.77</c:v>
                </c:pt>
                <c:pt idx="1613">
                  <c:v>0.54</c:v>
                </c:pt>
                <c:pt idx="1614">
                  <c:v>0.57999999999999996</c:v>
                </c:pt>
                <c:pt idx="1615">
                  <c:v>0.09</c:v>
                </c:pt>
                <c:pt idx="1616">
                  <c:v>0.46</c:v>
                </c:pt>
                <c:pt idx="1617">
                  <c:v>0.16</c:v>
                </c:pt>
                <c:pt idx="1618">
                  <c:v>0.08</c:v>
                </c:pt>
                <c:pt idx="1619">
                  <c:v>0.78</c:v>
                </c:pt>
                <c:pt idx="1620">
                  <c:v>0.74</c:v>
                </c:pt>
                <c:pt idx="1621">
                  <c:v>0.86</c:v>
                </c:pt>
                <c:pt idx="1622">
                  <c:v>0.6</c:v>
                </c:pt>
                <c:pt idx="1623">
                  <c:v>0.63</c:v>
                </c:pt>
                <c:pt idx="1624">
                  <c:v>0.54</c:v>
                </c:pt>
                <c:pt idx="1625">
                  <c:v>0.09</c:v>
                </c:pt>
                <c:pt idx="1626">
                  <c:v>0.63</c:v>
                </c:pt>
                <c:pt idx="1627">
                  <c:v>0.12</c:v>
                </c:pt>
                <c:pt idx="1628">
                  <c:v>0.99</c:v>
                </c:pt>
                <c:pt idx="1629">
                  <c:v>0.6</c:v>
                </c:pt>
                <c:pt idx="1630">
                  <c:v>0.5</c:v>
                </c:pt>
                <c:pt idx="1631">
                  <c:v>0.64</c:v>
                </c:pt>
                <c:pt idx="1632">
                  <c:v>0.28000000000000003</c:v>
                </c:pt>
                <c:pt idx="1633">
                  <c:v>0.84</c:v>
                </c:pt>
                <c:pt idx="1634">
                  <c:v>0.8</c:v>
                </c:pt>
                <c:pt idx="1635">
                  <c:v>0.24</c:v>
                </c:pt>
                <c:pt idx="1636">
                  <c:v>0.79</c:v>
                </c:pt>
                <c:pt idx="1637">
                  <c:v>0.66</c:v>
                </c:pt>
                <c:pt idx="1638">
                  <c:v>0.7</c:v>
                </c:pt>
                <c:pt idx="1639">
                  <c:v>0.91</c:v>
                </c:pt>
                <c:pt idx="1640">
                  <c:v>0.67</c:v>
                </c:pt>
                <c:pt idx="1641">
                  <c:v>0.57999999999999996</c:v>
                </c:pt>
                <c:pt idx="1642">
                  <c:v>0.45</c:v>
                </c:pt>
                <c:pt idx="1643">
                  <c:v>0.86</c:v>
                </c:pt>
                <c:pt idx="1644">
                  <c:v>0.09</c:v>
                </c:pt>
                <c:pt idx="1645">
                  <c:v>0.26</c:v>
                </c:pt>
                <c:pt idx="1646">
                  <c:v>0.85</c:v>
                </c:pt>
                <c:pt idx="1647">
                  <c:v>0.63</c:v>
                </c:pt>
                <c:pt idx="1648">
                  <c:v>0.18</c:v>
                </c:pt>
                <c:pt idx="1649">
                  <c:v>0.34</c:v>
                </c:pt>
                <c:pt idx="1650">
                  <c:v>0.01</c:v>
                </c:pt>
                <c:pt idx="1651">
                  <c:v>0.43</c:v>
                </c:pt>
                <c:pt idx="1652">
                  <c:v>0.66</c:v>
                </c:pt>
                <c:pt idx="1653">
                  <c:v>7.0000000000000007E-2</c:v>
                </c:pt>
                <c:pt idx="1654">
                  <c:v>0.55000000000000004</c:v>
                </c:pt>
                <c:pt idx="1655">
                  <c:v>0.97</c:v>
                </c:pt>
                <c:pt idx="1656">
                  <c:v>0.64</c:v>
                </c:pt>
                <c:pt idx="1657">
                  <c:v>0.48</c:v>
                </c:pt>
                <c:pt idx="1658">
                  <c:v>0.17</c:v>
                </c:pt>
                <c:pt idx="1659">
                  <c:v>0.39</c:v>
                </c:pt>
                <c:pt idx="1660">
                  <c:v>0.27</c:v>
                </c:pt>
                <c:pt idx="1661">
                  <c:v>0.27</c:v>
                </c:pt>
                <c:pt idx="1662">
                  <c:v>0.33</c:v>
                </c:pt>
                <c:pt idx="1663">
                  <c:v>0.65</c:v>
                </c:pt>
                <c:pt idx="1664">
                  <c:v>0.46</c:v>
                </c:pt>
                <c:pt idx="1665">
                  <c:v>0.46</c:v>
                </c:pt>
                <c:pt idx="1666">
                  <c:v>0.82</c:v>
                </c:pt>
                <c:pt idx="1667">
                  <c:v>0.46</c:v>
                </c:pt>
                <c:pt idx="1668">
                  <c:v>0.13</c:v>
                </c:pt>
                <c:pt idx="1669">
                  <c:v>0.53</c:v>
                </c:pt>
                <c:pt idx="1670">
                  <c:v>0.43</c:v>
                </c:pt>
                <c:pt idx="1671">
                  <c:v>0.73</c:v>
                </c:pt>
                <c:pt idx="1672">
                  <c:v>0.56999999999999995</c:v>
                </c:pt>
                <c:pt idx="1673">
                  <c:v>0.64</c:v>
                </c:pt>
                <c:pt idx="1674">
                  <c:v>7.0000000000000007E-2</c:v>
                </c:pt>
                <c:pt idx="1675">
                  <c:v>0.8</c:v>
                </c:pt>
                <c:pt idx="1676">
                  <c:v>0.89</c:v>
                </c:pt>
                <c:pt idx="1677">
                  <c:v>0.34</c:v>
                </c:pt>
                <c:pt idx="1678">
                  <c:v>0.95</c:v>
                </c:pt>
                <c:pt idx="1679">
                  <c:v>0.82</c:v>
                </c:pt>
                <c:pt idx="1680">
                  <c:v>0.95</c:v>
                </c:pt>
                <c:pt idx="1681">
                  <c:v>0.47</c:v>
                </c:pt>
                <c:pt idx="1682">
                  <c:v>0.75</c:v>
                </c:pt>
                <c:pt idx="1683">
                  <c:v>0.28999999999999998</c:v>
                </c:pt>
                <c:pt idx="1684">
                  <c:v>0.5</c:v>
                </c:pt>
                <c:pt idx="1685">
                  <c:v>0.96</c:v>
                </c:pt>
                <c:pt idx="1686">
                  <c:v>0.1</c:v>
                </c:pt>
                <c:pt idx="1687">
                  <c:v>0.55000000000000004</c:v>
                </c:pt>
                <c:pt idx="1688">
                  <c:v>0.53</c:v>
                </c:pt>
                <c:pt idx="1689">
                  <c:v>0.03</c:v>
                </c:pt>
                <c:pt idx="1690">
                  <c:v>0.7</c:v>
                </c:pt>
                <c:pt idx="1691">
                  <c:v>0.16</c:v>
                </c:pt>
                <c:pt idx="1692">
                  <c:v>0.33</c:v>
                </c:pt>
                <c:pt idx="1693">
                  <c:v>0.69</c:v>
                </c:pt>
                <c:pt idx="1694">
                  <c:v>0.57999999999999996</c:v>
                </c:pt>
                <c:pt idx="1695">
                  <c:v>0.19</c:v>
                </c:pt>
                <c:pt idx="1696">
                  <c:v>0.81</c:v>
                </c:pt>
                <c:pt idx="1697">
                  <c:v>0.02</c:v>
                </c:pt>
                <c:pt idx="1698">
                  <c:v>0.73</c:v>
                </c:pt>
                <c:pt idx="1699">
                  <c:v>0.47</c:v>
                </c:pt>
                <c:pt idx="1700">
                  <c:v>0.33</c:v>
                </c:pt>
                <c:pt idx="1701">
                  <c:v>7.0000000000000007E-2</c:v>
                </c:pt>
                <c:pt idx="1702">
                  <c:v>0.63</c:v>
                </c:pt>
                <c:pt idx="1703">
                  <c:v>0.78</c:v>
                </c:pt>
                <c:pt idx="1704">
                  <c:v>0.66</c:v>
                </c:pt>
                <c:pt idx="1705">
                  <c:v>0.61</c:v>
                </c:pt>
                <c:pt idx="1706">
                  <c:v>0.47</c:v>
                </c:pt>
                <c:pt idx="1707">
                  <c:v>0.22</c:v>
                </c:pt>
                <c:pt idx="1708">
                  <c:v>0.96</c:v>
                </c:pt>
                <c:pt idx="1709">
                  <c:v>0.53</c:v>
                </c:pt>
                <c:pt idx="1710">
                  <c:v>0.06</c:v>
                </c:pt>
                <c:pt idx="1711">
                  <c:v>0.4</c:v>
                </c:pt>
                <c:pt idx="1712">
                  <c:v>0.12</c:v>
                </c:pt>
                <c:pt idx="1713">
                  <c:v>0.56000000000000005</c:v>
                </c:pt>
                <c:pt idx="1714">
                  <c:v>0.26</c:v>
                </c:pt>
                <c:pt idx="1715">
                  <c:v>0.87</c:v>
                </c:pt>
                <c:pt idx="1716">
                  <c:v>0.85</c:v>
                </c:pt>
                <c:pt idx="1717">
                  <c:v>0.49</c:v>
                </c:pt>
                <c:pt idx="1718">
                  <c:v>0.44</c:v>
                </c:pt>
                <c:pt idx="1719">
                  <c:v>0.08</c:v>
                </c:pt>
                <c:pt idx="1720">
                  <c:v>0.5</c:v>
                </c:pt>
                <c:pt idx="1721">
                  <c:v>0.36</c:v>
                </c:pt>
                <c:pt idx="1722">
                  <c:v>0.68</c:v>
                </c:pt>
                <c:pt idx="1723">
                  <c:v>0.47</c:v>
                </c:pt>
                <c:pt idx="1724">
                  <c:v>0.64</c:v>
                </c:pt>
                <c:pt idx="1725">
                  <c:v>0.19</c:v>
                </c:pt>
                <c:pt idx="1726">
                  <c:v>0.06</c:v>
                </c:pt>
                <c:pt idx="1727">
                  <c:v>0.48</c:v>
                </c:pt>
                <c:pt idx="1728">
                  <c:v>0.49</c:v>
                </c:pt>
                <c:pt idx="1729">
                  <c:v>0.7</c:v>
                </c:pt>
                <c:pt idx="1730">
                  <c:v>0.79</c:v>
                </c:pt>
                <c:pt idx="1731">
                  <c:v>0.19</c:v>
                </c:pt>
                <c:pt idx="1732">
                  <c:v>0.02</c:v>
                </c:pt>
                <c:pt idx="1733">
                  <c:v>0.47</c:v>
                </c:pt>
                <c:pt idx="1734">
                  <c:v>0.14000000000000001</c:v>
                </c:pt>
                <c:pt idx="1735">
                  <c:v>0.76</c:v>
                </c:pt>
                <c:pt idx="1736">
                  <c:v>0.61</c:v>
                </c:pt>
                <c:pt idx="1737">
                  <c:v>0.05</c:v>
                </c:pt>
                <c:pt idx="1738">
                  <c:v>0.16</c:v>
                </c:pt>
                <c:pt idx="1739">
                  <c:v>0.7</c:v>
                </c:pt>
                <c:pt idx="1740">
                  <c:v>0.79</c:v>
                </c:pt>
                <c:pt idx="1741">
                  <c:v>0.08</c:v>
                </c:pt>
                <c:pt idx="1742">
                  <c:v>0.81</c:v>
                </c:pt>
                <c:pt idx="1743">
                  <c:v>0.95</c:v>
                </c:pt>
                <c:pt idx="1744">
                  <c:v>0.56000000000000005</c:v>
                </c:pt>
                <c:pt idx="1745">
                  <c:v>0.77</c:v>
                </c:pt>
                <c:pt idx="1746">
                  <c:v>0.2</c:v>
                </c:pt>
                <c:pt idx="1747">
                  <c:v>0.04</c:v>
                </c:pt>
                <c:pt idx="1748">
                  <c:v>0.19</c:v>
                </c:pt>
                <c:pt idx="1749">
                  <c:v>0.52</c:v>
                </c:pt>
                <c:pt idx="1750">
                  <c:v>0.34</c:v>
                </c:pt>
                <c:pt idx="1751">
                  <c:v>0.19</c:v>
                </c:pt>
                <c:pt idx="1752">
                  <c:v>0.26</c:v>
                </c:pt>
                <c:pt idx="1753">
                  <c:v>0.44</c:v>
                </c:pt>
                <c:pt idx="1754">
                  <c:v>0.77</c:v>
                </c:pt>
                <c:pt idx="1755">
                  <c:v>0.28000000000000003</c:v>
                </c:pt>
                <c:pt idx="1756">
                  <c:v>0.84</c:v>
                </c:pt>
                <c:pt idx="1757">
                  <c:v>0.28999999999999998</c:v>
                </c:pt>
                <c:pt idx="1758">
                  <c:v>0.11</c:v>
                </c:pt>
                <c:pt idx="1759">
                  <c:v>0.96</c:v>
                </c:pt>
                <c:pt idx="1760">
                  <c:v>0.41</c:v>
                </c:pt>
                <c:pt idx="1761">
                  <c:v>0.46</c:v>
                </c:pt>
                <c:pt idx="1762">
                  <c:v>0.21</c:v>
                </c:pt>
                <c:pt idx="1763">
                  <c:v>0.78</c:v>
                </c:pt>
                <c:pt idx="1764">
                  <c:v>0.41</c:v>
                </c:pt>
                <c:pt idx="1765">
                  <c:v>0.77</c:v>
                </c:pt>
                <c:pt idx="1766">
                  <c:v>0.03</c:v>
                </c:pt>
                <c:pt idx="1767">
                  <c:v>0.52</c:v>
                </c:pt>
                <c:pt idx="1768">
                  <c:v>0.37</c:v>
                </c:pt>
                <c:pt idx="1769">
                  <c:v>0.59</c:v>
                </c:pt>
                <c:pt idx="1770">
                  <c:v>0.13</c:v>
                </c:pt>
                <c:pt idx="1771">
                  <c:v>0.88</c:v>
                </c:pt>
                <c:pt idx="1772">
                  <c:v>0.68</c:v>
                </c:pt>
                <c:pt idx="1773">
                  <c:v>0.04</c:v>
                </c:pt>
                <c:pt idx="1774">
                  <c:v>0.75</c:v>
                </c:pt>
                <c:pt idx="1775">
                  <c:v>0.41</c:v>
                </c:pt>
                <c:pt idx="1776">
                  <c:v>0.5</c:v>
                </c:pt>
                <c:pt idx="1777">
                  <c:v>0.79</c:v>
                </c:pt>
                <c:pt idx="1778">
                  <c:v>0.46</c:v>
                </c:pt>
                <c:pt idx="1779">
                  <c:v>0.78</c:v>
                </c:pt>
                <c:pt idx="1780">
                  <c:v>0.11</c:v>
                </c:pt>
                <c:pt idx="1781">
                  <c:v>0.28000000000000003</c:v>
                </c:pt>
                <c:pt idx="1782">
                  <c:v>0.01</c:v>
                </c:pt>
                <c:pt idx="1783">
                  <c:v>0.19</c:v>
                </c:pt>
                <c:pt idx="1784">
                  <c:v>0.81</c:v>
                </c:pt>
                <c:pt idx="1785">
                  <c:v>0.11</c:v>
                </c:pt>
                <c:pt idx="1786">
                  <c:v>0.67</c:v>
                </c:pt>
                <c:pt idx="1787">
                  <c:v>0.32</c:v>
                </c:pt>
                <c:pt idx="1788">
                  <c:v>0.08</c:v>
                </c:pt>
                <c:pt idx="1789">
                  <c:v>0.63</c:v>
                </c:pt>
                <c:pt idx="1790">
                  <c:v>0.97</c:v>
                </c:pt>
                <c:pt idx="1791">
                  <c:v>0.84</c:v>
                </c:pt>
                <c:pt idx="1792">
                  <c:v>7.0000000000000007E-2</c:v>
                </c:pt>
                <c:pt idx="1793">
                  <c:v>0.77</c:v>
                </c:pt>
                <c:pt idx="1794">
                  <c:v>0.17</c:v>
                </c:pt>
                <c:pt idx="1795">
                  <c:v>0.67</c:v>
                </c:pt>
                <c:pt idx="1796">
                  <c:v>0.31</c:v>
                </c:pt>
                <c:pt idx="1797">
                  <c:v>0.01</c:v>
                </c:pt>
                <c:pt idx="1798">
                  <c:v>0.33</c:v>
                </c:pt>
                <c:pt idx="1799">
                  <c:v>0.71</c:v>
                </c:pt>
                <c:pt idx="1800">
                  <c:v>0.05</c:v>
                </c:pt>
                <c:pt idx="1801">
                  <c:v>0.64</c:v>
                </c:pt>
                <c:pt idx="1802">
                  <c:v>0.38</c:v>
                </c:pt>
                <c:pt idx="1803">
                  <c:v>0.38</c:v>
                </c:pt>
                <c:pt idx="1804">
                  <c:v>0.88</c:v>
                </c:pt>
                <c:pt idx="1805">
                  <c:v>0.34</c:v>
                </c:pt>
                <c:pt idx="1806">
                  <c:v>0.14000000000000001</c:v>
                </c:pt>
                <c:pt idx="1807">
                  <c:v>0.67</c:v>
                </c:pt>
                <c:pt idx="1808">
                  <c:v>0.6</c:v>
                </c:pt>
                <c:pt idx="1809">
                  <c:v>0.56000000000000005</c:v>
                </c:pt>
                <c:pt idx="1810">
                  <c:v>0.56000000000000005</c:v>
                </c:pt>
                <c:pt idx="1811">
                  <c:v>0.68</c:v>
                </c:pt>
                <c:pt idx="1812">
                  <c:v>0.65</c:v>
                </c:pt>
                <c:pt idx="1813">
                  <c:v>0.43</c:v>
                </c:pt>
                <c:pt idx="1814">
                  <c:v>0.86</c:v>
                </c:pt>
                <c:pt idx="1815">
                  <c:v>0.5</c:v>
                </c:pt>
                <c:pt idx="1816">
                  <c:v>0.9</c:v>
                </c:pt>
                <c:pt idx="1817">
                  <c:v>0.28000000000000003</c:v>
                </c:pt>
                <c:pt idx="1818">
                  <c:v>0.1</c:v>
                </c:pt>
                <c:pt idx="1819">
                  <c:v>0.88</c:v>
                </c:pt>
                <c:pt idx="1820">
                  <c:v>0.78</c:v>
                </c:pt>
                <c:pt idx="1821">
                  <c:v>0.47</c:v>
                </c:pt>
                <c:pt idx="1822">
                  <c:v>0.31</c:v>
                </c:pt>
                <c:pt idx="1823">
                  <c:v>0.68</c:v>
                </c:pt>
                <c:pt idx="1824">
                  <c:v>0.94</c:v>
                </c:pt>
                <c:pt idx="1825">
                  <c:v>0.42</c:v>
                </c:pt>
                <c:pt idx="1826">
                  <c:v>0.98</c:v>
                </c:pt>
                <c:pt idx="1827">
                  <c:v>0.92</c:v>
                </c:pt>
                <c:pt idx="1828">
                  <c:v>0</c:v>
                </c:pt>
                <c:pt idx="1829">
                  <c:v>0.65</c:v>
                </c:pt>
                <c:pt idx="1830">
                  <c:v>0.9</c:v>
                </c:pt>
                <c:pt idx="1831">
                  <c:v>0.83</c:v>
                </c:pt>
                <c:pt idx="1832">
                  <c:v>0.66</c:v>
                </c:pt>
                <c:pt idx="1833">
                  <c:v>0.37</c:v>
                </c:pt>
                <c:pt idx="1834">
                  <c:v>0.99</c:v>
                </c:pt>
                <c:pt idx="1835">
                  <c:v>0.27</c:v>
                </c:pt>
                <c:pt idx="1836">
                  <c:v>0.39</c:v>
                </c:pt>
                <c:pt idx="1837">
                  <c:v>0.25</c:v>
                </c:pt>
                <c:pt idx="1838">
                  <c:v>7.0000000000000007E-2</c:v>
                </c:pt>
                <c:pt idx="1839">
                  <c:v>0.35</c:v>
                </c:pt>
                <c:pt idx="1840">
                  <c:v>0.28999999999999998</c:v>
                </c:pt>
                <c:pt idx="1841">
                  <c:v>0.84</c:v>
                </c:pt>
                <c:pt idx="1842">
                  <c:v>0.47</c:v>
                </c:pt>
                <c:pt idx="1843">
                  <c:v>0.97</c:v>
                </c:pt>
                <c:pt idx="1844">
                  <c:v>0.47</c:v>
                </c:pt>
                <c:pt idx="1845">
                  <c:v>0.05</c:v>
                </c:pt>
                <c:pt idx="1846">
                  <c:v>0.68</c:v>
                </c:pt>
                <c:pt idx="1847">
                  <c:v>0.46</c:v>
                </c:pt>
                <c:pt idx="1848">
                  <c:v>0.77</c:v>
                </c:pt>
                <c:pt idx="1849">
                  <c:v>0.83</c:v>
                </c:pt>
                <c:pt idx="1850">
                  <c:v>0.05</c:v>
                </c:pt>
                <c:pt idx="1851">
                  <c:v>0.3</c:v>
                </c:pt>
                <c:pt idx="1852">
                  <c:v>0.14000000000000001</c:v>
                </c:pt>
                <c:pt idx="1853">
                  <c:v>0.93</c:v>
                </c:pt>
                <c:pt idx="1854">
                  <c:v>0.74</c:v>
                </c:pt>
                <c:pt idx="1855">
                  <c:v>0.4</c:v>
                </c:pt>
                <c:pt idx="1856">
                  <c:v>0.73</c:v>
                </c:pt>
                <c:pt idx="1857">
                  <c:v>0.6</c:v>
                </c:pt>
                <c:pt idx="1858">
                  <c:v>0.73</c:v>
                </c:pt>
                <c:pt idx="1859">
                  <c:v>0.77</c:v>
                </c:pt>
                <c:pt idx="1860">
                  <c:v>0.98</c:v>
                </c:pt>
                <c:pt idx="1861">
                  <c:v>0.95</c:v>
                </c:pt>
                <c:pt idx="1862">
                  <c:v>0.06</c:v>
                </c:pt>
                <c:pt idx="1863">
                  <c:v>0.8</c:v>
                </c:pt>
                <c:pt idx="1864">
                  <c:v>0.65</c:v>
                </c:pt>
                <c:pt idx="1865">
                  <c:v>0.49</c:v>
                </c:pt>
                <c:pt idx="1866">
                  <c:v>0.63</c:v>
                </c:pt>
                <c:pt idx="1867">
                  <c:v>0.74</c:v>
                </c:pt>
                <c:pt idx="1868">
                  <c:v>0.06</c:v>
                </c:pt>
                <c:pt idx="1869">
                  <c:v>0.72</c:v>
                </c:pt>
                <c:pt idx="1870">
                  <c:v>0.92</c:v>
                </c:pt>
                <c:pt idx="1871">
                  <c:v>0.22</c:v>
                </c:pt>
                <c:pt idx="1872">
                  <c:v>0.47</c:v>
                </c:pt>
                <c:pt idx="1873">
                  <c:v>0.12</c:v>
                </c:pt>
                <c:pt idx="1874">
                  <c:v>0.11</c:v>
                </c:pt>
                <c:pt idx="1875">
                  <c:v>0.33</c:v>
                </c:pt>
                <c:pt idx="1876">
                  <c:v>0.56999999999999995</c:v>
                </c:pt>
                <c:pt idx="1877">
                  <c:v>0.56999999999999995</c:v>
                </c:pt>
                <c:pt idx="1878">
                  <c:v>0.24</c:v>
                </c:pt>
                <c:pt idx="1879">
                  <c:v>0.67</c:v>
                </c:pt>
                <c:pt idx="1880">
                  <c:v>0.25</c:v>
                </c:pt>
                <c:pt idx="1881">
                  <c:v>0.33</c:v>
                </c:pt>
                <c:pt idx="1882">
                  <c:v>0.37</c:v>
                </c:pt>
                <c:pt idx="1883">
                  <c:v>0.38</c:v>
                </c:pt>
                <c:pt idx="1884">
                  <c:v>0.03</c:v>
                </c:pt>
                <c:pt idx="1885">
                  <c:v>0.12</c:v>
                </c:pt>
                <c:pt idx="1886">
                  <c:v>0.66</c:v>
                </c:pt>
                <c:pt idx="1887">
                  <c:v>0.98</c:v>
                </c:pt>
                <c:pt idx="1888">
                  <c:v>0.36</c:v>
                </c:pt>
                <c:pt idx="1889">
                  <c:v>0.49</c:v>
                </c:pt>
                <c:pt idx="1890">
                  <c:v>0.22</c:v>
                </c:pt>
                <c:pt idx="1891">
                  <c:v>0.62</c:v>
                </c:pt>
                <c:pt idx="1892">
                  <c:v>0.26</c:v>
                </c:pt>
                <c:pt idx="1893">
                  <c:v>0.36</c:v>
                </c:pt>
                <c:pt idx="1894">
                  <c:v>0.2</c:v>
                </c:pt>
                <c:pt idx="1895">
                  <c:v>0.03</c:v>
                </c:pt>
                <c:pt idx="1896">
                  <c:v>0.05</c:v>
                </c:pt>
                <c:pt idx="1897">
                  <c:v>0.62</c:v>
                </c:pt>
                <c:pt idx="1898">
                  <c:v>0.67</c:v>
                </c:pt>
                <c:pt idx="1899">
                  <c:v>0.26</c:v>
                </c:pt>
                <c:pt idx="1900">
                  <c:v>0.62</c:v>
                </c:pt>
                <c:pt idx="1901">
                  <c:v>0.54</c:v>
                </c:pt>
                <c:pt idx="1902">
                  <c:v>0.09</c:v>
                </c:pt>
                <c:pt idx="1903">
                  <c:v>0.85</c:v>
                </c:pt>
                <c:pt idx="1904">
                  <c:v>0.32</c:v>
                </c:pt>
                <c:pt idx="1905">
                  <c:v>0.62</c:v>
                </c:pt>
                <c:pt idx="1906">
                  <c:v>0.05</c:v>
                </c:pt>
                <c:pt idx="1907">
                  <c:v>0.43</c:v>
                </c:pt>
                <c:pt idx="1908">
                  <c:v>0.3</c:v>
                </c:pt>
                <c:pt idx="1909">
                  <c:v>0.82</c:v>
                </c:pt>
                <c:pt idx="1910">
                  <c:v>0.63</c:v>
                </c:pt>
                <c:pt idx="1911">
                  <c:v>0.41</c:v>
                </c:pt>
                <c:pt idx="1912">
                  <c:v>0.78</c:v>
                </c:pt>
                <c:pt idx="1913">
                  <c:v>0.92</c:v>
                </c:pt>
                <c:pt idx="1914">
                  <c:v>0.17</c:v>
                </c:pt>
                <c:pt idx="1915">
                  <c:v>0</c:v>
                </c:pt>
                <c:pt idx="1916">
                  <c:v>0.33</c:v>
                </c:pt>
                <c:pt idx="1917">
                  <c:v>0.35</c:v>
                </c:pt>
                <c:pt idx="1918">
                  <c:v>0.86</c:v>
                </c:pt>
                <c:pt idx="1919">
                  <c:v>0.9</c:v>
                </c:pt>
                <c:pt idx="1920">
                  <c:v>0.42</c:v>
                </c:pt>
                <c:pt idx="1921">
                  <c:v>0.11</c:v>
                </c:pt>
                <c:pt idx="1922">
                  <c:v>0.77</c:v>
                </c:pt>
                <c:pt idx="1923">
                  <c:v>0.37</c:v>
                </c:pt>
                <c:pt idx="1924">
                  <c:v>0.62</c:v>
                </c:pt>
                <c:pt idx="1925">
                  <c:v>0.82</c:v>
                </c:pt>
                <c:pt idx="1926">
                  <c:v>0.65</c:v>
                </c:pt>
                <c:pt idx="1927">
                  <c:v>0.9</c:v>
                </c:pt>
                <c:pt idx="1928">
                  <c:v>0.5</c:v>
                </c:pt>
                <c:pt idx="1929">
                  <c:v>0.06</c:v>
                </c:pt>
                <c:pt idx="1930">
                  <c:v>0.66</c:v>
                </c:pt>
                <c:pt idx="1931">
                  <c:v>0.68</c:v>
                </c:pt>
                <c:pt idx="1932">
                  <c:v>0.9</c:v>
                </c:pt>
                <c:pt idx="1933">
                  <c:v>0.5</c:v>
                </c:pt>
                <c:pt idx="1934">
                  <c:v>0.33</c:v>
                </c:pt>
                <c:pt idx="1935">
                  <c:v>0.43</c:v>
                </c:pt>
                <c:pt idx="1936">
                  <c:v>0.6</c:v>
                </c:pt>
                <c:pt idx="1937">
                  <c:v>0.35</c:v>
                </c:pt>
                <c:pt idx="1938">
                  <c:v>0.01</c:v>
                </c:pt>
                <c:pt idx="1939">
                  <c:v>0.6</c:v>
                </c:pt>
                <c:pt idx="1940">
                  <c:v>0.64</c:v>
                </c:pt>
                <c:pt idx="1941">
                  <c:v>0.12</c:v>
                </c:pt>
                <c:pt idx="1942">
                  <c:v>0.98</c:v>
                </c:pt>
                <c:pt idx="1943">
                  <c:v>0.92</c:v>
                </c:pt>
                <c:pt idx="1944">
                  <c:v>0.01</c:v>
                </c:pt>
                <c:pt idx="1945">
                  <c:v>0.14000000000000001</c:v>
                </c:pt>
                <c:pt idx="1946">
                  <c:v>0.69</c:v>
                </c:pt>
                <c:pt idx="1947">
                  <c:v>0.91</c:v>
                </c:pt>
                <c:pt idx="1948">
                  <c:v>0.78</c:v>
                </c:pt>
                <c:pt idx="1949">
                  <c:v>0.77</c:v>
                </c:pt>
                <c:pt idx="1950">
                  <c:v>0.98</c:v>
                </c:pt>
                <c:pt idx="1951">
                  <c:v>0.5</c:v>
                </c:pt>
                <c:pt idx="1952">
                  <c:v>0.97</c:v>
                </c:pt>
                <c:pt idx="1953">
                  <c:v>0.64</c:v>
                </c:pt>
                <c:pt idx="1954">
                  <c:v>0.15</c:v>
                </c:pt>
                <c:pt idx="1955">
                  <c:v>0.26</c:v>
                </c:pt>
                <c:pt idx="1956">
                  <c:v>0.43</c:v>
                </c:pt>
                <c:pt idx="1957">
                  <c:v>0.48</c:v>
                </c:pt>
                <c:pt idx="1958">
                  <c:v>0.73</c:v>
                </c:pt>
                <c:pt idx="1959">
                  <c:v>0.52</c:v>
                </c:pt>
                <c:pt idx="1960">
                  <c:v>0.32</c:v>
                </c:pt>
                <c:pt idx="1961">
                  <c:v>0.96</c:v>
                </c:pt>
                <c:pt idx="1962">
                  <c:v>0.45</c:v>
                </c:pt>
                <c:pt idx="1963">
                  <c:v>0.42</c:v>
                </c:pt>
                <c:pt idx="1964">
                  <c:v>0.37</c:v>
                </c:pt>
                <c:pt idx="1965">
                  <c:v>0.06</c:v>
                </c:pt>
                <c:pt idx="1966">
                  <c:v>0.25</c:v>
                </c:pt>
                <c:pt idx="1967">
                  <c:v>0.93</c:v>
                </c:pt>
                <c:pt idx="1968">
                  <c:v>0.64</c:v>
                </c:pt>
                <c:pt idx="1969">
                  <c:v>0.63</c:v>
                </c:pt>
                <c:pt idx="1970">
                  <c:v>7.0000000000000007E-2</c:v>
                </c:pt>
                <c:pt idx="1971">
                  <c:v>0.13</c:v>
                </c:pt>
                <c:pt idx="1972">
                  <c:v>0.93</c:v>
                </c:pt>
                <c:pt idx="1973">
                  <c:v>0.32</c:v>
                </c:pt>
                <c:pt idx="1974">
                  <c:v>0.43</c:v>
                </c:pt>
                <c:pt idx="1975">
                  <c:v>0.82</c:v>
                </c:pt>
                <c:pt idx="1976">
                  <c:v>0.02</c:v>
                </c:pt>
                <c:pt idx="1977">
                  <c:v>0.88</c:v>
                </c:pt>
                <c:pt idx="1978">
                  <c:v>0.96</c:v>
                </c:pt>
                <c:pt idx="1979">
                  <c:v>0.67</c:v>
                </c:pt>
                <c:pt idx="1980">
                  <c:v>0.33</c:v>
                </c:pt>
                <c:pt idx="1981">
                  <c:v>0.23</c:v>
                </c:pt>
                <c:pt idx="1982">
                  <c:v>0.28999999999999998</c:v>
                </c:pt>
                <c:pt idx="1983">
                  <c:v>0.55000000000000004</c:v>
                </c:pt>
                <c:pt idx="1984">
                  <c:v>0.85</c:v>
                </c:pt>
                <c:pt idx="1985">
                  <c:v>0.91</c:v>
                </c:pt>
                <c:pt idx="1986">
                  <c:v>0.34</c:v>
                </c:pt>
                <c:pt idx="1987">
                  <c:v>0.47</c:v>
                </c:pt>
                <c:pt idx="1988">
                  <c:v>0.31</c:v>
                </c:pt>
                <c:pt idx="1989">
                  <c:v>0.21</c:v>
                </c:pt>
                <c:pt idx="1990">
                  <c:v>0.4</c:v>
                </c:pt>
                <c:pt idx="1991">
                  <c:v>0.44</c:v>
                </c:pt>
                <c:pt idx="1992">
                  <c:v>0.7</c:v>
                </c:pt>
                <c:pt idx="1993">
                  <c:v>0.17</c:v>
                </c:pt>
                <c:pt idx="1994">
                  <c:v>0.02</c:v>
                </c:pt>
                <c:pt idx="1995">
                  <c:v>0.86</c:v>
                </c:pt>
                <c:pt idx="1996">
                  <c:v>0.09</c:v>
                </c:pt>
                <c:pt idx="1997">
                  <c:v>0.01</c:v>
                </c:pt>
                <c:pt idx="1998">
                  <c:v>0.84</c:v>
                </c:pt>
                <c:pt idx="1999">
                  <c:v>0.08</c:v>
                </c:pt>
                <c:pt idx="2000">
                  <c:v>1</c:v>
                </c:pt>
                <c:pt idx="2001">
                  <c:v>0.8</c:v>
                </c:pt>
                <c:pt idx="2002">
                  <c:v>0.67</c:v>
                </c:pt>
                <c:pt idx="2003">
                  <c:v>0.59</c:v>
                </c:pt>
                <c:pt idx="2004">
                  <c:v>0.79</c:v>
                </c:pt>
                <c:pt idx="2005">
                  <c:v>0.52</c:v>
                </c:pt>
                <c:pt idx="2006">
                  <c:v>0.54</c:v>
                </c:pt>
                <c:pt idx="2007">
                  <c:v>0.99</c:v>
                </c:pt>
                <c:pt idx="2008">
                  <c:v>0.17</c:v>
                </c:pt>
                <c:pt idx="2009">
                  <c:v>0.2</c:v>
                </c:pt>
                <c:pt idx="2010">
                  <c:v>0.1</c:v>
                </c:pt>
                <c:pt idx="2011">
                  <c:v>0.81</c:v>
                </c:pt>
                <c:pt idx="2012">
                  <c:v>0.67</c:v>
                </c:pt>
                <c:pt idx="2013">
                  <c:v>0.42</c:v>
                </c:pt>
                <c:pt idx="2014">
                  <c:v>0.45</c:v>
                </c:pt>
                <c:pt idx="2015">
                  <c:v>0.51</c:v>
                </c:pt>
                <c:pt idx="2016">
                  <c:v>0.17</c:v>
                </c:pt>
                <c:pt idx="2017">
                  <c:v>0.72</c:v>
                </c:pt>
                <c:pt idx="2018">
                  <c:v>0.1</c:v>
                </c:pt>
                <c:pt idx="2019">
                  <c:v>0.65</c:v>
                </c:pt>
                <c:pt idx="2020">
                  <c:v>0.04</c:v>
                </c:pt>
                <c:pt idx="2021">
                  <c:v>0.22</c:v>
                </c:pt>
                <c:pt idx="2022">
                  <c:v>0.25</c:v>
                </c:pt>
                <c:pt idx="2023">
                  <c:v>0.17</c:v>
                </c:pt>
                <c:pt idx="2024">
                  <c:v>0.9</c:v>
                </c:pt>
                <c:pt idx="2025">
                  <c:v>0.79</c:v>
                </c:pt>
                <c:pt idx="2026">
                  <c:v>0.56999999999999995</c:v>
                </c:pt>
                <c:pt idx="2027">
                  <c:v>0.91</c:v>
                </c:pt>
                <c:pt idx="2028">
                  <c:v>0.4</c:v>
                </c:pt>
                <c:pt idx="2029">
                  <c:v>0.22</c:v>
                </c:pt>
                <c:pt idx="2030">
                  <c:v>0.81</c:v>
                </c:pt>
                <c:pt idx="2031">
                  <c:v>0.89</c:v>
                </c:pt>
                <c:pt idx="2032">
                  <c:v>0.08</c:v>
                </c:pt>
                <c:pt idx="2033">
                  <c:v>0.54</c:v>
                </c:pt>
                <c:pt idx="2034">
                  <c:v>0.8</c:v>
                </c:pt>
                <c:pt idx="2035">
                  <c:v>0.83</c:v>
                </c:pt>
                <c:pt idx="2036">
                  <c:v>0.61</c:v>
                </c:pt>
                <c:pt idx="2037">
                  <c:v>0.82</c:v>
                </c:pt>
                <c:pt idx="2038">
                  <c:v>0.06</c:v>
                </c:pt>
                <c:pt idx="2039">
                  <c:v>0.55000000000000004</c:v>
                </c:pt>
                <c:pt idx="2040">
                  <c:v>0.73</c:v>
                </c:pt>
                <c:pt idx="2041">
                  <c:v>0.77</c:v>
                </c:pt>
                <c:pt idx="2042">
                  <c:v>0.02</c:v>
                </c:pt>
                <c:pt idx="2043">
                  <c:v>0.75</c:v>
                </c:pt>
                <c:pt idx="2044">
                  <c:v>0.87</c:v>
                </c:pt>
                <c:pt idx="2045">
                  <c:v>0.23</c:v>
                </c:pt>
                <c:pt idx="2046">
                  <c:v>0.95</c:v>
                </c:pt>
                <c:pt idx="2047">
                  <c:v>0.42</c:v>
                </c:pt>
                <c:pt idx="2048">
                  <c:v>0.91</c:v>
                </c:pt>
                <c:pt idx="2049">
                  <c:v>0.04</c:v>
                </c:pt>
                <c:pt idx="2050">
                  <c:v>0.66</c:v>
                </c:pt>
                <c:pt idx="2051">
                  <c:v>0.32</c:v>
                </c:pt>
                <c:pt idx="2052">
                  <c:v>0.69</c:v>
                </c:pt>
                <c:pt idx="2053">
                  <c:v>0.75</c:v>
                </c:pt>
                <c:pt idx="2054">
                  <c:v>0.65</c:v>
                </c:pt>
                <c:pt idx="2055">
                  <c:v>0.61</c:v>
                </c:pt>
                <c:pt idx="2056">
                  <c:v>0.01</c:v>
                </c:pt>
                <c:pt idx="2057">
                  <c:v>0.31</c:v>
                </c:pt>
                <c:pt idx="2058">
                  <c:v>0.7</c:v>
                </c:pt>
                <c:pt idx="2059">
                  <c:v>7.0000000000000007E-2</c:v>
                </c:pt>
                <c:pt idx="2060">
                  <c:v>0.59</c:v>
                </c:pt>
                <c:pt idx="2061">
                  <c:v>0.53</c:v>
                </c:pt>
                <c:pt idx="2062">
                  <c:v>0.21</c:v>
                </c:pt>
                <c:pt idx="2063">
                  <c:v>0.47</c:v>
                </c:pt>
                <c:pt idx="2064">
                  <c:v>0.34</c:v>
                </c:pt>
                <c:pt idx="2065">
                  <c:v>0.46</c:v>
                </c:pt>
                <c:pt idx="2066">
                  <c:v>0.61</c:v>
                </c:pt>
                <c:pt idx="2067">
                  <c:v>0.82</c:v>
                </c:pt>
                <c:pt idx="2068">
                  <c:v>0.69</c:v>
                </c:pt>
                <c:pt idx="2069">
                  <c:v>0.32</c:v>
                </c:pt>
                <c:pt idx="2070">
                  <c:v>0.98</c:v>
                </c:pt>
                <c:pt idx="2071">
                  <c:v>0.98</c:v>
                </c:pt>
                <c:pt idx="2072">
                  <c:v>0.46</c:v>
                </c:pt>
                <c:pt idx="2073">
                  <c:v>0.8</c:v>
                </c:pt>
                <c:pt idx="2074">
                  <c:v>0.67</c:v>
                </c:pt>
                <c:pt idx="2075">
                  <c:v>0.8</c:v>
                </c:pt>
                <c:pt idx="2076">
                  <c:v>0.05</c:v>
                </c:pt>
                <c:pt idx="2077">
                  <c:v>0.79</c:v>
                </c:pt>
                <c:pt idx="2078">
                  <c:v>0.89</c:v>
                </c:pt>
                <c:pt idx="2079">
                  <c:v>0.97</c:v>
                </c:pt>
                <c:pt idx="2080">
                  <c:v>0.39</c:v>
                </c:pt>
                <c:pt idx="2081">
                  <c:v>0.26</c:v>
                </c:pt>
                <c:pt idx="2082">
                  <c:v>0.86</c:v>
                </c:pt>
                <c:pt idx="2083">
                  <c:v>0.91</c:v>
                </c:pt>
                <c:pt idx="2084">
                  <c:v>0.15</c:v>
                </c:pt>
                <c:pt idx="2085">
                  <c:v>0.99</c:v>
                </c:pt>
                <c:pt idx="2086">
                  <c:v>0.67</c:v>
                </c:pt>
                <c:pt idx="2087">
                  <c:v>0.06</c:v>
                </c:pt>
                <c:pt idx="2088">
                  <c:v>0.55000000000000004</c:v>
                </c:pt>
                <c:pt idx="2089">
                  <c:v>0.41</c:v>
                </c:pt>
                <c:pt idx="2090">
                  <c:v>7.0000000000000007E-2</c:v>
                </c:pt>
                <c:pt idx="2091">
                  <c:v>0.18</c:v>
                </c:pt>
                <c:pt idx="2092">
                  <c:v>0.42</c:v>
                </c:pt>
                <c:pt idx="2093">
                  <c:v>0.17</c:v>
                </c:pt>
                <c:pt idx="2094">
                  <c:v>0.02</c:v>
                </c:pt>
                <c:pt idx="2095">
                  <c:v>0.05</c:v>
                </c:pt>
                <c:pt idx="2096">
                  <c:v>0.52</c:v>
                </c:pt>
                <c:pt idx="2097">
                  <c:v>0.88</c:v>
                </c:pt>
                <c:pt idx="2098">
                  <c:v>0.98</c:v>
                </c:pt>
                <c:pt idx="2099">
                  <c:v>0.32</c:v>
                </c:pt>
                <c:pt idx="2100">
                  <c:v>0.82</c:v>
                </c:pt>
                <c:pt idx="2101">
                  <c:v>0.1</c:v>
                </c:pt>
                <c:pt idx="2102">
                  <c:v>0.11</c:v>
                </c:pt>
                <c:pt idx="2103">
                  <c:v>0.14000000000000001</c:v>
                </c:pt>
                <c:pt idx="2104">
                  <c:v>0.54</c:v>
                </c:pt>
                <c:pt idx="2105">
                  <c:v>0.61</c:v>
                </c:pt>
                <c:pt idx="2106">
                  <c:v>0.73</c:v>
                </c:pt>
                <c:pt idx="2107">
                  <c:v>0.9</c:v>
                </c:pt>
                <c:pt idx="2108">
                  <c:v>0.8</c:v>
                </c:pt>
                <c:pt idx="2109">
                  <c:v>0.59</c:v>
                </c:pt>
                <c:pt idx="2110">
                  <c:v>0.5</c:v>
                </c:pt>
                <c:pt idx="2111">
                  <c:v>0.27</c:v>
                </c:pt>
                <c:pt idx="2112">
                  <c:v>0.02</c:v>
                </c:pt>
                <c:pt idx="2113">
                  <c:v>0.67</c:v>
                </c:pt>
                <c:pt idx="2114">
                  <c:v>0.92</c:v>
                </c:pt>
                <c:pt idx="2115">
                  <c:v>0.56000000000000005</c:v>
                </c:pt>
                <c:pt idx="2116">
                  <c:v>0.62</c:v>
                </c:pt>
                <c:pt idx="2117">
                  <c:v>0.9</c:v>
                </c:pt>
                <c:pt idx="2118">
                  <c:v>0.02</c:v>
                </c:pt>
                <c:pt idx="2119">
                  <c:v>0.24</c:v>
                </c:pt>
                <c:pt idx="2120">
                  <c:v>0.91</c:v>
                </c:pt>
                <c:pt idx="2121">
                  <c:v>0.74</c:v>
                </c:pt>
                <c:pt idx="2122">
                  <c:v>0.34</c:v>
                </c:pt>
                <c:pt idx="2123">
                  <c:v>0.88</c:v>
                </c:pt>
                <c:pt idx="2124">
                  <c:v>0.37</c:v>
                </c:pt>
                <c:pt idx="2125">
                  <c:v>0.09</c:v>
                </c:pt>
                <c:pt idx="2126">
                  <c:v>0.14000000000000001</c:v>
                </c:pt>
                <c:pt idx="2127">
                  <c:v>0.39</c:v>
                </c:pt>
                <c:pt idx="2128">
                  <c:v>0.92</c:v>
                </c:pt>
                <c:pt idx="2129">
                  <c:v>0.93</c:v>
                </c:pt>
                <c:pt idx="2130">
                  <c:v>0.31</c:v>
                </c:pt>
                <c:pt idx="2131">
                  <c:v>0.44</c:v>
                </c:pt>
                <c:pt idx="2132">
                  <c:v>0.55000000000000004</c:v>
                </c:pt>
                <c:pt idx="2133">
                  <c:v>0.26</c:v>
                </c:pt>
                <c:pt idx="2134">
                  <c:v>0.14000000000000001</c:v>
                </c:pt>
                <c:pt idx="2135">
                  <c:v>0.83</c:v>
                </c:pt>
                <c:pt idx="2136">
                  <c:v>0.02</c:v>
                </c:pt>
                <c:pt idx="2137">
                  <c:v>0.93</c:v>
                </c:pt>
                <c:pt idx="2138">
                  <c:v>0.94</c:v>
                </c:pt>
                <c:pt idx="2139">
                  <c:v>0.48</c:v>
                </c:pt>
                <c:pt idx="2140">
                  <c:v>0.27</c:v>
                </c:pt>
                <c:pt idx="2141">
                  <c:v>0.95</c:v>
                </c:pt>
                <c:pt idx="2142">
                  <c:v>0.3</c:v>
                </c:pt>
                <c:pt idx="2143">
                  <c:v>0.01</c:v>
                </c:pt>
                <c:pt idx="2144">
                  <c:v>0.41</c:v>
                </c:pt>
                <c:pt idx="2145">
                  <c:v>0.77</c:v>
                </c:pt>
                <c:pt idx="2146">
                  <c:v>0.9</c:v>
                </c:pt>
                <c:pt idx="2147">
                  <c:v>0.1</c:v>
                </c:pt>
                <c:pt idx="2148">
                  <c:v>0.72</c:v>
                </c:pt>
                <c:pt idx="2149">
                  <c:v>0.94</c:v>
                </c:pt>
                <c:pt idx="2150">
                  <c:v>0.46</c:v>
                </c:pt>
                <c:pt idx="2151">
                  <c:v>0.46</c:v>
                </c:pt>
                <c:pt idx="2152">
                  <c:v>0.17</c:v>
                </c:pt>
                <c:pt idx="2153">
                  <c:v>0.85</c:v>
                </c:pt>
                <c:pt idx="2154">
                  <c:v>0.32</c:v>
                </c:pt>
                <c:pt idx="2155">
                  <c:v>0.95</c:v>
                </c:pt>
                <c:pt idx="2156">
                  <c:v>0.76</c:v>
                </c:pt>
                <c:pt idx="2157">
                  <c:v>0.12</c:v>
                </c:pt>
                <c:pt idx="2158">
                  <c:v>0.87</c:v>
                </c:pt>
                <c:pt idx="2159">
                  <c:v>0.82</c:v>
                </c:pt>
                <c:pt idx="2160">
                  <c:v>0.66</c:v>
                </c:pt>
                <c:pt idx="2161">
                  <c:v>0.13</c:v>
                </c:pt>
                <c:pt idx="2162">
                  <c:v>0.06</c:v>
                </c:pt>
                <c:pt idx="2163">
                  <c:v>0.33</c:v>
                </c:pt>
                <c:pt idx="2164">
                  <c:v>0.53</c:v>
                </c:pt>
                <c:pt idx="2165">
                  <c:v>0.32</c:v>
                </c:pt>
                <c:pt idx="2166">
                  <c:v>0.45</c:v>
                </c:pt>
                <c:pt idx="2167">
                  <c:v>0.78</c:v>
                </c:pt>
                <c:pt idx="2168">
                  <c:v>0.57999999999999996</c:v>
                </c:pt>
                <c:pt idx="2169">
                  <c:v>0.89</c:v>
                </c:pt>
                <c:pt idx="2170">
                  <c:v>0.66</c:v>
                </c:pt>
                <c:pt idx="2171">
                  <c:v>0.78</c:v>
                </c:pt>
                <c:pt idx="2172">
                  <c:v>0.72</c:v>
                </c:pt>
                <c:pt idx="2173">
                  <c:v>0.48</c:v>
                </c:pt>
                <c:pt idx="2174">
                  <c:v>0.05</c:v>
                </c:pt>
                <c:pt idx="2175">
                  <c:v>0.82</c:v>
                </c:pt>
                <c:pt idx="2176">
                  <c:v>0.33</c:v>
                </c:pt>
                <c:pt idx="2177">
                  <c:v>0.02</c:v>
                </c:pt>
                <c:pt idx="2178">
                  <c:v>0.21</c:v>
                </c:pt>
                <c:pt idx="2179">
                  <c:v>0.24</c:v>
                </c:pt>
                <c:pt idx="2180">
                  <c:v>0.42</c:v>
                </c:pt>
                <c:pt idx="2181">
                  <c:v>0.19</c:v>
                </c:pt>
                <c:pt idx="2182">
                  <c:v>0.21</c:v>
                </c:pt>
                <c:pt idx="2183">
                  <c:v>0.17</c:v>
                </c:pt>
                <c:pt idx="2184">
                  <c:v>0.83</c:v>
                </c:pt>
                <c:pt idx="2185">
                  <c:v>0.51</c:v>
                </c:pt>
                <c:pt idx="2186">
                  <c:v>0.86</c:v>
                </c:pt>
                <c:pt idx="2187">
                  <c:v>0.1</c:v>
                </c:pt>
                <c:pt idx="2188">
                  <c:v>0.16</c:v>
                </c:pt>
                <c:pt idx="2189">
                  <c:v>0.06</c:v>
                </c:pt>
                <c:pt idx="2190">
                  <c:v>0.31</c:v>
                </c:pt>
                <c:pt idx="2191">
                  <c:v>0.27</c:v>
                </c:pt>
                <c:pt idx="2192">
                  <c:v>0.89</c:v>
                </c:pt>
                <c:pt idx="2193">
                  <c:v>0.68</c:v>
                </c:pt>
                <c:pt idx="2194">
                  <c:v>0.97</c:v>
                </c:pt>
                <c:pt idx="2195">
                  <c:v>0.88</c:v>
                </c:pt>
                <c:pt idx="2196">
                  <c:v>0.89</c:v>
                </c:pt>
                <c:pt idx="2197">
                  <c:v>0.77</c:v>
                </c:pt>
                <c:pt idx="2198">
                  <c:v>0.9</c:v>
                </c:pt>
                <c:pt idx="2199">
                  <c:v>0.39</c:v>
                </c:pt>
                <c:pt idx="2200">
                  <c:v>0.81</c:v>
                </c:pt>
                <c:pt idx="2201">
                  <c:v>0.69</c:v>
                </c:pt>
                <c:pt idx="2202">
                  <c:v>0.88</c:v>
                </c:pt>
                <c:pt idx="2203">
                  <c:v>0.25</c:v>
                </c:pt>
                <c:pt idx="2204">
                  <c:v>0.36</c:v>
                </c:pt>
                <c:pt idx="2205">
                  <c:v>0.43</c:v>
                </c:pt>
                <c:pt idx="2206">
                  <c:v>0.55000000000000004</c:v>
                </c:pt>
                <c:pt idx="2207">
                  <c:v>0.57999999999999996</c:v>
                </c:pt>
                <c:pt idx="2208">
                  <c:v>0.97</c:v>
                </c:pt>
                <c:pt idx="2209">
                  <c:v>0.79</c:v>
                </c:pt>
                <c:pt idx="2210">
                  <c:v>0.93</c:v>
                </c:pt>
                <c:pt idx="2211">
                  <c:v>0.27</c:v>
                </c:pt>
                <c:pt idx="2212">
                  <c:v>1</c:v>
                </c:pt>
                <c:pt idx="2213">
                  <c:v>0.98</c:v>
                </c:pt>
                <c:pt idx="2214">
                  <c:v>0.59</c:v>
                </c:pt>
                <c:pt idx="2215">
                  <c:v>0.72</c:v>
                </c:pt>
                <c:pt idx="2216">
                  <c:v>0.68</c:v>
                </c:pt>
                <c:pt idx="2217">
                  <c:v>7.0000000000000007E-2</c:v>
                </c:pt>
                <c:pt idx="2218">
                  <c:v>0.26</c:v>
                </c:pt>
                <c:pt idx="2219">
                  <c:v>0.14000000000000001</c:v>
                </c:pt>
                <c:pt idx="2220">
                  <c:v>0.92</c:v>
                </c:pt>
                <c:pt idx="2221">
                  <c:v>0.74</c:v>
                </c:pt>
                <c:pt idx="2222">
                  <c:v>0.74</c:v>
                </c:pt>
                <c:pt idx="2223">
                  <c:v>0.65</c:v>
                </c:pt>
                <c:pt idx="2224">
                  <c:v>0.04</c:v>
                </c:pt>
                <c:pt idx="2225">
                  <c:v>0.12</c:v>
                </c:pt>
                <c:pt idx="2226">
                  <c:v>0.41</c:v>
                </c:pt>
                <c:pt idx="2227">
                  <c:v>0.99</c:v>
                </c:pt>
                <c:pt idx="2228">
                  <c:v>0.5</c:v>
                </c:pt>
                <c:pt idx="2229">
                  <c:v>0.56000000000000005</c:v>
                </c:pt>
                <c:pt idx="2230">
                  <c:v>0.11</c:v>
                </c:pt>
                <c:pt idx="2231">
                  <c:v>0.51</c:v>
                </c:pt>
                <c:pt idx="2232">
                  <c:v>0.5</c:v>
                </c:pt>
                <c:pt idx="2233">
                  <c:v>0.25</c:v>
                </c:pt>
                <c:pt idx="2234">
                  <c:v>0.68</c:v>
                </c:pt>
                <c:pt idx="2235">
                  <c:v>0.54</c:v>
                </c:pt>
                <c:pt idx="2236">
                  <c:v>0.67</c:v>
                </c:pt>
                <c:pt idx="2237">
                  <c:v>0.5</c:v>
                </c:pt>
                <c:pt idx="2238">
                  <c:v>0.78</c:v>
                </c:pt>
                <c:pt idx="2239">
                  <c:v>0.47</c:v>
                </c:pt>
                <c:pt idx="2240">
                  <c:v>0.31</c:v>
                </c:pt>
                <c:pt idx="2241">
                  <c:v>0.61</c:v>
                </c:pt>
                <c:pt idx="2242">
                  <c:v>0.65</c:v>
                </c:pt>
                <c:pt idx="2243">
                  <c:v>0.87</c:v>
                </c:pt>
                <c:pt idx="2244">
                  <c:v>0.52</c:v>
                </c:pt>
                <c:pt idx="2245">
                  <c:v>0.64</c:v>
                </c:pt>
                <c:pt idx="2246">
                  <c:v>0.95</c:v>
                </c:pt>
                <c:pt idx="2247">
                  <c:v>0.53</c:v>
                </c:pt>
                <c:pt idx="2248">
                  <c:v>0.82</c:v>
                </c:pt>
                <c:pt idx="2249">
                  <c:v>0.02</c:v>
                </c:pt>
                <c:pt idx="2250">
                  <c:v>0.14000000000000001</c:v>
                </c:pt>
                <c:pt idx="2251">
                  <c:v>0.01</c:v>
                </c:pt>
                <c:pt idx="2252">
                  <c:v>7.0000000000000007E-2</c:v>
                </c:pt>
                <c:pt idx="2253">
                  <c:v>0.02</c:v>
                </c:pt>
                <c:pt idx="2254">
                  <c:v>0.43</c:v>
                </c:pt>
                <c:pt idx="2255">
                  <c:v>0.38</c:v>
                </c:pt>
                <c:pt idx="2256">
                  <c:v>0.01</c:v>
                </c:pt>
                <c:pt idx="2257">
                  <c:v>0.63</c:v>
                </c:pt>
                <c:pt idx="2258">
                  <c:v>0.01</c:v>
                </c:pt>
                <c:pt idx="2259">
                  <c:v>0.39</c:v>
                </c:pt>
                <c:pt idx="2260">
                  <c:v>0.67</c:v>
                </c:pt>
                <c:pt idx="2261">
                  <c:v>0.3</c:v>
                </c:pt>
                <c:pt idx="2262">
                  <c:v>0.52</c:v>
                </c:pt>
                <c:pt idx="2263">
                  <c:v>0.83</c:v>
                </c:pt>
                <c:pt idx="2264">
                  <c:v>0.23</c:v>
                </c:pt>
                <c:pt idx="2265">
                  <c:v>0.2</c:v>
                </c:pt>
                <c:pt idx="2266">
                  <c:v>0.68</c:v>
                </c:pt>
                <c:pt idx="2267">
                  <c:v>0.09</c:v>
                </c:pt>
                <c:pt idx="2268">
                  <c:v>0.01</c:v>
                </c:pt>
                <c:pt idx="2269">
                  <c:v>0.96</c:v>
                </c:pt>
                <c:pt idx="2270">
                  <c:v>0.18</c:v>
                </c:pt>
                <c:pt idx="2271">
                  <c:v>0.23</c:v>
                </c:pt>
                <c:pt idx="2272">
                  <c:v>0.98</c:v>
                </c:pt>
                <c:pt idx="2273">
                  <c:v>0.44</c:v>
                </c:pt>
                <c:pt idx="2274">
                  <c:v>0.05</c:v>
                </c:pt>
                <c:pt idx="2275">
                  <c:v>0.3</c:v>
                </c:pt>
                <c:pt idx="2276">
                  <c:v>0.3</c:v>
                </c:pt>
                <c:pt idx="2277">
                  <c:v>0.51</c:v>
                </c:pt>
                <c:pt idx="2278">
                  <c:v>0.34</c:v>
                </c:pt>
                <c:pt idx="2279">
                  <c:v>0.43</c:v>
                </c:pt>
                <c:pt idx="2280">
                  <c:v>0.92</c:v>
                </c:pt>
                <c:pt idx="2281">
                  <c:v>0.86</c:v>
                </c:pt>
                <c:pt idx="2282">
                  <c:v>0.49</c:v>
                </c:pt>
                <c:pt idx="2283">
                  <c:v>0.11</c:v>
                </c:pt>
                <c:pt idx="2284">
                  <c:v>0.78</c:v>
                </c:pt>
                <c:pt idx="2285">
                  <c:v>0.52</c:v>
                </c:pt>
                <c:pt idx="2286">
                  <c:v>0.52</c:v>
                </c:pt>
                <c:pt idx="2287">
                  <c:v>0.86</c:v>
                </c:pt>
                <c:pt idx="2288">
                  <c:v>0.02</c:v>
                </c:pt>
                <c:pt idx="2289">
                  <c:v>0.87</c:v>
                </c:pt>
                <c:pt idx="2290">
                  <c:v>0.62</c:v>
                </c:pt>
                <c:pt idx="2291">
                  <c:v>0.47</c:v>
                </c:pt>
                <c:pt idx="2292">
                  <c:v>0.61</c:v>
                </c:pt>
                <c:pt idx="2293">
                  <c:v>0.42</c:v>
                </c:pt>
                <c:pt idx="2294">
                  <c:v>0.73</c:v>
                </c:pt>
                <c:pt idx="2295">
                  <c:v>0.31</c:v>
                </c:pt>
                <c:pt idx="2296">
                  <c:v>0.38</c:v>
                </c:pt>
                <c:pt idx="2297">
                  <c:v>0.28999999999999998</c:v>
                </c:pt>
                <c:pt idx="2298">
                  <c:v>0.14000000000000001</c:v>
                </c:pt>
                <c:pt idx="2299">
                  <c:v>0.67</c:v>
                </c:pt>
                <c:pt idx="2300">
                  <c:v>0.45</c:v>
                </c:pt>
                <c:pt idx="2301">
                  <c:v>0.94</c:v>
                </c:pt>
                <c:pt idx="2302">
                  <c:v>0.65</c:v>
                </c:pt>
                <c:pt idx="2303">
                  <c:v>0.53</c:v>
                </c:pt>
                <c:pt idx="2304">
                  <c:v>0.62</c:v>
                </c:pt>
                <c:pt idx="2305">
                  <c:v>0.27</c:v>
                </c:pt>
                <c:pt idx="2306">
                  <c:v>0.05</c:v>
                </c:pt>
                <c:pt idx="2307">
                  <c:v>0.47</c:v>
                </c:pt>
                <c:pt idx="2308">
                  <c:v>0.24</c:v>
                </c:pt>
                <c:pt idx="2309">
                  <c:v>0.06</c:v>
                </c:pt>
                <c:pt idx="2310">
                  <c:v>0.79</c:v>
                </c:pt>
                <c:pt idx="2311">
                  <c:v>0.09</c:v>
                </c:pt>
                <c:pt idx="2312">
                  <c:v>0.21</c:v>
                </c:pt>
                <c:pt idx="2313">
                  <c:v>0.7</c:v>
                </c:pt>
                <c:pt idx="2314">
                  <c:v>0.38</c:v>
                </c:pt>
                <c:pt idx="2315">
                  <c:v>0.01</c:v>
                </c:pt>
                <c:pt idx="2316">
                  <c:v>0.13</c:v>
                </c:pt>
                <c:pt idx="2317">
                  <c:v>0.67</c:v>
                </c:pt>
                <c:pt idx="2318">
                  <c:v>0.57999999999999996</c:v>
                </c:pt>
                <c:pt idx="2319">
                  <c:v>0.64</c:v>
                </c:pt>
                <c:pt idx="2320">
                  <c:v>0.96</c:v>
                </c:pt>
                <c:pt idx="2321">
                  <c:v>0.22</c:v>
                </c:pt>
                <c:pt idx="2322">
                  <c:v>0.32</c:v>
                </c:pt>
                <c:pt idx="2323">
                  <c:v>0.46</c:v>
                </c:pt>
                <c:pt idx="2324">
                  <c:v>0.41</c:v>
                </c:pt>
                <c:pt idx="2325">
                  <c:v>0.13</c:v>
                </c:pt>
                <c:pt idx="2326">
                  <c:v>0.41</c:v>
                </c:pt>
                <c:pt idx="2327">
                  <c:v>0.62</c:v>
                </c:pt>
                <c:pt idx="2328">
                  <c:v>0.66</c:v>
                </c:pt>
                <c:pt idx="2329">
                  <c:v>0.62</c:v>
                </c:pt>
                <c:pt idx="2330">
                  <c:v>0.16</c:v>
                </c:pt>
                <c:pt idx="2331">
                  <c:v>0.87</c:v>
                </c:pt>
                <c:pt idx="2332">
                  <c:v>0.46</c:v>
                </c:pt>
                <c:pt idx="2333">
                  <c:v>0.06</c:v>
                </c:pt>
                <c:pt idx="2334">
                  <c:v>0.94</c:v>
                </c:pt>
                <c:pt idx="2335">
                  <c:v>0.97</c:v>
                </c:pt>
                <c:pt idx="2336">
                  <c:v>0.21</c:v>
                </c:pt>
                <c:pt idx="2337">
                  <c:v>0.43</c:v>
                </c:pt>
                <c:pt idx="2338">
                  <c:v>0.38</c:v>
                </c:pt>
                <c:pt idx="2339">
                  <c:v>0.89</c:v>
                </c:pt>
                <c:pt idx="2340">
                  <c:v>0.61</c:v>
                </c:pt>
                <c:pt idx="2341">
                  <c:v>0.57999999999999996</c:v>
                </c:pt>
                <c:pt idx="2342">
                  <c:v>0.91</c:v>
                </c:pt>
                <c:pt idx="2343">
                  <c:v>0.88</c:v>
                </c:pt>
                <c:pt idx="2344">
                  <c:v>0.42</c:v>
                </c:pt>
                <c:pt idx="2345">
                  <c:v>0.63</c:v>
                </c:pt>
                <c:pt idx="2346">
                  <c:v>0.25</c:v>
                </c:pt>
                <c:pt idx="2347">
                  <c:v>0.39</c:v>
                </c:pt>
                <c:pt idx="2348">
                  <c:v>0.32</c:v>
                </c:pt>
                <c:pt idx="2349">
                  <c:v>0.63</c:v>
                </c:pt>
                <c:pt idx="2350">
                  <c:v>0.71</c:v>
                </c:pt>
                <c:pt idx="2351">
                  <c:v>0.93</c:v>
                </c:pt>
                <c:pt idx="2352">
                  <c:v>0.47</c:v>
                </c:pt>
                <c:pt idx="2353">
                  <c:v>0.56000000000000005</c:v>
                </c:pt>
                <c:pt idx="2354">
                  <c:v>0.65</c:v>
                </c:pt>
                <c:pt idx="2355">
                  <c:v>0.61</c:v>
                </c:pt>
                <c:pt idx="2356">
                  <c:v>0.18</c:v>
                </c:pt>
                <c:pt idx="2357">
                  <c:v>0.1</c:v>
                </c:pt>
                <c:pt idx="2358">
                  <c:v>0.69</c:v>
                </c:pt>
                <c:pt idx="2359">
                  <c:v>0.71</c:v>
                </c:pt>
                <c:pt idx="2360">
                  <c:v>0.21</c:v>
                </c:pt>
                <c:pt idx="2361">
                  <c:v>0.31</c:v>
                </c:pt>
                <c:pt idx="2362">
                  <c:v>0.4</c:v>
                </c:pt>
                <c:pt idx="2363">
                  <c:v>0.42</c:v>
                </c:pt>
                <c:pt idx="2364">
                  <c:v>0.19</c:v>
                </c:pt>
                <c:pt idx="2365">
                  <c:v>0.45</c:v>
                </c:pt>
                <c:pt idx="2366">
                  <c:v>0.51</c:v>
                </c:pt>
                <c:pt idx="2367">
                  <c:v>0.55000000000000004</c:v>
                </c:pt>
                <c:pt idx="2368">
                  <c:v>7.0000000000000007E-2</c:v>
                </c:pt>
                <c:pt idx="2369">
                  <c:v>0.59</c:v>
                </c:pt>
                <c:pt idx="2370">
                  <c:v>0.93</c:v>
                </c:pt>
                <c:pt idx="2371">
                  <c:v>0.32</c:v>
                </c:pt>
                <c:pt idx="2372">
                  <c:v>0.72</c:v>
                </c:pt>
                <c:pt idx="2373">
                  <c:v>0.56999999999999995</c:v>
                </c:pt>
                <c:pt idx="2374">
                  <c:v>0.52</c:v>
                </c:pt>
                <c:pt idx="2375">
                  <c:v>0.56999999999999995</c:v>
                </c:pt>
                <c:pt idx="2376">
                  <c:v>0.54</c:v>
                </c:pt>
                <c:pt idx="2377">
                  <c:v>0.56999999999999995</c:v>
                </c:pt>
                <c:pt idx="2378">
                  <c:v>0.79</c:v>
                </c:pt>
                <c:pt idx="2379">
                  <c:v>0.33</c:v>
                </c:pt>
                <c:pt idx="2380">
                  <c:v>0.47</c:v>
                </c:pt>
                <c:pt idx="2381">
                  <c:v>0.34</c:v>
                </c:pt>
                <c:pt idx="2382">
                  <c:v>0.39</c:v>
                </c:pt>
                <c:pt idx="2383">
                  <c:v>0.56000000000000005</c:v>
                </c:pt>
                <c:pt idx="2384">
                  <c:v>0.85</c:v>
                </c:pt>
                <c:pt idx="2385">
                  <c:v>0.87</c:v>
                </c:pt>
                <c:pt idx="2386">
                  <c:v>0.24</c:v>
                </c:pt>
                <c:pt idx="2387">
                  <c:v>0.28999999999999998</c:v>
                </c:pt>
                <c:pt idx="2388">
                  <c:v>0.86</c:v>
                </c:pt>
                <c:pt idx="2389">
                  <c:v>0.14000000000000001</c:v>
                </c:pt>
                <c:pt idx="2390">
                  <c:v>0.68</c:v>
                </c:pt>
                <c:pt idx="2391">
                  <c:v>0.37</c:v>
                </c:pt>
                <c:pt idx="2392">
                  <c:v>0.46</c:v>
                </c:pt>
                <c:pt idx="2393">
                  <c:v>0.76</c:v>
                </c:pt>
                <c:pt idx="2394">
                  <c:v>0.48</c:v>
                </c:pt>
                <c:pt idx="2395">
                  <c:v>0.04</c:v>
                </c:pt>
                <c:pt idx="2396">
                  <c:v>0.59</c:v>
                </c:pt>
                <c:pt idx="2397">
                  <c:v>0.3</c:v>
                </c:pt>
                <c:pt idx="2398">
                  <c:v>0.31</c:v>
                </c:pt>
                <c:pt idx="2399">
                  <c:v>0.01</c:v>
                </c:pt>
                <c:pt idx="2400">
                  <c:v>0.13</c:v>
                </c:pt>
                <c:pt idx="2401">
                  <c:v>0.98</c:v>
                </c:pt>
                <c:pt idx="2402">
                  <c:v>0.83</c:v>
                </c:pt>
                <c:pt idx="2403">
                  <c:v>0.63</c:v>
                </c:pt>
                <c:pt idx="2404">
                  <c:v>0.64</c:v>
                </c:pt>
                <c:pt idx="2405">
                  <c:v>0.11</c:v>
                </c:pt>
                <c:pt idx="2406">
                  <c:v>0.26</c:v>
                </c:pt>
                <c:pt idx="2407">
                  <c:v>0.65</c:v>
                </c:pt>
                <c:pt idx="2408">
                  <c:v>7.0000000000000007E-2</c:v>
                </c:pt>
                <c:pt idx="2409">
                  <c:v>0.91</c:v>
                </c:pt>
                <c:pt idx="2410">
                  <c:v>0.73</c:v>
                </c:pt>
                <c:pt idx="2411">
                  <c:v>0.17</c:v>
                </c:pt>
                <c:pt idx="2412">
                  <c:v>0.2</c:v>
                </c:pt>
                <c:pt idx="2413">
                  <c:v>0.52</c:v>
                </c:pt>
                <c:pt idx="2414">
                  <c:v>0.19</c:v>
                </c:pt>
                <c:pt idx="2415">
                  <c:v>1</c:v>
                </c:pt>
                <c:pt idx="2416">
                  <c:v>0.66</c:v>
                </c:pt>
                <c:pt idx="2417">
                  <c:v>0</c:v>
                </c:pt>
                <c:pt idx="2418">
                  <c:v>0.8</c:v>
                </c:pt>
                <c:pt idx="2419">
                  <c:v>0.79</c:v>
                </c:pt>
                <c:pt idx="2420">
                  <c:v>0.72</c:v>
                </c:pt>
                <c:pt idx="2421">
                  <c:v>0.54</c:v>
                </c:pt>
                <c:pt idx="2422">
                  <c:v>0.49</c:v>
                </c:pt>
                <c:pt idx="2423">
                  <c:v>0.23</c:v>
                </c:pt>
                <c:pt idx="2424">
                  <c:v>0.23</c:v>
                </c:pt>
                <c:pt idx="2425">
                  <c:v>0.81</c:v>
                </c:pt>
                <c:pt idx="2426">
                  <c:v>0.61</c:v>
                </c:pt>
                <c:pt idx="2427">
                  <c:v>0.49</c:v>
                </c:pt>
                <c:pt idx="2428">
                  <c:v>0.59</c:v>
                </c:pt>
                <c:pt idx="2429">
                  <c:v>0.93</c:v>
                </c:pt>
                <c:pt idx="2430">
                  <c:v>0.03</c:v>
                </c:pt>
                <c:pt idx="2431">
                  <c:v>0.14000000000000001</c:v>
                </c:pt>
                <c:pt idx="2432">
                  <c:v>0.28999999999999998</c:v>
                </c:pt>
                <c:pt idx="2433">
                  <c:v>0.82</c:v>
                </c:pt>
                <c:pt idx="2434">
                  <c:v>0.13</c:v>
                </c:pt>
                <c:pt idx="2435">
                  <c:v>0.57999999999999996</c:v>
                </c:pt>
                <c:pt idx="2436">
                  <c:v>0.68</c:v>
                </c:pt>
                <c:pt idx="2437">
                  <c:v>0.68</c:v>
                </c:pt>
                <c:pt idx="2438">
                  <c:v>0</c:v>
                </c:pt>
                <c:pt idx="2439">
                  <c:v>0.63</c:v>
                </c:pt>
                <c:pt idx="2440">
                  <c:v>0.23</c:v>
                </c:pt>
                <c:pt idx="2441">
                  <c:v>0.8</c:v>
                </c:pt>
                <c:pt idx="2442">
                  <c:v>0.01</c:v>
                </c:pt>
                <c:pt idx="2443">
                  <c:v>0.88</c:v>
                </c:pt>
                <c:pt idx="2444">
                  <c:v>0.4</c:v>
                </c:pt>
                <c:pt idx="2445">
                  <c:v>0.39</c:v>
                </c:pt>
                <c:pt idx="2446">
                  <c:v>0.51</c:v>
                </c:pt>
                <c:pt idx="2447">
                  <c:v>0.41</c:v>
                </c:pt>
                <c:pt idx="2448">
                  <c:v>0.86</c:v>
                </c:pt>
                <c:pt idx="2449">
                  <c:v>0.22</c:v>
                </c:pt>
                <c:pt idx="2450">
                  <c:v>0.48</c:v>
                </c:pt>
                <c:pt idx="2451">
                  <c:v>0.57999999999999996</c:v>
                </c:pt>
                <c:pt idx="2452">
                  <c:v>0.21</c:v>
                </c:pt>
                <c:pt idx="2453">
                  <c:v>0.96</c:v>
                </c:pt>
                <c:pt idx="2454">
                  <c:v>0.48</c:v>
                </c:pt>
                <c:pt idx="2455">
                  <c:v>0.45</c:v>
                </c:pt>
                <c:pt idx="2456">
                  <c:v>0.37</c:v>
                </c:pt>
                <c:pt idx="2457">
                  <c:v>0.2</c:v>
                </c:pt>
                <c:pt idx="2458">
                  <c:v>0.11</c:v>
                </c:pt>
                <c:pt idx="2459">
                  <c:v>0.47</c:v>
                </c:pt>
                <c:pt idx="2460">
                  <c:v>0.04</c:v>
                </c:pt>
                <c:pt idx="2461">
                  <c:v>0.94</c:v>
                </c:pt>
                <c:pt idx="2462">
                  <c:v>0.81</c:v>
                </c:pt>
                <c:pt idx="2463">
                  <c:v>0.53</c:v>
                </c:pt>
                <c:pt idx="2464">
                  <c:v>0.1</c:v>
                </c:pt>
                <c:pt idx="2465">
                  <c:v>0.01</c:v>
                </c:pt>
                <c:pt idx="2466">
                  <c:v>0.01</c:v>
                </c:pt>
                <c:pt idx="2467">
                  <c:v>0.7</c:v>
                </c:pt>
                <c:pt idx="2468">
                  <c:v>0.77</c:v>
                </c:pt>
                <c:pt idx="2469">
                  <c:v>0.87</c:v>
                </c:pt>
                <c:pt idx="2470">
                  <c:v>0.22</c:v>
                </c:pt>
                <c:pt idx="2471">
                  <c:v>0.52</c:v>
                </c:pt>
                <c:pt idx="2472">
                  <c:v>0.13</c:v>
                </c:pt>
                <c:pt idx="2473">
                  <c:v>0.99</c:v>
                </c:pt>
                <c:pt idx="2474">
                  <c:v>0.64</c:v>
                </c:pt>
                <c:pt idx="2475">
                  <c:v>0.31</c:v>
                </c:pt>
                <c:pt idx="2476">
                  <c:v>0.36</c:v>
                </c:pt>
                <c:pt idx="2477">
                  <c:v>0.64</c:v>
                </c:pt>
                <c:pt idx="2478">
                  <c:v>0.73</c:v>
                </c:pt>
                <c:pt idx="2479">
                  <c:v>0.43</c:v>
                </c:pt>
                <c:pt idx="2480">
                  <c:v>0.47</c:v>
                </c:pt>
                <c:pt idx="2481">
                  <c:v>0.8</c:v>
                </c:pt>
                <c:pt idx="2482">
                  <c:v>0.68</c:v>
                </c:pt>
                <c:pt idx="2483">
                  <c:v>0.74</c:v>
                </c:pt>
                <c:pt idx="2484">
                  <c:v>0.75</c:v>
                </c:pt>
                <c:pt idx="2485">
                  <c:v>0.22</c:v>
                </c:pt>
                <c:pt idx="2486">
                  <c:v>0.43</c:v>
                </c:pt>
                <c:pt idx="2487">
                  <c:v>0.46</c:v>
                </c:pt>
                <c:pt idx="2488">
                  <c:v>0.48</c:v>
                </c:pt>
                <c:pt idx="2489">
                  <c:v>0.49</c:v>
                </c:pt>
                <c:pt idx="2490">
                  <c:v>0.91</c:v>
                </c:pt>
                <c:pt idx="2491">
                  <c:v>0.92</c:v>
                </c:pt>
                <c:pt idx="2492">
                  <c:v>0.28000000000000003</c:v>
                </c:pt>
                <c:pt idx="2493">
                  <c:v>0.48</c:v>
                </c:pt>
                <c:pt idx="2494">
                  <c:v>0.74</c:v>
                </c:pt>
                <c:pt idx="2495">
                  <c:v>0.54</c:v>
                </c:pt>
                <c:pt idx="2496">
                  <c:v>0.27</c:v>
                </c:pt>
                <c:pt idx="2497">
                  <c:v>0.53</c:v>
                </c:pt>
                <c:pt idx="2498">
                  <c:v>0.62</c:v>
                </c:pt>
                <c:pt idx="2499">
                  <c:v>0.24</c:v>
                </c:pt>
                <c:pt idx="2500">
                  <c:v>0.21</c:v>
                </c:pt>
                <c:pt idx="2501">
                  <c:v>0.65</c:v>
                </c:pt>
                <c:pt idx="2502">
                  <c:v>0.49</c:v>
                </c:pt>
                <c:pt idx="2503">
                  <c:v>0.44</c:v>
                </c:pt>
                <c:pt idx="2504">
                  <c:v>0.56000000000000005</c:v>
                </c:pt>
                <c:pt idx="2505">
                  <c:v>0.32</c:v>
                </c:pt>
                <c:pt idx="2506">
                  <c:v>0.92</c:v>
                </c:pt>
                <c:pt idx="2507">
                  <c:v>0.74</c:v>
                </c:pt>
                <c:pt idx="2508">
                  <c:v>0.69</c:v>
                </c:pt>
                <c:pt idx="2509">
                  <c:v>0.03</c:v>
                </c:pt>
                <c:pt idx="2510">
                  <c:v>0.86</c:v>
                </c:pt>
                <c:pt idx="2511">
                  <c:v>0.47</c:v>
                </c:pt>
                <c:pt idx="2512">
                  <c:v>0.05</c:v>
                </c:pt>
                <c:pt idx="2513">
                  <c:v>0.47</c:v>
                </c:pt>
                <c:pt idx="2514">
                  <c:v>0.3</c:v>
                </c:pt>
                <c:pt idx="2515">
                  <c:v>0.48</c:v>
                </c:pt>
                <c:pt idx="2516">
                  <c:v>0.83</c:v>
                </c:pt>
                <c:pt idx="2517">
                  <c:v>0.17</c:v>
                </c:pt>
                <c:pt idx="2518">
                  <c:v>0.26</c:v>
                </c:pt>
                <c:pt idx="2519">
                  <c:v>0.49</c:v>
                </c:pt>
                <c:pt idx="2520">
                  <c:v>0.26</c:v>
                </c:pt>
                <c:pt idx="2521">
                  <c:v>0.13</c:v>
                </c:pt>
                <c:pt idx="2522">
                  <c:v>0.27</c:v>
                </c:pt>
                <c:pt idx="2523">
                  <c:v>0.92</c:v>
                </c:pt>
                <c:pt idx="2524">
                  <c:v>0.37</c:v>
                </c:pt>
                <c:pt idx="2525">
                  <c:v>0.41</c:v>
                </c:pt>
                <c:pt idx="2526">
                  <c:v>0.8</c:v>
                </c:pt>
                <c:pt idx="2527">
                  <c:v>0.53</c:v>
                </c:pt>
                <c:pt idx="2528">
                  <c:v>0.46</c:v>
                </c:pt>
                <c:pt idx="2529">
                  <c:v>0.69</c:v>
                </c:pt>
                <c:pt idx="2530">
                  <c:v>0.08</c:v>
                </c:pt>
                <c:pt idx="2531">
                  <c:v>0.03</c:v>
                </c:pt>
                <c:pt idx="2532">
                  <c:v>0.49</c:v>
                </c:pt>
                <c:pt idx="2533">
                  <c:v>0.76</c:v>
                </c:pt>
                <c:pt idx="2534">
                  <c:v>0.43</c:v>
                </c:pt>
                <c:pt idx="2535">
                  <c:v>0.78</c:v>
                </c:pt>
                <c:pt idx="2536">
                  <c:v>0.93</c:v>
                </c:pt>
                <c:pt idx="2537">
                  <c:v>0.43</c:v>
                </c:pt>
                <c:pt idx="2538">
                  <c:v>0.03</c:v>
                </c:pt>
                <c:pt idx="2539">
                  <c:v>0.94</c:v>
                </c:pt>
                <c:pt idx="2540">
                  <c:v>0.78</c:v>
                </c:pt>
                <c:pt idx="2541">
                  <c:v>0.55000000000000004</c:v>
                </c:pt>
                <c:pt idx="2542">
                  <c:v>0.13</c:v>
                </c:pt>
                <c:pt idx="2543">
                  <c:v>0.63</c:v>
                </c:pt>
                <c:pt idx="2544">
                  <c:v>0.56000000000000005</c:v>
                </c:pt>
                <c:pt idx="2545">
                  <c:v>0.63</c:v>
                </c:pt>
                <c:pt idx="2546">
                  <c:v>0.1</c:v>
                </c:pt>
                <c:pt idx="2547">
                  <c:v>0.88</c:v>
                </c:pt>
                <c:pt idx="2548">
                  <c:v>0.79</c:v>
                </c:pt>
                <c:pt idx="2549">
                  <c:v>0.32</c:v>
                </c:pt>
                <c:pt idx="2550">
                  <c:v>0.61</c:v>
                </c:pt>
                <c:pt idx="2551">
                  <c:v>0.2</c:v>
                </c:pt>
                <c:pt idx="2552">
                  <c:v>0.93</c:v>
                </c:pt>
                <c:pt idx="2553">
                  <c:v>0.24</c:v>
                </c:pt>
                <c:pt idx="2554">
                  <c:v>0.78</c:v>
                </c:pt>
                <c:pt idx="2555">
                  <c:v>0.94</c:v>
                </c:pt>
                <c:pt idx="2556">
                  <c:v>0.53</c:v>
                </c:pt>
                <c:pt idx="2557">
                  <c:v>0.24</c:v>
                </c:pt>
                <c:pt idx="2558">
                  <c:v>0.33</c:v>
                </c:pt>
                <c:pt idx="2559">
                  <c:v>0.97</c:v>
                </c:pt>
                <c:pt idx="2560">
                  <c:v>0.28000000000000003</c:v>
                </c:pt>
                <c:pt idx="2561">
                  <c:v>0.72</c:v>
                </c:pt>
                <c:pt idx="2562">
                  <c:v>0.36</c:v>
                </c:pt>
                <c:pt idx="2563">
                  <c:v>0.78</c:v>
                </c:pt>
                <c:pt idx="2564">
                  <c:v>0.66</c:v>
                </c:pt>
                <c:pt idx="2565">
                  <c:v>0.28999999999999998</c:v>
                </c:pt>
                <c:pt idx="2566">
                  <c:v>0.09</c:v>
                </c:pt>
                <c:pt idx="2567">
                  <c:v>0.89</c:v>
                </c:pt>
                <c:pt idx="2568">
                  <c:v>0.19</c:v>
                </c:pt>
                <c:pt idx="2569">
                  <c:v>0.82</c:v>
                </c:pt>
                <c:pt idx="2570">
                  <c:v>0.73</c:v>
                </c:pt>
                <c:pt idx="2571">
                  <c:v>0.85</c:v>
                </c:pt>
                <c:pt idx="2572">
                  <c:v>0.5</c:v>
                </c:pt>
                <c:pt idx="2573">
                  <c:v>0.62</c:v>
                </c:pt>
                <c:pt idx="2574">
                  <c:v>0.38</c:v>
                </c:pt>
                <c:pt idx="2575">
                  <c:v>0.95</c:v>
                </c:pt>
                <c:pt idx="2576">
                  <c:v>0.56000000000000005</c:v>
                </c:pt>
                <c:pt idx="2577">
                  <c:v>0.16</c:v>
                </c:pt>
                <c:pt idx="2578">
                  <c:v>0.47</c:v>
                </c:pt>
                <c:pt idx="2579">
                  <c:v>0.22</c:v>
                </c:pt>
                <c:pt idx="2580">
                  <c:v>0.26</c:v>
                </c:pt>
                <c:pt idx="2581">
                  <c:v>0.15</c:v>
                </c:pt>
                <c:pt idx="2582">
                  <c:v>0.11</c:v>
                </c:pt>
                <c:pt idx="2583">
                  <c:v>1</c:v>
                </c:pt>
                <c:pt idx="2584">
                  <c:v>0.28000000000000003</c:v>
                </c:pt>
                <c:pt idx="2585">
                  <c:v>0.31</c:v>
                </c:pt>
                <c:pt idx="2586">
                  <c:v>0.94</c:v>
                </c:pt>
                <c:pt idx="2587">
                  <c:v>0.92</c:v>
                </c:pt>
                <c:pt idx="2588">
                  <c:v>0.55000000000000004</c:v>
                </c:pt>
                <c:pt idx="2589">
                  <c:v>0.26</c:v>
                </c:pt>
                <c:pt idx="2590">
                  <c:v>0.18</c:v>
                </c:pt>
                <c:pt idx="2591">
                  <c:v>0.34</c:v>
                </c:pt>
                <c:pt idx="2592">
                  <c:v>0.24</c:v>
                </c:pt>
                <c:pt idx="2593">
                  <c:v>0.25</c:v>
                </c:pt>
                <c:pt idx="2594">
                  <c:v>0.2</c:v>
                </c:pt>
                <c:pt idx="2595">
                  <c:v>0.37</c:v>
                </c:pt>
                <c:pt idx="2596">
                  <c:v>0.75</c:v>
                </c:pt>
                <c:pt idx="2597">
                  <c:v>0.17</c:v>
                </c:pt>
                <c:pt idx="2598">
                  <c:v>0.47</c:v>
                </c:pt>
                <c:pt idx="2599">
                  <c:v>0.18</c:v>
                </c:pt>
                <c:pt idx="2600">
                  <c:v>0.35</c:v>
                </c:pt>
                <c:pt idx="2601">
                  <c:v>0.89</c:v>
                </c:pt>
                <c:pt idx="2602">
                  <c:v>0.43</c:v>
                </c:pt>
                <c:pt idx="2603">
                  <c:v>0.11</c:v>
                </c:pt>
                <c:pt idx="2604">
                  <c:v>0.22</c:v>
                </c:pt>
                <c:pt idx="2605">
                  <c:v>0.73</c:v>
                </c:pt>
                <c:pt idx="2606">
                  <c:v>0.53</c:v>
                </c:pt>
                <c:pt idx="2607">
                  <c:v>0.14000000000000001</c:v>
                </c:pt>
                <c:pt idx="2608">
                  <c:v>0.16</c:v>
                </c:pt>
                <c:pt idx="2609">
                  <c:v>0.57999999999999996</c:v>
                </c:pt>
                <c:pt idx="2610">
                  <c:v>0.41</c:v>
                </c:pt>
                <c:pt idx="2611">
                  <c:v>0.18</c:v>
                </c:pt>
                <c:pt idx="2612">
                  <c:v>0.28000000000000003</c:v>
                </c:pt>
                <c:pt idx="2613">
                  <c:v>0.08</c:v>
                </c:pt>
                <c:pt idx="2614">
                  <c:v>0.4</c:v>
                </c:pt>
                <c:pt idx="2615">
                  <c:v>0.43</c:v>
                </c:pt>
                <c:pt idx="2616">
                  <c:v>0.12</c:v>
                </c:pt>
                <c:pt idx="2617">
                  <c:v>0.15</c:v>
                </c:pt>
                <c:pt idx="2618">
                  <c:v>0.1</c:v>
                </c:pt>
                <c:pt idx="2619">
                  <c:v>0.59</c:v>
                </c:pt>
                <c:pt idx="2620">
                  <c:v>0.77</c:v>
                </c:pt>
                <c:pt idx="2621">
                  <c:v>0.41</c:v>
                </c:pt>
                <c:pt idx="2622">
                  <c:v>0.15</c:v>
                </c:pt>
                <c:pt idx="2623">
                  <c:v>0.35</c:v>
                </c:pt>
                <c:pt idx="2624">
                  <c:v>0.71</c:v>
                </c:pt>
                <c:pt idx="2625">
                  <c:v>0.6</c:v>
                </c:pt>
                <c:pt idx="2626">
                  <c:v>0.35</c:v>
                </c:pt>
                <c:pt idx="2627">
                  <c:v>0.59</c:v>
                </c:pt>
                <c:pt idx="2628">
                  <c:v>0.68</c:v>
                </c:pt>
                <c:pt idx="2629">
                  <c:v>0.55000000000000004</c:v>
                </c:pt>
                <c:pt idx="2630">
                  <c:v>0.2</c:v>
                </c:pt>
                <c:pt idx="2631">
                  <c:v>0.55000000000000004</c:v>
                </c:pt>
                <c:pt idx="2632">
                  <c:v>0.9</c:v>
                </c:pt>
                <c:pt idx="2633">
                  <c:v>0.38</c:v>
                </c:pt>
                <c:pt idx="2634">
                  <c:v>7.0000000000000007E-2</c:v>
                </c:pt>
                <c:pt idx="2635">
                  <c:v>0.66</c:v>
                </c:pt>
                <c:pt idx="2636">
                  <c:v>0.56000000000000005</c:v>
                </c:pt>
                <c:pt idx="2637">
                  <c:v>0.39</c:v>
                </c:pt>
                <c:pt idx="2638">
                  <c:v>0.9</c:v>
                </c:pt>
                <c:pt idx="2639">
                  <c:v>0.62</c:v>
                </c:pt>
                <c:pt idx="2640">
                  <c:v>0.05</c:v>
                </c:pt>
                <c:pt idx="2641">
                  <c:v>0.21</c:v>
                </c:pt>
                <c:pt idx="2642">
                  <c:v>0.25</c:v>
                </c:pt>
                <c:pt idx="2643">
                  <c:v>0.39</c:v>
                </c:pt>
                <c:pt idx="2644">
                  <c:v>0.34</c:v>
                </c:pt>
                <c:pt idx="2645">
                  <c:v>0.38</c:v>
                </c:pt>
                <c:pt idx="2646">
                  <c:v>0.77</c:v>
                </c:pt>
                <c:pt idx="2647">
                  <c:v>0.46</c:v>
                </c:pt>
                <c:pt idx="2648">
                  <c:v>0.03</c:v>
                </c:pt>
                <c:pt idx="2649">
                  <c:v>0.01</c:v>
                </c:pt>
                <c:pt idx="2650">
                  <c:v>0.15</c:v>
                </c:pt>
                <c:pt idx="2651">
                  <c:v>0.76</c:v>
                </c:pt>
                <c:pt idx="2652">
                  <c:v>0.55000000000000004</c:v>
                </c:pt>
                <c:pt idx="2653">
                  <c:v>0.89</c:v>
                </c:pt>
                <c:pt idx="2654">
                  <c:v>0.09</c:v>
                </c:pt>
                <c:pt idx="2655">
                  <c:v>0.05</c:v>
                </c:pt>
                <c:pt idx="2656">
                  <c:v>0.01</c:v>
                </c:pt>
                <c:pt idx="2657">
                  <c:v>0.19</c:v>
                </c:pt>
                <c:pt idx="2658">
                  <c:v>0.51</c:v>
                </c:pt>
                <c:pt idx="2659">
                  <c:v>0.28000000000000003</c:v>
                </c:pt>
                <c:pt idx="2660">
                  <c:v>0.8</c:v>
                </c:pt>
                <c:pt idx="2661">
                  <c:v>0.55000000000000004</c:v>
                </c:pt>
                <c:pt idx="2662">
                  <c:v>0.53</c:v>
                </c:pt>
                <c:pt idx="2663">
                  <c:v>0.77</c:v>
                </c:pt>
                <c:pt idx="2664">
                  <c:v>0.25</c:v>
                </c:pt>
                <c:pt idx="2665">
                  <c:v>0.76</c:v>
                </c:pt>
                <c:pt idx="2666">
                  <c:v>0.35</c:v>
                </c:pt>
                <c:pt idx="2667">
                  <c:v>0.98</c:v>
                </c:pt>
                <c:pt idx="2668">
                  <c:v>0.62</c:v>
                </c:pt>
                <c:pt idx="2669">
                  <c:v>0.27</c:v>
                </c:pt>
                <c:pt idx="2670">
                  <c:v>0.77</c:v>
                </c:pt>
                <c:pt idx="2671">
                  <c:v>0.87</c:v>
                </c:pt>
                <c:pt idx="2672">
                  <c:v>0.65</c:v>
                </c:pt>
                <c:pt idx="2673">
                  <c:v>0.56000000000000005</c:v>
                </c:pt>
                <c:pt idx="2674">
                  <c:v>0.57999999999999996</c:v>
                </c:pt>
                <c:pt idx="2675">
                  <c:v>0.48</c:v>
                </c:pt>
                <c:pt idx="2676">
                  <c:v>0.03</c:v>
                </c:pt>
                <c:pt idx="2677">
                  <c:v>0.5</c:v>
                </c:pt>
                <c:pt idx="2678">
                  <c:v>0.5</c:v>
                </c:pt>
                <c:pt idx="2679">
                  <c:v>0.69</c:v>
                </c:pt>
                <c:pt idx="2680">
                  <c:v>0.47</c:v>
                </c:pt>
                <c:pt idx="2681">
                  <c:v>0.43</c:v>
                </c:pt>
                <c:pt idx="2682">
                  <c:v>0.46</c:v>
                </c:pt>
                <c:pt idx="2683">
                  <c:v>0.01</c:v>
                </c:pt>
                <c:pt idx="2684">
                  <c:v>0.26</c:v>
                </c:pt>
                <c:pt idx="2685">
                  <c:v>0.5</c:v>
                </c:pt>
                <c:pt idx="2686">
                  <c:v>0.96</c:v>
                </c:pt>
                <c:pt idx="2687">
                  <c:v>0.61</c:v>
                </c:pt>
                <c:pt idx="2688">
                  <c:v>0.91</c:v>
                </c:pt>
                <c:pt idx="2689">
                  <c:v>0.19</c:v>
                </c:pt>
                <c:pt idx="2690">
                  <c:v>0.14000000000000001</c:v>
                </c:pt>
                <c:pt idx="2691">
                  <c:v>0.56999999999999995</c:v>
                </c:pt>
                <c:pt idx="2692">
                  <c:v>0.64</c:v>
                </c:pt>
                <c:pt idx="2693">
                  <c:v>0.23</c:v>
                </c:pt>
                <c:pt idx="2694">
                  <c:v>0.13</c:v>
                </c:pt>
                <c:pt idx="2695">
                  <c:v>0.15</c:v>
                </c:pt>
                <c:pt idx="2696">
                  <c:v>0.44</c:v>
                </c:pt>
                <c:pt idx="2697">
                  <c:v>0.95</c:v>
                </c:pt>
                <c:pt idx="2698">
                  <c:v>0.64</c:v>
                </c:pt>
                <c:pt idx="2699">
                  <c:v>0.78</c:v>
                </c:pt>
                <c:pt idx="2700">
                  <c:v>0.43</c:v>
                </c:pt>
                <c:pt idx="2701">
                  <c:v>0.51</c:v>
                </c:pt>
                <c:pt idx="2702">
                  <c:v>0.04</c:v>
                </c:pt>
                <c:pt idx="2703">
                  <c:v>0.42</c:v>
                </c:pt>
                <c:pt idx="2704">
                  <c:v>0.1</c:v>
                </c:pt>
                <c:pt idx="2705">
                  <c:v>0.71</c:v>
                </c:pt>
                <c:pt idx="2706">
                  <c:v>0.45</c:v>
                </c:pt>
                <c:pt idx="2707">
                  <c:v>0.09</c:v>
                </c:pt>
                <c:pt idx="2708">
                  <c:v>7.0000000000000007E-2</c:v>
                </c:pt>
                <c:pt idx="2709">
                  <c:v>0.45</c:v>
                </c:pt>
                <c:pt idx="2710">
                  <c:v>0.73</c:v>
                </c:pt>
                <c:pt idx="2711">
                  <c:v>0.87</c:v>
                </c:pt>
                <c:pt idx="2712">
                  <c:v>0.75</c:v>
                </c:pt>
                <c:pt idx="2713">
                  <c:v>0.45</c:v>
                </c:pt>
                <c:pt idx="2714">
                  <c:v>0.8</c:v>
                </c:pt>
                <c:pt idx="2715">
                  <c:v>0.64</c:v>
                </c:pt>
                <c:pt idx="2716">
                  <c:v>0.37</c:v>
                </c:pt>
                <c:pt idx="2717">
                  <c:v>0.5</c:v>
                </c:pt>
                <c:pt idx="2718">
                  <c:v>0.04</c:v>
                </c:pt>
                <c:pt idx="2719">
                  <c:v>0.78</c:v>
                </c:pt>
                <c:pt idx="2720">
                  <c:v>0.55000000000000004</c:v>
                </c:pt>
                <c:pt idx="2721">
                  <c:v>0.48</c:v>
                </c:pt>
                <c:pt idx="2722">
                  <c:v>0.52</c:v>
                </c:pt>
                <c:pt idx="2723">
                  <c:v>0.87</c:v>
                </c:pt>
                <c:pt idx="2724">
                  <c:v>0.42</c:v>
                </c:pt>
                <c:pt idx="2725">
                  <c:v>0.18</c:v>
                </c:pt>
                <c:pt idx="2726">
                  <c:v>0.82</c:v>
                </c:pt>
                <c:pt idx="2727">
                  <c:v>0.25</c:v>
                </c:pt>
                <c:pt idx="2728">
                  <c:v>0.45</c:v>
                </c:pt>
                <c:pt idx="2729">
                  <c:v>0.43</c:v>
                </c:pt>
                <c:pt idx="2730">
                  <c:v>0.65</c:v>
                </c:pt>
                <c:pt idx="2731">
                  <c:v>0.42</c:v>
                </c:pt>
                <c:pt idx="2732">
                  <c:v>0.4</c:v>
                </c:pt>
                <c:pt idx="2733">
                  <c:v>0.92</c:v>
                </c:pt>
                <c:pt idx="2734">
                  <c:v>0.67</c:v>
                </c:pt>
                <c:pt idx="2735">
                  <c:v>0.66</c:v>
                </c:pt>
                <c:pt idx="2736">
                  <c:v>0.31</c:v>
                </c:pt>
                <c:pt idx="2737">
                  <c:v>0.82</c:v>
                </c:pt>
                <c:pt idx="2738">
                  <c:v>0.11</c:v>
                </c:pt>
                <c:pt idx="2739">
                  <c:v>0.37</c:v>
                </c:pt>
                <c:pt idx="2740">
                  <c:v>0.3</c:v>
                </c:pt>
                <c:pt idx="2741">
                  <c:v>0.19</c:v>
                </c:pt>
                <c:pt idx="2742">
                  <c:v>0.74</c:v>
                </c:pt>
                <c:pt idx="2743">
                  <c:v>0.92</c:v>
                </c:pt>
                <c:pt idx="2744">
                  <c:v>0.81</c:v>
                </c:pt>
                <c:pt idx="2745">
                  <c:v>0.51</c:v>
                </c:pt>
                <c:pt idx="2746">
                  <c:v>0.49</c:v>
                </c:pt>
                <c:pt idx="2747">
                  <c:v>0.6</c:v>
                </c:pt>
                <c:pt idx="2748">
                  <c:v>0.48</c:v>
                </c:pt>
                <c:pt idx="2749">
                  <c:v>0.64</c:v>
                </c:pt>
                <c:pt idx="2750">
                  <c:v>0.93</c:v>
                </c:pt>
                <c:pt idx="2751">
                  <c:v>0.05</c:v>
                </c:pt>
                <c:pt idx="2752">
                  <c:v>0.92</c:v>
                </c:pt>
                <c:pt idx="2753">
                  <c:v>0.8</c:v>
                </c:pt>
                <c:pt idx="2754">
                  <c:v>0.72</c:v>
                </c:pt>
                <c:pt idx="2755">
                  <c:v>0.32</c:v>
                </c:pt>
                <c:pt idx="2756">
                  <c:v>0.25</c:v>
                </c:pt>
                <c:pt idx="2757">
                  <c:v>0.54</c:v>
                </c:pt>
                <c:pt idx="2758">
                  <c:v>0.59</c:v>
                </c:pt>
                <c:pt idx="2759">
                  <c:v>0.49</c:v>
                </c:pt>
                <c:pt idx="2760">
                  <c:v>0.63</c:v>
                </c:pt>
                <c:pt idx="2761">
                  <c:v>0.6</c:v>
                </c:pt>
                <c:pt idx="2762">
                  <c:v>0.34</c:v>
                </c:pt>
                <c:pt idx="2763">
                  <c:v>0.95</c:v>
                </c:pt>
                <c:pt idx="2764">
                  <c:v>0.28000000000000003</c:v>
                </c:pt>
                <c:pt idx="2765">
                  <c:v>0.08</c:v>
                </c:pt>
                <c:pt idx="2766">
                  <c:v>0.28000000000000003</c:v>
                </c:pt>
                <c:pt idx="2767">
                  <c:v>0.95</c:v>
                </c:pt>
                <c:pt idx="2768">
                  <c:v>0.28999999999999998</c:v>
                </c:pt>
                <c:pt idx="2769">
                  <c:v>0.76</c:v>
                </c:pt>
                <c:pt idx="2770">
                  <c:v>0.62</c:v>
                </c:pt>
                <c:pt idx="2771">
                  <c:v>0.01</c:v>
                </c:pt>
                <c:pt idx="2772">
                  <c:v>0.13</c:v>
                </c:pt>
                <c:pt idx="2773">
                  <c:v>0.14000000000000001</c:v>
                </c:pt>
                <c:pt idx="2774">
                  <c:v>0.91</c:v>
                </c:pt>
                <c:pt idx="2775">
                  <c:v>0.16</c:v>
                </c:pt>
                <c:pt idx="2776">
                  <c:v>0.25</c:v>
                </c:pt>
                <c:pt idx="2777">
                  <c:v>0.99</c:v>
                </c:pt>
                <c:pt idx="2778">
                  <c:v>0.87</c:v>
                </c:pt>
                <c:pt idx="2779">
                  <c:v>0.28000000000000003</c:v>
                </c:pt>
                <c:pt idx="2780">
                  <c:v>0.21</c:v>
                </c:pt>
                <c:pt idx="2781">
                  <c:v>0.87</c:v>
                </c:pt>
                <c:pt idx="2782">
                  <c:v>0.06</c:v>
                </c:pt>
                <c:pt idx="2783">
                  <c:v>0.32</c:v>
                </c:pt>
                <c:pt idx="2784">
                  <c:v>0.44</c:v>
                </c:pt>
                <c:pt idx="2785">
                  <c:v>0.39</c:v>
                </c:pt>
                <c:pt idx="2786">
                  <c:v>0.2</c:v>
                </c:pt>
                <c:pt idx="2787">
                  <c:v>0.18</c:v>
                </c:pt>
                <c:pt idx="2788">
                  <c:v>0.48</c:v>
                </c:pt>
                <c:pt idx="2789">
                  <c:v>0.87</c:v>
                </c:pt>
                <c:pt idx="2790">
                  <c:v>0.47</c:v>
                </c:pt>
                <c:pt idx="2791">
                  <c:v>0.79</c:v>
                </c:pt>
                <c:pt idx="2792">
                  <c:v>0.74</c:v>
                </c:pt>
                <c:pt idx="2793">
                  <c:v>0.41</c:v>
                </c:pt>
                <c:pt idx="2794">
                  <c:v>0.54</c:v>
                </c:pt>
                <c:pt idx="2795">
                  <c:v>0.99</c:v>
                </c:pt>
                <c:pt idx="2796">
                  <c:v>0.67</c:v>
                </c:pt>
                <c:pt idx="2797">
                  <c:v>0.64</c:v>
                </c:pt>
                <c:pt idx="2798">
                  <c:v>0.82</c:v>
                </c:pt>
                <c:pt idx="2799">
                  <c:v>0.56999999999999995</c:v>
                </c:pt>
                <c:pt idx="2800">
                  <c:v>0.65</c:v>
                </c:pt>
                <c:pt idx="2801">
                  <c:v>0.21</c:v>
                </c:pt>
                <c:pt idx="2802">
                  <c:v>0.37</c:v>
                </c:pt>
                <c:pt idx="2803">
                  <c:v>0.49</c:v>
                </c:pt>
                <c:pt idx="2804">
                  <c:v>0.45</c:v>
                </c:pt>
                <c:pt idx="2805">
                  <c:v>0.4</c:v>
                </c:pt>
                <c:pt idx="2806">
                  <c:v>0.02</c:v>
                </c:pt>
                <c:pt idx="2807">
                  <c:v>0.75</c:v>
                </c:pt>
                <c:pt idx="2808">
                  <c:v>0.11</c:v>
                </c:pt>
                <c:pt idx="2809">
                  <c:v>0.06</c:v>
                </c:pt>
                <c:pt idx="2810">
                  <c:v>0.38</c:v>
                </c:pt>
                <c:pt idx="2811">
                  <c:v>0.65</c:v>
                </c:pt>
                <c:pt idx="2812">
                  <c:v>0.87</c:v>
                </c:pt>
                <c:pt idx="2813">
                  <c:v>0.89</c:v>
                </c:pt>
                <c:pt idx="2814">
                  <c:v>0.19</c:v>
                </c:pt>
                <c:pt idx="2815">
                  <c:v>0.24</c:v>
                </c:pt>
                <c:pt idx="2816">
                  <c:v>0.03</c:v>
                </c:pt>
                <c:pt idx="2817">
                  <c:v>0.18</c:v>
                </c:pt>
                <c:pt idx="2818">
                  <c:v>0.19</c:v>
                </c:pt>
                <c:pt idx="2819">
                  <c:v>0.89</c:v>
                </c:pt>
                <c:pt idx="2820">
                  <c:v>0.12</c:v>
                </c:pt>
                <c:pt idx="2821">
                  <c:v>0.33</c:v>
                </c:pt>
                <c:pt idx="2822">
                  <c:v>0.97</c:v>
                </c:pt>
                <c:pt idx="2823">
                  <c:v>0.85</c:v>
                </c:pt>
                <c:pt idx="2824">
                  <c:v>0.56999999999999995</c:v>
                </c:pt>
                <c:pt idx="2825">
                  <c:v>0.7</c:v>
                </c:pt>
                <c:pt idx="2826">
                  <c:v>0.35</c:v>
                </c:pt>
                <c:pt idx="2827">
                  <c:v>0.2</c:v>
                </c:pt>
                <c:pt idx="2828">
                  <c:v>0.48</c:v>
                </c:pt>
                <c:pt idx="2829">
                  <c:v>0.49</c:v>
                </c:pt>
                <c:pt idx="2830">
                  <c:v>0.06</c:v>
                </c:pt>
                <c:pt idx="2831">
                  <c:v>0.46</c:v>
                </c:pt>
                <c:pt idx="2832">
                  <c:v>0.15</c:v>
                </c:pt>
                <c:pt idx="2833">
                  <c:v>0.93</c:v>
                </c:pt>
                <c:pt idx="2834">
                  <c:v>0.77</c:v>
                </c:pt>
                <c:pt idx="2835">
                  <c:v>0.51</c:v>
                </c:pt>
                <c:pt idx="2836">
                  <c:v>0.62</c:v>
                </c:pt>
                <c:pt idx="2837">
                  <c:v>0.49</c:v>
                </c:pt>
                <c:pt idx="2838">
                  <c:v>0.55000000000000004</c:v>
                </c:pt>
                <c:pt idx="2839">
                  <c:v>0.54</c:v>
                </c:pt>
                <c:pt idx="2840">
                  <c:v>0.59</c:v>
                </c:pt>
                <c:pt idx="2841">
                  <c:v>0.53</c:v>
                </c:pt>
                <c:pt idx="2842">
                  <c:v>0.61</c:v>
                </c:pt>
                <c:pt idx="2843">
                  <c:v>0.42</c:v>
                </c:pt>
                <c:pt idx="2844">
                  <c:v>0.27</c:v>
                </c:pt>
                <c:pt idx="2845">
                  <c:v>0.13</c:v>
                </c:pt>
                <c:pt idx="2846">
                  <c:v>0.69</c:v>
                </c:pt>
                <c:pt idx="2847">
                  <c:v>0.7</c:v>
                </c:pt>
                <c:pt idx="2848">
                  <c:v>0.7</c:v>
                </c:pt>
                <c:pt idx="2849">
                  <c:v>0.69</c:v>
                </c:pt>
                <c:pt idx="2850">
                  <c:v>0.94</c:v>
                </c:pt>
                <c:pt idx="2851">
                  <c:v>0.91</c:v>
                </c:pt>
                <c:pt idx="2852">
                  <c:v>0.88</c:v>
                </c:pt>
                <c:pt idx="2853">
                  <c:v>0.44</c:v>
                </c:pt>
                <c:pt idx="2854">
                  <c:v>0.14000000000000001</c:v>
                </c:pt>
                <c:pt idx="2855">
                  <c:v>0.42</c:v>
                </c:pt>
                <c:pt idx="2856">
                  <c:v>0.37</c:v>
                </c:pt>
                <c:pt idx="2857">
                  <c:v>0.51</c:v>
                </c:pt>
                <c:pt idx="2858">
                  <c:v>0.92</c:v>
                </c:pt>
                <c:pt idx="2859">
                  <c:v>0.59</c:v>
                </c:pt>
                <c:pt idx="2860">
                  <c:v>0.99</c:v>
                </c:pt>
                <c:pt idx="2861">
                  <c:v>0.91</c:v>
                </c:pt>
                <c:pt idx="2862">
                  <c:v>0.95</c:v>
                </c:pt>
                <c:pt idx="2863">
                  <c:v>0.55000000000000004</c:v>
                </c:pt>
                <c:pt idx="2864">
                  <c:v>0.24</c:v>
                </c:pt>
                <c:pt idx="2865">
                  <c:v>0.31</c:v>
                </c:pt>
                <c:pt idx="2866">
                  <c:v>0.93</c:v>
                </c:pt>
                <c:pt idx="2867">
                  <c:v>0.57999999999999996</c:v>
                </c:pt>
                <c:pt idx="2868">
                  <c:v>0.6</c:v>
                </c:pt>
                <c:pt idx="2869">
                  <c:v>0.86</c:v>
                </c:pt>
                <c:pt idx="2870">
                  <c:v>0.62</c:v>
                </c:pt>
                <c:pt idx="2871">
                  <c:v>0.9</c:v>
                </c:pt>
                <c:pt idx="2872">
                  <c:v>0.03</c:v>
                </c:pt>
                <c:pt idx="2873">
                  <c:v>0.63</c:v>
                </c:pt>
                <c:pt idx="2874">
                  <c:v>0.65</c:v>
                </c:pt>
                <c:pt idx="2875">
                  <c:v>0.28999999999999998</c:v>
                </c:pt>
                <c:pt idx="2876">
                  <c:v>0.96</c:v>
                </c:pt>
                <c:pt idx="2877">
                  <c:v>0.9</c:v>
                </c:pt>
                <c:pt idx="2878">
                  <c:v>0.53</c:v>
                </c:pt>
                <c:pt idx="2879">
                  <c:v>0.64</c:v>
                </c:pt>
                <c:pt idx="2880">
                  <c:v>0.54</c:v>
                </c:pt>
                <c:pt idx="2881">
                  <c:v>0.53</c:v>
                </c:pt>
                <c:pt idx="2882">
                  <c:v>0.59</c:v>
                </c:pt>
                <c:pt idx="2883">
                  <c:v>0.62</c:v>
                </c:pt>
                <c:pt idx="2884">
                  <c:v>0.25</c:v>
                </c:pt>
                <c:pt idx="2885">
                  <c:v>0.15</c:v>
                </c:pt>
                <c:pt idx="2886">
                  <c:v>0.33</c:v>
                </c:pt>
                <c:pt idx="2887">
                  <c:v>0.24</c:v>
                </c:pt>
                <c:pt idx="2888">
                  <c:v>0.51</c:v>
                </c:pt>
                <c:pt idx="2889">
                  <c:v>0.37</c:v>
                </c:pt>
                <c:pt idx="2890">
                  <c:v>0.99</c:v>
                </c:pt>
                <c:pt idx="2891">
                  <c:v>0.18</c:v>
                </c:pt>
                <c:pt idx="2892">
                  <c:v>0.28000000000000003</c:v>
                </c:pt>
                <c:pt idx="2893">
                  <c:v>0.79</c:v>
                </c:pt>
                <c:pt idx="2894">
                  <c:v>0.36</c:v>
                </c:pt>
                <c:pt idx="2895">
                  <c:v>0.15</c:v>
                </c:pt>
                <c:pt idx="2896">
                  <c:v>0.35</c:v>
                </c:pt>
                <c:pt idx="2897">
                  <c:v>0.8</c:v>
                </c:pt>
                <c:pt idx="2898">
                  <c:v>0.68</c:v>
                </c:pt>
                <c:pt idx="2899">
                  <c:v>0.48</c:v>
                </c:pt>
                <c:pt idx="2900">
                  <c:v>0.83</c:v>
                </c:pt>
                <c:pt idx="2901">
                  <c:v>0.26</c:v>
                </c:pt>
                <c:pt idx="2902">
                  <c:v>0.59</c:v>
                </c:pt>
                <c:pt idx="2903">
                  <c:v>0.15</c:v>
                </c:pt>
                <c:pt idx="2904">
                  <c:v>0.82</c:v>
                </c:pt>
                <c:pt idx="2905">
                  <c:v>0.32</c:v>
                </c:pt>
                <c:pt idx="2906">
                  <c:v>0.89</c:v>
                </c:pt>
                <c:pt idx="2907">
                  <c:v>0.84</c:v>
                </c:pt>
                <c:pt idx="2908">
                  <c:v>0.35</c:v>
                </c:pt>
                <c:pt idx="2909">
                  <c:v>0.33</c:v>
                </c:pt>
                <c:pt idx="2910">
                  <c:v>0.57999999999999996</c:v>
                </c:pt>
                <c:pt idx="2911">
                  <c:v>0.85</c:v>
                </c:pt>
                <c:pt idx="2912">
                  <c:v>0.24</c:v>
                </c:pt>
                <c:pt idx="2913">
                  <c:v>0.41</c:v>
                </c:pt>
                <c:pt idx="2914">
                  <c:v>0.28000000000000003</c:v>
                </c:pt>
                <c:pt idx="2915">
                  <c:v>0.71</c:v>
                </c:pt>
                <c:pt idx="2916">
                  <c:v>0.41</c:v>
                </c:pt>
                <c:pt idx="2917">
                  <c:v>0.44</c:v>
                </c:pt>
                <c:pt idx="2918">
                  <c:v>0.1</c:v>
                </c:pt>
                <c:pt idx="2919">
                  <c:v>0.03</c:v>
                </c:pt>
                <c:pt idx="2920">
                  <c:v>0.04</c:v>
                </c:pt>
                <c:pt idx="2921">
                  <c:v>0.68</c:v>
                </c:pt>
                <c:pt idx="2922">
                  <c:v>0.82</c:v>
                </c:pt>
                <c:pt idx="2923">
                  <c:v>0.9</c:v>
                </c:pt>
                <c:pt idx="2924">
                  <c:v>0.23</c:v>
                </c:pt>
                <c:pt idx="2925">
                  <c:v>0.21</c:v>
                </c:pt>
                <c:pt idx="2926">
                  <c:v>0.05</c:v>
                </c:pt>
                <c:pt idx="2927">
                  <c:v>0.64</c:v>
                </c:pt>
                <c:pt idx="2928">
                  <c:v>0.18</c:v>
                </c:pt>
                <c:pt idx="2929">
                  <c:v>0.04</c:v>
                </c:pt>
                <c:pt idx="2930">
                  <c:v>0.67</c:v>
                </c:pt>
                <c:pt idx="2931">
                  <c:v>0.61</c:v>
                </c:pt>
                <c:pt idx="2932">
                  <c:v>0.6</c:v>
                </c:pt>
                <c:pt idx="2933">
                  <c:v>0.73</c:v>
                </c:pt>
                <c:pt idx="2934">
                  <c:v>0.23</c:v>
                </c:pt>
                <c:pt idx="2935">
                  <c:v>0.84</c:v>
                </c:pt>
                <c:pt idx="2936">
                  <c:v>0.06</c:v>
                </c:pt>
                <c:pt idx="2937">
                  <c:v>0.94</c:v>
                </c:pt>
                <c:pt idx="2938">
                  <c:v>0.89</c:v>
                </c:pt>
                <c:pt idx="2939">
                  <c:v>0.55000000000000004</c:v>
                </c:pt>
                <c:pt idx="2940">
                  <c:v>0.33</c:v>
                </c:pt>
                <c:pt idx="2941">
                  <c:v>0.7</c:v>
                </c:pt>
                <c:pt idx="2942">
                  <c:v>0.87</c:v>
                </c:pt>
                <c:pt idx="2943">
                  <c:v>0.86</c:v>
                </c:pt>
                <c:pt idx="2944">
                  <c:v>0.65</c:v>
                </c:pt>
                <c:pt idx="2945">
                  <c:v>0.97</c:v>
                </c:pt>
                <c:pt idx="2946">
                  <c:v>0.65</c:v>
                </c:pt>
                <c:pt idx="2947">
                  <c:v>0.76</c:v>
                </c:pt>
                <c:pt idx="2948">
                  <c:v>0.47</c:v>
                </c:pt>
                <c:pt idx="2949">
                  <c:v>0.68</c:v>
                </c:pt>
                <c:pt idx="2950">
                  <c:v>0.12</c:v>
                </c:pt>
                <c:pt idx="2951">
                  <c:v>0.33</c:v>
                </c:pt>
                <c:pt idx="2952">
                  <c:v>0.38</c:v>
                </c:pt>
                <c:pt idx="2953">
                  <c:v>0.64</c:v>
                </c:pt>
                <c:pt idx="2954">
                  <c:v>0.32</c:v>
                </c:pt>
                <c:pt idx="2955">
                  <c:v>0.85</c:v>
                </c:pt>
                <c:pt idx="2956">
                  <c:v>0.54</c:v>
                </c:pt>
                <c:pt idx="2957">
                  <c:v>0.86</c:v>
                </c:pt>
                <c:pt idx="2958">
                  <c:v>0.37</c:v>
                </c:pt>
                <c:pt idx="2959">
                  <c:v>0.77</c:v>
                </c:pt>
                <c:pt idx="2960">
                  <c:v>0.39</c:v>
                </c:pt>
                <c:pt idx="2961">
                  <c:v>0.91</c:v>
                </c:pt>
                <c:pt idx="2962">
                  <c:v>0.87</c:v>
                </c:pt>
                <c:pt idx="2963">
                  <c:v>0.76</c:v>
                </c:pt>
                <c:pt idx="2964">
                  <c:v>0.31</c:v>
                </c:pt>
                <c:pt idx="2965">
                  <c:v>0.13</c:v>
                </c:pt>
                <c:pt idx="2966">
                  <c:v>0.36</c:v>
                </c:pt>
                <c:pt idx="2967">
                  <c:v>0.94</c:v>
                </c:pt>
                <c:pt idx="2968">
                  <c:v>0.31</c:v>
                </c:pt>
                <c:pt idx="2969">
                  <c:v>0.54</c:v>
                </c:pt>
                <c:pt idx="2970">
                  <c:v>0.89</c:v>
                </c:pt>
                <c:pt idx="2971">
                  <c:v>0.45</c:v>
                </c:pt>
                <c:pt idx="2972">
                  <c:v>0.75</c:v>
                </c:pt>
                <c:pt idx="2973">
                  <c:v>0.81</c:v>
                </c:pt>
                <c:pt idx="2974">
                  <c:v>0.89</c:v>
                </c:pt>
                <c:pt idx="2975">
                  <c:v>0.21</c:v>
                </c:pt>
                <c:pt idx="2976">
                  <c:v>0.28000000000000003</c:v>
                </c:pt>
                <c:pt idx="2977">
                  <c:v>0.62</c:v>
                </c:pt>
                <c:pt idx="2978">
                  <c:v>0.19</c:v>
                </c:pt>
                <c:pt idx="2979">
                  <c:v>0.6</c:v>
                </c:pt>
                <c:pt idx="2980">
                  <c:v>0.7</c:v>
                </c:pt>
                <c:pt idx="2981">
                  <c:v>0.11</c:v>
                </c:pt>
                <c:pt idx="2982">
                  <c:v>0.16</c:v>
                </c:pt>
                <c:pt idx="2983">
                  <c:v>0.53</c:v>
                </c:pt>
                <c:pt idx="2984">
                  <c:v>0.56000000000000005</c:v>
                </c:pt>
                <c:pt idx="2985">
                  <c:v>0.38</c:v>
                </c:pt>
                <c:pt idx="2986">
                  <c:v>0.2</c:v>
                </c:pt>
                <c:pt idx="2987">
                  <c:v>0.91</c:v>
                </c:pt>
                <c:pt idx="2988">
                  <c:v>0.5</c:v>
                </c:pt>
                <c:pt idx="2989">
                  <c:v>0.68</c:v>
                </c:pt>
                <c:pt idx="2990">
                  <c:v>0.85</c:v>
                </c:pt>
                <c:pt idx="2991">
                  <c:v>0.85</c:v>
                </c:pt>
                <c:pt idx="2992">
                  <c:v>0.26</c:v>
                </c:pt>
                <c:pt idx="2993">
                  <c:v>0.27</c:v>
                </c:pt>
                <c:pt idx="2994">
                  <c:v>0.91</c:v>
                </c:pt>
                <c:pt idx="2995">
                  <c:v>0.24</c:v>
                </c:pt>
                <c:pt idx="2996">
                  <c:v>0.65</c:v>
                </c:pt>
                <c:pt idx="2997">
                  <c:v>0.64</c:v>
                </c:pt>
                <c:pt idx="2998">
                  <c:v>0.95</c:v>
                </c:pt>
                <c:pt idx="2999">
                  <c:v>0.69</c:v>
                </c:pt>
              </c:numCache>
            </c:numRef>
          </c:xVal>
          <c:yVal>
            <c:numRef>
              <c:f>'AI Impact on Jobs 2030 - Sheet1'!$G$2:$G$3001</c:f>
              <c:numCache>
                <c:formatCode>0.00</c:formatCode>
                <c:ptCount val="3000"/>
                <c:pt idx="0">
                  <c:v>0.85</c:v>
                </c:pt>
                <c:pt idx="1">
                  <c:v>0.05</c:v>
                </c:pt>
                <c:pt idx="2">
                  <c:v>0.81</c:v>
                </c:pt>
                <c:pt idx="3">
                  <c:v>0.6</c:v>
                </c:pt>
                <c:pt idx="4">
                  <c:v>0.64</c:v>
                </c:pt>
                <c:pt idx="5">
                  <c:v>0.1</c:v>
                </c:pt>
                <c:pt idx="6">
                  <c:v>0.41</c:v>
                </c:pt>
                <c:pt idx="7">
                  <c:v>0.17</c:v>
                </c:pt>
                <c:pt idx="8">
                  <c:v>0.48</c:v>
                </c:pt>
                <c:pt idx="9">
                  <c:v>0.8</c:v>
                </c:pt>
                <c:pt idx="10">
                  <c:v>0.41</c:v>
                </c:pt>
                <c:pt idx="11">
                  <c:v>0.4</c:v>
                </c:pt>
                <c:pt idx="12">
                  <c:v>0.5</c:v>
                </c:pt>
                <c:pt idx="13">
                  <c:v>0.63</c:v>
                </c:pt>
                <c:pt idx="14">
                  <c:v>0.21</c:v>
                </c:pt>
                <c:pt idx="15">
                  <c:v>0.57999999999999996</c:v>
                </c:pt>
                <c:pt idx="16">
                  <c:v>0.27</c:v>
                </c:pt>
                <c:pt idx="17">
                  <c:v>0.28000000000000003</c:v>
                </c:pt>
                <c:pt idx="18">
                  <c:v>0.93</c:v>
                </c:pt>
                <c:pt idx="19">
                  <c:v>0.15</c:v>
                </c:pt>
                <c:pt idx="20">
                  <c:v>0.06</c:v>
                </c:pt>
                <c:pt idx="21">
                  <c:v>0.33</c:v>
                </c:pt>
                <c:pt idx="22">
                  <c:v>0.28999999999999998</c:v>
                </c:pt>
                <c:pt idx="23">
                  <c:v>0.54</c:v>
                </c:pt>
                <c:pt idx="24">
                  <c:v>0.17</c:v>
                </c:pt>
                <c:pt idx="25">
                  <c:v>0.56000000000000005</c:v>
                </c:pt>
                <c:pt idx="26">
                  <c:v>0.33</c:v>
                </c:pt>
                <c:pt idx="27">
                  <c:v>0.92</c:v>
                </c:pt>
                <c:pt idx="28">
                  <c:v>0.47</c:v>
                </c:pt>
                <c:pt idx="29">
                  <c:v>0.68</c:v>
                </c:pt>
                <c:pt idx="30">
                  <c:v>0.19</c:v>
                </c:pt>
                <c:pt idx="31">
                  <c:v>0.72</c:v>
                </c:pt>
                <c:pt idx="32">
                  <c:v>0.93</c:v>
                </c:pt>
                <c:pt idx="33">
                  <c:v>0.92</c:v>
                </c:pt>
                <c:pt idx="34">
                  <c:v>0.22</c:v>
                </c:pt>
                <c:pt idx="35">
                  <c:v>0.44</c:v>
                </c:pt>
                <c:pt idx="36">
                  <c:v>0.59</c:v>
                </c:pt>
                <c:pt idx="37">
                  <c:v>0.91</c:v>
                </c:pt>
                <c:pt idx="38">
                  <c:v>0.4</c:v>
                </c:pt>
                <c:pt idx="39">
                  <c:v>0.91</c:v>
                </c:pt>
                <c:pt idx="40">
                  <c:v>0.55000000000000004</c:v>
                </c:pt>
                <c:pt idx="41">
                  <c:v>7.0000000000000007E-2</c:v>
                </c:pt>
                <c:pt idx="42">
                  <c:v>0.15</c:v>
                </c:pt>
                <c:pt idx="43">
                  <c:v>0.83</c:v>
                </c:pt>
                <c:pt idx="44">
                  <c:v>0.93</c:v>
                </c:pt>
                <c:pt idx="45">
                  <c:v>0.46</c:v>
                </c:pt>
                <c:pt idx="46">
                  <c:v>0.85</c:v>
                </c:pt>
                <c:pt idx="47">
                  <c:v>0.11</c:v>
                </c:pt>
                <c:pt idx="48">
                  <c:v>0.65</c:v>
                </c:pt>
                <c:pt idx="49">
                  <c:v>0.76</c:v>
                </c:pt>
                <c:pt idx="50">
                  <c:v>0.9</c:v>
                </c:pt>
                <c:pt idx="51">
                  <c:v>0.14000000000000001</c:v>
                </c:pt>
                <c:pt idx="52">
                  <c:v>0.2</c:v>
                </c:pt>
                <c:pt idx="53">
                  <c:v>0.52</c:v>
                </c:pt>
                <c:pt idx="54">
                  <c:v>0.74</c:v>
                </c:pt>
                <c:pt idx="55">
                  <c:v>0.61</c:v>
                </c:pt>
                <c:pt idx="56">
                  <c:v>0.36</c:v>
                </c:pt>
                <c:pt idx="57">
                  <c:v>0.08</c:v>
                </c:pt>
                <c:pt idx="58">
                  <c:v>0.38</c:v>
                </c:pt>
                <c:pt idx="59">
                  <c:v>0.19</c:v>
                </c:pt>
                <c:pt idx="60">
                  <c:v>0.37</c:v>
                </c:pt>
                <c:pt idx="61">
                  <c:v>0.51</c:v>
                </c:pt>
                <c:pt idx="62">
                  <c:v>0.59</c:v>
                </c:pt>
                <c:pt idx="63">
                  <c:v>0.88</c:v>
                </c:pt>
                <c:pt idx="64">
                  <c:v>0.81</c:v>
                </c:pt>
                <c:pt idx="65">
                  <c:v>0.24</c:v>
                </c:pt>
                <c:pt idx="66">
                  <c:v>0.35</c:v>
                </c:pt>
                <c:pt idx="67">
                  <c:v>0.12</c:v>
                </c:pt>
                <c:pt idx="68">
                  <c:v>0.34</c:v>
                </c:pt>
                <c:pt idx="69">
                  <c:v>0.52</c:v>
                </c:pt>
                <c:pt idx="70">
                  <c:v>0.33</c:v>
                </c:pt>
                <c:pt idx="71">
                  <c:v>0.59</c:v>
                </c:pt>
                <c:pt idx="72">
                  <c:v>0.84</c:v>
                </c:pt>
                <c:pt idx="73">
                  <c:v>0.2</c:v>
                </c:pt>
                <c:pt idx="74">
                  <c:v>0.85</c:v>
                </c:pt>
                <c:pt idx="75">
                  <c:v>0.55000000000000004</c:v>
                </c:pt>
                <c:pt idx="76">
                  <c:v>0.31</c:v>
                </c:pt>
                <c:pt idx="77">
                  <c:v>0.7</c:v>
                </c:pt>
                <c:pt idx="78">
                  <c:v>0.27</c:v>
                </c:pt>
                <c:pt idx="79">
                  <c:v>0.34</c:v>
                </c:pt>
                <c:pt idx="80">
                  <c:v>0.59</c:v>
                </c:pt>
                <c:pt idx="81">
                  <c:v>0.41</c:v>
                </c:pt>
                <c:pt idx="82">
                  <c:v>0.65</c:v>
                </c:pt>
                <c:pt idx="83">
                  <c:v>0.55000000000000004</c:v>
                </c:pt>
                <c:pt idx="84">
                  <c:v>0.87</c:v>
                </c:pt>
                <c:pt idx="85">
                  <c:v>0.24</c:v>
                </c:pt>
                <c:pt idx="86">
                  <c:v>0.87</c:v>
                </c:pt>
                <c:pt idx="87">
                  <c:v>0.95</c:v>
                </c:pt>
                <c:pt idx="88">
                  <c:v>0.61</c:v>
                </c:pt>
                <c:pt idx="89">
                  <c:v>0.1</c:v>
                </c:pt>
                <c:pt idx="90">
                  <c:v>0.57999999999999996</c:v>
                </c:pt>
                <c:pt idx="91">
                  <c:v>0.13</c:v>
                </c:pt>
                <c:pt idx="92">
                  <c:v>0.55000000000000004</c:v>
                </c:pt>
                <c:pt idx="93">
                  <c:v>0.85</c:v>
                </c:pt>
                <c:pt idx="94">
                  <c:v>0.65</c:v>
                </c:pt>
                <c:pt idx="95">
                  <c:v>0.64</c:v>
                </c:pt>
                <c:pt idx="96">
                  <c:v>0.85</c:v>
                </c:pt>
                <c:pt idx="97">
                  <c:v>0.4</c:v>
                </c:pt>
                <c:pt idx="98">
                  <c:v>0.4</c:v>
                </c:pt>
                <c:pt idx="99">
                  <c:v>0.54</c:v>
                </c:pt>
                <c:pt idx="100">
                  <c:v>0.31</c:v>
                </c:pt>
                <c:pt idx="101">
                  <c:v>0.22</c:v>
                </c:pt>
                <c:pt idx="102">
                  <c:v>0.74</c:v>
                </c:pt>
                <c:pt idx="103">
                  <c:v>0.24</c:v>
                </c:pt>
                <c:pt idx="104">
                  <c:v>0.7</c:v>
                </c:pt>
                <c:pt idx="105">
                  <c:v>0.77</c:v>
                </c:pt>
                <c:pt idx="106">
                  <c:v>0.56000000000000005</c:v>
                </c:pt>
                <c:pt idx="107">
                  <c:v>0.84</c:v>
                </c:pt>
                <c:pt idx="108">
                  <c:v>0.09</c:v>
                </c:pt>
                <c:pt idx="109">
                  <c:v>0.64</c:v>
                </c:pt>
                <c:pt idx="110">
                  <c:v>0.56000000000000005</c:v>
                </c:pt>
                <c:pt idx="111">
                  <c:v>0.56999999999999995</c:v>
                </c:pt>
                <c:pt idx="112">
                  <c:v>0.39</c:v>
                </c:pt>
                <c:pt idx="113">
                  <c:v>0.59</c:v>
                </c:pt>
                <c:pt idx="114">
                  <c:v>0.11</c:v>
                </c:pt>
                <c:pt idx="115">
                  <c:v>0.72</c:v>
                </c:pt>
                <c:pt idx="116">
                  <c:v>0.69</c:v>
                </c:pt>
                <c:pt idx="117">
                  <c:v>0.73</c:v>
                </c:pt>
                <c:pt idx="118">
                  <c:v>0.53</c:v>
                </c:pt>
                <c:pt idx="119">
                  <c:v>0.36</c:v>
                </c:pt>
                <c:pt idx="120">
                  <c:v>0.63</c:v>
                </c:pt>
                <c:pt idx="121">
                  <c:v>0.05</c:v>
                </c:pt>
                <c:pt idx="122">
                  <c:v>7.0000000000000007E-2</c:v>
                </c:pt>
                <c:pt idx="123">
                  <c:v>0.62</c:v>
                </c:pt>
                <c:pt idx="124">
                  <c:v>0.56999999999999995</c:v>
                </c:pt>
                <c:pt idx="125">
                  <c:v>0.17</c:v>
                </c:pt>
                <c:pt idx="126">
                  <c:v>0.48</c:v>
                </c:pt>
                <c:pt idx="127">
                  <c:v>0.23</c:v>
                </c:pt>
                <c:pt idx="128">
                  <c:v>0.68</c:v>
                </c:pt>
                <c:pt idx="129">
                  <c:v>0.38</c:v>
                </c:pt>
                <c:pt idx="130">
                  <c:v>0.9</c:v>
                </c:pt>
                <c:pt idx="131">
                  <c:v>0.65</c:v>
                </c:pt>
                <c:pt idx="132">
                  <c:v>0.09</c:v>
                </c:pt>
                <c:pt idx="133">
                  <c:v>0.54</c:v>
                </c:pt>
                <c:pt idx="134">
                  <c:v>0.34</c:v>
                </c:pt>
                <c:pt idx="135">
                  <c:v>0.24</c:v>
                </c:pt>
                <c:pt idx="136">
                  <c:v>0.46</c:v>
                </c:pt>
                <c:pt idx="137">
                  <c:v>0.19</c:v>
                </c:pt>
                <c:pt idx="138">
                  <c:v>0.48</c:v>
                </c:pt>
                <c:pt idx="139">
                  <c:v>0.73</c:v>
                </c:pt>
                <c:pt idx="140">
                  <c:v>0.42</c:v>
                </c:pt>
                <c:pt idx="141">
                  <c:v>0.47</c:v>
                </c:pt>
                <c:pt idx="142">
                  <c:v>0.66</c:v>
                </c:pt>
                <c:pt idx="143">
                  <c:v>0.44</c:v>
                </c:pt>
                <c:pt idx="144">
                  <c:v>0.38</c:v>
                </c:pt>
                <c:pt idx="145">
                  <c:v>0.27</c:v>
                </c:pt>
                <c:pt idx="146">
                  <c:v>0.21</c:v>
                </c:pt>
                <c:pt idx="147">
                  <c:v>0.75</c:v>
                </c:pt>
                <c:pt idx="148">
                  <c:v>0.34</c:v>
                </c:pt>
                <c:pt idx="149">
                  <c:v>0.92</c:v>
                </c:pt>
                <c:pt idx="150">
                  <c:v>0.74</c:v>
                </c:pt>
                <c:pt idx="151">
                  <c:v>0.81</c:v>
                </c:pt>
                <c:pt idx="152">
                  <c:v>0.13</c:v>
                </c:pt>
                <c:pt idx="153">
                  <c:v>0.44</c:v>
                </c:pt>
                <c:pt idx="154">
                  <c:v>0.56999999999999995</c:v>
                </c:pt>
                <c:pt idx="155">
                  <c:v>0.93</c:v>
                </c:pt>
                <c:pt idx="156">
                  <c:v>0.15</c:v>
                </c:pt>
                <c:pt idx="157">
                  <c:v>0.55000000000000004</c:v>
                </c:pt>
                <c:pt idx="158">
                  <c:v>0.33</c:v>
                </c:pt>
                <c:pt idx="159">
                  <c:v>0.16</c:v>
                </c:pt>
                <c:pt idx="160">
                  <c:v>0.31</c:v>
                </c:pt>
                <c:pt idx="161">
                  <c:v>0.08</c:v>
                </c:pt>
                <c:pt idx="162">
                  <c:v>0.93</c:v>
                </c:pt>
                <c:pt idx="163">
                  <c:v>0.26</c:v>
                </c:pt>
                <c:pt idx="164">
                  <c:v>0.71</c:v>
                </c:pt>
                <c:pt idx="165">
                  <c:v>0.68</c:v>
                </c:pt>
                <c:pt idx="166">
                  <c:v>0.19</c:v>
                </c:pt>
                <c:pt idx="167">
                  <c:v>0.37</c:v>
                </c:pt>
                <c:pt idx="168">
                  <c:v>0.39</c:v>
                </c:pt>
                <c:pt idx="169">
                  <c:v>0.53</c:v>
                </c:pt>
                <c:pt idx="170">
                  <c:v>0.28999999999999998</c:v>
                </c:pt>
                <c:pt idx="171">
                  <c:v>0.34</c:v>
                </c:pt>
                <c:pt idx="172">
                  <c:v>0.5</c:v>
                </c:pt>
                <c:pt idx="173">
                  <c:v>0.61</c:v>
                </c:pt>
                <c:pt idx="174">
                  <c:v>0.26</c:v>
                </c:pt>
                <c:pt idx="175">
                  <c:v>0.23</c:v>
                </c:pt>
                <c:pt idx="176">
                  <c:v>0.87</c:v>
                </c:pt>
                <c:pt idx="177">
                  <c:v>0.85</c:v>
                </c:pt>
                <c:pt idx="178">
                  <c:v>0.26</c:v>
                </c:pt>
                <c:pt idx="179">
                  <c:v>0.42</c:v>
                </c:pt>
                <c:pt idx="180">
                  <c:v>0.6</c:v>
                </c:pt>
                <c:pt idx="181">
                  <c:v>0.14000000000000001</c:v>
                </c:pt>
                <c:pt idx="182">
                  <c:v>0.15</c:v>
                </c:pt>
                <c:pt idx="183">
                  <c:v>0.79</c:v>
                </c:pt>
                <c:pt idx="184">
                  <c:v>0.84</c:v>
                </c:pt>
                <c:pt idx="185">
                  <c:v>0.06</c:v>
                </c:pt>
                <c:pt idx="186">
                  <c:v>0.62</c:v>
                </c:pt>
                <c:pt idx="187">
                  <c:v>0.65</c:v>
                </c:pt>
                <c:pt idx="188">
                  <c:v>0.49</c:v>
                </c:pt>
                <c:pt idx="189">
                  <c:v>0.9</c:v>
                </c:pt>
                <c:pt idx="190">
                  <c:v>0.56999999999999995</c:v>
                </c:pt>
                <c:pt idx="191">
                  <c:v>0.66</c:v>
                </c:pt>
                <c:pt idx="192">
                  <c:v>0.8</c:v>
                </c:pt>
                <c:pt idx="193">
                  <c:v>0.56999999999999995</c:v>
                </c:pt>
                <c:pt idx="194">
                  <c:v>0.53</c:v>
                </c:pt>
                <c:pt idx="195">
                  <c:v>0.41</c:v>
                </c:pt>
                <c:pt idx="196">
                  <c:v>0.67</c:v>
                </c:pt>
                <c:pt idx="197">
                  <c:v>0.1</c:v>
                </c:pt>
                <c:pt idx="198">
                  <c:v>0.5</c:v>
                </c:pt>
                <c:pt idx="199">
                  <c:v>0.57999999999999996</c:v>
                </c:pt>
                <c:pt idx="200">
                  <c:v>0.85</c:v>
                </c:pt>
                <c:pt idx="201">
                  <c:v>0.27</c:v>
                </c:pt>
                <c:pt idx="202">
                  <c:v>0.41</c:v>
                </c:pt>
                <c:pt idx="203">
                  <c:v>0.68</c:v>
                </c:pt>
                <c:pt idx="204">
                  <c:v>0.15</c:v>
                </c:pt>
                <c:pt idx="205">
                  <c:v>0.48</c:v>
                </c:pt>
                <c:pt idx="206">
                  <c:v>0.84</c:v>
                </c:pt>
                <c:pt idx="207">
                  <c:v>0.59</c:v>
                </c:pt>
                <c:pt idx="208">
                  <c:v>0.6</c:v>
                </c:pt>
                <c:pt idx="209">
                  <c:v>0.21</c:v>
                </c:pt>
                <c:pt idx="210">
                  <c:v>0.91</c:v>
                </c:pt>
                <c:pt idx="211">
                  <c:v>0.17</c:v>
                </c:pt>
                <c:pt idx="212">
                  <c:v>0.83</c:v>
                </c:pt>
                <c:pt idx="213">
                  <c:v>0.78</c:v>
                </c:pt>
                <c:pt idx="214">
                  <c:v>0.38</c:v>
                </c:pt>
                <c:pt idx="215">
                  <c:v>0.56000000000000005</c:v>
                </c:pt>
                <c:pt idx="216">
                  <c:v>0.52</c:v>
                </c:pt>
                <c:pt idx="217">
                  <c:v>0.36</c:v>
                </c:pt>
                <c:pt idx="218">
                  <c:v>0.16</c:v>
                </c:pt>
                <c:pt idx="219">
                  <c:v>0.55000000000000004</c:v>
                </c:pt>
                <c:pt idx="220">
                  <c:v>0.7</c:v>
                </c:pt>
                <c:pt idx="221">
                  <c:v>0.23</c:v>
                </c:pt>
                <c:pt idx="222">
                  <c:v>0.56999999999999995</c:v>
                </c:pt>
                <c:pt idx="223">
                  <c:v>0.14000000000000001</c:v>
                </c:pt>
                <c:pt idx="224">
                  <c:v>0.48</c:v>
                </c:pt>
                <c:pt idx="225">
                  <c:v>0.89</c:v>
                </c:pt>
                <c:pt idx="226">
                  <c:v>0.42</c:v>
                </c:pt>
                <c:pt idx="227">
                  <c:v>0.68</c:v>
                </c:pt>
                <c:pt idx="228">
                  <c:v>0.36</c:v>
                </c:pt>
                <c:pt idx="229">
                  <c:v>0.37</c:v>
                </c:pt>
                <c:pt idx="230">
                  <c:v>0.85</c:v>
                </c:pt>
                <c:pt idx="231">
                  <c:v>0.85</c:v>
                </c:pt>
                <c:pt idx="232">
                  <c:v>0.49</c:v>
                </c:pt>
                <c:pt idx="233">
                  <c:v>0.81</c:v>
                </c:pt>
                <c:pt idx="234">
                  <c:v>0.69</c:v>
                </c:pt>
                <c:pt idx="235">
                  <c:v>0.79</c:v>
                </c:pt>
                <c:pt idx="236">
                  <c:v>0.61</c:v>
                </c:pt>
                <c:pt idx="237">
                  <c:v>0.76</c:v>
                </c:pt>
                <c:pt idx="238">
                  <c:v>0.92</c:v>
                </c:pt>
                <c:pt idx="239">
                  <c:v>0.89</c:v>
                </c:pt>
                <c:pt idx="240">
                  <c:v>0.24</c:v>
                </c:pt>
                <c:pt idx="241">
                  <c:v>0.51</c:v>
                </c:pt>
                <c:pt idx="242">
                  <c:v>0.7</c:v>
                </c:pt>
                <c:pt idx="243">
                  <c:v>0.55000000000000004</c:v>
                </c:pt>
                <c:pt idx="244">
                  <c:v>0.46</c:v>
                </c:pt>
                <c:pt idx="245">
                  <c:v>0.06</c:v>
                </c:pt>
                <c:pt idx="246">
                  <c:v>0.54</c:v>
                </c:pt>
                <c:pt idx="247">
                  <c:v>0.18</c:v>
                </c:pt>
                <c:pt idx="248">
                  <c:v>0.85</c:v>
                </c:pt>
                <c:pt idx="249">
                  <c:v>0.86</c:v>
                </c:pt>
                <c:pt idx="250">
                  <c:v>0.38</c:v>
                </c:pt>
                <c:pt idx="251">
                  <c:v>0.42</c:v>
                </c:pt>
                <c:pt idx="252">
                  <c:v>0.49</c:v>
                </c:pt>
                <c:pt idx="253">
                  <c:v>0.26</c:v>
                </c:pt>
                <c:pt idx="254">
                  <c:v>0.45</c:v>
                </c:pt>
                <c:pt idx="255">
                  <c:v>0.75</c:v>
                </c:pt>
                <c:pt idx="256">
                  <c:v>0.26</c:v>
                </c:pt>
                <c:pt idx="257">
                  <c:v>0.53</c:v>
                </c:pt>
                <c:pt idx="258">
                  <c:v>0.41</c:v>
                </c:pt>
                <c:pt idx="259">
                  <c:v>0.55000000000000004</c:v>
                </c:pt>
                <c:pt idx="260">
                  <c:v>0.49</c:v>
                </c:pt>
                <c:pt idx="261">
                  <c:v>0.93</c:v>
                </c:pt>
                <c:pt idx="262">
                  <c:v>0.45</c:v>
                </c:pt>
                <c:pt idx="263">
                  <c:v>0.38</c:v>
                </c:pt>
                <c:pt idx="264">
                  <c:v>0.41</c:v>
                </c:pt>
                <c:pt idx="265">
                  <c:v>0.36</c:v>
                </c:pt>
                <c:pt idx="266">
                  <c:v>0.3</c:v>
                </c:pt>
                <c:pt idx="267">
                  <c:v>0.81</c:v>
                </c:pt>
                <c:pt idx="268">
                  <c:v>0.14000000000000001</c:v>
                </c:pt>
                <c:pt idx="269">
                  <c:v>0.53</c:v>
                </c:pt>
                <c:pt idx="270">
                  <c:v>0.12</c:v>
                </c:pt>
                <c:pt idx="271">
                  <c:v>0.11</c:v>
                </c:pt>
                <c:pt idx="272">
                  <c:v>0.64</c:v>
                </c:pt>
                <c:pt idx="273">
                  <c:v>0.13</c:v>
                </c:pt>
                <c:pt idx="274">
                  <c:v>0.39</c:v>
                </c:pt>
                <c:pt idx="275">
                  <c:v>0.12</c:v>
                </c:pt>
                <c:pt idx="276">
                  <c:v>0.32</c:v>
                </c:pt>
                <c:pt idx="277">
                  <c:v>0.68</c:v>
                </c:pt>
                <c:pt idx="278">
                  <c:v>0.59</c:v>
                </c:pt>
                <c:pt idx="279">
                  <c:v>0.38</c:v>
                </c:pt>
                <c:pt idx="280">
                  <c:v>0.62</c:v>
                </c:pt>
                <c:pt idx="281">
                  <c:v>0.41</c:v>
                </c:pt>
                <c:pt idx="282">
                  <c:v>0.45</c:v>
                </c:pt>
                <c:pt idx="283">
                  <c:v>0.43</c:v>
                </c:pt>
                <c:pt idx="284">
                  <c:v>0.46</c:v>
                </c:pt>
                <c:pt idx="285">
                  <c:v>0.15</c:v>
                </c:pt>
                <c:pt idx="286">
                  <c:v>0.63</c:v>
                </c:pt>
                <c:pt idx="287">
                  <c:v>0.53</c:v>
                </c:pt>
                <c:pt idx="288">
                  <c:v>0.34</c:v>
                </c:pt>
                <c:pt idx="289">
                  <c:v>0.34</c:v>
                </c:pt>
                <c:pt idx="290">
                  <c:v>0.43</c:v>
                </c:pt>
                <c:pt idx="291">
                  <c:v>0.71</c:v>
                </c:pt>
                <c:pt idx="292">
                  <c:v>0.37</c:v>
                </c:pt>
                <c:pt idx="293">
                  <c:v>0.85</c:v>
                </c:pt>
                <c:pt idx="294">
                  <c:v>0.56999999999999995</c:v>
                </c:pt>
                <c:pt idx="295">
                  <c:v>0.88</c:v>
                </c:pt>
                <c:pt idx="296">
                  <c:v>0.11</c:v>
                </c:pt>
                <c:pt idx="297">
                  <c:v>0.5</c:v>
                </c:pt>
                <c:pt idx="298">
                  <c:v>0.25</c:v>
                </c:pt>
                <c:pt idx="299">
                  <c:v>0.21</c:v>
                </c:pt>
                <c:pt idx="300">
                  <c:v>0.94</c:v>
                </c:pt>
                <c:pt idx="301">
                  <c:v>0.69</c:v>
                </c:pt>
                <c:pt idx="302">
                  <c:v>0.9</c:v>
                </c:pt>
                <c:pt idx="303">
                  <c:v>0.55000000000000004</c:v>
                </c:pt>
                <c:pt idx="304">
                  <c:v>0.74</c:v>
                </c:pt>
                <c:pt idx="305">
                  <c:v>0.54</c:v>
                </c:pt>
                <c:pt idx="306">
                  <c:v>0.9</c:v>
                </c:pt>
                <c:pt idx="307">
                  <c:v>0.7</c:v>
                </c:pt>
                <c:pt idx="308">
                  <c:v>0.35</c:v>
                </c:pt>
                <c:pt idx="309">
                  <c:v>0.93</c:v>
                </c:pt>
                <c:pt idx="310">
                  <c:v>0.51</c:v>
                </c:pt>
                <c:pt idx="311">
                  <c:v>0.26</c:v>
                </c:pt>
                <c:pt idx="312">
                  <c:v>0.52</c:v>
                </c:pt>
                <c:pt idx="313">
                  <c:v>0.68</c:v>
                </c:pt>
                <c:pt idx="314">
                  <c:v>0.34</c:v>
                </c:pt>
                <c:pt idx="315">
                  <c:v>0.33</c:v>
                </c:pt>
                <c:pt idx="316">
                  <c:v>0.13</c:v>
                </c:pt>
                <c:pt idx="317">
                  <c:v>0.7</c:v>
                </c:pt>
                <c:pt idx="318">
                  <c:v>0.15</c:v>
                </c:pt>
                <c:pt idx="319">
                  <c:v>0.77</c:v>
                </c:pt>
                <c:pt idx="320">
                  <c:v>0.17</c:v>
                </c:pt>
                <c:pt idx="321">
                  <c:v>0.38</c:v>
                </c:pt>
                <c:pt idx="322">
                  <c:v>0.8</c:v>
                </c:pt>
                <c:pt idx="323">
                  <c:v>0.8</c:v>
                </c:pt>
                <c:pt idx="324">
                  <c:v>0.75</c:v>
                </c:pt>
                <c:pt idx="325">
                  <c:v>0.5</c:v>
                </c:pt>
                <c:pt idx="326">
                  <c:v>0.28999999999999998</c:v>
                </c:pt>
                <c:pt idx="327">
                  <c:v>0.26</c:v>
                </c:pt>
                <c:pt idx="328">
                  <c:v>0.49</c:v>
                </c:pt>
                <c:pt idx="329">
                  <c:v>0.42</c:v>
                </c:pt>
                <c:pt idx="330">
                  <c:v>0.2</c:v>
                </c:pt>
                <c:pt idx="331">
                  <c:v>0.8</c:v>
                </c:pt>
                <c:pt idx="332">
                  <c:v>0.2</c:v>
                </c:pt>
                <c:pt idx="333">
                  <c:v>0.52</c:v>
                </c:pt>
                <c:pt idx="334">
                  <c:v>0.22</c:v>
                </c:pt>
                <c:pt idx="335">
                  <c:v>0.54</c:v>
                </c:pt>
                <c:pt idx="336">
                  <c:v>0.73</c:v>
                </c:pt>
                <c:pt idx="337">
                  <c:v>0.11</c:v>
                </c:pt>
                <c:pt idx="338">
                  <c:v>0.82</c:v>
                </c:pt>
                <c:pt idx="339">
                  <c:v>0.35</c:v>
                </c:pt>
                <c:pt idx="340">
                  <c:v>0.94</c:v>
                </c:pt>
                <c:pt idx="341">
                  <c:v>0.43</c:v>
                </c:pt>
                <c:pt idx="342">
                  <c:v>0.63</c:v>
                </c:pt>
                <c:pt idx="343">
                  <c:v>0.48</c:v>
                </c:pt>
                <c:pt idx="344">
                  <c:v>0.06</c:v>
                </c:pt>
                <c:pt idx="345">
                  <c:v>0.93</c:v>
                </c:pt>
                <c:pt idx="346">
                  <c:v>0.73</c:v>
                </c:pt>
                <c:pt idx="347">
                  <c:v>0.65</c:v>
                </c:pt>
                <c:pt idx="348">
                  <c:v>0.93</c:v>
                </c:pt>
                <c:pt idx="349">
                  <c:v>0.75</c:v>
                </c:pt>
                <c:pt idx="350">
                  <c:v>0.39</c:v>
                </c:pt>
                <c:pt idx="351">
                  <c:v>0.9</c:v>
                </c:pt>
                <c:pt idx="352">
                  <c:v>0.17</c:v>
                </c:pt>
                <c:pt idx="353">
                  <c:v>0.62</c:v>
                </c:pt>
                <c:pt idx="354">
                  <c:v>0.36</c:v>
                </c:pt>
                <c:pt idx="355">
                  <c:v>0.9</c:v>
                </c:pt>
                <c:pt idx="356">
                  <c:v>0.83</c:v>
                </c:pt>
                <c:pt idx="357">
                  <c:v>0.4</c:v>
                </c:pt>
                <c:pt idx="358">
                  <c:v>0.6</c:v>
                </c:pt>
                <c:pt idx="359">
                  <c:v>0.5</c:v>
                </c:pt>
                <c:pt idx="360">
                  <c:v>0.71</c:v>
                </c:pt>
                <c:pt idx="361">
                  <c:v>0.64</c:v>
                </c:pt>
                <c:pt idx="362">
                  <c:v>0.4</c:v>
                </c:pt>
                <c:pt idx="363">
                  <c:v>0.65</c:v>
                </c:pt>
                <c:pt idx="364">
                  <c:v>0.54</c:v>
                </c:pt>
                <c:pt idx="365">
                  <c:v>0.67</c:v>
                </c:pt>
                <c:pt idx="366">
                  <c:v>0.8</c:v>
                </c:pt>
                <c:pt idx="367">
                  <c:v>0.68</c:v>
                </c:pt>
                <c:pt idx="368">
                  <c:v>0.08</c:v>
                </c:pt>
                <c:pt idx="369">
                  <c:v>0.23</c:v>
                </c:pt>
                <c:pt idx="370">
                  <c:v>0.68</c:v>
                </c:pt>
                <c:pt idx="371">
                  <c:v>0.15</c:v>
                </c:pt>
                <c:pt idx="372">
                  <c:v>0.18</c:v>
                </c:pt>
                <c:pt idx="373">
                  <c:v>0.57999999999999996</c:v>
                </c:pt>
                <c:pt idx="374">
                  <c:v>0.5</c:v>
                </c:pt>
                <c:pt idx="375">
                  <c:v>0.17</c:v>
                </c:pt>
                <c:pt idx="376">
                  <c:v>0.73</c:v>
                </c:pt>
                <c:pt idx="377">
                  <c:v>0.66</c:v>
                </c:pt>
                <c:pt idx="378">
                  <c:v>0.95</c:v>
                </c:pt>
                <c:pt idx="379">
                  <c:v>0.19</c:v>
                </c:pt>
                <c:pt idx="380">
                  <c:v>0.7</c:v>
                </c:pt>
                <c:pt idx="381">
                  <c:v>0.3</c:v>
                </c:pt>
                <c:pt idx="382">
                  <c:v>0.11</c:v>
                </c:pt>
                <c:pt idx="383">
                  <c:v>0.53</c:v>
                </c:pt>
                <c:pt idx="384">
                  <c:v>0.43</c:v>
                </c:pt>
                <c:pt idx="385">
                  <c:v>0.69</c:v>
                </c:pt>
                <c:pt idx="386">
                  <c:v>0.38</c:v>
                </c:pt>
                <c:pt idx="387">
                  <c:v>0.42</c:v>
                </c:pt>
                <c:pt idx="388">
                  <c:v>0.12</c:v>
                </c:pt>
                <c:pt idx="389">
                  <c:v>0.89</c:v>
                </c:pt>
                <c:pt idx="390">
                  <c:v>0.53</c:v>
                </c:pt>
                <c:pt idx="391">
                  <c:v>0.86</c:v>
                </c:pt>
                <c:pt idx="392">
                  <c:v>0.17</c:v>
                </c:pt>
                <c:pt idx="393">
                  <c:v>0.34</c:v>
                </c:pt>
                <c:pt idx="394">
                  <c:v>0.16</c:v>
                </c:pt>
                <c:pt idx="395">
                  <c:v>0.25</c:v>
                </c:pt>
                <c:pt idx="396">
                  <c:v>0.4</c:v>
                </c:pt>
                <c:pt idx="397">
                  <c:v>0.46</c:v>
                </c:pt>
                <c:pt idx="398">
                  <c:v>0.05</c:v>
                </c:pt>
                <c:pt idx="399">
                  <c:v>0.22</c:v>
                </c:pt>
                <c:pt idx="400">
                  <c:v>0.65</c:v>
                </c:pt>
                <c:pt idx="401">
                  <c:v>0.59</c:v>
                </c:pt>
                <c:pt idx="402">
                  <c:v>0.34</c:v>
                </c:pt>
                <c:pt idx="403">
                  <c:v>0.31</c:v>
                </c:pt>
                <c:pt idx="404">
                  <c:v>0.86</c:v>
                </c:pt>
                <c:pt idx="405">
                  <c:v>0.4</c:v>
                </c:pt>
                <c:pt idx="406">
                  <c:v>0.42</c:v>
                </c:pt>
                <c:pt idx="407">
                  <c:v>0.44</c:v>
                </c:pt>
                <c:pt idx="408">
                  <c:v>0.05</c:v>
                </c:pt>
                <c:pt idx="409">
                  <c:v>0.84</c:v>
                </c:pt>
                <c:pt idx="410">
                  <c:v>0.25</c:v>
                </c:pt>
                <c:pt idx="411">
                  <c:v>0.3</c:v>
                </c:pt>
                <c:pt idx="412">
                  <c:v>0.41</c:v>
                </c:pt>
                <c:pt idx="413">
                  <c:v>0.35</c:v>
                </c:pt>
                <c:pt idx="414">
                  <c:v>0.31</c:v>
                </c:pt>
                <c:pt idx="415">
                  <c:v>0.12</c:v>
                </c:pt>
                <c:pt idx="416">
                  <c:v>0.55000000000000004</c:v>
                </c:pt>
                <c:pt idx="417">
                  <c:v>0.72</c:v>
                </c:pt>
                <c:pt idx="418">
                  <c:v>0.12</c:v>
                </c:pt>
                <c:pt idx="419">
                  <c:v>0.55000000000000004</c:v>
                </c:pt>
                <c:pt idx="420">
                  <c:v>0.45</c:v>
                </c:pt>
                <c:pt idx="421">
                  <c:v>0.47</c:v>
                </c:pt>
                <c:pt idx="422">
                  <c:v>0.79</c:v>
                </c:pt>
                <c:pt idx="423">
                  <c:v>0.66</c:v>
                </c:pt>
                <c:pt idx="424">
                  <c:v>0.39</c:v>
                </c:pt>
                <c:pt idx="425">
                  <c:v>0.4</c:v>
                </c:pt>
                <c:pt idx="426">
                  <c:v>0.43</c:v>
                </c:pt>
                <c:pt idx="427">
                  <c:v>0.28000000000000003</c:v>
                </c:pt>
                <c:pt idx="428">
                  <c:v>0.35</c:v>
                </c:pt>
                <c:pt idx="429">
                  <c:v>0.35</c:v>
                </c:pt>
                <c:pt idx="430">
                  <c:v>0.5</c:v>
                </c:pt>
                <c:pt idx="431">
                  <c:v>0.76</c:v>
                </c:pt>
                <c:pt idx="432">
                  <c:v>0.4</c:v>
                </c:pt>
                <c:pt idx="433">
                  <c:v>0.64</c:v>
                </c:pt>
                <c:pt idx="434">
                  <c:v>0.14000000000000001</c:v>
                </c:pt>
                <c:pt idx="435">
                  <c:v>0.61</c:v>
                </c:pt>
                <c:pt idx="436">
                  <c:v>0.62</c:v>
                </c:pt>
                <c:pt idx="437">
                  <c:v>0.18</c:v>
                </c:pt>
                <c:pt idx="438">
                  <c:v>0.56000000000000005</c:v>
                </c:pt>
                <c:pt idx="439">
                  <c:v>0.08</c:v>
                </c:pt>
                <c:pt idx="440">
                  <c:v>0.67</c:v>
                </c:pt>
                <c:pt idx="441">
                  <c:v>0.27</c:v>
                </c:pt>
                <c:pt idx="442">
                  <c:v>0.32</c:v>
                </c:pt>
                <c:pt idx="443">
                  <c:v>0.8</c:v>
                </c:pt>
                <c:pt idx="444">
                  <c:v>0.78</c:v>
                </c:pt>
                <c:pt idx="445">
                  <c:v>0.65</c:v>
                </c:pt>
                <c:pt idx="446">
                  <c:v>0.25</c:v>
                </c:pt>
                <c:pt idx="447">
                  <c:v>0.57999999999999996</c:v>
                </c:pt>
                <c:pt idx="448">
                  <c:v>0.54</c:v>
                </c:pt>
                <c:pt idx="449">
                  <c:v>0.33</c:v>
                </c:pt>
                <c:pt idx="450">
                  <c:v>0.15</c:v>
                </c:pt>
                <c:pt idx="451">
                  <c:v>0.09</c:v>
                </c:pt>
                <c:pt idx="452">
                  <c:v>0.11</c:v>
                </c:pt>
                <c:pt idx="453">
                  <c:v>0.32</c:v>
                </c:pt>
                <c:pt idx="454">
                  <c:v>0.21</c:v>
                </c:pt>
                <c:pt idx="455">
                  <c:v>0.31</c:v>
                </c:pt>
                <c:pt idx="456">
                  <c:v>0.27</c:v>
                </c:pt>
                <c:pt idx="457">
                  <c:v>0.55000000000000004</c:v>
                </c:pt>
                <c:pt idx="458">
                  <c:v>0.42</c:v>
                </c:pt>
                <c:pt idx="459">
                  <c:v>0.28999999999999998</c:v>
                </c:pt>
                <c:pt idx="460">
                  <c:v>0.55000000000000004</c:v>
                </c:pt>
                <c:pt idx="461">
                  <c:v>0.57999999999999996</c:v>
                </c:pt>
                <c:pt idx="462">
                  <c:v>0.41</c:v>
                </c:pt>
                <c:pt idx="463">
                  <c:v>0.59</c:v>
                </c:pt>
                <c:pt idx="464">
                  <c:v>7.0000000000000007E-2</c:v>
                </c:pt>
                <c:pt idx="465">
                  <c:v>0.36</c:v>
                </c:pt>
                <c:pt idx="466">
                  <c:v>0.75</c:v>
                </c:pt>
                <c:pt idx="467">
                  <c:v>0.28000000000000003</c:v>
                </c:pt>
                <c:pt idx="468">
                  <c:v>0.48</c:v>
                </c:pt>
                <c:pt idx="469">
                  <c:v>0.51</c:v>
                </c:pt>
                <c:pt idx="470">
                  <c:v>0.83</c:v>
                </c:pt>
                <c:pt idx="471">
                  <c:v>0.22</c:v>
                </c:pt>
                <c:pt idx="472">
                  <c:v>0.66</c:v>
                </c:pt>
                <c:pt idx="473">
                  <c:v>0.53</c:v>
                </c:pt>
                <c:pt idx="474">
                  <c:v>0.35</c:v>
                </c:pt>
                <c:pt idx="475">
                  <c:v>0.19</c:v>
                </c:pt>
                <c:pt idx="476">
                  <c:v>0.45</c:v>
                </c:pt>
                <c:pt idx="477">
                  <c:v>0.72</c:v>
                </c:pt>
                <c:pt idx="478">
                  <c:v>0.48</c:v>
                </c:pt>
                <c:pt idx="479">
                  <c:v>0.82</c:v>
                </c:pt>
                <c:pt idx="480">
                  <c:v>0.17</c:v>
                </c:pt>
                <c:pt idx="481">
                  <c:v>0.32</c:v>
                </c:pt>
                <c:pt idx="482">
                  <c:v>0.9</c:v>
                </c:pt>
                <c:pt idx="483">
                  <c:v>0.73</c:v>
                </c:pt>
                <c:pt idx="484">
                  <c:v>0.08</c:v>
                </c:pt>
                <c:pt idx="485">
                  <c:v>0.42</c:v>
                </c:pt>
                <c:pt idx="486">
                  <c:v>0.83</c:v>
                </c:pt>
                <c:pt idx="487">
                  <c:v>0.93</c:v>
                </c:pt>
                <c:pt idx="488">
                  <c:v>0.55000000000000004</c:v>
                </c:pt>
                <c:pt idx="489">
                  <c:v>0.38</c:v>
                </c:pt>
                <c:pt idx="490">
                  <c:v>0.39</c:v>
                </c:pt>
                <c:pt idx="491">
                  <c:v>0.79</c:v>
                </c:pt>
                <c:pt idx="492">
                  <c:v>0.59</c:v>
                </c:pt>
                <c:pt idx="493">
                  <c:v>0.05</c:v>
                </c:pt>
                <c:pt idx="494">
                  <c:v>0.15</c:v>
                </c:pt>
                <c:pt idx="495">
                  <c:v>7.0000000000000007E-2</c:v>
                </c:pt>
                <c:pt idx="496">
                  <c:v>0.49</c:v>
                </c:pt>
                <c:pt idx="497">
                  <c:v>0.63</c:v>
                </c:pt>
                <c:pt idx="498">
                  <c:v>0.2</c:v>
                </c:pt>
                <c:pt idx="499">
                  <c:v>0.59</c:v>
                </c:pt>
                <c:pt idx="500">
                  <c:v>0.5</c:v>
                </c:pt>
                <c:pt idx="501">
                  <c:v>0.27</c:v>
                </c:pt>
                <c:pt idx="502">
                  <c:v>0.51</c:v>
                </c:pt>
                <c:pt idx="503">
                  <c:v>0.21</c:v>
                </c:pt>
                <c:pt idx="504">
                  <c:v>0.76</c:v>
                </c:pt>
                <c:pt idx="505">
                  <c:v>0.15</c:v>
                </c:pt>
                <c:pt idx="506">
                  <c:v>7.0000000000000007E-2</c:v>
                </c:pt>
                <c:pt idx="507">
                  <c:v>0.56000000000000005</c:v>
                </c:pt>
                <c:pt idx="508">
                  <c:v>0.26</c:v>
                </c:pt>
                <c:pt idx="509">
                  <c:v>0.11</c:v>
                </c:pt>
                <c:pt idx="510">
                  <c:v>0.24</c:v>
                </c:pt>
                <c:pt idx="511">
                  <c:v>0.24</c:v>
                </c:pt>
                <c:pt idx="512">
                  <c:v>0.37</c:v>
                </c:pt>
                <c:pt idx="513">
                  <c:v>0.94</c:v>
                </c:pt>
                <c:pt idx="514">
                  <c:v>0.47</c:v>
                </c:pt>
                <c:pt idx="515">
                  <c:v>0.66</c:v>
                </c:pt>
                <c:pt idx="516">
                  <c:v>0.16</c:v>
                </c:pt>
                <c:pt idx="517">
                  <c:v>0.08</c:v>
                </c:pt>
                <c:pt idx="518">
                  <c:v>0.27</c:v>
                </c:pt>
                <c:pt idx="519">
                  <c:v>0.74</c:v>
                </c:pt>
                <c:pt idx="520">
                  <c:v>0.75</c:v>
                </c:pt>
                <c:pt idx="521">
                  <c:v>0.75</c:v>
                </c:pt>
                <c:pt idx="522">
                  <c:v>0.05</c:v>
                </c:pt>
                <c:pt idx="523">
                  <c:v>0.36</c:v>
                </c:pt>
                <c:pt idx="524">
                  <c:v>0.22</c:v>
                </c:pt>
                <c:pt idx="525">
                  <c:v>0.52</c:v>
                </c:pt>
                <c:pt idx="526">
                  <c:v>0.43</c:v>
                </c:pt>
                <c:pt idx="527">
                  <c:v>0.75</c:v>
                </c:pt>
                <c:pt idx="528">
                  <c:v>0.38</c:v>
                </c:pt>
                <c:pt idx="529">
                  <c:v>0.51</c:v>
                </c:pt>
                <c:pt idx="530">
                  <c:v>0.45</c:v>
                </c:pt>
                <c:pt idx="531">
                  <c:v>0.81</c:v>
                </c:pt>
                <c:pt idx="532">
                  <c:v>0.12</c:v>
                </c:pt>
                <c:pt idx="533">
                  <c:v>0.92</c:v>
                </c:pt>
                <c:pt idx="534">
                  <c:v>0.56000000000000005</c:v>
                </c:pt>
                <c:pt idx="535">
                  <c:v>0.31</c:v>
                </c:pt>
                <c:pt idx="536">
                  <c:v>0.34</c:v>
                </c:pt>
                <c:pt idx="537">
                  <c:v>0.77</c:v>
                </c:pt>
                <c:pt idx="538">
                  <c:v>0.5</c:v>
                </c:pt>
                <c:pt idx="539">
                  <c:v>0.06</c:v>
                </c:pt>
                <c:pt idx="540">
                  <c:v>0.26</c:v>
                </c:pt>
                <c:pt idx="541">
                  <c:v>0.64</c:v>
                </c:pt>
                <c:pt idx="542">
                  <c:v>0.56999999999999995</c:v>
                </c:pt>
                <c:pt idx="543">
                  <c:v>0.43</c:v>
                </c:pt>
                <c:pt idx="544">
                  <c:v>0.89</c:v>
                </c:pt>
                <c:pt idx="545">
                  <c:v>0.89</c:v>
                </c:pt>
                <c:pt idx="546">
                  <c:v>0.72</c:v>
                </c:pt>
                <c:pt idx="547">
                  <c:v>0.32</c:v>
                </c:pt>
                <c:pt idx="548">
                  <c:v>0.56000000000000005</c:v>
                </c:pt>
                <c:pt idx="549">
                  <c:v>0.45</c:v>
                </c:pt>
                <c:pt idx="550">
                  <c:v>0.89</c:v>
                </c:pt>
                <c:pt idx="551">
                  <c:v>7.0000000000000007E-2</c:v>
                </c:pt>
                <c:pt idx="552">
                  <c:v>0.06</c:v>
                </c:pt>
                <c:pt idx="553">
                  <c:v>0.53</c:v>
                </c:pt>
                <c:pt idx="554">
                  <c:v>0.43</c:v>
                </c:pt>
                <c:pt idx="555">
                  <c:v>0.86</c:v>
                </c:pt>
                <c:pt idx="556">
                  <c:v>0.63</c:v>
                </c:pt>
                <c:pt idx="557">
                  <c:v>0.27</c:v>
                </c:pt>
                <c:pt idx="558">
                  <c:v>0.42</c:v>
                </c:pt>
                <c:pt idx="559">
                  <c:v>0.65</c:v>
                </c:pt>
                <c:pt idx="560">
                  <c:v>0.49</c:v>
                </c:pt>
                <c:pt idx="561">
                  <c:v>0.6</c:v>
                </c:pt>
                <c:pt idx="562">
                  <c:v>0.48</c:v>
                </c:pt>
                <c:pt idx="563">
                  <c:v>0.23</c:v>
                </c:pt>
                <c:pt idx="564">
                  <c:v>0.28000000000000003</c:v>
                </c:pt>
                <c:pt idx="565">
                  <c:v>0.11</c:v>
                </c:pt>
                <c:pt idx="566">
                  <c:v>0.05</c:v>
                </c:pt>
                <c:pt idx="567">
                  <c:v>0.64</c:v>
                </c:pt>
                <c:pt idx="568">
                  <c:v>0.42</c:v>
                </c:pt>
                <c:pt idx="569">
                  <c:v>0.15</c:v>
                </c:pt>
                <c:pt idx="570">
                  <c:v>0.63</c:v>
                </c:pt>
                <c:pt idx="571">
                  <c:v>0.92</c:v>
                </c:pt>
                <c:pt idx="572">
                  <c:v>0.1</c:v>
                </c:pt>
                <c:pt idx="573">
                  <c:v>0.73</c:v>
                </c:pt>
                <c:pt idx="574">
                  <c:v>0.48</c:v>
                </c:pt>
                <c:pt idx="575">
                  <c:v>0.35</c:v>
                </c:pt>
                <c:pt idx="576">
                  <c:v>0.31</c:v>
                </c:pt>
                <c:pt idx="577">
                  <c:v>0.77</c:v>
                </c:pt>
                <c:pt idx="578">
                  <c:v>0.47</c:v>
                </c:pt>
                <c:pt idx="579">
                  <c:v>0.23</c:v>
                </c:pt>
                <c:pt idx="580">
                  <c:v>0.3</c:v>
                </c:pt>
                <c:pt idx="581">
                  <c:v>0.39</c:v>
                </c:pt>
                <c:pt idx="582">
                  <c:v>0.53</c:v>
                </c:pt>
                <c:pt idx="583">
                  <c:v>0.24</c:v>
                </c:pt>
                <c:pt idx="584">
                  <c:v>0.84</c:v>
                </c:pt>
                <c:pt idx="585">
                  <c:v>0.74</c:v>
                </c:pt>
                <c:pt idx="586">
                  <c:v>0.21</c:v>
                </c:pt>
                <c:pt idx="587">
                  <c:v>0.79</c:v>
                </c:pt>
                <c:pt idx="588">
                  <c:v>0.69</c:v>
                </c:pt>
                <c:pt idx="589">
                  <c:v>0.64</c:v>
                </c:pt>
                <c:pt idx="590">
                  <c:v>0.5</c:v>
                </c:pt>
                <c:pt idx="591">
                  <c:v>0.81</c:v>
                </c:pt>
                <c:pt idx="592">
                  <c:v>0.17</c:v>
                </c:pt>
                <c:pt idx="593">
                  <c:v>0.32</c:v>
                </c:pt>
                <c:pt idx="594">
                  <c:v>0.56000000000000005</c:v>
                </c:pt>
                <c:pt idx="595">
                  <c:v>0.79</c:v>
                </c:pt>
                <c:pt idx="596">
                  <c:v>0.74</c:v>
                </c:pt>
                <c:pt idx="597">
                  <c:v>7.0000000000000007E-2</c:v>
                </c:pt>
                <c:pt idx="598">
                  <c:v>0.86</c:v>
                </c:pt>
                <c:pt idx="599">
                  <c:v>0.38</c:v>
                </c:pt>
                <c:pt idx="600">
                  <c:v>0.12</c:v>
                </c:pt>
                <c:pt idx="601">
                  <c:v>0.7</c:v>
                </c:pt>
                <c:pt idx="602">
                  <c:v>0.56000000000000005</c:v>
                </c:pt>
                <c:pt idx="603">
                  <c:v>0.49</c:v>
                </c:pt>
                <c:pt idx="604">
                  <c:v>0.3</c:v>
                </c:pt>
                <c:pt idx="605">
                  <c:v>0.16</c:v>
                </c:pt>
                <c:pt idx="606">
                  <c:v>0.84</c:v>
                </c:pt>
                <c:pt idx="607">
                  <c:v>0.8</c:v>
                </c:pt>
                <c:pt idx="608">
                  <c:v>0.56000000000000005</c:v>
                </c:pt>
                <c:pt idx="609">
                  <c:v>0.56999999999999995</c:v>
                </c:pt>
                <c:pt idx="610">
                  <c:v>0.26</c:v>
                </c:pt>
                <c:pt idx="611">
                  <c:v>0.48</c:v>
                </c:pt>
                <c:pt idx="612">
                  <c:v>0.31</c:v>
                </c:pt>
                <c:pt idx="613">
                  <c:v>0.31</c:v>
                </c:pt>
                <c:pt idx="614">
                  <c:v>0.48</c:v>
                </c:pt>
                <c:pt idx="615">
                  <c:v>0.16</c:v>
                </c:pt>
                <c:pt idx="616">
                  <c:v>0.32</c:v>
                </c:pt>
                <c:pt idx="617">
                  <c:v>0.39</c:v>
                </c:pt>
                <c:pt idx="618">
                  <c:v>0.43</c:v>
                </c:pt>
                <c:pt idx="619">
                  <c:v>0.18</c:v>
                </c:pt>
                <c:pt idx="620">
                  <c:v>0.74</c:v>
                </c:pt>
                <c:pt idx="621">
                  <c:v>0.83</c:v>
                </c:pt>
                <c:pt idx="622">
                  <c:v>0.1</c:v>
                </c:pt>
                <c:pt idx="623">
                  <c:v>0.52</c:v>
                </c:pt>
                <c:pt idx="624">
                  <c:v>0.82</c:v>
                </c:pt>
                <c:pt idx="625">
                  <c:v>0.61</c:v>
                </c:pt>
                <c:pt idx="626">
                  <c:v>0.86</c:v>
                </c:pt>
                <c:pt idx="627">
                  <c:v>0.46</c:v>
                </c:pt>
                <c:pt idx="628">
                  <c:v>0.4</c:v>
                </c:pt>
                <c:pt idx="629">
                  <c:v>0.1</c:v>
                </c:pt>
                <c:pt idx="630">
                  <c:v>0.67</c:v>
                </c:pt>
                <c:pt idx="631">
                  <c:v>0.62</c:v>
                </c:pt>
                <c:pt idx="632">
                  <c:v>0.51</c:v>
                </c:pt>
                <c:pt idx="633">
                  <c:v>0.62</c:v>
                </c:pt>
                <c:pt idx="634">
                  <c:v>0.2</c:v>
                </c:pt>
                <c:pt idx="635">
                  <c:v>0.69</c:v>
                </c:pt>
                <c:pt idx="636">
                  <c:v>0.65</c:v>
                </c:pt>
                <c:pt idx="637">
                  <c:v>0.16</c:v>
                </c:pt>
                <c:pt idx="638">
                  <c:v>0.81</c:v>
                </c:pt>
                <c:pt idx="639">
                  <c:v>0.62</c:v>
                </c:pt>
                <c:pt idx="640">
                  <c:v>0.93</c:v>
                </c:pt>
                <c:pt idx="641">
                  <c:v>0.92</c:v>
                </c:pt>
                <c:pt idx="642">
                  <c:v>0.86</c:v>
                </c:pt>
                <c:pt idx="643">
                  <c:v>0.64</c:v>
                </c:pt>
                <c:pt idx="644">
                  <c:v>0.12</c:v>
                </c:pt>
                <c:pt idx="645">
                  <c:v>0.82</c:v>
                </c:pt>
                <c:pt idx="646">
                  <c:v>0.27</c:v>
                </c:pt>
                <c:pt idx="647">
                  <c:v>0.88</c:v>
                </c:pt>
                <c:pt idx="648">
                  <c:v>0.66</c:v>
                </c:pt>
                <c:pt idx="649">
                  <c:v>0.43</c:v>
                </c:pt>
                <c:pt idx="650">
                  <c:v>0.17</c:v>
                </c:pt>
                <c:pt idx="651">
                  <c:v>0.63</c:v>
                </c:pt>
                <c:pt idx="652">
                  <c:v>0.7</c:v>
                </c:pt>
                <c:pt idx="653">
                  <c:v>0.62</c:v>
                </c:pt>
                <c:pt idx="654">
                  <c:v>0.56999999999999995</c:v>
                </c:pt>
                <c:pt idx="655">
                  <c:v>0.54</c:v>
                </c:pt>
                <c:pt idx="656">
                  <c:v>0.45</c:v>
                </c:pt>
                <c:pt idx="657">
                  <c:v>0.63</c:v>
                </c:pt>
                <c:pt idx="658">
                  <c:v>0.09</c:v>
                </c:pt>
                <c:pt idx="659">
                  <c:v>0.41</c:v>
                </c:pt>
                <c:pt idx="660">
                  <c:v>0.82</c:v>
                </c:pt>
                <c:pt idx="661">
                  <c:v>0.89</c:v>
                </c:pt>
                <c:pt idx="662">
                  <c:v>0.4</c:v>
                </c:pt>
                <c:pt idx="663">
                  <c:v>0.36</c:v>
                </c:pt>
                <c:pt idx="664">
                  <c:v>0.21</c:v>
                </c:pt>
                <c:pt idx="665">
                  <c:v>0.47</c:v>
                </c:pt>
                <c:pt idx="666">
                  <c:v>0.57999999999999996</c:v>
                </c:pt>
                <c:pt idx="667">
                  <c:v>0.68</c:v>
                </c:pt>
                <c:pt idx="668">
                  <c:v>0.37</c:v>
                </c:pt>
                <c:pt idx="669">
                  <c:v>0.51</c:v>
                </c:pt>
                <c:pt idx="670">
                  <c:v>0.57999999999999996</c:v>
                </c:pt>
                <c:pt idx="671">
                  <c:v>0.94</c:v>
                </c:pt>
                <c:pt idx="672">
                  <c:v>0.22</c:v>
                </c:pt>
                <c:pt idx="673">
                  <c:v>0.67</c:v>
                </c:pt>
                <c:pt idx="674">
                  <c:v>0.34</c:v>
                </c:pt>
                <c:pt idx="675">
                  <c:v>0.19</c:v>
                </c:pt>
                <c:pt idx="676">
                  <c:v>0.82</c:v>
                </c:pt>
                <c:pt idx="677">
                  <c:v>0.33</c:v>
                </c:pt>
                <c:pt idx="678">
                  <c:v>0.43</c:v>
                </c:pt>
                <c:pt idx="679">
                  <c:v>0.57999999999999996</c:v>
                </c:pt>
                <c:pt idx="680">
                  <c:v>0.72</c:v>
                </c:pt>
                <c:pt idx="681">
                  <c:v>0.5</c:v>
                </c:pt>
                <c:pt idx="682">
                  <c:v>0.51</c:v>
                </c:pt>
                <c:pt idx="683">
                  <c:v>0.26</c:v>
                </c:pt>
                <c:pt idx="684">
                  <c:v>0.7</c:v>
                </c:pt>
                <c:pt idx="685">
                  <c:v>0.34</c:v>
                </c:pt>
                <c:pt idx="686">
                  <c:v>0.93</c:v>
                </c:pt>
                <c:pt idx="687">
                  <c:v>0.22</c:v>
                </c:pt>
                <c:pt idx="688">
                  <c:v>0.48</c:v>
                </c:pt>
                <c:pt idx="689">
                  <c:v>0.62</c:v>
                </c:pt>
                <c:pt idx="690">
                  <c:v>0.76</c:v>
                </c:pt>
                <c:pt idx="691">
                  <c:v>0.38</c:v>
                </c:pt>
                <c:pt idx="692">
                  <c:v>0.71</c:v>
                </c:pt>
                <c:pt idx="693">
                  <c:v>0.77</c:v>
                </c:pt>
                <c:pt idx="694">
                  <c:v>0.82</c:v>
                </c:pt>
                <c:pt idx="695">
                  <c:v>0.32</c:v>
                </c:pt>
                <c:pt idx="696">
                  <c:v>0.43</c:v>
                </c:pt>
                <c:pt idx="697">
                  <c:v>0.31</c:v>
                </c:pt>
                <c:pt idx="698">
                  <c:v>0.92</c:v>
                </c:pt>
                <c:pt idx="699">
                  <c:v>0.64</c:v>
                </c:pt>
                <c:pt idx="700">
                  <c:v>0.92</c:v>
                </c:pt>
                <c:pt idx="701">
                  <c:v>0.66</c:v>
                </c:pt>
                <c:pt idx="702">
                  <c:v>0.45</c:v>
                </c:pt>
                <c:pt idx="703">
                  <c:v>0.59</c:v>
                </c:pt>
                <c:pt idx="704">
                  <c:v>0.43</c:v>
                </c:pt>
                <c:pt idx="705">
                  <c:v>0.51</c:v>
                </c:pt>
                <c:pt idx="706">
                  <c:v>0.92</c:v>
                </c:pt>
                <c:pt idx="707">
                  <c:v>0.8</c:v>
                </c:pt>
                <c:pt idx="708">
                  <c:v>0.59</c:v>
                </c:pt>
                <c:pt idx="709">
                  <c:v>0.14000000000000001</c:v>
                </c:pt>
                <c:pt idx="710">
                  <c:v>0.91</c:v>
                </c:pt>
                <c:pt idx="711">
                  <c:v>0.06</c:v>
                </c:pt>
                <c:pt idx="712">
                  <c:v>0.54</c:v>
                </c:pt>
                <c:pt idx="713">
                  <c:v>0.13</c:v>
                </c:pt>
                <c:pt idx="714">
                  <c:v>0.27</c:v>
                </c:pt>
                <c:pt idx="715">
                  <c:v>0.48</c:v>
                </c:pt>
                <c:pt idx="716">
                  <c:v>0.69</c:v>
                </c:pt>
                <c:pt idx="717">
                  <c:v>0.64</c:v>
                </c:pt>
                <c:pt idx="718">
                  <c:v>0.56999999999999995</c:v>
                </c:pt>
                <c:pt idx="719">
                  <c:v>0.56999999999999995</c:v>
                </c:pt>
                <c:pt idx="720">
                  <c:v>0.21</c:v>
                </c:pt>
                <c:pt idx="721">
                  <c:v>0.17</c:v>
                </c:pt>
                <c:pt idx="722">
                  <c:v>0.51</c:v>
                </c:pt>
                <c:pt idx="723">
                  <c:v>0.49</c:v>
                </c:pt>
                <c:pt idx="724">
                  <c:v>0.51</c:v>
                </c:pt>
                <c:pt idx="725">
                  <c:v>0.23</c:v>
                </c:pt>
                <c:pt idx="726">
                  <c:v>0.77</c:v>
                </c:pt>
                <c:pt idx="727">
                  <c:v>0.48</c:v>
                </c:pt>
                <c:pt idx="728">
                  <c:v>0.3</c:v>
                </c:pt>
                <c:pt idx="729">
                  <c:v>0.56999999999999995</c:v>
                </c:pt>
                <c:pt idx="730">
                  <c:v>0.86</c:v>
                </c:pt>
                <c:pt idx="731">
                  <c:v>0.18</c:v>
                </c:pt>
                <c:pt idx="732">
                  <c:v>0.59</c:v>
                </c:pt>
                <c:pt idx="733">
                  <c:v>0.9</c:v>
                </c:pt>
                <c:pt idx="734">
                  <c:v>0.13</c:v>
                </c:pt>
                <c:pt idx="735">
                  <c:v>0.67</c:v>
                </c:pt>
                <c:pt idx="736">
                  <c:v>0.92</c:v>
                </c:pt>
                <c:pt idx="737">
                  <c:v>0.21</c:v>
                </c:pt>
                <c:pt idx="738">
                  <c:v>0.4</c:v>
                </c:pt>
                <c:pt idx="739">
                  <c:v>0.56000000000000005</c:v>
                </c:pt>
                <c:pt idx="740">
                  <c:v>0.36</c:v>
                </c:pt>
                <c:pt idx="741">
                  <c:v>0.3</c:v>
                </c:pt>
                <c:pt idx="742">
                  <c:v>0.11</c:v>
                </c:pt>
                <c:pt idx="743">
                  <c:v>0.47</c:v>
                </c:pt>
                <c:pt idx="744">
                  <c:v>0.1</c:v>
                </c:pt>
                <c:pt idx="745">
                  <c:v>0.63</c:v>
                </c:pt>
                <c:pt idx="746">
                  <c:v>0.33</c:v>
                </c:pt>
                <c:pt idx="747">
                  <c:v>0.43</c:v>
                </c:pt>
                <c:pt idx="748">
                  <c:v>0.06</c:v>
                </c:pt>
                <c:pt idx="749">
                  <c:v>0.42</c:v>
                </c:pt>
                <c:pt idx="750">
                  <c:v>0.06</c:v>
                </c:pt>
                <c:pt idx="751">
                  <c:v>0.48</c:v>
                </c:pt>
                <c:pt idx="752">
                  <c:v>0.09</c:v>
                </c:pt>
                <c:pt idx="753">
                  <c:v>0.19</c:v>
                </c:pt>
                <c:pt idx="754">
                  <c:v>0.8</c:v>
                </c:pt>
                <c:pt idx="755">
                  <c:v>0.75</c:v>
                </c:pt>
                <c:pt idx="756">
                  <c:v>0.49</c:v>
                </c:pt>
                <c:pt idx="757">
                  <c:v>0.16</c:v>
                </c:pt>
                <c:pt idx="758">
                  <c:v>0.28000000000000003</c:v>
                </c:pt>
                <c:pt idx="759">
                  <c:v>0.16</c:v>
                </c:pt>
                <c:pt idx="760">
                  <c:v>0.88</c:v>
                </c:pt>
                <c:pt idx="761">
                  <c:v>0.68</c:v>
                </c:pt>
                <c:pt idx="762">
                  <c:v>0.79</c:v>
                </c:pt>
                <c:pt idx="763">
                  <c:v>0.37</c:v>
                </c:pt>
                <c:pt idx="764">
                  <c:v>0.09</c:v>
                </c:pt>
                <c:pt idx="765">
                  <c:v>0.82</c:v>
                </c:pt>
                <c:pt idx="766">
                  <c:v>0.28000000000000003</c:v>
                </c:pt>
                <c:pt idx="767">
                  <c:v>0.46</c:v>
                </c:pt>
                <c:pt idx="768">
                  <c:v>0.56000000000000005</c:v>
                </c:pt>
                <c:pt idx="769">
                  <c:v>0.22</c:v>
                </c:pt>
                <c:pt idx="770">
                  <c:v>0.86</c:v>
                </c:pt>
                <c:pt idx="771">
                  <c:v>0.34</c:v>
                </c:pt>
                <c:pt idx="772">
                  <c:v>0.75</c:v>
                </c:pt>
                <c:pt idx="773">
                  <c:v>0.16</c:v>
                </c:pt>
                <c:pt idx="774">
                  <c:v>0.51</c:v>
                </c:pt>
                <c:pt idx="775">
                  <c:v>0.36</c:v>
                </c:pt>
                <c:pt idx="776">
                  <c:v>0.3</c:v>
                </c:pt>
                <c:pt idx="777">
                  <c:v>0.38</c:v>
                </c:pt>
                <c:pt idx="778">
                  <c:v>0.61</c:v>
                </c:pt>
                <c:pt idx="779">
                  <c:v>0.37</c:v>
                </c:pt>
                <c:pt idx="780">
                  <c:v>0.84</c:v>
                </c:pt>
                <c:pt idx="781">
                  <c:v>0.49</c:v>
                </c:pt>
                <c:pt idx="782">
                  <c:v>0.27</c:v>
                </c:pt>
                <c:pt idx="783">
                  <c:v>0.71</c:v>
                </c:pt>
                <c:pt idx="784">
                  <c:v>0.28999999999999998</c:v>
                </c:pt>
                <c:pt idx="785">
                  <c:v>0.09</c:v>
                </c:pt>
                <c:pt idx="786">
                  <c:v>0.9</c:v>
                </c:pt>
                <c:pt idx="787">
                  <c:v>0.77</c:v>
                </c:pt>
                <c:pt idx="788">
                  <c:v>0.62</c:v>
                </c:pt>
                <c:pt idx="789">
                  <c:v>0.34</c:v>
                </c:pt>
                <c:pt idx="790">
                  <c:v>0.16</c:v>
                </c:pt>
                <c:pt idx="791">
                  <c:v>0.56999999999999995</c:v>
                </c:pt>
                <c:pt idx="792">
                  <c:v>0.44</c:v>
                </c:pt>
                <c:pt idx="793">
                  <c:v>0.78</c:v>
                </c:pt>
                <c:pt idx="794">
                  <c:v>0.79</c:v>
                </c:pt>
                <c:pt idx="795">
                  <c:v>0.6</c:v>
                </c:pt>
                <c:pt idx="796">
                  <c:v>0.3</c:v>
                </c:pt>
                <c:pt idx="797">
                  <c:v>0.47</c:v>
                </c:pt>
                <c:pt idx="798">
                  <c:v>0.56000000000000005</c:v>
                </c:pt>
                <c:pt idx="799">
                  <c:v>0.13</c:v>
                </c:pt>
                <c:pt idx="800">
                  <c:v>0.41</c:v>
                </c:pt>
                <c:pt idx="801">
                  <c:v>0.36</c:v>
                </c:pt>
                <c:pt idx="802">
                  <c:v>0.48</c:v>
                </c:pt>
                <c:pt idx="803">
                  <c:v>0.52</c:v>
                </c:pt>
                <c:pt idx="804">
                  <c:v>0.85</c:v>
                </c:pt>
                <c:pt idx="805">
                  <c:v>0.63</c:v>
                </c:pt>
                <c:pt idx="806">
                  <c:v>0.45</c:v>
                </c:pt>
                <c:pt idx="807">
                  <c:v>0.89</c:v>
                </c:pt>
                <c:pt idx="808">
                  <c:v>0.25</c:v>
                </c:pt>
                <c:pt idx="809">
                  <c:v>0.71</c:v>
                </c:pt>
                <c:pt idx="810">
                  <c:v>0.74</c:v>
                </c:pt>
                <c:pt idx="811">
                  <c:v>0.47</c:v>
                </c:pt>
                <c:pt idx="812">
                  <c:v>0.05</c:v>
                </c:pt>
                <c:pt idx="813">
                  <c:v>0.94</c:v>
                </c:pt>
                <c:pt idx="814">
                  <c:v>0.11</c:v>
                </c:pt>
                <c:pt idx="815">
                  <c:v>0.91</c:v>
                </c:pt>
                <c:pt idx="816">
                  <c:v>0.66</c:v>
                </c:pt>
                <c:pt idx="817">
                  <c:v>0.16</c:v>
                </c:pt>
                <c:pt idx="818">
                  <c:v>0.44</c:v>
                </c:pt>
                <c:pt idx="819">
                  <c:v>0.76</c:v>
                </c:pt>
                <c:pt idx="820">
                  <c:v>0.16</c:v>
                </c:pt>
                <c:pt idx="821">
                  <c:v>0.83</c:v>
                </c:pt>
                <c:pt idx="822">
                  <c:v>0.92</c:v>
                </c:pt>
                <c:pt idx="823">
                  <c:v>0.14000000000000001</c:v>
                </c:pt>
                <c:pt idx="824">
                  <c:v>0.36</c:v>
                </c:pt>
                <c:pt idx="825">
                  <c:v>0.64</c:v>
                </c:pt>
                <c:pt idx="826">
                  <c:v>0.53</c:v>
                </c:pt>
                <c:pt idx="827">
                  <c:v>0.46</c:v>
                </c:pt>
                <c:pt idx="828">
                  <c:v>0.09</c:v>
                </c:pt>
                <c:pt idx="829">
                  <c:v>0.91</c:v>
                </c:pt>
                <c:pt idx="830">
                  <c:v>0.11</c:v>
                </c:pt>
                <c:pt idx="831">
                  <c:v>0.43</c:v>
                </c:pt>
                <c:pt idx="832">
                  <c:v>0.54</c:v>
                </c:pt>
                <c:pt idx="833">
                  <c:v>0.53</c:v>
                </c:pt>
                <c:pt idx="834">
                  <c:v>0.86</c:v>
                </c:pt>
                <c:pt idx="835">
                  <c:v>0.64</c:v>
                </c:pt>
                <c:pt idx="836">
                  <c:v>0.55000000000000004</c:v>
                </c:pt>
                <c:pt idx="837">
                  <c:v>0.22</c:v>
                </c:pt>
                <c:pt idx="838">
                  <c:v>0.37</c:v>
                </c:pt>
                <c:pt idx="839">
                  <c:v>0.32</c:v>
                </c:pt>
                <c:pt idx="840">
                  <c:v>0.56000000000000005</c:v>
                </c:pt>
                <c:pt idx="841">
                  <c:v>0.34</c:v>
                </c:pt>
                <c:pt idx="842">
                  <c:v>0.69</c:v>
                </c:pt>
                <c:pt idx="843">
                  <c:v>0.2</c:v>
                </c:pt>
                <c:pt idx="844">
                  <c:v>0.41</c:v>
                </c:pt>
                <c:pt idx="845">
                  <c:v>0.16</c:v>
                </c:pt>
                <c:pt idx="846">
                  <c:v>0.7</c:v>
                </c:pt>
                <c:pt idx="847">
                  <c:v>0.56999999999999995</c:v>
                </c:pt>
                <c:pt idx="848">
                  <c:v>0.45</c:v>
                </c:pt>
                <c:pt idx="849">
                  <c:v>0.35</c:v>
                </c:pt>
                <c:pt idx="850">
                  <c:v>0.54</c:v>
                </c:pt>
                <c:pt idx="851">
                  <c:v>0.06</c:v>
                </c:pt>
                <c:pt idx="852">
                  <c:v>0.56999999999999995</c:v>
                </c:pt>
                <c:pt idx="853">
                  <c:v>0.08</c:v>
                </c:pt>
                <c:pt idx="854">
                  <c:v>0.72</c:v>
                </c:pt>
                <c:pt idx="855">
                  <c:v>0.19</c:v>
                </c:pt>
                <c:pt idx="856">
                  <c:v>0.69</c:v>
                </c:pt>
                <c:pt idx="857">
                  <c:v>0.9</c:v>
                </c:pt>
                <c:pt idx="858">
                  <c:v>0.65</c:v>
                </c:pt>
                <c:pt idx="859">
                  <c:v>0.89</c:v>
                </c:pt>
                <c:pt idx="860">
                  <c:v>0.16</c:v>
                </c:pt>
                <c:pt idx="861">
                  <c:v>0.16</c:v>
                </c:pt>
                <c:pt idx="862">
                  <c:v>0.43</c:v>
                </c:pt>
                <c:pt idx="863">
                  <c:v>0.09</c:v>
                </c:pt>
                <c:pt idx="864">
                  <c:v>0.85</c:v>
                </c:pt>
                <c:pt idx="865">
                  <c:v>0.26</c:v>
                </c:pt>
                <c:pt idx="866">
                  <c:v>0.63</c:v>
                </c:pt>
                <c:pt idx="867">
                  <c:v>0.74</c:v>
                </c:pt>
                <c:pt idx="868">
                  <c:v>0.08</c:v>
                </c:pt>
                <c:pt idx="869">
                  <c:v>0.14000000000000001</c:v>
                </c:pt>
                <c:pt idx="870">
                  <c:v>0.34</c:v>
                </c:pt>
                <c:pt idx="871">
                  <c:v>0.83</c:v>
                </c:pt>
                <c:pt idx="872">
                  <c:v>0.67</c:v>
                </c:pt>
                <c:pt idx="873">
                  <c:v>0.89</c:v>
                </c:pt>
                <c:pt idx="874">
                  <c:v>0.94</c:v>
                </c:pt>
                <c:pt idx="875">
                  <c:v>0.87</c:v>
                </c:pt>
                <c:pt idx="876">
                  <c:v>0.86</c:v>
                </c:pt>
                <c:pt idx="877">
                  <c:v>0.94</c:v>
                </c:pt>
                <c:pt idx="878">
                  <c:v>0.17</c:v>
                </c:pt>
                <c:pt idx="879">
                  <c:v>0.64</c:v>
                </c:pt>
                <c:pt idx="880">
                  <c:v>0.48</c:v>
                </c:pt>
                <c:pt idx="881">
                  <c:v>0.12</c:v>
                </c:pt>
                <c:pt idx="882">
                  <c:v>0.46</c:v>
                </c:pt>
                <c:pt idx="883">
                  <c:v>0.52</c:v>
                </c:pt>
                <c:pt idx="884">
                  <c:v>0.35</c:v>
                </c:pt>
                <c:pt idx="885">
                  <c:v>0.19</c:v>
                </c:pt>
                <c:pt idx="886">
                  <c:v>0.24</c:v>
                </c:pt>
                <c:pt idx="887">
                  <c:v>0.05</c:v>
                </c:pt>
                <c:pt idx="888">
                  <c:v>0.55000000000000004</c:v>
                </c:pt>
                <c:pt idx="889">
                  <c:v>0.14000000000000001</c:v>
                </c:pt>
                <c:pt idx="890">
                  <c:v>0.67</c:v>
                </c:pt>
                <c:pt idx="891">
                  <c:v>0.06</c:v>
                </c:pt>
                <c:pt idx="892">
                  <c:v>0.08</c:v>
                </c:pt>
                <c:pt idx="893">
                  <c:v>0.77</c:v>
                </c:pt>
                <c:pt idx="894">
                  <c:v>0.33</c:v>
                </c:pt>
                <c:pt idx="895">
                  <c:v>0.82</c:v>
                </c:pt>
                <c:pt idx="896">
                  <c:v>0.27</c:v>
                </c:pt>
                <c:pt idx="897">
                  <c:v>0.1</c:v>
                </c:pt>
                <c:pt idx="898">
                  <c:v>0.62</c:v>
                </c:pt>
                <c:pt idx="899">
                  <c:v>0.32</c:v>
                </c:pt>
                <c:pt idx="900">
                  <c:v>0.91</c:v>
                </c:pt>
                <c:pt idx="901">
                  <c:v>0.88</c:v>
                </c:pt>
                <c:pt idx="902">
                  <c:v>0.59</c:v>
                </c:pt>
                <c:pt idx="903">
                  <c:v>0.48</c:v>
                </c:pt>
                <c:pt idx="904">
                  <c:v>0.28000000000000003</c:v>
                </c:pt>
                <c:pt idx="905">
                  <c:v>0.39</c:v>
                </c:pt>
                <c:pt idx="906">
                  <c:v>0.06</c:v>
                </c:pt>
                <c:pt idx="907">
                  <c:v>0.6</c:v>
                </c:pt>
                <c:pt idx="908">
                  <c:v>0.6</c:v>
                </c:pt>
                <c:pt idx="909">
                  <c:v>0.25</c:v>
                </c:pt>
                <c:pt idx="910">
                  <c:v>0.66</c:v>
                </c:pt>
                <c:pt idx="911">
                  <c:v>0.85</c:v>
                </c:pt>
                <c:pt idx="912">
                  <c:v>0.52</c:v>
                </c:pt>
                <c:pt idx="913">
                  <c:v>0.52</c:v>
                </c:pt>
                <c:pt idx="914">
                  <c:v>0.25</c:v>
                </c:pt>
                <c:pt idx="915">
                  <c:v>0.28000000000000003</c:v>
                </c:pt>
                <c:pt idx="916">
                  <c:v>0.19</c:v>
                </c:pt>
                <c:pt idx="917">
                  <c:v>0.41</c:v>
                </c:pt>
                <c:pt idx="918">
                  <c:v>0.68</c:v>
                </c:pt>
                <c:pt idx="919">
                  <c:v>0.78</c:v>
                </c:pt>
                <c:pt idx="920">
                  <c:v>0.1</c:v>
                </c:pt>
                <c:pt idx="921">
                  <c:v>0.31</c:v>
                </c:pt>
                <c:pt idx="922">
                  <c:v>0.88</c:v>
                </c:pt>
                <c:pt idx="923">
                  <c:v>0.06</c:v>
                </c:pt>
                <c:pt idx="924">
                  <c:v>0.14000000000000001</c:v>
                </c:pt>
                <c:pt idx="925">
                  <c:v>0.52</c:v>
                </c:pt>
                <c:pt idx="926">
                  <c:v>0.14000000000000001</c:v>
                </c:pt>
                <c:pt idx="927">
                  <c:v>0.86</c:v>
                </c:pt>
                <c:pt idx="928">
                  <c:v>0.77</c:v>
                </c:pt>
                <c:pt idx="929">
                  <c:v>0.52</c:v>
                </c:pt>
                <c:pt idx="930">
                  <c:v>0.94</c:v>
                </c:pt>
                <c:pt idx="931">
                  <c:v>0.42</c:v>
                </c:pt>
                <c:pt idx="932">
                  <c:v>0.83</c:v>
                </c:pt>
                <c:pt idx="933">
                  <c:v>0.38</c:v>
                </c:pt>
                <c:pt idx="934">
                  <c:v>0.34</c:v>
                </c:pt>
                <c:pt idx="935">
                  <c:v>0.08</c:v>
                </c:pt>
                <c:pt idx="936">
                  <c:v>0.81</c:v>
                </c:pt>
                <c:pt idx="937">
                  <c:v>0.91</c:v>
                </c:pt>
                <c:pt idx="938">
                  <c:v>0.37</c:v>
                </c:pt>
                <c:pt idx="939">
                  <c:v>0.93</c:v>
                </c:pt>
                <c:pt idx="940">
                  <c:v>0.88</c:v>
                </c:pt>
                <c:pt idx="941">
                  <c:v>0.34</c:v>
                </c:pt>
                <c:pt idx="942">
                  <c:v>0.12</c:v>
                </c:pt>
                <c:pt idx="943">
                  <c:v>0.64</c:v>
                </c:pt>
                <c:pt idx="944">
                  <c:v>0.76</c:v>
                </c:pt>
                <c:pt idx="945">
                  <c:v>0.59</c:v>
                </c:pt>
                <c:pt idx="946">
                  <c:v>0.81</c:v>
                </c:pt>
                <c:pt idx="947">
                  <c:v>0.71</c:v>
                </c:pt>
                <c:pt idx="948">
                  <c:v>0.14000000000000001</c:v>
                </c:pt>
                <c:pt idx="949">
                  <c:v>0.21</c:v>
                </c:pt>
                <c:pt idx="950">
                  <c:v>0.3</c:v>
                </c:pt>
                <c:pt idx="951">
                  <c:v>0.56000000000000005</c:v>
                </c:pt>
                <c:pt idx="952">
                  <c:v>0.52</c:v>
                </c:pt>
                <c:pt idx="953">
                  <c:v>0.94</c:v>
                </c:pt>
                <c:pt idx="954">
                  <c:v>0.88</c:v>
                </c:pt>
                <c:pt idx="955">
                  <c:v>0.77</c:v>
                </c:pt>
                <c:pt idx="956">
                  <c:v>0.4</c:v>
                </c:pt>
                <c:pt idx="957">
                  <c:v>0.38</c:v>
                </c:pt>
                <c:pt idx="958">
                  <c:v>0.62</c:v>
                </c:pt>
                <c:pt idx="959">
                  <c:v>0.65</c:v>
                </c:pt>
                <c:pt idx="960">
                  <c:v>0.56999999999999995</c:v>
                </c:pt>
                <c:pt idx="961">
                  <c:v>0.08</c:v>
                </c:pt>
                <c:pt idx="962">
                  <c:v>0.79</c:v>
                </c:pt>
                <c:pt idx="963">
                  <c:v>0.44</c:v>
                </c:pt>
                <c:pt idx="964">
                  <c:v>0.8</c:v>
                </c:pt>
                <c:pt idx="965">
                  <c:v>0.69</c:v>
                </c:pt>
                <c:pt idx="966">
                  <c:v>0.67</c:v>
                </c:pt>
                <c:pt idx="967">
                  <c:v>0.14000000000000001</c:v>
                </c:pt>
                <c:pt idx="968">
                  <c:v>0.17</c:v>
                </c:pt>
                <c:pt idx="969">
                  <c:v>0.87</c:v>
                </c:pt>
                <c:pt idx="970">
                  <c:v>0.51</c:v>
                </c:pt>
                <c:pt idx="971">
                  <c:v>0.31</c:v>
                </c:pt>
                <c:pt idx="972">
                  <c:v>0.55000000000000004</c:v>
                </c:pt>
                <c:pt idx="973">
                  <c:v>0.81</c:v>
                </c:pt>
                <c:pt idx="974">
                  <c:v>0.6</c:v>
                </c:pt>
                <c:pt idx="975">
                  <c:v>0.66</c:v>
                </c:pt>
                <c:pt idx="976">
                  <c:v>0.4</c:v>
                </c:pt>
                <c:pt idx="977">
                  <c:v>0.56999999999999995</c:v>
                </c:pt>
                <c:pt idx="978">
                  <c:v>0.49</c:v>
                </c:pt>
                <c:pt idx="979">
                  <c:v>0.13</c:v>
                </c:pt>
                <c:pt idx="980">
                  <c:v>0.32</c:v>
                </c:pt>
                <c:pt idx="981">
                  <c:v>0.46</c:v>
                </c:pt>
                <c:pt idx="982">
                  <c:v>0.28999999999999998</c:v>
                </c:pt>
                <c:pt idx="983">
                  <c:v>0.52</c:v>
                </c:pt>
                <c:pt idx="984">
                  <c:v>0.73</c:v>
                </c:pt>
                <c:pt idx="985">
                  <c:v>0.89</c:v>
                </c:pt>
                <c:pt idx="986">
                  <c:v>0.39</c:v>
                </c:pt>
                <c:pt idx="987">
                  <c:v>0.31</c:v>
                </c:pt>
                <c:pt idx="988">
                  <c:v>0.88</c:v>
                </c:pt>
                <c:pt idx="989">
                  <c:v>0.43</c:v>
                </c:pt>
                <c:pt idx="990">
                  <c:v>0.56000000000000005</c:v>
                </c:pt>
                <c:pt idx="991">
                  <c:v>0.6</c:v>
                </c:pt>
                <c:pt idx="992">
                  <c:v>0.45</c:v>
                </c:pt>
                <c:pt idx="993">
                  <c:v>0.89</c:v>
                </c:pt>
                <c:pt idx="994">
                  <c:v>0.26</c:v>
                </c:pt>
                <c:pt idx="995">
                  <c:v>0.18</c:v>
                </c:pt>
                <c:pt idx="996">
                  <c:v>0.73</c:v>
                </c:pt>
                <c:pt idx="997">
                  <c:v>0.54</c:v>
                </c:pt>
                <c:pt idx="998">
                  <c:v>0.26</c:v>
                </c:pt>
                <c:pt idx="999">
                  <c:v>0.91</c:v>
                </c:pt>
                <c:pt idx="1000">
                  <c:v>0.92</c:v>
                </c:pt>
                <c:pt idx="1001">
                  <c:v>0.88</c:v>
                </c:pt>
                <c:pt idx="1002">
                  <c:v>0.57999999999999996</c:v>
                </c:pt>
                <c:pt idx="1003">
                  <c:v>0.41</c:v>
                </c:pt>
                <c:pt idx="1004">
                  <c:v>0.56000000000000005</c:v>
                </c:pt>
                <c:pt idx="1005">
                  <c:v>0.83</c:v>
                </c:pt>
                <c:pt idx="1006">
                  <c:v>0.27</c:v>
                </c:pt>
                <c:pt idx="1007">
                  <c:v>0.89</c:v>
                </c:pt>
                <c:pt idx="1008">
                  <c:v>0.84</c:v>
                </c:pt>
                <c:pt idx="1009">
                  <c:v>0.59</c:v>
                </c:pt>
                <c:pt idx="1010">
                  <c:v>0.41</c:v>
                </c:pt>
                <c:pt idx="1011">
                  <c:v>0.51</c:v>
                </c:pt>
                <c:pt idx="1012">
                  <c:v>0.62</c:v>
                </c:pt>
                <c:pt idx="1013">
                  <c:v>0.9</c:v>
                </c:pt>
                <c:pt idx="1014">
                  <c:v>0.27</c:v>
                </c:pt>
                <c:pt idx="1015">
                  <c:v>0.22</c:v>
                </c:pt>
                <c:pt idx="1016">
                  <c:v>0.9</c:v>
                </c:pt>
                <c:pt idx="1017">
                  <c:v>0.11</c:v>
                </c:pt>
                <c:pt idx="1018">
                  <c:v>0.69</c:v>
                </c:pt>
                <c:pt idx="1019">
                  <c:v>0.45</c:v>
                </c:pt>
                <c:pt idx="1020">
                  <c:v>0.77</c:v>
                </c:pt>
                <c:pt idx="1021">
                  <c:v>0.95</c:v>
                </c:pt>
                <c:pt idx="1022">
                  <c:v>0.67</c:v>
                </c:pt>
                <c:pt idx="1023">
                  <c:v>0.83</c:v>
                </c:pt>
                <c:pt idx="1024">
                  <c:v>0.62</c:v>
                </c:pt>
                <c:pt idx="1025">
                  <c:v>0.87</c:v>
                </c:pt>
                <c:pt idx="1026">
                  <c:v>0.59</c:v>
                </c:pt>
                <c:pt idx="1027">
                  <c:v>0.27</c:v>
                </c:pt>
                <c:pt idx="1028">
                  <c:v>0.69</c:v>
                </c:pt>
                <c:pt idx="1029">
                  <c:v>0.4</c:v>
                </c:pt>
                <c:pt idx="1030">
                  <c:v>0.39</c:v>
                </c:pt>
                <c:pt idx="1031">
                  <c:v>0.68</c:v>
                </c:pt>
                <c:pt idx="1032">
                  <c:v>0.88</c:v>
                </c:pt>
                <c:pt idx="1033">
                  <c:v>0.56000000000000005</c:v>
                </c:pt>
                <c:pt idx="1034">
                  <c:v>0.74</c:v>
                </c:pt>
                <c:pt idx="1035">
                  <c:v>0.54</c:v>
                </c:pt>
                <c:pt idx="1036">
                  <c:v>0.09</c:v>
                </c:pt>
                <c:pt idx="1037">
                  <c:v>0.54</c:v>
                </c:pt>
                <c:pt idx="1038">
                  <c:v>0.81</c:v>
                </c:pt>
                <c:pt idx="1039">
                  <c:v>0.66</c:v>
                </c:pt>
                <c:pt idx="1040">
                  <c:v>0.87</c:v>
                </c:pt>
                <c:pt idx="1041">
                  <c:v>0.2</c:v>
                </c:pt>
                <c:pt idx="1042">
                  <c:v>0.62</c:v>
                </c:pt>
                <c:pt idx="1043">
                  <c:v>0.06</c:v>
                </c:pt>
                <c:pt idx="1044">
                  <c:v>0.14000000000000001</c:v>
                </c:pt>
                <c:pt idx="1045">
                  <c:v>0.44</c:v>
                </c:pt>
                <c:pt idx="1046">
                  <c:v>0.28999999999999998</c:v>
                </c:pt>
                <c:pt idx="1047">
                  <c:v>0.69</c:v>
                </c:pt>
                <c:pt idx="1048">
                  <c:v>0.93</c:v>
                </c:pt>
                <c:pt idx="1049">
                  <c:v>0.19</c:v>
                </c:pt>
                <c:pt idx="1050">
                  <c:v>0.91</c:v>
                </c:pt>
                <c:pt idx="1051">
                  <c:v>0.33</c:v>
                </c:pt>
                <c:pt idx="1052">
                  <c:v>0.74</c:v>
                </c:pt>
                <c:pt idx="1053">
                  <c:v>0.14000000000000001</c:v>
                </c:pt>
                <c:pt idx="1054">
                  <c:v>0.56999999999999995</c:v>
                </c:pt>
                <c:pt idx="1055">
                  <c:v>0.27</c:v>
                </c:pt>
                <c:pt idx="1056">
                  <c:v>0.39</c:v>
                </c:pt>
                <c:pt idx="1057">
                  <c:v>0.65</c:v>
                </c:pt>
                <c:pt idx="1058">
                  <c:v>0.12</c:v>
                </c:pt>
                <c:pt idx="1059">
                  <c:v>0.14000000000000001</c:v>
                </c:pt>
                <c:pt idx="1060">
                  <c:v>0.4</c:v>
                </c:pt>
                <c:pt idx="1061">
                  <c:v>0.51</c:v>
                </c:pt>
                <c:pt idx="1062">
                  <c:v>0.88</c:v>
                </c:pt>
                <c:pt idx="1063">
                  <c:v>0.9</c:v>
                </c:pt>
                <c:pt idx="1064">
                  <c:v>0.6</c:v>
                </c:pt>
                <c:pt idx="1065">
                  <c:v>0.37</c:v>
                </c:pt>
                <c:pt idx="1066">
                  <c:v>0.5</c:v>
                </c:pt>
                <c:pt idx="1067">
                  <c:v>0.27</c:v>
                </c:pt>
                <c:pt idx="1068">
                  <c:v>0.5</c:v>
                </c:pt>
                <c:pt idx="1069">
                  <c:v>0.36</c:v>
                </c:pt>
                <c:pt idx="1070">
                  <c:v>0.36</c:v>
                </c:pt>
                <c:pt idx="1071">
                  <c:v>0.93</c:v>
                </c:pt>
                <c:pt idx="1072">
                  <c:v>0.11</c:v>
                </c:pt>
                <c:pt idx="1073">
                  <c:v>0.56999999999999995</c:v>
                </c:pt>
                <c:pt idx="1074">
                  <c:v>0.66</c:v>
                </c:pt>
                <c:pt idx="1075">
                  <c:v>0.56000000000000005</c:v>
                </c:pt>
                <c:pt idx="1076">
                  <c:v>0.23</c:v>
                </c:pt>
                <c:pt idx="1077">
                  <c:v>0.83</c:v>
                </c:pt>
                <c:pt idx="1078">
                  <c:v>0.45</c:v>
                </c:pt>
                <c:pt idx="1079">
                  <c:v>0.51</c:v>
                </c:pt>
                <c:pt idx="1080">
                  <c:v>0.84</c:v>
                </c:pt>
                <c:pt idx="1081">
                  <c:v>0.67</c:v>
                </c:pt>
                <c:pt idx="1082">
                  <c:v>0.28999999999999998</c:v>
                </c:pt>
                <c:pt idx="1083">
                  <c:v>0.7</c:v>
                </c:pt>
                <c:pt idx="1084">
                  <c:v>0.78</c:v>
                </c:pt>
                <c:pt idx="1085">
                  <c:v>0.55000000000000004</c:v>
                </c:pt>
                <c:pt idx="1086">
                  <c:v>0.79</c:v>
                </c:pt>
                <c:pt idx="1087">
                  <c:v>0.57999999999999996</c:v>
                </c:pt>
                <c:pt idx="1088">
                  <c:v>0.13</c:v>
                </c:pt>
                <c:pt idx="1089">
                  <c:v>0.92</c:v>
                </c:pt>
                <c:pt idx="1090">
                  <c:v>0.81</c:v>
                </c:pt>
                <c:pt idx="1091">
                  <c:v>0.87</c:v>
                </c:pt>
                <c:pt idx="1092">
                  <c:v>0.12</c:v>
                </c:pt>
                <c:pt idx="1093">
                  <c:v>0.57999999999999996</c:v>
                </c:pt>
                <c:pt idx="1094">
                  <c:v>0.52</c:v>
                </c:pt>
                <c:pt idx="1095">
                  <c:v>0.37</c:v>
                </c:pt>
                <c:pt idx="1096">
                  <c:v>0.55000000000000004</c:v>
                </c:pt>
                <c:pt idx="1097">
                  <c:v>0.79</c:v>
                </c:pt>
                <c:pt idx="1098">
                  <c:v>0.1</c:v>
                </c:pt>
                <c:pt idx="1099">
                  <c:v>0.9</c:v>
                </c:pt>
                <c:pt idx="1100">
                  <c:v>0.45</c:v>
                </c:pt>
                <c:pt idx="1101">
                  <c:v>0.44</c:v>
                </c:pt>
                <c:pt idx="1102">
                  <c:v>0.86</c:v>
                </c:pt>
                <c:pt idx="1103">
                  <c:v>0.7</c:v>
                </c:pt>
                <c:pt idx="1104">
                  <c:v>0.1</c:v>
                </c:pt>
                <c:pt idx="1105">
                  <c:v>0.24</c:v>
                </c:pt>
                <c:pt idx="1106">
                  <c:v>0.17</c:v>
                </c:pt>
                <c:pt idx="1107">
                  <c:v>0.08</c:v>
                </c:pt>
                <c:pt idx="1108">
                  <c:v>0.85</c:v>
                </c:pt>
                <c:pt idx="1109">
                  <c:v>0.06</c:v>
                </c:pt>
                <c:pt idx="1110">
                  <c:v>0.48</c:v>
                </c:pt>
                <c:pt idx="1111">
                  <c:v>0.35</c:v>
                </c:pt>
                <c:pt idx="1112">
                  <c:v>0.19</c:v>
                </c:pt>
                <c:pt idx="1113">
                  <c:v>0.82</c:v>
                </c:pt>
                <c:pt idx="1114">
                  <c:v>0.51</c:v>
                </c:pt>
                <c:pt idx="1115">
                  <c:v>0.42</c:v>
                </c:pt>
                <c:pt idx="1116">
                  <c:v>0.33</c:v>
                </c:pt>
                <c:pt idx="1117">
                  <c:v>0.31</c:v>
                </c:pt>
                <c:pt idx="1118">
                  <c:v>0.89</c:v>
                </c:pt>
                <c:pt idx="1119">
                  <c:v>0.82</c:v>
                </c:pt>
                <c:pt idx="1120">
                  <c:v>0.35</c:v>
                </c:pt>
                <c:pt idx="1121">
                  <c:v>0.76</c:v>
                </c:pt>
                <c:pt idx="1122">
                  <c:v>0.76</c:v>
                </c:pt>
                <c:pt idx="1123">
                  <c:v>0.17</c:v>
                </c:pt>
                <c:pt idx="1124">
                  <c:v>0.14000000000000001</c:v>
                </c:pt>
                <c:pt idx="1125">
                  <c:v>0.4</c:v>
                </c:pt>
                <c:pt idx="1126">
                  <c:v>0.13</c:v>
                </c:pt>
                <c:pt idx="1127">
                  <c:v>0.12</c:v>
                </c:pt>
                <c:pt idx="1128">
                  <c:v>0.16</c:v>
                </c:pt>
                <c:pt idx="1129">
                  <c:v>0.17</c:v>
                </c:pt>
                <c:pt idx="1130">
                  <c:v>0.36</c:v>
                </c:pt>
                <c:pt idx="1131">
                  <c:v>0.85</c:v>
                </c:pt>
                <c:pt idx="1132">
                  <c:v>0.32</c:v>
                </c:pt>
                <c:pt idx="1133">
                  <c:v>0.78</c:v>
                </c:pt>
                <c:pt idx="1134">
                  <c:v>0.33</c:v>
                </c:pt>
                <c:pt idx="1135">
                  <c:v>0.76</c:v>
                </c:pt>
                <c:pt idx="1136">
                  <c:v>0.6</c:v>
                </c:pt>
                <c:pt idx="1137">
                  <c:v>0.24</c:v>
                </c:pt>
                <c:pt idx="1138">
                  <c:v>0.15</c:v>
                </c:pt>
                <c:pt idx="1139">
                  <c:v>0.57999999999999996</c:v>
                </c:pt>
                <c:pt idx="1140">
                  <c:v>0.34</c:v>
                </c:pt>
                <c:pt idx="1141">
                  <c:v>0.91</c:v>
                </c:pt>
                <c:pt idx="1142">
                  <c:v>0.72</c:v>
                </c:pt>
                <c:pt idx="1143">
                  <c:v>0.76</c:v>
                </c:pt>
                <c:pt idx="1144">
                  <c:v>0.82</c:v>
                </c:pt>
                <c:pt idx="1145">
                  <c:v>0.46</c:v>
                </c:pt>
                <c:pt idx="1146">
                  <c:v>0.57999999999999996</c:v>
                </c:pt>
                <c:pt idx="1147">
                  <c:v>0.47</c:v>
                </c:pt>
                <c:pt idx="1148">
                  <c:v>0.93</c:v>
                </c:pt>
                <c:pt idx="1149">
                  <c:v>0.11</c:v>
                </c:pt>
                <c:pt idx="1150">
                  <c:v>0.48</c:v>
                </c:pt>
                <c:pt idx="1151">
                  <c:v>0.93</c:v>
                </c:pt>
                <c:pt idx="1152">
                  <c:v>0.46</c:v>
                </c:pt>
                <c:pt idx="1153">
                  <c:v>0.74</c:v>
                </c:pt>
                <c:pt idx="1154">
                  <c:v>0.57999999999999996</c:v>
                </c:pt>
                <c:pt idx="1155">
                  <c:v>0.46</c:v>
                </c:pt>
                <c:pt idx="1156">
                  <c:v>0.47</c:v>
                </c:pt>
                <c:pt idx="1157">
                  <c:v>0.55000000000000004</c:v>
                </c:pt>
                <c:pt idx="1158">
                  <c:v>0.26</c:v>
                </c:pt>
                <c:pt idx="1159">
                  <c:v>0.09</c:v>
                </c:pt>
                <c:pt idx="1160">
                  <c:v>0.75</c:v>
                </c:pt>
                <c:pt idx="1161">
                  <c:v>0.42</c:v>
                </c:pt>
                <c:pt idx="1162">
                  <c:v>0.8</c:v>
                </c:pt>
                <c:pt idx="1163">
                  <c:v>0.6</c:v>
                </c:pt>
                <c:pt idx="1164">
                  <c:v>0.76</c:v>
                </c:pt>
                <c:pt idx="1165">
                  <c:v>0.49</c:v>
                </c:pt>
                <c:pt idx="1166">
                  <c:v>0.79</c:v>
                </c:pt>
                <c:pt idx="1167">
                  <c:v>0.17</c:v>
                </c:pt>
                <c:pt idx="1168">
                  <c:v>0.68</c:v>
                </c:pt>
                <c:pt idx="1169">
                  <c:v>0.63</c:v>
                </c:pt>
                <c:pt idx="1170">
                  <c:v>0.43</c:v>
                </c:pt>
                <c:pt idx="1171">
                  <c:v>0.92</c:v>
                </c:pt>
                <c:pt idx="1172">
                  <c:v>0.94</c:v>
                </c:pt>
                <c:pt idx="1173">
                  <c:v>0.84</c:v>
                </c:pt>
                <c:pt idx="1174">
                  <c:v>0.08</c:v>
                </c:pt>
                <c:pt idx="1175">
                  <c:v>0.91</c:v>
                </c:pt>
                <c:pt idx="1176">
                  <c:v>0.18</c:v>
                </c:pt>
                <c:pt idx="1177">
                  <c:v>0.08</c:v>
                </c:pt>
                <c:pt idx="1178">
                  <c:v>0.42</c:v>
                </c:pt>
                <c:pt idx="1179">
                  <c:v>0.56000000000000005</c:v>
                </c:pt>
                <c:pt idx="1180">
                  <c:v>0.1</c:v>
                </c:pt>
                <c:pt idx="1181">
                  <c:v>0.32</c:v>
                </c:pt>
                <c:pt idx="1182">
                  <c:v>0.5</c:v>
                </c:pt>
                <c:pt idx="1183">
                  <c:v>0.68</c:v>
                </c:pt>
                <c:pt idx="1184">
                  <c:v>0.6</c:v>
                </c:pt>
                <c:pt idx="1185">
                  <c:v>0.55000000000000004</c:v>
                </c:pt>
                <c:pt idx="1186">
                  <c:v>0.52</c:v>
                </c:pt>
                <c:pt idx="1187">
                  <c:v>0.36</c:v>
                </c:pt>
                <c:pt idx="1188">
                  <c:v>0.12</c:v>
                </c:pt>
                <c:pt idx="1189">
                  <c:v>0.84</c:v>
                </c:pt>
                <c:pt idx="1190">
                  <c:v>0.75</c:v>
                </c:pt>
                <c:pt idx="1191">
                  <c:v>0.51</c:v>
                </c:pt>
                <c:pt idx="1192">
                  <c:v>0.21</c:v>
                </c:pt>
                <c:pt idx="1193">
                  <c:v>0.37</c:v>
                </c:pt>
                <c:pt idx="1194">
                  <c:v>0.53</c:v>
                </c:pt>
                <c:pt idx="1195">
                  <c:v>0.56000000000000005</c:v>
                </c:pt>
                <c:pt idx="1196">
                  <c:v>7.0000000000000007E-2</c:v>
                </c:pt>
                <c:pt idx="1197">
                  <c:v>0.6</c:v>
                </c:pt>
                <c:pt idx="1198">
                  <c:v>0.31</c:v>
                </c:pt>
                <c:pt idx="1199">
                  <c:v>0.66</c:v>
                </c:pt>
                <c:pt idx="1200">
                  <c:v>0.81</c:v>
                </c:pt>
                <c:pt idx="1201">
                  <c:v>0.65</c:v>
                </c:pt>
                <c:pt idx="1202">
                  <c:v>0.38</c:v>
                </c:pt>
                <c:pt idx="1203">
                  <c:v>0.41</c:v>
                </c:pt>
                <c:pt idx="1204">
                  <c:v>0.31</c:v>
                </c:pt>
                <c:pt idx="1205">
                  <c:v>0.17</c:v>
                </c:pt>
                <c:pt idx="1206">
                  <c:v>0.49</c:v>
                </c:pt>
                <c:pt idx="1207">
                  <c:v>0.64</c:v>
                </c:pt>
                <c:pt idx="1208">
                  <c:v>0.43</c:v>
                </c:pt>
                <c:pt idx="1209">
                  <c:v>0.34</c:v>
                </c:pt>
                <c:pt idx="1210">
                  <c:v>0.54</c:v>
                </c:pt>
                <c:pt idx="1211">
                  <c:v>0.86</c:v>
                </c:pt>
                <c:pt idx="1212">
                  <c:v>0.83</c:v>
                </c:pt>
                <c:pt idx="1213">
                  <c:v>0.24</c:v>
                </c:pt>
                <c:pt idx="1214">
                  <c:v>0.34</c:v>
                </c:pt>
                <c:pt idx="1215">
                  <c:v>0.6</c:v>
                </c:pt>
                <c:pt idx="1216">
                  <c:v>0.6</c:v>
                </c:pt>
                <c:pt idx="1217">
                  <c:v>0.49</c:v>
                </c:pt>
                <c:pt idx="1218">
                  <c:v>0.62</c:v>
                </c:pt>
                <c:pt idx="1219">
                  <c:v>0.7</c:v>
                </c:pt>
                <c:pt idx="1220">
                  <c:v>0.22</c:v>
                </c:pt>
                <c:pt idx="1221">
                  <c:v>0.28999999999999998</c:v>
                </c:pt>
                <c:pt idx="1222">
                  <c:v>0.36</c:v>
                </c:pt>
                <c:pt idx="1223">
                  <c:v>0.24</c:v>
                </c:pt>
                <c:pt idx="1224">
                  <c:v>0.93</c:v>
                </c:pt>
                <c:pt idx="1225">
                  <c:v>0.1</c:v>
                </c:pt>
                <c:pt idx="1226">
                  <c:v>0.1</c:v>
                </c:pt>
                <c:pt idx="1227">
                  <c:v>0.66</c:v>
                </c:pt>
                <c:pt idx="1228">
                  <c:v>0.08</c:v>
                </c:pt>
                <c:pt idx="1229">
                  <c:v>0.4</c:v>
                </c:pt>
                <c:pt idx="1230">
                  <c:v>0.74</c:v>
                </c:pt>
                <c:pt idx="1231">
                  <c:v>0.45</c:v>
                </c:pt>
                <c:pt idx="1232">
                  <c:v>0.41</c:v>
                </c:pt>
                <c:pt idx="1233">
                  <c:v>0.82</c:v>
                </c:pt>
                <c:pt idx="1234">
                  <c:v>0.43</c:v>
                </c:pt>
                <c:pt idx="1235">
                  <c:v>0.35</c:v>
                </c:pt>
                <c:pt idx="1236">
                  <c:v>0.92</c:v>
                </c:pt>
                <c:pt idx="1237">
                  <c:v>0.56999999999999995</c:v>
                </c:pt>
                <c:pt idx="1238">
                  <c:v>0.86</c:v>
                </c:pt>
                <c:pt idx="1239">
                  <c:v>0.71</c:v>
                </c:pt>
                <c:pt idx="1240">
                  <c:v>0.48</c:v>
                </c:pt>
                <c:pt idx="1241">
                  <c:v>0.14000000000000001</c:v>
                </c:pt>
                <c:pt idx="1242">
                  <c:v>0.38</c:v>
                </c:pt>
                <c:pt idx="1243">
                  <c:v>0.45</c:v>
                </c:pt>
                <c:pt idx="1244">
                  <c:v>0.75</c:v>
                </c:pt>
                <c:pt idx="1245">
                  <c:v>0.32</c:v>
                </c:pt>
                <c:pt idx="1246">
                  <c:v>0.76</c:v>
                </c:pt>
                <c:pt idx="1247">
                  <c:v>0.55000000000000004</c:v>
                </c:pt>
                <c:pt idx="1248">
                  <c:v>0.51</c:v>
                </c:pt>
                <c:pt idx="1249">
                  <c:v>0.08</c:v>
                </c:pt>
                <c:pt idx="1250">
                  <c:v>0.67</c:v>
                </c:pt>
                <c:pt idx="1251">
                  <c:v>0.57999999999999996</c:v>
                </c:pt>
                <c:pt idx="1252">
                  <c:v>0.63</c:v>
                </c:pt>
                <c:pt idx="1253">
                  <c:v>0.37</c:v>
                </c:pt>
                <c:pt idx="1254">
                  <c:v>0.14000000000000001</c:v>
                </c:pt>
                <c:pt idx="1255">
                  <c:v>0.15</c:v>
                </c:pt>
                <c:pt idx="1256">
                  <c:v>0.62</c:v>
                </c:pt>
                <c:pt idx="1257">
                  <c:v>0.74</c:v>
                </c:pt>
                <c:pt idx="1258">
                  <c:v>0.9</c:v>
                </c:pt>
                <c:pt idx="1259">
                  <c:v>0.42</c:v>
                </c:pt>
                <c:pt idx="1260">
                  <c:v>0.84</c:v>
                </c:pt>
                <c:pt idx="1261">
                  <c:v>0.56999999999999995</c:v>
                </c:pt>
                <c:pt idx="1262">
                  <c:v>0.23</c:v>
                </c:pt>
                <c:pt idx="1263">
                  <c:v>0.57999999999999996</c:v>
                </c:pt>
                <c:pt idx="1264">
                  <c:v>0.11</c:v>
                </c:pt>
                <c:pt idx="1265">
                  <c:v>0.43</c:v>
                </c:pt>
                <c:pt idx="1266">
                  <c:v>0.33</c:v>
                </c:pt>
                <c:pt idx="1267">
                  <c:v>0.39</c:v>
                </c:pt>
                <c:pt idx="1268">
                  <c:v>0.64</c:v>
                </c:pt>
                <c:pt idx="1269">
                  <c:v>0.72</c:v>
                </c:pt>
                <c:pt idx="1270">
                  <c:v>0.51</c:v>
                </c:pt>
                <c:pt idx="1271">
                  <c:v>0.17</c:v>
                </c:pt>
                <c:pt idx="1272">
                  <c:v>0.8</c:v>
                </c:pt>
                <c:pt idx="1273">
                  <c:v>0.67</c:v>
                </c:pt>
                <c:pt idx="1274">
                  <c:v>0.43</c:v>
                </c:pt>
                <c:pt idx="1275">
                  <c:v>0.59</c:v>
                </c:pt>
                <c:pt idx="1276">
                  <c:v>0.56000000000000005</c:v>
                </c:pt>
                <c:pt idx="1277">
                  <c:v>0.12</c:v>
                </c:pt>
                <c:pt idx="1278">
                  <c:v>0.33</c:v>
                </c:pt>
                <c:pt idx="1279">
                  <c:v>0.87</c:v>
                </c:pt>
                <c:pt idx="1280">
                  <c:v>0.46</c:v>
                </c:pt>
                <c:pt idx="1281">
                  <c:v>0.41</c:v>
                </c:pt>
                <c:pt idx="1282">
                  <c:v>0.26</c:v>
                </c:pt>
                <c:pt idx="1283">
                  <c:v>0.53</c:v>
                </c:pt>
                <c:pt idx="1284">
                  <c:v>0.59</c:v>
                </c:pt>
                <c:pt idx="1285">
                  <c:v>0.17</c:v>
                </c:pt>
                <c:pt idx="1286">
                  <c:v>0.64</c:v>
                </c:pt>
                <c:pt idx="1287">
                  <c:v>0.5</c:v>
                </c:pt>
                <c:pt idx="1288">
                  <c:v>0.85</c:v>
                </c:pt>
                <c:pt idx="1289">
                  <c:v>0.6</c:v>
                </c:pt>
                <c:pt idx="1290">
                  <c:v>0.05</c:v>
                </c:pt>
                <c:pt idx="1291">
                  <c:v>0.87</c:v>
                </c:pt>
                <c:pt idx="1292">
                  <c:v>0.56000000000000005</c:v>
                </c:pt>
                <c:pt idx="1293">
                  <c:v>0.11</c:v>
                </c:pt>
                <c:pt idx="1294">
                  <c:v>0.84</c:v>
                </c:pt>
                <c:pt idx="1295">
                  <c:v>0.79</c:v>
                </c:pt>
                <c:pt idx="1296">
                  <c:v>0.08</c:v>
                </c:pt>
                <c:pt idx="1297">
                  <c:v>0.35</c:v>
                </c:pt>
                <c:pt idx="1298">
                  <c:v>0.33</c:v>
                </c:pt>
                <c:pt idx="1299">
                  <c:v>0.74</c:v>
                </c:pt>
                <c:pt idx="1300">
                  <c:v>0.84</c:v>
                </c:pt>
                <c:pt idx="1301">
                  <c:v>0.33</c:v>
                </c:pt>
                <c:pt idx="1302">
                  <c:v>0.78</c:v>
                </c:pt>
                <c:pt idx="1303">
                  <c:v>0.24</c:v>
                </c:pt>
                <c:pt idx="1304">
                  <c:v>0.42</c:v>
                </c:pt>
                <c:pt idx="1305">
                  <c:v>0.56999999999999995</c:v>
                </c:pt>
                <c:pt idx="1306">
                  <c:v>0.13</c:v>
                </c:pt>
                <c:pt idx="1307">
                  <c:v>0.59</c:v>
                </c:pt>
                <c:pt idx="1308">
                  <c:v>0.85</c:v>
                </c:pt>
                <c:pt idx="1309">
                  <c:v>0.91</c:v>
                </c:pt>
                <c:pt idx="1310">
                  <c:v>0.24</c:v>
                </c:pt>
                <c:pt idx="1311">
                  <c:v>0.36</c:v>
                </c:pt>
                <c:pt idx="1312">
                  <c:v>0.82</c:v>
                </c:pt>
                <c:pt idx="1313">
                  <c:v>0.61</c:v>
                </c:pt>
                <c:pt idx="1314">
                  <c:v>0.61</c:v>
                </c:pt>
                <c:pt idx="1315">
                  <c:v>0.59</c:v>
                </c:pt>
                <c:pt idx="1316">
                  <c:v>0.23</c:v>
                </c:pt>
                <c:pt idx="1317">
                  <c:v>0.32</c:v>
                </c:pt>
                <c:pt idx="1318">
                  <c:v>0.43</c:v>
                </c:pt>
                <c:pt idx="1319">
                  <c:v>0.56999999999999995</c:v>
                </c:pt>
                <c:pt idx="1320">
                  <c:v>0.73</c:v>
                </c:pt>
                <c:pt idx="1321">
                  <c:v>0.45</c:v>
                </c:pt>
                <c:pt idx="1322">
                  <c:v>0.78</c:v>
                </c:pt>
                <c:pt idx="1323">
                  <c:v>0.82</c:v>
                </c:pt>
                <c:pt idx="1324">
                  <c:v>0.79</c:v>
                </c:pt>
                <c:pt idx="1325">
                  <c:v>0.8</c:v>
                </c:pt>
                <c:pt idx="1326">
                  <c:v>0.31</c:v>
                </c:pt>
                <c:pt idx="1327">
                  <c:v>0.66</c:v>
                </c:pt>
                <c:pt idx="1328">
                  <c:v>0.61</c:v>
                </c:pt>
                <c:pt idx="1329">
                  <c:v>0.11</c:v>
                </c:pt>
                <c:pt idx="1330">
                  <c:v>0.14000000000000001</c:v>
                </c:pt>
                <c:pt idx="1331">
                  <c:v>0.09</c:v>
                </c:pt>
                <c:pt idx="1332">
                  <c:v>0.24</c:v>
                </c:pt>
                <c:pt idx="1333">
                  <c:v>0.91</c:v>
                </c:pt>
                <c:pt idx="1334">
                  <c:v>0.38</c:v>
                </c:pt>
                <c:pt idx="1335">
                  <c:v>0.31</c:v>
                </c:pt>
                <c:pt idx="1336">
                  <c:v>0.33</c:v>
                </c:pt>
                <c:pt idx="1337">
                  <c:v>0.82</c:v>
                </c:pt>
                <c:pt idx="1338">
                  <c:v>0.85</c:v>
                </c:pt>
                <c:pt idx="1339">
                  <c:v>0.76</c:v>
                </c:pt>
                <c:pt idx="1340">
                  <c:v>0.48</c:v>
                </c:pt>
                <c:pt idx="1341">
                  <c:v>0.25</c:v>
                </c:pt>
                <c:pt idx="1342">
                  <c:v>0.15</c:v>
                </c:pt>
                <c:pt idx="1343">
                  <c:v>0.22</c:v>
                </c:pt>
                <c:pt idx="1344">
                  <c:v>0.47</c:v>
                </c:pt>
                <c:pt idx="1345">
                  <c:v>0.84</c:v>
                </c:pt>
                <c:pt idx="1346">
                  <c:v>0.26</c:v>
                </c:pt>
                <c:pt idx="1347">
                  <c:v>0.1</c:v>
                </c:pt>
                <c:pt idx="1348">
                  <c:v>0.1</c:v>
                </c:pt>
                <c:pt idx="1349">
                  <c:v>0.26</c:v>
                </c:pt>
                <c:pt idx="1350">
                  <c:v>0.71</c:v>
                </c:pt>
                <c:pt idx="1351">
                  <c:v>0.36</c:v>
                </c:pt>
                <c:pt idx="1352">
                  <c:v>0.38</c:v>
                </c:pt>
                <c:pt idx="1353">
                  <c:v>0.14000000000000001</c:v>
                </c:pt>
                <c:pt idx="1354">
                  <c:v>0.77</c:v>
                </c:pt>
                <c:pt idx="1355">
                  <c:v>0.56000000000000005</c:v>
                </c:pt>
                <c:pt idx="1356">
                  <c:v>0.56000000000000005</c:v>
                </c:pt>
                <c:pt idx="1357">
                  <c:v>0.42</c:v>
                </c:pt>
                <c:pt idx="1358">
                  <c:v>0.76</c:v>
                </c:pt>
                <c:pt idx="1359">
                  <c:v>0.63</c:v>
                </c:pt>
                <c:pt idx="1360">
                  <c:v>0.51</c:v>
                </c:pt>
                <c:pt idx="1361">
                  <c:v>0.88</c:v>
                </c:pt>
                <c:pt idx="1362">
                  <c:v>0.13</c:v>
                </c:pt>
                <c:pt idx="1363">
                  <c:v>0.16</c:v>
                </c:pt>
                <c:pt idx="1364">
                  <c:v>0.59</c:v>
                </c:pt>
                <c:pt idx="1365">
                  <c:v>0.31</c:v>
                </c:pt>
                <c:pt idx="1366">
                  <c:v>0.46</c:v>
                </c:pt>
                <c:pt idx="1367">
                  <c:v>0.31</c:v>
                </c:pt>
                <c:pt idx="1368">
                  <c:v>0.59</c:v>
                </c:pt>
                <c:pt idx="1369">
                  <c:v>0.56999999999999995</c:v>
                </c:pt>
                <c:pt idx="1370">
                  <c:v>0.16</c:v>
                </c:pt>
                <c:pt idx="1371">
                  <c:v>0.6</c:v>
                </c:pt>
                <c:pt idx="1372">
                  <c:v>0.59</c:v>
                </c:pt>
                <c:pt idx="1373">
                  <c:v>0.69</c:v>
                </c:pt>
                <c:pt idx="1374">
                  <c:v>0.54</c:v>
                </c:pt>
                <c:pt idx="1375">
                  <c:v>0.83</c:v>
                </c:pt>
                <c:pt idx="1376">
                  <c:v>0.77</c:v>
                </c:pt>
                <c:pt idx="1377">
                  <c:v>0.18</c:v>
                </c:pt>
                <c:pt idx="1378">
                  <c:v>0.48</c:v>
                </c:pt>
                <c:pt idx="1379">
                  <c:v>0.88</c:v>
                </c:pt>
                <c:pt idx="1380">
                  <c:v>0.37</c:v>
                </c:pt>
                <c:pt idx="1381">
                  <c:v>0.54</c:v>
                </c:pt>
                <c:pt idx="1382">
                  <c:v>0.62</c:v>
                </c:pt>
                <c:pt idx="1383">
                  <c:v>0.43</c:v>
                </c:pt>
                <c:pt idx="1384">
                  <c:v>0.52</c:v>
                </c:pt>
                <c:pt idx="1385">
                  <c:v>0.56000000000000005</c:v>
                </c:pt>
                <c:pt idx="1386">
                  <c:v>0.43</c:v>
                </c:pt>
                <c:pt idx="1387">
                  <c:v>0.55000000000000004</c:v>
                </c:pt>
                <c:pt idx="1388">
                  <c:v>0.71</c:v>
                </c:pt>
                <c:pt idx="1389">
                  <c:v>0.14000000000000001</c:v>
                </c:pt>
                <c:pt idx="1390">
                  <c:v>0.28999999999999998</c:v>
                </c:pt>
                <c:pt idx="1391">
                  <c:v>0.81</c:v>
                </c:pt>
                <c:pt idx="1392">
                  <c:v>0.43</c:v>
                </c:pt>
                <c:pt idx="1393">
                  <c:v>0.52</c:v>
                </c:pt>
                <c:pt idx="1394">
                  <c:v>0.85</c:v>
                </c:pt>
                <c:pt idx="1395">
                  <c:v>0.15</c:v>
                </c:pt>
                <c:pt idx="1396">
                  <c:v>0.22</c:v>
                </c:pt>
                <c:pt idx="1397">
                  <c:v>0.92</c:v>
                </c:pt>
                <c:pt idx="1398">
                  <c:v>0.87</c:v>
                </c:pt>
                <c:pt idx="1399">
                  <c:v>0.81</c:v>
                </c:pt>
                <c:pt idx="1400">
                  <c:v>0.56999999999999995</c:v>
                </c:pt>
                <c:pt idx="1401">
                  <c:v>0.46</c:v>
                </c:pt>
                <c:pt idx="1402">
                  <c:v>0.61</c:v>
                </c:pt>
                <c:pt idx="1403">
                  <c:v>0.83</c:v>
                </c:pt>
                <c:pt idx="1404">
                  <c:v>0.38</c:v>
                </c:pt>
                <c:pt idx="1405">
                  <c:v>0.65</c:v>
                </c:pt>
                <c:pt idx="1406">
                  <c:v>0.75</c:v>
                </c:pt>
                <c:pt idx="1407">
                  <c:v>0.1</c:v>
                </c:pt>
                <c:pt idx="1408">
                  <c:v>0.47</c:v>
                </c:pt>
                <c:pt idx="1409">
                  <c:v>0.67</c:v>
                </c:pt>
                <c:pt idx="1410">
                  <c:v>0.84</c:v>
                </c:pt>
                <c:pt idx="1411">
                  <c:v>0.43</c:v>
                </c:pt>
                <c:pt idx="1412">
                  <c:v>0.81</c:v>
                </c:pt>
                <c:pt idx="1413">
                  <c:v>0.67</c:v>
                </c:pt>
                <c:pt idx="1414">
                  <c:v>0.5</c:v>
                </c:pt>
                <c:pt idx="1415">
                  <c:v>7.0000000000000007E-2</c:v>
                </c:pt>
                <c:pt idx="1416">
                  <c:v>0.85</c:v>
                </c:pt>
                <c:pt idx="1417">
                  <c:v>0.19</c:v>
                </c:pt>
                <c:pt idx="1418">
                  <c:v>0.54</c:v>
                </c:pt>
                <c:pt idx="1419">
                  <c:v>0.73</c:v>
                </c:pt>
                <c:pt idx="1420">
                  <c:v>0.91</c:v>
                </c:pt>
                <c:pt idx="1421">
                  <c:v>0.32</c:v>
                </c:pt>
                <c:pt idx="1422">
                  <c:v>0.8</c:v>
                </c:pt>
                <c:pt idx="1423">
                  <c:v>0.51</c:v>
                </c:pt>
                <c:pt idx="1424">
                  <c:v>0.27</c:v>
                </c:pt>
                <c:pt idx="1425">
                  <c:v>0.53</c:v>
                </c:pt>
                <c:pt idx="1426">
                  <c:v>0.42</c:v>
                </c:pt>
                <c:pt idx="1427">
                  <c:v>0.22</c:v>
                </c:pt>
                <c:pt idx="1428">
                  <c:v>0.32</c:v>
                </c:pt>
                <c:pt idx="1429">
                  <c:v>0.63</c:v>
                </c:pt>
                <c:pt idx="1430">
                  <c:v>0.35</c:v>
                </c:pt>
                <c:pt idx="1431">
                  <c:v>0.94</c:v>
                </c:pt>
                <c:pt idx="1432">
                  <c:v>0.4</c:v>
                </c:pt>
                <c:pt idx="1433">
                  <c:v>0.83</c:v>
                </c:pt>
                <c:pt idx="1434">
                  <c:v>0.66</c:v>
                </c:pt>
                <c:pt idx="1435">
                  <c:v>0.49</c:v>
                </c:pt>
                <c:pt idx="1436">
                  <c:v>0.56999999999999995</c:v>
                </c:pt>
                <c:pt idx="1437">
                  <c:v>0.64</c:v>
                </c:pt>
                <c:pt idx="1438">
                  <c:v>0.05</c:v>
                </c:pt>
                <c:pt idx="1439">
                  <c:v>0.45</c:v>
                </c:pt>
                <c:pt idx="1440">
                  <c:v>0.28000000000000003</c:v>
                </c:pt>
                <c:pt idx="1441">
                  <c:v>0.13</c:v>
                </c:pt>
                <c:pt idx="1442">
                  <c:v>0.63</c:v>
                </c:pt>
                <c:pt idx="1443">
                  <c:v>0.59</c:v>
                </c:pt>
                <c:pt idx="1444">
                  <c:v>0.95</c:v>
                </c:pt>
                <c:pt idx="1445">
                  <c:v>0.44</c:v>
                </c:pt>
                <c:pt idx="1446">
                  <c:v>0.36</c:v>
                </c:pt>
                <c:pt idx="1447">
                  <c:v>0.94</c:v>
                </c:pt>
                <c:pt idx="1448">
                  <c:v>0.19</c:v>
                </c:pt>
                <c:pt idx="1449">
                  <c:v>0.84</c:v>
                </c:pt>
                <c:pt idx="1450">
                  <c:v>0.9</c:v>
                </c:pt>
                <c:pt idx="1451">
                  <c:v>0.49</c:v>
                </c:pt>
                <c:pt idx="1452">
                  <c:v>0.56000000000000005</c:v>
                </c:pt>
                <c:pt idx="1453">
                  <c:v>0.12</c:v>
                </c:pt>
                <c:pt idx="1454">
                  <c:v>0.56000000000000005</c:v>
                </c:pt>
                <c:pt idx="1455">
                  <c:v>0.91</c:v>
                </c:pt>
                <c:pt idx="1456">
                  <c:v>0.25</c:v>
                </c:pt>
                <c:pt idx="1457">
                  <c:v>0.08</c:v>
                </c:pt>
                <c:pt idx="1458">
                  <c:v>0.26</c:v>
                </c:pt>
                <c:pt idx="1459">
                  <c:v>0.35</c:v>
                </c:pt>
                <c:pt idx="1460">
                  <c:v>0.05</c:v>
                </c:pt>
                <c:pt idx="1461">
                  <c:v>0.14000000000000001</c:v>
                </c:pt>
                <c:pt idx="1462">
                  <c:v>0.2</c:v>
                </c:pt>
                <c:pt idx="1463">
                  <c:v>0.09</c:v>
                </c:pt>
                <c:pt idx="1464">
                  <c:v>0.65</c:v>
                </c:pt>
                <c:pt idx="1465">
                  <c:v>0.93</c:v>
                </c:pt>
                <c:pt idx="1466">
                  <c:v>0.28000000000000003</c:v>
                </c:pt>
                <c:pt idx="1467">
                  <c:v>0.65</c:v>
                </c:pt>
                <c:pt idx="1468">
                  <c:v>0.05</c:v>
                </c:pt>
                <c:pt idx="1469">
                  <c:v>0.72</c:v>
                </c:pt>
                <c:pt idx="1470">
                  <c:v>0.68</c:v>
                </c:pt>
                <c:pt idx="1471">
                  <c:v>0.93</c:v>
                </c:pt>
                <c:pt idx="1472">
                  <c:v>0.12</c:v>
                </c:pt>
                <c:pt idx="1473">
                  <c:v>0.48</c:v>
                </c:pt>
                <c:pt idx="1474">
                  <c:v>0.7</c:v>
                </c:pt>
                <c:pt idx="1475">
                  <c:v>0.37</c:v>
                </c:pt>
                <c:pt idx="1476">
                  <c:v>0.19</c:v>
                </c:pt>
                <c:pt idx="1477">
                  <c:v>0.46</c:v>
                </c:pt>
                <c:pt idx="1478">
                  <c:v>0.5</c:v>
                </c:pt>
                <c:pt idx="1479">
                  <c:v>0.34</c:v>
                </c:pt>
                <c:pt idx="1480">
                  <c:v>0.63</c:v>
                </c:pt>
                <c:pt idx="1481">
                  <c:v>0.13</c:v>
                </c:pt>
                <c:pt idx="1482">
                  <c:v>0.8</c:v>
                </c:pt>
                <c:pt idx="1483">
                  <c:v>0.82</c:v>
                </c:pt>
                <c:pt idx="1484">
                  <c:v>0.47</c:v>
                </c:pt>
                <c:pt idx="1485">
                  <c:v>0.31</c:v>
                </c:pt>
                <c:pt idx="1486">
                  <c:v>0.15</c:v>
                </c:pt>
                <c:pt idx="1487">
                  <c:v>0.17</c:v>
                </c:pt>
                <c:pt idx="1488">
                  <c:v>0.63</c:v>
                </c:pt>
                <c:pt idx="1489">
                  <c:v>0.63</c:v>
                </c:pt>
                <c:pt idx="1490">
                  <c:v>0.28000000000000003</c:v>
                </c:pt>
                <c:pt idx="1491">
                  <c:v>0.84</c:v>
                </c:pt>
                <c:pt idx="1492">
                  <c:v>0.83</c:v>
                </c:pt>
                <c:pt idx="1493">
                  <c:v>0.93</c:v>
                </c:pt>
                <c:pt idx="1494">
                  <c:v>0.88</c:v>
                </c:pt>
                <c:pt idx="1495">
                  <c:v>0.89</c:v>
                </c:pt>
                <c:pt idx="1496">
                  <c:v>0.92</c:v>
                </c:pt>
                <c:pt idx="1497">
                  <c:v>0.94</c:v>
                </c:pt>
                <c:pt idx="1498">
                  <c:v>0.55000000000000004</c:v>
                </c:pt>
                <c:pt idx="1499">
                  <c:v>0.72</c:v>
                </c:pt>
                <c:pt idx="1500">
                  <c:v>0.33</c:v>
                </c:pt>
                <c:pt idx="1501">
                  <c:v>0.41</c:v>
                </c:pt>
                <c:pt idx="1502">
                  <c:v>0.48</c:v>
                </c:pt>
                <c:pt idx="1503">
                  <c:v>0.8</c:v>
                </c:pt>
                <c:pt idx="1504">
                  <c:v>0.33</c:v>
                </c:pt>
                <c:pt idx="1505">
                  <c:v>0.7</c:v>
                </c:pt>
                <c:pt idx="1506">
                  <c:v>0.42</c:v>
                </c:pt>
                <c:pt idx="1507">
                  <c:v>0.27</c:v>
                </c:pt>
                <c:pt idx="1508">
                  <c:v>0.38</c:v>
                </c:pt>
                <c:pt idx="1509">
                  <c:v>0.41</c:v>
                </c:pt>
                <c:pt idx="1510">
                  <c:v>0.28000000000000003</c:v>
                </c:pt>
                <c:pt idx="1511">
                  <c:v>0.62</c:v>
                </c:pt>
                <c:pt idx="1512">
                  <c:v>0.72</c:v>
                </c:pt>
                <c:pt idx="1513">
                  <c:v>0.44</c:v>
                </c:pt>
                <c:pt idx="1514">
                  <c:v>0.63</c:v>
                </c:pt>
                <c:pt idx="1515">
                  <c:v>0.6</c:v>
                </c:pt>
                <c:pt idx="1516">
                  <c:v>0.66</c:v>
                </c:pt>
                <c:pt idx="1517">
                  <c:v>0.53</c:v>
                </c:pt>
                <c:pt idx="1518">
                  <c:v>0.8</c:v>
                </c:pt>
                <c:pt idx="1519">
                  <c:v>0.64</c:v>
                </c:pt>
                <c:pt idx="1520">
                  <c:v>0.8</c:v>
                </c:pt>
                <c:pt idx="1521">
                  <c:v>0.23</c:v>
                </c:pt>
                <c:pt idx="1522">
                  <c:v>0.88</c:v>
                </c:pt>
                <c:pt idx="1523">
                  <c:v>0.75</c:v>
                </c:pt>
                <c:pt idx="1524">
                  <c:v>7.0000000000000007E-2</c:v>
                </c:pt>
                <c:pt idx="1525">
                  <c:v>0.31</c:v>
                </c:pt>
                <c:pt idx="1526">
                  <c:v>0.47</c:v>
                </c:pt>
                <c:pt idx="1527">
                  <c:v>0.88</c:v>
                </c:pt>
                <c:pt idx="1528">
                  <c:v>0.67</c:v>
                </c:pt>
                <c:pt idx="1529">
                  <c:v>0.63</c:v>
                </c:pt>
                <c:pt idx="1530">
                  <c:v>7.0000000000000007E-2</c:v>
                </c:pt>
                <c:pt idx="1531">
                  <c:v>0.63</c:v>
                </c:pt>
                <c:pt idx="1532">
                  <c:v>0.11</c:v>
                </c:pt>
                <c:pt idx="1533">
                  <c:v>0.39</c:v>
                </c:pt>
                <c:pt idx="1534">
                  <c:v>0.21</c:v>
                </c:pt>
                <c:pt idx="1535">
                  <c:v>0.27</c:v>
                </c:pt>
                <c:pt idx="1536">
                  <c:v>0.46</c:v>
                </c:pt>
                <c:pt idx="1537">
                  <c:v>0.19</c:v>
                </c:pt>
                <c:pt idx="1538">
                  <c:v>0.09</c:v>
                </c:pt>
                <c:pt idx="1539">
                  <c:v>0.56999999999999995</c:v>
                </c:pt>
                <c:pt idx="1540">
                  <c:v>0.26</c:v>
                </c:pt>
                <c:pt idx="1541">
                  <c:v>0.32</c:v>
                </c:pt>
                <c:pt idx="1542">
                  <c:v>0.45</c:v>
                </c:pt>
                <c:pt idx="1543">
                  <c:v>0.42</c:v>
                </c:pt>
                <c:pt idx="1544">
                  <c:v>0.43</c:v>
                </c:pt>
                <c:pt idx="1545">
                  <c:v>0.48</c:v>
                </c:pt>
                <c:pt idx="1546">
                  <c:v>0.4</c:v>
                </c:pt>
                <c:pt idx="1547">
                  <c:v>0.44</c:v>
                </c:pt>
                <c:pt idx="1548">
                  <c:v>0.62</c:v>
                </c:pt>
                <c:pt idx="1549">
                  <c:v>0.61</c:v>
                </c:pt>
                <c:pt idx="1550">
                  <c:v>0.26</c:v>
                </c:pt>
                <c:pt idx="1551">
                  <c:v>0.31</c:v>
                </c:pt>
                <c:pt idx="1552">
                  <c:v>0.19</c:v>
                </c:pt>
                <c:pt idx="1553">
                  <c:v>0.12</c:v>
                </c:pt>
                <c:pt idx="1554">
                  <c:v>0.2</c:v>
                </c:pt>
                <c:pt idx="1555">
                  <c:v>0.21</c:v>
                </c:pt>
                <c:pt idx="1556">
                  <c:v>0.51</c:v>
                </c:pt>
                <c:pt idx="1557">
                  <c:v>0.48</c:v>
                </c:pt>
                <c:pt idx="1558">
                  <c:v>0.89</c:v>
                </c:pt>
                <c:pt idx="1559">
                  <c:v>0.7</c:v>
                </c:pt>
                <c:pt idx="1560">
                  <c:v>0.67</c:v>
                </c:pt>
                <c:pt idx="1561">
                  <c:v>7.0000000000000007E-2</c:v>
                </c:pt>
                <c:pt idx="1562">
                  <c:v>0.86</c:v>
                </c:pt>
                <c:pt idx="1563">
                  <c:v>0.16</c:v>
                </c:pt>
                <c:pt idx="1564">
                  <c:v>0.82</c:v>
                </c:pt>
                <c:pt idx="1565">
                  <c:v>0.62</c:v>
                </c:pt>
                <c:pt idx="1566">
                  <c:v>0.32</c:v>
                </c:pt>
                <c:pt idx="1567">
                  <c:v>0.59</c:v>
                </c:pt>
                <c:pt idx="1568">
                  <c:v>0.47</c:v>
                </c:pt>
                <c:pt idx="1569">
                  <c:v>0.38</c:v>
                </c:pt>
                <c:pt idx="1570">
                  <c:v>0.81</c:v>
                </c:pt>
                <c:pt idx="1571">
                  <c:v>0.31</c:v>
                </c:pt>
                <c:pt idx="1572">
                  <c:v>0.93</c:v>
                </c:pt>
                <c:pt idx="1573">
                  <c:v>0.5</c:v>
                </c:pt>
                <c:pt idx="1574">
                  <c:v>0.36</c:v>
                </c:pt>
                <c:pt idx="1575">
                  <c:v>0.32</c:v>
                </c:pt>
                <c:pt idx="1576">
                  <c:v>0.5</c:v>
                </c:pt>
                <c:pt idx="1577">
                  <c:v>0.45</c:v>
                </c:pt>
                <c:pt idx="1578">
                  <c:v>0.42</c:v>
                </c:pt>
                <c:pt idx="1579">
                  <c:v>0.89</c:v>
                </c:pt>
                <c:pt idx="1580">
                  <c:v>0.14000000000000001</c:v>
                </c:pt>
                <c:pt idx="1581">
                  <c:v>0.77</c:v>
                </c:pt>
                <c:pt idx="1582">
                  <c:v>0.18</c:v>
                </c:pt>
                <c:pt idx="1583">
                  <c:v>0.43</c:v>
                </c:pt>
                <c:pt idx="1584">
                  <c:v>0.26</c:v>
                </c:pt>
                <c:pt idx="1585">
                  <c:v>0.56000000000000005</c:v>
                </c:pt>
                <c:pt idx="1586">
                  <c:v>0.76</c:v>
                </c:pt>
                <c:pt idx="1587">
                  <c:v>0.35</c:v>
                </c:pt>
                <c:pt idx="1588">
                  <c:v>0.46</c:v>
                </c:pt>
                <c:pt idx="1589">
                  <c:v>0.12</c:v>
                </c:pt>
                <c:pt idx="1590">
                  <c:v>0.49</c:v>
                </c:pt>
                <c:pt idx="1591">
                  <c:v>0.7</c:v>
                </c:pt>
                <c:pt idx="1592">
                  <c:v>0.4</c:v>
                </c:pt>
                <c:pt idx="1593">
                  <c:v>0.9</c:v>
                </c:pt>
                <c:pt idx="1594">
                  <c:v>0.31</c:v>
                </c:pt>
                <c:pt idx="1595">
                  <c:v>0.13</c:v>
                </c:pt>
                <c:pt idx="1596">
                  <c:v>0.8</c:v>
                </c:pt>
                <c:pt idx="1597">
                  <c:v>0.61</c:v>
                </c:pt>
                <c:pt idx="1598">
                  <c:v>0.56999999999999995</c:v>
                </c:pt>
                <c:pt idx="1599">
                  <c:v>0.47</c:v>
                </c:pt>
                <c:pt idx="1600">
                  <c:v>0.37</c:v>
                </c:pt>
                <c:pt idx="1601">
                  <c:v>0.12</c:v>
                </c:pt>
                <c:pt idx="1602">
                  <c:v>0.78</c:v>
                </c:pt>
                <c:pt idx="1603">
                  <c:v>0.44</c:v>
                </c:pt>
                <c:pt idx="1604">
                  <c:v>0.19</c:v>
                </c:pt>
                <c:pt idx="1605">
                  <c:v>0.49</c:v>
                </c:pt>
                <c:pt idx="1606">
                  <c:v>0.82</c:v>
                </c:pt>
                <c:pt idx="1607">
                  <c:v>0.5</c:v>
                </c:pt>
                <c:pt idx="1608">
                  <c:v>0.28999999999999998</c:v>
                </c:pt>
                <c:pt idx="1609">
                  <c:v>0.15</c:v>
                </c:pt>
                <c:pt idx="1610">
                  <c:v>0.47</c:v>
                </c:pt>
                <c:pt idx="1611">
                  <c:v>0.56999999999999995</c:v>
                </c:pt>
                <c:pt idx="1612">
                  <c:v>0.56999999999999995</c:v>
                </c:pt>
                <c:pt idx="1613">
                  <c:v>0.24</c:v>
                </c:pt>
                <c:pt idx="1614">
                  <c:v>0.53</c:v>
                </c:pt>
                <c:pt idx="1615">
                  <c:v>0.2</c:v>
                </c:pt>
                <c:pt idx="1616">
                  <c:v>0.88</c:v>
                </c:pt>
                <c:pt idx="1617">
                  <c:v>0.66</c:v>
                </c:pt>
                <c:pt idx="1618">
                  <c:v>0.47</c:v>
                </c:pt>
                <c:pt idx="1619">
                  <c:v>0.57999999999999996</c:v>
                </c:pt>
                <c:pt idx="1620">
                  <c:v>0.38</c:v>
                </c:pt>
                <c:pt idx="1621">
                  <c:v>0.55000000000000004</c:v>
                </c:pt>
                <c:pt idx="1622">
                  <c:v>0.49</c:v>
                </c:pt>
                <c:pt idx="1623">
                  <c:v>0.34</c:v>
                </c:pt>
                <c:pt idx="1624">
                  <c:v>0.17</c:v>
                </c:pt>
                <c:pt idx="1625">
                  <c:v>0.77</c:v>
                </c:pt>
                <c:pt idx="1626">
                  <c:v>0.8</c:v>
                </c:pt>
                <c:pt idx="1627">
                  <c:v>0.73</c:v>
                </c:pt>
                <c:pt idx="1628">
                  <c:v>0.09</c:v>
                </c:pt>
                <c:pt idx="1629">
                  <c:v>0.68</c:v>
                </c:pt>
                <c:pt idx="1630">
                  <c:v>0.33</c:v>
                </c:pt>
                <c:pt idx="1631">
                  <c:v>0.64</c:v>
                </c:pt>
                <c:pt idx="1632">
                  <c:v>0.78</c:v>
                </c:pt>
                <c:pt idx="1633">
                  <c:v>0.54</c:v>
                </c:pt>
                <c:pt idx="1634">
                  <c:v>0.32</c:v>
                </c:pt>
                <c:pt idx="1635">
                  <c:v>0.37</c:v>
                </c:pt>
                <c:pt idx="1636">
                  <c:v>0.11</c:v>
                </c:pt>
                <c:pt idx="1637">
                  <c:v>0.36</c:v>
                </c:pt>
                <c:pt idx="1638">
                  <c:v>0.52</c:v>
                </c:pt>
                <c:pt idx="1639">
                  <c:v>0.75</c:v>
                </c:pt>
                <c:pt idx="1640">
                  <c:v>0.46</c:v>
                </c:pt>
                <c:pt idx="1641">
                  <c:v>0.79</c:v>
                </c:pt>
                <c:pt idx="1642">
                  <c:v>0.87</c:v>
                </c:pt>
                <c:pt idx="1643">
                  <c:v>0.28999999999999998</c:v>
                </c:pt>
                <c:pt idx="1644">
                  <c:v>0.55000000000000004</c:v>
                </c:pt>
                <c:pt idx="1645">
                  <c:v>0.83</c:v>
                </c:pt>
                <c:pt idx="1646">
                  <c:v>0.17</c:v>
                </c:pt>
                <c:pt idx="1647">
                  <c:v>0.41</c:v>
                </c:pt>
                <c:pt idx="1648">
                  <c:v>0.85</c:v>
                </c:pt>
                <c:pt idx="1649">
                  <c:v>0.32</c:v>
                </c:pt>
                <c:pt idx="1650">
                  <c:v>0.73</c:v>
                </c:pt>
                <c:pt idx="1651">
                  <c:v>0.36</c:v>
                </c:pt>
                <c:pt idx="1652">
                  <c:v>0.5</c:v>
                </c:pt>
                <c:pt idx="1653">
                  <c:v>0.11</c:v>
                </c:pt>
                <c:pt idx="1654">
                  <c:v>0.83</c:v>
                </c:pt>
                <c:pt idx="1655">
                  <c:v>0.93</c:v>
                </c:pt>
                <c:pt idx="1656">
                  <c:v>0.4</c:v>
                </c:pt>
                <c:pt idx="1657">
                  <c:v>0.1</c:v>
                </c:pt>
                <c:pt idx="1658">
                  <c:v>0.91</c:v>
                </c:pt>
                <c:pt idx="1659">
                  <c:v>0.48</c:v>
                </c:pt>
                <c:pt idx="1660">
                  <c:v>0.75</c:v>
                </c:pt>
                <c:pt idx="1661">
                  <c:v>0.17</c:v>
                </c:pt>
                <c:pt idx="1662">
                  <c:v>0.7</c:v>
                </c:pt>
                <c:pt idx="1663">
                  <c:v>0.83</c:v>
                </c:pt>
                <c:pt idx="1664">
                  <c:v>0.69</c:v>
                </c:pt>
                <c:pt idx="1665">
                  <c:v>0.64</c:v>
                </c:pt>
                <c:pt idx="1666">
                  <c:v>0.6</c:v>
                </c:pt>
                <c:pt idx="1667">
                  <c:v>0.16</c:v>
                </c:pt>
                <c:pt idx="1668">
                  <c:v>0.56999999999999995</c:v>
                </c:pt>
                <c:pt idx="1669">
                  <c:v>0.78</c:v>
                </c:pt>
                <c:pt idx="1670">
                  <c:v>0.75</c:v>
                </c:pt>
                <c:pt idx="1671">
                  <c:v>7.0000000000000007E-2</c:v>
                </c:pt>
                <c:pt idx="1672">
                  <c:v>0.56000000000000005</c:v>
                </c:pt>
                <c:pt idx="1673">
                  <c:v>0.52</c:v>
                </c:pt>
                <c:pt idx="1674">
                  <c:v>0.28999999999999998</c:v>
                </c:pt>
                <c:pt idx="1675">
                  <c:v>0.19</c:v>
                </c:pt>
                <c:pt idx="1676">
                  <c:v>0.2</c:v>
                </c:pt>
                <c:pt idx="1677">
                  <c:v>0.18</c:v>
                </c:pt>
                <c:pt idx="1678">
                  <c:v>0.59</c:v>
                </c:pt>
                <c:pt idx="1679">
                  <c:v>0.45</c:v>
                </c:pt>
                <c:pt idx="1680">
                  <c:v>0.95</c:v>
                </c:pt>
                <c:pt idx="1681">
                  <c:v>0.27</c:v>
                </c:pt>
                <c:pt idx="1682">
                  <c:v>0.21</c:v>
                </c:pt>
                <c:pt idx="1683">
                  <c:v>0.65</c:v>
                </c:pt>
                <c:pt idx="1684">
                  <c:v>0.55000000000000004</c:v>
                </c:pt>
                <c:pt idx="1685">
                  <c:v>0.28999999999999998</c:v>
                </c:pt>
                <c:pt idx="1686">
                  <c:v>0.1</c:v>
                </c:pt>
                <c:pt idx="1687">
                  <c:v>0.73</c:v>
                </c:pt>
                <c:pt idx="1688">
                  <c:v>0.93</c:v>
                </c:pt>
                <c:pt idx="1689">
                  <c:v>0.46</c:v>
                </c:pt>
                <c:pt idx="1690">
                  <c:v>0.48</c:v>
                </c:pt>
                <c:pt idx="1691">
                  <c:v>0.15</c:v>
                </c:pt>
                <c:pt idx="1692">
                  <c:v>0.53</c:v>
                </c:pt>
                <c:pt idx="1693">
                  <c:v>0.45</c:v>
                </c:pt>
                <c:pt idx="1694">
                  <c:v>0.39</c:v>
                </c:pt>
                <c:pt idx="1695">
                  <c:v>0.85</c:v>
                </c:pt>
                <c:pt idx="1696">
                  <c:v>0.45</c:v>
                </c:pt>
                <c:pt idx="1697">
                  <c:v>0.8</c:v>
                </c:pt>
                <c:pt idx="1698">
                  <c:v>0.52</c:v>
                </c:pt>
                <c:pt idx="1699">
                  <c:v>0.43</c:v>
                </c:pt>
                <c:pt idx="1700">
                  <c:v>0.82</c:v>
                </c:pt>
                <c:pt idx="1701">
                  <c:v>0.26</c:v>
                </c:pt>
                <c:pt idx="1702">
                  <c:v>0.49</c:v>
                </c:pt>
                <c:pt idx="1703">
                  <c:v>0.16</c:v>
                </c:pt>
                <c:pt idx="1704">
                  <c:v>0.63</c:v>
                </c:pt>
                <c:pt idx="1705">
                  <c:v>0.42</c:v>
                </c:pt>
                <c:pt idx="1706">
                  <c:v>0.28000000000000003</c:v>
                </c:pt>
                <c:pt idx="1707">
                  <c:v>0.24</c:v>
                </c:pt>
                <c:pt idx="1708">
                  <c:v>0.09</c:v>
                </c:pt>
                <c:pt idx="1709">
                  <c:v>0.45</c:v>
                </c:pt>
                <c:pt idx="1710">
                  <c:v>0.32</c:v>
                </c:pt>
                <c:pt idx="1711">
                  <c:v>0.56000000000000005</c:v>
                </c:pt>
                <c:pt idx="1712">
                  <c:v>0.47</c:v>
                </c:pt>
                <c:pt idx="1713">
                  <c:v>0.44</c:v>
                </c:pt>
                <c:pt idx="1714">
                  <c:v>0.14000000000000001</c:v>
                </c:pt>
                <c:pt idx="1715">
                  <c:v>0.67</c:v>
                </c:pt>
                <c:pt idx="1716">
                  <c:v>0.42</c:v>
                </c:pt>
                <c:pt idx="1717">
                  <c:v>0.79</c:v>
                </c:pt>
                <c:pt idx="1718">
                  <c:v>0.9</c:v>
                </c:pt>
                <c:pt idx="1719">
                  <c:v>0.69</c:v>
                </c:pt>
                <c:pt idx="1720">
                  <c:v>0.64</c:v>
                </c:pt>
                <c:pt idx="1721">
                  <c:v>0.78</c:v>
                </c:pt>
                <c:pt idx="1722">
                  <c:v>0.31</c:v>
                </c:pt>
                <c:pt idx="1723">
                  <c:v>0.39</c:v>
                </c:pt>
                <c:pt idx="1724">
                  <c:v>7.0000000000000007E-2</c:v>
                </c:pt>
                <c:pt idx="1725">
                  <c:v>0.06</c:v>
                </c:pt>
                <c:pt idx="1726">
                  <c:v>0.8</c:v>
                </c:pt>
                <c:pt idx="1727">
                  <c:v>0.25</c:v>
                </c:pt>
                <c:pt idx="1728">
                  <c:v>0.42</c:v>
                </c:pt>
                <c:pt idx="1729">
                  <c:v>0.22</c:v>
                </c:pt>
                <c:pt idx="1730">
                  <c:v>0.61</c:v>
                </c:pt>
                <c:pt idx="1731">
                  <c:v>0.23</c:v>
                </c:pt>
                <c:pt idx="1732">
                  <c:v>0.26</c:v>
                </c:pt>
                <c:pt idx="1733">
                  <c:v>0.6</c:v>
                </c:pt>
                <c:pt idx="1734">
                  <c:v>0.36</c:v>
                </c:pt>
                <c:pt idx="1735">
                  <c:v>0.25</c:v>
                </c:pt>
                <c:pt idx="1736">
                  <c:v>0.75</c:v>
                </c:pt>
                <c:pt idx="1737">
                  <c:v>0.4</c:v>
                </c:pt>
                <c:pt idx="1738">
                  <c:v>0.52</c:v>
                </c:pt>
                <c:pt idx="1739">
                  <c:v>0.41</c:v>
                </c:pt>
                <c:pt idx="1740">
                  <c:v>0.95</c:v>
                </c:pt>
                <c:pt idx="1741">
                  <c:v>0.9</c:v>
                </c:pt>
                <c:pt idx="1742">
                  <c:v>0.69</c:v>
                </c:pt>
                <c:pt idx="1743">
                  <c:v>0.89</c:v>
                </c:pt>
                <c:pt idx="1744">
                  <c:v>0.09</c:v>
                </c:pt>
                <c:pt idx="1745">
                  <c:v>0.42</c:v>
                </c:pt>
                <c:pt idx="1746">
                  <c:v>0.28999999999999998</c:v>
                </c:pt>
                <c:pt idx="1747">
                  <c:v>0.32</c:v>
                </c:pt>
                <c:pt idx="1748">
                  <c:v>0.83</c:v>
                </c:pt>
                <c:pt idx="1749">
                  <c:v>0.56000000000000005</c:v>
                </c:pt>
                <c:pt idx="1750">
                  <c:v>0.09</c:v>
                </c:pt>
                <c:pt idx="1751">
                  <c:v>0.91</c:v>
                </c:pt>
                <c:pt idx="1752">
                  <c:v>0.09</c:v>
                </c:pt>
                <c:pt idx="1753">
                  <c:v>0.83</c:v>
                </c:pt>
                <c:pt idx="1754">
                  <c:v>0.44</c:v>
                </c:pt>
                <c:pt idx="1755">
                  <c:v>0.56999999999999995</c:v>
                </c:pt>
                <c:pt idx="1756">
                  <c:v>0.6</c:v>
                </c:pt>
                <c:pt idx="1757">
                  <c:v>0.46</c:v>
                </c:pt>
                <c:pt idx="1758">
                  <c:v>0.18</c:v>
                </c:pt>
                <c:pt idx="1759">
                  <c:v>0.13</c:v>
                </c:pt>
                <c:pt idx="1760">
                  <c:v>0.92</c:v>
                </c:pt>
                <c:pt idx="1761">
                  <c:v>0.83</c:v>
                </c:pt>
                <c:pt idx="1762">
                  <c:v>0.82</c:v>
                </c:pt>
                <c:pt idx="1763">
                  <c:v>0.76</c:v>
                </c:pt>
                <c:pt idx="1764">
                  <c:v>0.34</c:v>
                </c:pt>
                <c:pt idx="1765">
                  <c:v>0.36</c:v>
                </c:pt>
                <c:pt idx="1766">
                  <c:v>0.77</c:v>
                </c:pt>
                <c:pt idx="1767">
                  <c:v>0.24</c:v>
                </c:pt>
                <c:pt idx="1768">
                  <c:v>0.08</c:v>
                </c:pt>
                <c:pt idx="1769">
                  <c:v>0.56000000000000005</c:v>
                </c:pt>
                <c:pt idx="1770">
                  <c:v>0.89</c:v>
                </c:pt>
                <c:pt idx="1771">
                  <c:v>0.48</c:v>
                </c:pt>
                <c:pt idx="1772">
                  <c:v>0.17</c:v>
                </c:pt>
                <c:pt idx="1773">
                  <c:v>0.1</c:v>
                </c:pt>
                <c:pt idx="1774">
                  <c:v>0.67</c:v>
                </c:pt>
                <c:pt idx="1775">
                  <c:v>0.33</c:v>
                </c:pt>
                <c:pt idx="1776">
                  <c:v>0.82</c:v>
                </c:pt>
                <c:pt idx="1777">
                  <c:v>0.85</c:v>
                </c:pt>
                <c:pt idx="1778">
                  <c:v>0.72</c:v>
                </c:pt>
                <c:pt idx="1779">
                  <c:v>0.91</c:v>
                </c:pt>
                <c:pt idx="1780">
                  <c:v>0.36</c:v>
                </c:pt>
                <c:pt idx="1781">
                  <c:v>0.38</c:v>
                </c:pt>
                <c:pt idx="1782">
                  <c:v>0.39</c:v>
                </c:pt>
                <c:pt idx="1783">
                  <c:v>0.06</c:v>
                </c:pt>
                <c:pt idx="1784">
                  <c:v>0.56999999999999995</c:v>
                </c:pt>
                <c:pt idx="1785">
                  <c:v>0.37</c:v>
                </c:pt>
                <c:pt idx="1786">
                  <c:v>0.56999999999999995</c:v>
                </c:pt>
                <c:pt idx="1787">
                  <c:v>0.64</c:v>
                </c:pt>
                <c:pt idx="1788">
                  <c:v>0.56999999999999995</c:v>
                </c:pt>
                <c:pt idx="1789">
                  <c:v>0.53</c:v>
                </c:pt>
                <c:pt idx="1790">
                  <c:v>0.35</c:v>
                </c:pt>
                <c:pt idx="1791">
                  <c:v>0.59</c:v>
                </c:pt>
                <c:pt idx="1792">
                  <c:v>0.86</c:v>
                </c:pt>
                <c:pt idx="1793">
                  <c:v>0.62</c:v>
                </c:pt>
                <c:pt idx="1794">
                  <c:v>0.34</c:v>
                </c:pt>
                <c:pt idx="1795">
                  <c:v>0.71</c:v>
                </c:pt>
                <c:pt idx="1796">
                  <c:v>0.44</c:v>
                </c:pt>
                <c:pt idx="1797">
                  <c:v>0.57999999999999996</c:v>
                </c:pt>
                <c:pt idx="1798">
                  <c:v>0.19</c:v>
                </c:pt>
                <c:pt idx="1799">
                  <c:v>0.53</c:v>
                </c:pt>
                <c:pt idx="1800">
                  <c:v>0.32</c:v>
                </c:pt>
                <c:pt idx="1801">
                  <c:v>0.54</c:v>
                </c:pt>
                <c:pt idx="1802">
                  <c:v>0.56000000000000005</c:v>
                </c:pt>
                <c:pt idx="1803">
                  <c:v>0.64</c:v>
                </c:pt>
                <c:pt idx="1804">
                  <c:v>0.47</c:v>
                </c:pt>
                <c:pt idx="1805">
                  <c:v>0.28999999999999998</c:v>
                </c:pt>
                <c:pt idx="1806">
                  <c:v>0.25</c:v>
                </c:pt>
                <c:pt idx="1807">
                  <c:v>0.23</c:v>
                </c:pt>
                <c:pt idx="1808">
                  <c:v>0.43</c:v>
                </c:pt>
                <c:pt idx="1809">
                  <c:v>0.31</c:v>
                </c:pt>
                <c:pt idx="1810">
                  <c:v>0.61</c:v>
                </c:pt>
                <c:pt idx="1811">
                  <c:v>0.35</c:v>
                </c:pt>
                <c:pt idx="1812">
                  <c:v>0.62</c:v>
                </c:pt>
                <c:pt idx="1813">
                  <c:v>0.54</c:v>
                </c:pt>
                <c:pt idx="1814">
                  <c:v>0.75</c:v>
                </c:pt>
                <c:pt idx="1815">
                  <c:v>0.55000000000000004</c:v>
                </c:pt>
                <c:pt idx="1816">
                  <c:v>0.73</c:v>
                </c:pt>
                <c:pt idx="1817">
                  <c:v>0.45</c:v>
                </c:pt>
                <c:pt idx="1818">
                  <c:v>0.35</c:v>
                </c:pt>
                <c:pt idx="1819">
                  <c:v>0.74</c:v>
                </c:pt>
                <c:pt idx="1820">
                  <c:v>0.4</c:v>
                </c:pt>
                <c:pt idx="1821">
                  <c:v>0.75</c:v>
                </c:pt>
                <c:pt idx="1822">
                  <c:v>0.51</c:v>
                </c:pt>
                <c:pt idx="1823">
                  <c:v>0.83</c:v>
                </c:pt>
                <c:pt idx="1824">
                  <c:v>0.12</c:v>
                </c:pt>
                <c:pt idx="1825">
                  <c:v>0.36</c:v>
                </c:pt>
                <c:pt idx="1826">
                  <c:v>0.14000000000000001</c:v>
                </c:pt>
                <c:pt idx="1827">
                  <c:v>0.3</c:v>
                </c:pt>
                <c:pt idx="1828">
                  <c:v>0.32</c:v>
                </c:pt>
                <c:pt idx="1829">
                  <c:v>0.55000000000000004</c:v>
                </c:pt>
                <c:pt idx="1830">
                  <c:v>0.67</c:v>
                </c:pt>
                <c:pt idx="1831">
                  <c:v>7.0000000000000007E-2</c:v>
                </c:pt>
                <c:pt idx="1832">
                  <c:v>0.22</c:v>
                </c:pt>
                <c:pt idx="1833">
                  <c:v>0.14000000000000001</c:v>
                </c:pt>
                <c:pt idx="1834">
                  <c:v>0.54</c:v>
                </c:pt>
                <c:pt idx="1835">
                  <c:v>0.57999999999999996</c:v>
                </c:pt>
                <c:pt idx="1836">
                  <c:v>0.27</c:v>
                </c:pt>
                <c:pt idx="1837">
                  <c:v>0.65</c:v>
                </c:pt>
                <c:pt idx="1838">
                  <c:v>0.26</c:v>
                </c:pt>
                <c:pt idx="1839">
                  <c:v>0.2</c:v>
                </c:pt>
                <c:pt idx="1840">
                  <c:v>0.24</c:v>
                </c:pt>
                <c:pt idx="1841">
                  <c:v>0.26</c:v>
                </c:pt>
                <c:pt idx="1842">
                  <c:v>0.5</c:v>
                </c:pt>
                <c:pt idx="1843">
                  <c:v>0.93</c:v>
                </c:pt>
                <c:pt idx="1844">
                  <c:v>0.47</c:v>
                </c:pt>
                <c:pt idx="1845">
                  <c:v>0.22</c:v>
                </c:pt>
                <c:pt idx="1846">
                  <c:v>0.27</c:v>
                </c:pt>
                <c:pt idx="1847">
                  <c:v>0.11</c:v>
                </c:pt>
                <c:pt idx="1848">
                  <c:v>0.88</c:v>
                </c:pt>
                <c:pt idx="1849">
                  <c:v>0.67</c:v>
                </c:pt>
                <c:pt idx="1850">
                  <c:v>0.46</c:v>
                </c:pt>
                <c:pt idx="1851">
                  <c:v>0.73</c:v>
                </c:pt>
                <c:pt idx="1852">
                  <c:v>0.7</c:v>
                </c:pt>
                <c:pt idx="1853">
                  <c:v>0.47</c:v>
                </c:pt>
                <c:pt idx="1854">
                  <c:v>0.18</c:v>
                </c:pt>
                <c:pt idx="1855">
                  <c:v>0.13</c:v>
                </c:pt>
                <c:pt idx="1856">
                  <c:v>0.36</c:v>
                </c:pt>
                <c:pt idx="1857">
                  <c:v>0.43</c:v>
                </c:pt>
                <c:pt idx="1858">
                  <c:v>0.11</c:v>
                </c:pt>
                <c:pt idx="1859">
                  <c:v>0.65</c:v>
                </c:pt>
                <c:pt idx="1860">
                  <c:v>0.26</c:v>
                </c:pt>
                <c:pt idx="1861">
                  <c:v>0.27</c:v>
                </c:pt>
                <c:pt idx="1862">
                  <c:v>0.67</c:v>
                </c:pt>
                <c:pt idx="1863">
                  <c:v>0.44</c:v>
                </c:pt>
                <c:pt idx="1864">
                  <c:v>0.25</c:v>
                </c:pt>
                <c:pt idx="1865">
                  <c:v>0.67</c:v>
                </c:pt>
                <c:pt idx="1866">
                  <c:v>0.46</c:v>
                </c:pt>
                <c:pt idx="1867">
                  <c:v>0.56000000000000005</c:v>
                </c:pt>
                <c:pt idx="1868">
                  <c:v>0.23</c:v>
                </c:pt>
                <c:pt idx="1869">
                  <c:v>0.05</c:v>
                </c:pt>
                <c:pt idx="1870">
                  <c:v>0.8</c:v>
                </c:pt>
                <c:pt idx="1871">
                  <c:v>0.52</c:v>
                </c:pt>
                <c:pt idx="1872">
                  <c:v>0.85</c:v>
                </c:pt>
                <c:pt idx="1873">
                  <c:v>0.59</c:v>
                </c:pt>
                <c:pt idx="1874">
                  <c:v>0.73</c:v>
                </c:pt>
                <c:pt idx="1875">
                  <c:v>0.41</c:v>
                </c:pt>
                <c:pt idx="1876">
                  <c:v>0.68</c:v>
                </c:pt>
                <c:pt idx="1877">
                  <c:v>0.92</c:v>
                </c:pt>
                <c:pt idx="1878">
                  <c:v>0.9</c:v>
                </c:pt>
                <c:pt idx="1879">
                  <c:v>0.93</c:v>
                </c:pt>
                <c:pt idx="1880">
                  <c:v>0.68</c:v>
                </c:pt>
                <c:pt idx="1881">
                  <c:v>0.41</c:v>
                </c:pt>
                <c:pt idx="1882">
                  <c:v>0.41</c:v>
                </c:pt>
                <c:pt idx="1883">
                  <c:v>0.25</c:v>
                </c:pt>
                <c:pt idx="1884">
                  <c:v>0.12</c:v>
                </c:pt>
                <c:pt idx="1885">
                  <c:v>0.28000000000000003</c:v>
                </c:pt>
                <c:pt idx="1886">
                  <c:v>0.22</c:v>
                </c:pt>
                <c:pt idx="1887">
                  <c:v>0.82</c:v>
                </c:pt>
                <c:pt idx="1888">
                  <c:v>0.42</c:v>
                </c:pt>
                <c:pt idx="1889">
                  <c:v>0.51</c:v>
                </c:pt>
                <c:pt idx="1890">
                  <c:v>0.81</c:v>
                </c:pt>
                <c:pt idx="1891">
                  <c:v>0.32</c:v>
                </c:pt>
                <c:pt idx="1892">
                  <c:v>0.5</c:v>
                </c:pt>
                <c:pt idx="1893">
                  <c:v>0.17</c:v>
                </c:pt>
                <c:pt idx="1894">
                  <c:v>0.22</c:v>
                </c:pt>
                <c:pt idx="1895">
                  <c:v>0.81</c:v>
                </c:pt>
                <c:pt idx="1896">
                  <c:v>0.44</c:v>
                </c:pt>
                <c:pt idx="1897">
                  <c:v>0.59</c:v>
                </c:pt>
                <c:pt idx="1898">
                  <c:v>0.67</c:v>
                </c:pt>
                <c:pt idx="1899">
                  <c:v>0.18</c:v>
                </c:pt>
                <c:pt idx="1900">
                  <c:v>0.22</c:v>
                </c:pt>
                <c:pt idx="1901">
                  <c:v>0.76</c:v>
                </c:pt>
                <c:pt idx="1902">
                  <c:v>0.79</c:v>
                </c:pt>
                <c:pt idx="1903">
                  <c:v>0.91</c:v>
                </c:pt>
                <c:pt idx="1904">
                  <c:v>0.82</c:v>
                </c:pt>
                <c:pt idx="1905">
                  <c:v>0.75</c:v>
                </c:pt>
                <c:pt idx="1906">
                  <c:v>0.33</c:v>
                </c:pt>
                <c:pt idx="1907">
                  <c:v>0.25</c:v>
                </c:pt>
                <c:pt idx="1908">
                  <c:v>0.87</c:v>
                </c:pt>
                <c:pt idx="1909">
                  <c:v>0.33</c:v>
                </c:pt>
                <c:pt idx="1910">
                  <c:v>0.39</c:v>
                </c:pt>
                <c:pt idx="1911">
                  <c:v>0.81</c:v>
                </c:pt>
                <c:pt idx="1912">
                  <c:v>0.09</c:v>
                </c:pt>
                <c:pt idx="1913">
                  <c:v>0.91</c:v>
                </c:pt>
                <c:pt idx="1914">
                  <c:v>0.54</c:v>
                </c:pt>
                <c:pt idx="1915">
                  <c:v>0.52</c:v>
                </c:pt>
                <c:pt idx="1916">
                  <c:v>0.28000000000000003</c:v>
                </c:pt>
                <c:pt idx="1917">
                  <c:v>0.31</c:v>
                </c:pt>
                <c:pt idx="1918">
                  <c:v>0.45</c:v>
                </c:pt>
                <c:pt idx="1919">
                  <c:v>0.93</c:v>
                </c:pt>
                <c:pt idx="1920">
                  <c:v>0.42</c:v>
                </c:pt>
                <c:pt idx="1921">
                  <c:v>0.48</c:v>
                </c:pt>
                <c:pt idx="1922">
                  <c:v>0.54</c:v>
                </c:pt>
                <c:pt idx="1923">
                  <c:v>0.13</c:v>
                </c:pt>
                <c:pt idx="1924">
                  <c:v>0.16</c:v>
                </c:pt>
                <c:pt idx="1925">
                  <c:v>0.65</c:v>
                </c:pt>
                <c:pt idx="1926">
                  <c:v>0.5</c:v>
                </c:pt>
                <c:pt idx="1927">
                  <c:v>0.8</c:v>
                </c:pt>
                <c:pt idx="1928">
                  <c:v>0.4</c:v>
                </c:pt>
                <c:pt idx="1929">
                  <c:v>0.33</c:v>
                </c:pt>
                <c:pt idx="1930">
                  <c:v>0.41</c:v>
                </c:pt>
                <c:pt idx="1931">
                  <c:v>0.12</c:v>
                </c:pt>
                <c:pt idx="1932">
                  <c:v>0.8</c:v>
                </c:pt>
                <c:pt idx="1933">
                  <c:v>0.85</c:v>
                </c:pt>
                <c:pt idx="1934">
                  <c:v>0.94</c:v>
                </c:pt>
                <c:pt idx="1935">
                  <c:v>0.73</c:v>
                </c:pt>
                <c:pt idx="1936">
                  <c:v>0.08</c:v>
                </c:pt>
                <c:pt idx="1937">
                  <c:v>0.35</c:v>
                </c:pt>
                <c:pt idx="1938">
                  <c:v>0.72</c:v>
                </c:pt>
                <c:pt idx="1939">
                  <c:v>0.72</c:v>
                </c:pt>
                <c:pt idx="1940">
                  <c:v>0.49</c:v>
                </c:pt>
                <c:pt idx="1941">
                  <c:v>0.56999999999999995</c:v>
                </c:pt>
                <c:pt idx="1942">
                  <c:v>0.83</c:v>
                </c:pt>
                <c:pt idx="1943">
                  <c:v>0.88</c:v>
                </c:pt>
                <c:pt idx="1944">
                  <c:v>0.86</c:v>
                </c:pt>
                <c:pt idx="1945">
                  <c:v>0.06</c:v>
                </c:pt>
                <c:pt idx="1946">
                  <c:v>0.16</c:v>
                </c:pt>
                <c:pt idx="1947">
                  <c:v>0.19</c:v>
                </c:pt>
                <c:pt idx="1948">
                  <c:v>0.61</c:v>
                </c:pt>
                <c:pt idx="1949">
                  <c:v>0.12</c:v>
                </c:pt>
                <c:pt idx="1950">
                  <c:v>0.2</c:v>
                </c:pt>
                <c:pt idx="1951">
                  <c:v>0.44</c:v>
                </c:pt>
                <c:pt idx="1952">
                  <c:v>0.93</c:v>
                </c:pt>
                <c:pt idx="1953">
                  <c:v>0.4</c:v>
                </c:pt>
                <c:pt idx="1954">
                  <c:v>0.32</c:v>
                </c:pt>
                <c:pt idx="1955">
                  <c:v>0.19</c:v>
                </c:pt>
                <c:pt idx="1956">
                  <c:v>0.75</c:v>
                </c:pt>
                <c:pt idx="1957">
                  <c:v>0.31</c:v>
                </c:pt>
                <c:pt idx="1958">
                  <c:v>0.47</c:v>
                </c:pt>
                <c:pt idx="1959">
                  <c:v>0.39</c:v>
                </c:pt>
                <c:pt idx="1960">
                  <c:v>0.63</c:v>
                </c:pt>
                <c:pt idx="1961">
                  <c:v>0.39</c:v>
                </c:pt>
                <c:pt idx="1962">
                  <c:v>0.78</c:v>
                </c:pt>
                <c:pt idx="1963">
                  <c:v>0.3</c:v>
                </c:pt>
                <c:pt idx="1964">
                  <c:v>0.6</c:v>
                </c:pt>
                <c:pt idx="1965">
                  <c:v>0.45</c:v>
                </c:pt>
                <c:pt idx="1966">
                  <c:v>0.22</c:v>
                </c:pt>
                <c:pt idx="1967">
                  <c:v>0.32</c:v>
                </c:pt>
                <c:pt idx="1968">
                  <c:v>0.22</c:v>
                </c:pt>
                <c:pt idx="1969">
                  <c:v>0.44</c:v>
                </c:pt>
                <c:pt idx="1970">
                  <c:v>0.71</c:v>
                </c:pt>
                <c:pt idx="1971">
                  <c:v>0.53</c:v>
                </c:pt>
                <c:pt idx="1972">
                  <c:v>0.05</c:v>
                </c:pt>
                <c:pt idx="1973">
                  <c:v>7.0000000000000007E-2</c:v>
                </c:pt>
                <c:pt idx="1974">
                  <c:v>0.28000000000000003</c:v>
                </c:pt>
                <c:pt idx="1975">
                  <c:v>0.56000000000000005</c:v>
                </c:pt>
                <c:pt idx="1976">
                  <c:v>0.61</c:v>
                </c:pt>
                <c:pt idx="1977">
                  <c:v>0.28000000000000003</c:v>
                </c:pt>
                <c:pt idx="1978">
                  <c:v>0.15</c:v>
                </c:pt>
                <c:pt idx="1979">
                  <c:v>0.69</c:v>
                </c:pt>
                <c:pt idx="1980">
                  <c:v>0.82</c:v>
                </c:pt>
                <c:pt idx="1981">
                  <c:v>0.28000000000000003</c:v>
                </c:pt>
                <c:pt idx="1982">
                  <c:v>0.44</c:v>
                </c:pt>
                <c:pt idx="1983">
                  <c:v>0.9</c:v>
                </c:pt>
                <c:pt idx="1984">
                  <c:v>0.94</c:v>
                </c:pt>
                <c:pt idx="1985">
                  <c:v>0.24</c:v>
                </c:pt>
                <c:pt idx="1986">
                  <c:v>0.18</c:v>
                </c:pt>
                <c:pt idx="1987">
                  <c:v>0.53</c:v>
                </c:pt>
                <c:pt idx="1988">
                  <c:v>0.55000000000000004</c:v>
                </c:pt>
                <c:pt idx="1989">
                  <c:v>0.64</c:v>
                </c:pt>
                <c:pt idx="1990">
                  <c:v>0.43</c:v>
                </c:pt>
                <c:pt idx="1991">
                  <c:v>0.14000000000000001</c:v>
                </c:pt>
                <c:pt idx="1992">
                  <c:v>0.21</c:v>
                </c:pt>
                <c:pt idx="1993">
                  <c:v>0.11</c:v>
                </c:pt>
                <c:pt idx="1994">
                  <c:v>0.87</c:v>
                </c:pt>
                <c:pt idx="1995">
                  <c:v>0.23</c:v>
                </c:pt>
                <c:pt idx="1996">
                  <c:v>0.66</c:v>
                </c:pt>
                <c:pt idx="1997">
                  <c:v>0.55000000000000004</c:v>
                </c:pt>
                <c:pt idx="1998">
                  <c:v>0.74</c:v>
                </c:pt>
                <c:pt idx="1999">
                  <c:v>0.66</c:v>
                </c:pt>
                <c:pt idx="2000">
                  <c:v>0.4</c:v>
                </c:pt>
                <c:pt idx="2001">
                  <c:v>0.41</c:v>
                </c:pt>
                <c:pt idx="2002">
                  <c:v>0.39</c:v>
                </c:pt>
                <c:pt idx="2003">
                  <c:v>0.49</c:v>
                </c:pt>
                <c:pt idx="2004">
                  <c:v>0.9</c:v>
                </c:pt>
                <c:pt idx="2005">
                  <c:v>0.81</c:v>
                </c:pt>
                <c:pt idx="2006">
                  <c:v>0.78</c:v>
                </c:pt>
                <c:pt idx="2007">
                  <c:v>0.21</c:v>
                </c:pt>
                <c:pt idx="2008">
                  <c:v>7.0000000000000007E-2</c:v>
                </c:pt>
                <c:pt idx="2009">
                  <c:v>0.72</c:v>
                </c:pt>
                <c:pt idx="2010">
                  <c:v>0.78</c:v>
                </c:pt>
                <c:pt idx="2011">
                  <c:v>0.89</c:v>
                </c:pt>
                <c:pt idx="2012">
                  <c:v>0.88</c:v>
                </c:pt>
                <c:pt idx="2013">
                  <c:v>0.55000000000000004</c:v>
                </c:pt>
                <c:pt idx="2014">
                  <c:v>0.62</c:v>
                </c:pt>
                <c:pt idx="2015">
                  <c:v>0.12</c:v>
                </c:pt>
                <c:pt idx="2016">
                  <c:v>0.28999999999999998</c:v>
                </c:pt>
                <c:pt idx="2017">
                  <c:v>0.34</c:v>
                </c:pt>
                <c:pt idx="2018">
                  <c:v>0.7</c:v>
                </c:pt>
                <c:pt idx="2019">
                  <c:v>0.72</c:v>
                </c:pt>
                <c:pt idx="2020">
                  <c:v>0.4</c:v>
                </c:pt>
                <c:pt idx="2021">
                  <c:v>0.4</c:v>
                </c:pt>
                <c:pt idx="2022">
                  <c:v>0.67</c:v>
                </c:pt>
                <c:pt idx="2023">
                  <c:v>0.38</c:v>
                </c:pt>
                <c:pt idx="2024">
                  <c:v>0.13</c:v>
                </c:pt>
                <c:pt idx="2025">
                  <c:v>0.56999999999999995</c:v>
                </c:pt>
                <c:pt idx="2026">
                  <c:v>0.61</c:v>
                </c:pt>
                <c:pt idx="2027">
                  <c:v>0.09</c:v>
                </c:pt>
                <c:pt idx="2028">
                  <c:v>0.75</c:v>
                </c:pt>
                <c:pt idx="2029">
                  <c:v>0.26</c:v>
                </c:pt>
                <c:pt idx="2030">
                  <c:v>0.82</c:v>
                </c:pt>
                <c:pt idx="2031">
                  <c:v>0.19</c:v>
                </c:pt>
                <c:pt idx="2032">
                  <c:v>0.65</c:v>
                </c:pt>
                <c:pt idx="2033">
                  <c:v>0.77</c:v>
                </c:pt>
                <c:pt idx="2034">
                  <c:v>0.55000000000000004</c:v>
                </c:pt>
                <c:pt idx="2035">
                  <c:v>0.86</c:v>
                </c:pt>
                <c:pt idx="2036">
                  <c:v>0.28000000000000003</c:v>
                </c:pt>
                <c:pt idx="2037">
                  <c:v>0.59</c:v>
                </c:pt>
                <c:pt idx="2038">
                  <c:v>0.43</c:v>
                </c:pt>
                <c:pt idx="2039">
                  <c:v>0.73</c:v>
                </c:pt>
                <c:pt idx="2040">
                  <c:v>0.45</c:v>
                </c:pt>
                <c:pt idx="2041">
                  <c:v>0.62</c:v>
                </c:pt>
                <c:pt idx="2042">
                  <c:v>0.44</c:v>
                </c:pt>
                <c:pt idx="2043">
                  <c:v>0.51</c:v>
                </c:pt>
                <c:pt idx="2044">
                  <c:v>0.92</c:v>
                </c:pt>
                <c:pt idx="2045">
                  <c:v>0.15</c:v>
                </c:pt>
                <c:pt idx="2046">
                  <c:v>0.44</c:v>
                </c:pt>
                <c:pt idx="2047">
                  <c:v>0.69</c:v>
                </c:pt>
                <c:pt idx="2048">
                  <c:v>0.53</c:v>
                </c:pt>
                <c:pt idx="2049">
                  <c:v>0.25</c:v>
                </c:pt>
                <c:pt idx="2050">
                  <c:v>0.43</c:v>
                </c:pt>
                <c:pt idx="2051">
                  <c:v>0.24</c:v>
                </c:pt>
                <c:pt idx="2052">
                  <c:v>0.83</c:v>
                </c:pt>
                <c:pt idx="2053">
                  <c:v>0.47</c:v>
                </c:pt>
                <c:pt idx="2054">
                  <c:v>0.91</c:v>
                </c:pt>
                <c:pt idx="2055">
                  <c:v>0.85</c:v>
                </c:pt>
                <c:pt idx="2056">
                  <c:v>0.52</c:v>
                </c:pt>
                <c:pt idx="2057">
                  <c:v>0.66</c:v>
                </c:pt>
                <c:pt idx="2058">
                  <c:v>0.67</c:v>
                </c:pt>
                <c:pt idx="2059">
                  <c:v>0.93</c:v>
                </c:pt>
                <c:pt idx="2060">
                  <c:v>0.34</c:v>
                </c:pt>
                <c:pt idx="2061">
                  <c:v>0.17</c:v>
                </c:pt>
                <c:pt idx="2062">
                  <c:v>0.89</c:v>
                </c:pt>
                <c:pt idx="2063">
                  <c:v>0.18</c:v>
                </c:pt>
                <c:pt idx="2064">
                  <c:v>0.21</c:v>
                </c:pt>
                <c:pt idx="2065">
                  <c:v>0.48</c:v>
                </c:pt>
                <c:pt idx="2066">
                  <c:v>0.73</c:v>
                </c:pt>
                <c:pt idx="2067">
                  <c:v>0.1</c:v>
                </c:pt>
                <c:pt idx="2068">
                  <c:v>0.44</c:v>
                </c:pt>
                <c:pt idx="2069">
                  <c:v>0.43</c:v>
                </c:pt>
                <c:pt idx="2070">
                  <c:v>0.64</c:v>
                </c:pt>
                <c:pt idx="2071">
                  <c:v>0.28000000000000003</c:v>
                </c:pt>
                <c:pt idx="2072">
                  <c:v>0.66</c:v>
                </c:pt>
                <c:pt idx="2073">
                  <c:v>0.15</c:v>
                </c:pt>
                <c:pt idx="2074">
                  <c:v>0.36</c:v>
                </c:pt>
                <c:pt idx="2075">
                  <c:v>0.79</c:v>
                </c:pt>
                <c:pt idx="2076">
                  <c:v>0.87</c:v>
                </c:pt>
                <c:pt idx="2077">
                  <c:v>0.81</c:v>
                </c:pt>
                <c:pt idx="2078">
                  <c:v>0.56999999999999995</c:v>
                </c:pt>
                <c:pt idx="2079">
                  <c:v>0.83</c:v>
                </c:pt>
                <c:pt idx="2080">
                  <c:v>0.48</c:v>
                </c:pt>
                <c:pt idx="2081">
                  <c:v>0.7</c:v>
                </c:pt>
                <c:pt idx="2082">
                  <c:v>0.13</c:v>
                </c:pt>
                <c:pt idx="2083">
                  <c:v>0.86</c:v>
                </c:pt>
                <c:pt idx="2084">
                  <c:v>0.24</c:v>
                </c:pt>
                <c:pt idx="2085">
                  <c:v>0.91</c:v>
                </c:pt>
                <c:pt idx="2086">
                  <c:v>0.26</c:v>
                </c:pt>
                <c:pt idx="2087">
                  <c:v>0.27</c:v>
                </c:pt>
                <c:pt idx="2088">
                  <c:v>0.13</c:v>
                </c:pt>
                <c:pt idx="2089">
                  <c:v>0.72</c:v>
                </c:pt>
                <c:pt idx="2090">
                  <c:v>0.52</c:v>
                </c:pt>
                <c:pt idx="2091">
                  <c:v>0.09</c:v>
                </c:pt>
                <c:pt idx="2092">
                  <c:v>0.24</c:v>
                </c:pt>
                <c:pt idx="2093">
                  <c:v>0.22</c:v>
                </c:pt>
                <c:pt idx="2094">
                  <c:v>0.3</c:v>
                </c:pt>
                <c:pt idx="2095">
                  <c:v>0.25</c:v>
                </c:pt>
                <c:pt idx="2096">
                  <c:v>0.62</c:v>
                </c:pt>
                <c:pt idx="2097">
                  <c:v>0.53</c:v>
                </c:pt>
                <c:pt idx="2098">
                  <c:v>0.28000000000000003</c:v>
                </c:pt>
                <c:pt idx="2099">
                  <c:v>0.27</c:v>
                </c:pt>
                <c:pt idx="2100">
                  <c:v>0.88</c:v>
                </c:pt>
                <c:pt idx="2101">
                  <c:v>0.3</c:v>
                </c:pt>
                <c:pt idx="2102">
                  <c:v>0.65</c:v>
                </c:pt>
                <c:pt idx="2103">
                  <c:v>0.36</c:v>
                </c:pt>
                <c:pt idx="2104">
                  <c:v>0.44</c:v>
                </c:pt>
                <c:pt idx="2105">
                  <c:v>0.44</c:v>
                </c:pt>
                <c:pt idx="2106">
                  <c:v>0.71</c:v>
                </c:pt>
                <c:pt idx="2107">
                  <c:v>0.28000000000000003</c:v>
                </c:pt>
                <c:pt idx="2108">
                  <c:v>0.67</c:v>
                </c:pt>
                <c:pt idx="2109">
                  <c:v>0.12</c:v>
                </c:pt>
                <c:pt idx="2110">
                  <c:v>0.61</c:v>
                </c:pt>
                <c:pt idx="2111">
                  <c:v>0.93</c:v>
                </c:pt>
                <c:pt idx="2112">
                  <c:v>0.62</c:v>
                </c:pt>
                <c:pt idx="2113">
                  <c:v>0.56999999999999995</c:v>
                </c:pt>
                <c:pt idx="2114">
                  <c:v>0.61</c:v>
                </c:pt>
                <c:pt idx="2115">
                  <c:v>0.24</c:v>
                </c:pt>
                <c:pt idx="2116">
                  <c:v>0.08</c:v>
                </c:pt>
                <c:pt idx="2117">
                  <c:v>0.28000000000000003</c:v>
                </c:pt>
                <c:pt idx="2118">
                  <c:v>0.35</c:v>
                </c:pt>
                <c:pt idx="2119">
                  <c:v>7.0000000000000007E-2</c:v>
                </c:pt>
                <c:pt idx="2120">
                  <c:v>0.37</c:v>
                </c:pt>
                <c:pt idx="2121">
                  <c:v>0.95</c:v>
                </c:pt>
                <c:pt idx="2122">
                  <c:v>0.34</c:v>
                </c:pt>
                <c:pt idx="2123">
                  <c:v>0.46</c:v>
                </c:pt>
                <c:pt idx="2124">
                  <c:v>0.87</c:v>
                </c:pt>
                <c:pt idx="2125">
                  <c:v>0.54</c:v>
                </c:pt>
                <c:pt idx="2126">
                  <c:v>0.33</c:v>
                </c:pt>
                <c:pt idx="2127">
                  <c:v>0.25</c:v>
                </c:pt>
                <c:pt idx="2128">
                  <c:v>0.15</c:v>
                </c:pt>
                <c:pt idx="2129">
                  <c:v>0.42</c:v>
                </c:pt>
                <c:pt idx="2130">
                  <c:v>0.56999999999999995</c:v>
                </c:pt>
                <c:pt idx="2131">
                  <c:v>0.19</c:v>
                </c:pt>
                <c:pt idx="2132">
                  <c:v>0.72</c:v>
                </c:pt>
                <c:pt idx="2133">
                  <c:v>0.56999999999999995</c:v>
                </c:pt>
                <c:pt idx="2134">
                  <c:v>0.27</c:v>
                </c:pt>
                <c:pt idx="2135">
                  <c:v>0.56999999999999995</c:v>
                </c:pt>
                <c:pt idx="2136">
                  <c:v>0.36</c:v>
                </c:pt>
                <c:pt idx="2137">
                  <c:v>0.78</c:v>
                </c:pt>
                <c:pt idx="2138">
                  <c:v>0.95</c:v>
                </c:pt>
                <c:pt idx="2139">
                  <c:v>0.55000000000000004</c:v>
                </c:pt>
                <c:pt idx="2140">
                  <c:v>0.83</c:v>
                </c:pt>
                <c:pt idx="2141">
                  <c:v>0.62</c:v>
                </c:pt>
                <c:pt idx="2142">
                  <c:v>0.33</c:v>
                </c:pt>
                <c:pt idx="2143">
                  <c:v>0.68</c:v>
                </c:pt>
                <c:pt idx="2144">
                  <c:v>0.38</c:v>
                </c:pt>
                <c:pt idx="2145">
                  <c:v>0.45</c:v>
                </c:pt>
                <c:pt idx="2146">
                  <c:v>0.92</c:v>
                </c:pt>
                <c:pt idx="2147">
                  <c:v>0.77</c:v>
                </c:pt>
                <c:pt idx="2148">
                  <c:v>0.63</c:v>
                </c:pt>
                <c:pt idx="2149">
                  <c:v>0.66</c:v>
                </c:pt>
                <c:pt idx="2150">
                  <c:v>0.08</c:v>
                </c:pt>
                <c:pt idx="2151">
                  <c:v>0.85</c:v>
                </c:pt>
                <c:pt idx="2152">
                  <c:v>0.89</c:v>
                </c:pt>
                <c:pt idx="2153">
                  <c:v>7.0000000000000007E-2</c:v>
                </c:pt>
                <c:pt idx="2154">
                  <c:v>0.69</c:v>
                </c:pt>
                <c:pt idx="2155">
                  <c:v>0.47</c:v>
                </c:pt>
                <c:pt idx="2156">
                  <c:v>0.45</c:v>
                </c:pt>
                <c:pt idx="2157">
                  <c:v>0.17</c:v>
                </c:pt>
                <c:pt idx="2158">
                  <c:v>0.17</c:v>
                </c:pt>
                <c:pt idx="2159">
                  <c:v>0.93</c:v>
                </c:pt>
                <c:pt idx="2160">
                  <c:v>0.73</c:v>
                </c:pt>
                <c:pt idx="2161">
                  <c:v>0.62</c:v>
                </c:pt>
                <c:pt idx="2162">
                  <c:v>0.61</c:v>
                </c:pt>
                <c:pt idx="2163">
                  <c:v>0.3</c:v>
                </c:pt>
                <c:pt idx="2164">
                  <c:v>0.19</c:v>
                </c:pt>
                <c:pt idx="2165">
                  <c:v>0.49</c:v>
                </c:pt>
                <c:pt idx="2166">
                  <c:v>0.47</c:v>
                </c:pt>
                <c:pt idx="2167">
                  <c:v>0.41</c:v>
                </c:pt>
                <c:pt idx="2168">
                  <c:v>0.55000000000000004</c:v>
                </c:pt>
                <c:pt idx="2169">
                  <c:v>0.4</c:v>
                </c:pt>
                <c:pt idx="2170">
                  <c:v>0.56999999999999995</c:v>
                </c:pt>
                <c:pt idx="2171">
                  <c:v>0.8</c:v>
                </c:pt>
                <c:pt idx="2172">
                  <c:v>0.32</c:v>
                </c:pt>
                <c:pt idx="2173">
                  <c:v>0.56999999999999995</c:v>
                </c:pt>
                <c:pt idx="2174">
                  <c:v>0.28000000000000003</c:v>
                </c:pt>
                <c:pt idx="2175">
                  <c:v>0.22</c:v>
                </c:pt>
                <c:pt idx="2176">
                  <c:v>0.81</c:v>
                </c:pt>
                <c:pt idx="2177">
                  <c:v>0.54</c:v>
                </c:pt>
                <c:pt idx="2178">
                  <c:v>0.38</c:v>
                </c:pt>
                <c:pt idx="2179">
                  <c:v>0.53</c:v>
                </c:pt>
                <c:pt idx="2180">
                  <c:v>0.94</c:v>
                </c:pt>
                <c:pt idx="2181">
                  <c:v>0.56000000000000005</c:v>
                </c:pt>
                <c:pt idx="2182">
                  <c:v>0.61</c:v>
                </c:pt>
                <c:pt idx="2183">
                  <c:v>0.89</c:v>
                </c:pt>
                <c:pt idx="2184">
                  <c:v>0.84</c:v>
                </c:pt>
                <c:pt idx="2185">
                  <c:v>0.4</c:v>
                </c:pt>
                <c:pt idx="2186">
                  <c:v>0.05</c:v>
                </c:pt>
                <c:pt idx="2187">
                  <c:v>0.92</c:v>
                </c:pt>
                <c:pt idx="2188">
                  <c:v>0.9</c:v>
                </c:pt>
                <c:pt idx="2189">
                  <c:v>0.34</c:v>
                </c:pt>
                <c:pt idx="2190">
                  <c:v>0.75</c:v>
                </c:pt>
                <c:pt idx="2191">
                  <c:v>0.59</c:v>
                </c:pt>
                <c:pt idx="2192">
                  <c:v>0.61</c:v>
                </c:pt>
                <c:pt idx="2193">
                  <c:v>0.14000000000000001</c:v>
                </c:pt>
                <c:pt idx="2194">
                  <c:v>0.78</c:v>
                </c:pt>
                <c:pt idx="2195">
                  <c:v>0.31</c:v>
                </c:pt>
                <c:pt idx="2196">
                  <c:v>0.22</c:v>
                </c:pt>
                <c:pt idx="2197">
                  <c:v>0.56000000000000005</c:v>
                </c:pt>
                <c:pt idx="2198">
                  <c:v>0.4</c:v>
                </c:pt>
                <c:pt idx="2199">
                  <c:v>0.12</c:v>
                </c:pt>
                <c:pt idx="2200">
                  <c:v>0.44</c:v>
                </c:pt>
                <c:pt idx="2201">
                  <c:v>0.69</c:v>
                </c:pt>
                <c:pt idx="2202">
                  <c:v>0.6</c:v>
                </c:pt>
                <c:pt idx="2203">
                  <c:v>0.34</c:v>
                </c:pt>
                <c:pt idx="2204">
                  <c:v>0.93</c:v>
                </c:pt>
                <c:pt idx="2205">
                  <c:v>0.44</c:v>
                </c:pt>
                <c:pt idx="2206">
                  <c:v>0.14000000000000001</c:v>
                </c:pt>
                <c:pt idx="2207">
                  <c:v>0.3</c:v>
                </c:pt>
                <c:pt idx="2208">
                  <c:v>0.49</c:v>
                </c:pt>
                <c:pt idx="2209">
                  <c:v>0.33</c:v>
                </c:pt>
                <c:pt idx="2210">
                  <c:v>0.48</c:v>
                </c:pt>
                <c:pt idx="2211">
                  <c:v>0.61</c:v>
                </c:pt>
                <c:pt idx="2212">
                  <c:v>0.61</c:v>
                </c:pt>
                <c:pt idx="2213">
                  <c:v>0.08</c:v>
                </c:pt>
                <c:pt idx="2214">
                  <c:v>0.43</c:v>
                </c:pt>
                <c:pt idx="2215">
                  <c:v>0.54</c:v>
                </c:pt>
                <c:pt idx="2216">
                  <c:v>0.14000000000000001</c:v>
                </c:pt>
                <c:pt idx="2217">
                  <c:v>0.61</c:v>
                </c:pt>
                <c:pt idx="2218">
                  <c:v>0.09</c:v>
                </c:pt>
                <c:pt idx="2219">
                  <c:v>0.79</c:v>
                </c:pt>
                <c:pt idx="2220">
                  <c:v>0.22</c:v>
                </c:pt>
                <c:pt idx="2221">
                  <c:v>0.65</c:v>
                </c:pt>
                <c:pt idx="2222">
                  <c:v>0.86</c:v>
                </c:pt>
                <c:pt idx="2223">
                  <c:v>0.06</c:v>
                </c:pt>
                <c:pt idx="2224">
                  <c:v>0.62</c:v>
                </c:pt>
                <c:pt idx="2225">
                  <c:v>0.38</c:v>
                </c:pt>
                <c:pt idx="2226">
                  <c:v>0.47</c:v>
                </c:pt>
                <c:pt idx="2227">
                  <c:v>0.56999999999999995</c:v>
                </c:pt>
                <c:pt idx="2228">
                  <c:v>0.64</c:v>
                </c:pt>
                <c:pt idx="2229">
                  <c:v>0.53</c:v>
                </c:pt>
                <c:pt idx="2230">
                  <c:v>0.89</c:v>
                </c:pt>
                <c:pt idx="2231">
                  <c:v>0.63</c:v>
                </c:pt>
                <c:pt idx="2232">
                  <c:v>0.9</c:v>
                </c:pt>
                <c:pt idx="2233">
                  <c:v>0.82</c:v>
                </c:pt>
                <c:pt idx="2234">
                  <c:v>0.73</c:v>
                </c:pt>
                <c:pt idx="2235">
                  <c:v>0.46</c:v>
                </c:pt>
                <c:pt idx="2236">
                  <c:v>0.63</c:v>
                </c:pt>
                <c:pt idx="2237">
                  <c:v>0.14000000000000001</c:v>
                </c:pt>
                <c:pt idx="2238">
                  <c:v>0.56000000000000005</c:v>
                </c:pt>
                <c:pt idx="2239">
                  <c:v>0.25</c:v>
                </c:pt>
                <c:pt idx="2240">
                  <c:v>0.79</c:v>
                </c:pt>
                <c:pt idx="2241">
                  <c:v>0.45</c:v>
                </c:pt>
                <c:pt idx="2242">
                  <c:v>0.42</c:v>
                </c:pt>
                <c:pt idx="2243">
                  <c:v>0.76</c:v>
                </c:pt>
                <c:pt idx="2244">
                  <c:v>0.4</c:v>
                </c:pt>
                <c:pt idx="2245">
                  <c:v>7.0000000000000007E-2</c:v>
                </c:pt>
                <c:pt idx="2246">
                  <c:v>0.71</c:v>
                </c:pt>
                <c:pt idx="2247">
                  <c:v>0.62</c:v>
                </c:pt>
                <c:pt idx="2248">
                  <c:v>0.84</c:v>
                </c:pt>
                <c:pt idx="2249">
                  <c:v>0.08</c:v>
                </c:pt>
                <c:pt idx="2250">
                  <c:v>0.5</c:v>
                </c:pt>
                <c:pt idx="2251">
                  <c:v>0.11</c:v>
                </c:pt>
                <c:pt idx="2252">
                  <c:v>0.09</c:v>
                </c:pt>
                <c:pt idx="2253">
                  <c:v>0.4</c:v>
                </c:pt>
                <c:pt idx="2254">
                  <c:v>0.3</c:v>
                </c:pt>
                <c:pt idx="2255">
                  <c:v>0.17</c:v>
                </c:pt>
                <c:pt idx="2256">
                  <c:v>0.88</c:v>
                </c:pt>
                <c:pt idx="2257">
                  <c:v>0.4</c:v>
                </c:pt>
                <c:pt idx="2258">
                  <c:v>0.11</c:v>
                </c:pt>
                <c:pt idx="2259">
                  <c:v>0.78</c:v>
                </c:pt>
                <c:pt idx="2260">
                  <c:v>0.28000000000000003</c:v>
                </c:pt>
                <c:pt idx="2261">
                  <c:v>0.95</c:v>
                </c:pt>
                <c:pt idx="2262">
                  <c:v>0.3</c:v>
                </c:pt>
                <c:pt idx="2263">
                  <c:v>0.28000000000000003</c:v>
                </c:pt>
                <c:pt idx="2264">
                  <c:v>0.27</c:v>
                </c:pt>
                <c:pt idx="2265">
                  <c:v>0.52</c:v>
                </c:pt>
                <c:pt idx="2266">
                  <c:v>0.67</c:v>
                </c:pt>
                <c:pt idx="2267">
                  <c:v>0.2</c:v>
                </c:pt>
                <c:pt idx="2268">
                  <c:v>0.56000000000000005</c:v>
                </c:pt>
                <c:pt idx="2269">
                  <c:v>0.68</c:v>
                </c:pt>
                <c:pt idx="2270">
                  <c:v>0.48</c:v>
                </c:pt>
                <c:pt idx="2271">
                  <c:v>0.09</c:v>
                </c:pt>
                <c:pt idx="2272">
                  <c:v>0.16</c:v>
                </c:pt>
                <c:pt idx="2273">
                  <c:v>0.52</c:v>
                </c:pt>
                <c:pt idx="2274">
                  <c:v>0.57999999999999996</c:v>
                </c:pt>
                <c:pt idx="2275">
                  <c:v>0.61</c:v>
                </c:pt>
                <c:pt idx="2276">
                  <c:v>0.56000000000000005</c:v>
                </c:pt>
                <c:pt idx="2277">
                  <c:v>0.47</c:v>
                </c:pt>
                <c:pt idx="2278">
                  <c:v>0.55000000000000004</c:v>
                </c:pt>
                <c:pt idx="2279">
                  <c:v>0.47</c:v>
                </c:pt>
                <c:pt idx="2280">
                  <c:v>0.55000000000000004</c:v>
                </c:pt>
                <c:pt idx="2281">
                  <c:v>0.49</c:v>
                </c:pt>
                <c:pt idx="2282">
                  <c:v>0.56999999999999995</c:v>
                </c:pt>
                <c:pt idx="2283">
                  <c:v>0.82</c:v>
                </c:pt>
                <c:pt idx="2284">
                  <c:v>0.57999999999999996</c:v>
                </c:pt>
                <c:pt idx="2285">
                  <c:v>0.82</c:v>
                </c:pt>
                <c:pt idx="2286">
                  <c:v>0.59</c:v>
                </c:pt>
                <c:pt idx="2287">
                  <c:v>0.54</c:v>
                </c:pt>
                <c:pt idx="2288">
                  <c:v>0.94</c:v>
                </c:pt>
                <c:pt idx="2289">
                  <c:v>0.61</c:v>
                </c:pt>
                <c:pt idx="2290">
                  <c:v>0.42</c:v>
                </c:pt>
                <c:pt idx="2291">
                  <c:v>0.88</c:v>
                </c:pt>
                <c:pt idx="2292">
                  <c:v>0.95</c:v>
                </c:pt>
                <c:pt idx="2293">
                  <c:v>7.0000000000000007E-2</c:v>
                </c:pt>
                <c:pt idx="2294">
                  <c:v>0.62</c:v>
                </c:pt>
                <c:pt idx="2295">
                  <c:v>0.84</c:v>
                </c:pt>
                <c:pt idx="2296">
                  <c:v>0.82</c:v>
                </c:pt>
                <c:pt idx="2297">
                  <c:v>0.09</c:v>
                </c:pt>
                <c:pt idx="2298">
                  <c:v>0.13</c:v>
                </c:pt>
                <c:pt idx="2299">
                  <c:v>0.27</c:v>
                </c:pt>
                <c:pt idx="2300">
                  <c:v>0.2</c:v>
                </c:pt>
                <c:pt idx="2301">
                  <c:v>0.94</c:v>
                </c:pt>
                <c:pt idx="2302">
                  <c:v>0.54</c:v>
                </c:pt>
                <c:pt idx="2303">
                  <c:v>0.86</c:v>
                </c:pt>
                <c:pt idx="2304">
                  <c:v>0.77</c:v>
                </c:pt>
                <c:pt idx="2305">
                  <c:v>0.44</c:v>
                </c:pt>
                <c:pt idx="2306">
                  <c:v>0.48</c:v>
                </c:pt>
                <c:pt idx="2307">
                  <c:v>0.15</c:v>
                </c:pt>
                <c:pt idx="2308">
                  <c:v>0.66</c:v>
                </c:pt>
                <c:pt idx="2309">
                  <c:v>0.13</c:v>
                </c:pt>
                <c:pt idx="2310">
                  <c:v>0.15</c:v>
                </c:pt>
                <c:pt idx="2311">
                  <c:v>0.7</c:v>
                </c:pt>
                <c:pt idx="2312">
                  <c:v>0.52</c:v>
                </c:pt>
                <c:pt idx="2313">
                  <c:v>0.3</c:v>
                </c:pt>
                <c:pt idx="2314">
                  <c:v>0.3</c:v>
                </c:pt>
                <c:pt idx="2315">
                  <c:v>0.35</c:v>
                </c:pt>
                <c:pt idx="2316">
                  <c:v>0.27</c:v>
                </c:pt>
                <c:pt idx="2317">
                  <c:v>0.76</c:v>
                </c:pt>
                <c:pt idx="2318">
                  <c:v>0.84</c:v>
                </c:pt>
                <c:pt idx="2319">
                  <c:v>0.39</c:v>
                </c:pt>
                <c:pt idx="2320">
                  <c:v>0.71</c:v>
                </c:pt>
                <c:pt idx="2321">
                  <c:v>0.26</c:v>
                </c:pt>
                <c:pt idx="2322">
                  <c:v>0.91</c:v>
                </c:pt>
                <c:pt idx="2323">
                  <c:v>0.46</c:v>
                </c:pt>
                <c:pt idx="2324">
                  <c:v>0.55000000000000004</c:v>
                </c:pt>
                <c:pt idx="2325">
                  <c:v>0.56999999999999995</c:v>
                </c:pt>
                <c:pt idx="2326">
                  <c:v>0.57999999999999996</c:v>
                </c:pt>
                <c:pt idx="2327">
                  <c:v>0.22</c:v>
                </c:pt>
                <c:pt idx="2328">
                  <c:v>0.66</c:v>
                </c:pt>
                <c:pt idx="2329">
                  <c:v>0.78</c:v>
                </c:pt>
                <c:pt idx="2330">
                  <c:v>0.49</c:v>
                </c:pt>
                <c:pt idx="2331">
                  <c:v>0.41</c:v>
                </c:pt>
                <c:pt idx="2332">
                  <c:v>0.54</c:v>
                </c:pt>
                <c:pt idx="2333">
                  <c:v>0.86</c:v>
                </c:pt>
                <c:pt idx="2334">
                  <c:v>0.81</c:v>
                </c:pt>
                <c:pt idx="2335">
                  <c:v>0.28999999999999998</c:v>
                </c:pt>
                <c:pt idx="2336">
                  <c:v>0.64</c:v>
                </c:pt>
                <c:pt idx="2337">
                  <c:v>0.09</c:v>
                </c:pt>
                <c:pt idx="2338">
                  <c:v>0.88</c:v>
                </c:pt>
                <c:pt idx="2339">
                  <c:v>0.19</c:v>
                </c:pt>
                <c:pt idx="2340">
                  <c:v>0.61</c:v>
                </c:pt>
                <c:pt idx="2341">
                  <c:v>0.89</c:v>
                </c:pt>
                <c:pt idx="2342">
                  <c:v>0.84</c:v>
                </c:pt>
                <c:pt idx="2343">
                  <c:v>0.21</c:v>
                </c:pt>
                <c:pt idx="2344">
                  <c:v>0.22</c:v>
                </c:pt>
                <c:pt idx="2345">
                  <c:v>0.81</c:v>
                </c:pt>
                <c:pt idx="2346">
                  <c:v>0.89</c:v>
                </c:pt>
                <c:pt idx="2347">
                  <c:v>0.93</c:v>
                </c:pt>
                <c:pt idx="2348">
                  <c:v>0.89</c:v>
                </c:pt>
                <c:pt idx="2349">
                  <c:v>0.12</c:v>
                </c:pt>
                <c:pt idx="2350">
                  <c:v>0.33</c:v>
                </c:pt>
                <c:pt idx="2351">
                  <c:v>0.32</c:v>
                </c:pt>
                <c:pt idx="2352">
                  <c:v>0.35</c:v>
                </c:pt>
                <c:pt idx="2353">
                  <c:v>0.53</c:v>
                </c:pt>
                <c:pt idx="2354">
                  <c:v>0.61</c:v>
                </c:pt>
                <c:pt idx="2355">
                  <c:v>0.2</c:v>
                </c:pt>
                <c:pt idx="2356">
                  <c:v>0.06</c:v>
                </c:pt>
                <c:pt idx="2357">
                  <c:v>0.36</c:v>
                </c:pt>
                <c:pt idx="2358">
                  <c:v>0.42</c:v>
                </c:pt>
                <c:pt idx="2359">
                  <c:v>0.34</c:v>
                </c:pt>
                <c:pt idx="2360">
                  <c:v>0.36</c:v>
                </c:pt>
                <c:pt idx="2361">
                  <c:v>0.34</c:v>
                </c:pt>
                <c:pt idx="2362">
                  <c:v>0.25</c:v>
                </c:pt>
                <c:pt idx="2363">
                  <c:v>0.34</c:v>
                </c:pt>
                <c:pt idx="2364">
                  <c:v>0.3</c:v>
                </c:pt>
                <c:pt idx="2365">
                  <c:v>0.82</c:v>
                </c:pt>
                <c:pt idx="2366">
                  <c:v>0.43</c:v>
                </c:pt>
                <c:pt idx="2367">
                  <c:v>0.73</c:v>
                </c:pt>
                <c:pt idx="2368">
                  <c:v>0.67</c:v>
                </c:pt>
                <c:pt idx="2369">
                  <c:v>0.54</c:v>
                </c:pt>
                <c:pt idx="2370">
                  <c:v>0.71</c:v>
                </c:pt>
                <c:pt idx="2371">
                  <c:v>0.09</c:v>
                </c:pt>
                <c:pt idx="2372">
                  <c:v>0.37</c:v>
                </c:pt>
                <c:pt idx="2373">
                  <c:v>0.69</c:v>
                </c:pt>
                <c:pt idx="2374">
                  <c:v>0.37</c:v>
                </c:pt>
                <c:pt idx="2375">
                  <c:v>0.26</c:v>
                </c:pt>
                <c:pt idx="2376">
                  <c:v>0.95</c:v>
                </c:pt>
                <c:pt idx="2377">
                  <c:v>0.15</c:v>
                </c:pt>
                <c:pt idx="2378">
                  <c:v>0.44</c:v>
                </c:pt>
                <c:pt idx="2379">
                  <c:v>0.68</c:v>
                </c:pt>
                <c:pt idx="2380">
                  <c:v>0.8</c:v>
                </c:pt>
                <c:pt idx="2381">
                  <c:v>0.66</c:v>
                </c:pt>
                <c:pt idx="2382">
                  <c:v>0.11</c:v>
                </c:pt>
                <c:pt idx="2383">
                  <c:v>0.84</c:v>
                </c:pt>
                <c:pt idx="2384">
                  <c:v>0.44</c:v>
                </c:pt>
                <c:pt idx="2385">
                  <c:v>0.31</c:v>
                </c:pt>
                <c:pt idx="2386">
                  <c:v>0.35</c:v>
                </c:pt>
                <c:pt idx="2387">
                  <c:v>0.14000000000000001</c:v>
                </c:pt>
                <c:pt idx="2388">
                  <c:v>0.5</c:v>
                </c:pt>
                <c:pt idx="2389">
                  <c:v>0.77</c:v>
                </c:pt>
                <c:pt idx="2390">
                  <c:v>0.87</c:v>
                </c:pt>
                <c:pt idx="2391">
                  <c:v>0.79</c:v>
                </c:pt>
                <c:pt idx="2392">
                  <c:v>0.14000000000000001</c:v>
                </c:pt>
                <c:pt idx="2393">
                  <c:v>0.18</c:v>
                </c:pt>
                <c:pt idx="2394">
                  <c:v>0.94</c:v>
                </c:pt>
                <c:pt idx="2395">
                  <c:v>0.56000000000000005</c:v>
                </c:pt>
                <c:pt idx="2396">
                  <c:v>0.77</c:v>
                </c:pt>
                <c:pt idx="2397">
                  <c:v>0.88</c:v>
                </c:pt>
                <c:pt idx="2398">
                  <c:v>0.72</c:v>
                </c:pt>
                <c:pt idx="2399">
                  <c:v>0.52</c:v>
                </c:pt>
                <c:pt idx="2400">
                  <c:v>0.7</c:v>
                </c:pt>
                <c:pt idx="2401">
                  <c:v>0.5</c:v>
                </c:pt>
                <c:pt idx="2402">
                  <c:v>0.72</c:v>
                </c:pt>
                <c:pt idx="2403">
                  <c:v>0.37</c:v>
                </c:pt>
                <c:pt idx="2404">
                  <c:v>0.42</c:v>
                </c:pt>
                <c:pt idx="2405">
                  <c:v>0.4</c:v>
                </c:pt>
                <c:pt idx="2406">
                  <c:v>0.52</c:v>
                </c:pt>
                <c:pt idx="2407">
                  <c:v>0.43</c:v>
                </c:pt>
                <c:pt idx="2408">
                  <c:v>0.22</c:v>
                </c:pt>
                <c:pt idx="2409">
                  <c:v>0.22</c:v>
                </c:pt>
                <c:pt idx="2410">
                  <c:v>0.48</c:v>
                </c:pt>
                <c:pt idx="2411">
                  <c:v>0.4</c:v>
                </c:pt>
                <c:pt idx="2412">
                  <c:v>0.52</c:v>
                </c:pt>
                <c:pt idx="2413">
                  <c:v>0.35</c:v>
                </c:pt>
                <c:pt idx="2414">
                  <c:v>0.34</c:v>
                </c:pt>
                <c:pt idx="2415">
                  <c:v>0.74</c:v>
                </c:pt>
                <c:pt idx="2416">
                  <c:v>0.69</c:v>
                </c:pt>
                <c:pt idx="2417">
                  <c:v>0.74</c:v>
                </c:pt>
                <c:pt idx="2418">
                  <c:v>0.36</c:v>
                </c:pt>
                <c:pt idx="2419">
                  <c:v>0.88</c:v>
                </c:pt>
                <c:pt idx="2420">
                  <c:v>0.24</c:v>
                </c:pt>
                <c:pt idx="2421">
                  <c:v>0.27</c:v>
                </c:pt>
                <c:pt idx="2422">
                  <c:v>0.64</c:v>
                </c:pt>
                <c:pt idx="2423">
                  <c:v>0.18</c:v>
                </c:pt>
                <c:pt idx="2424">
                  <c:v>0.51</c:v>
                </c:pt>
                <c:pt idx="2425">
                  <c:v>0.4</c:v>
                </c:pt>
                <c:pt idx="2426">
                  <c:v>0.35</c:v>
                </c:pt>
                <c:pt idx="2427">
                  <c:v>0.82</c:v>
                </c:pt>
                <c:pt idx="2428">
                  <c:v>0.13</c:v>
                </c:pt>
                <c:pt idx="2429">
                  <c:v>0.66</c:v>
                </c:pt>
                <c:pt idx="2430">
                  <c:v>0.71</c:v>
                </c:pt>
                <c:pt idx="2431">
                  <c:v>0.48</c:v>
                </c:pt>
                <c:pt idx="2432">
                  <c:v>0.5</c:v>
                </c:pt>
                <c:pt idx="2433">
                  <c:v>0.74</c:v>
                </c:pt>
                <c:pt idx="2434">
                  <c:v>0.76</c:v>
                </c:pt>
                <c:pt idx="2435">
                  <c:v>0.33</c:v>
                </c:pt>
                <c:pt idx="2436">
                  <c:v>0.92</c:v>
                </c:pt>
                <c:pt idx="2437">
                  <c:v>0.47</c:v>
                </c:pt>
                <c:pt idx="2438">
                  <c:v>0.59</c:v>
                </c:pt>
                <c:pt idx="2439">
                  <c:v>0.27</c:v>
                </c:pt>
                <c:pt idx="2440">
                  <c:v>0.48</c:v>
                </c:pt>
                <c:pt idx="2441">
                  <c:v>0.47</c:v>
                </c:pt>
                <c:pt idx="2442">
                  <c:v>0.78</c:v>
                </c:pt>
                <c:pt idx="2443">
                  <c:v>0.16</c:v>
                </c:pt>
                <c:pt idx="2444">
                  <c:v>0.24</c:v>
                </c:pt>
                <c:pt idx="2445">
                  <c:v>0.66</c:v>
                </c:pt>
                <c:pt idx="2446">
                  <c:v>0.62</c:v>
                </c:pt>
                <c:pt idx="2447">
                  <c:v>0.55000000000000004</c:v>
                </c:pt>
                <c:pt idx="2448">
                  <c:v>0.41</c:v>
                </c:pt>
                <c:pt idx="2449">
                  <c:v>0.32</c:v>
                </c:pt>
                <c:pt idx="2450">
                  <c:v>0.49</c:v>
                </c:pt>
                <c:pt idx="2451">
                  <c:v>0.9</c:v>
                </c:pt>
                <c:pt idx="2452">
                  <c:v>0.16</c:v>
                </c:pt>
                <c:pt idx="2453">
                  <c:v>0.75</c:v>
                </c:pt>
                <c:pt idx="2454">
                  <c:v>0.1</c:v>
                </c:pt>
                <c:pt idx="2455">
                  <c:v>0.12</c:v>
                </c:pt>
                <c:pt idx="2456">
                  <c:v>0.36</c:v>
                </c:pt>
                <c:pt idx="2457">
                  <c:v>0.35</c:v>
                </c:pt>
                <c:pt idx="2458">
                  <c:v>0.35</c:v>
                </c:pt>
                <c:pt idx="2459">
                  <c:v>0.25</c:v>
                </c:pt>
                <c:pt idx="2460">
                  <c:v>0.3</c:v>
                </c:pt>
                <c:pt idx="2461">
                  <c:v>0.62</c:v>
                </c:pt>
                <c:pt idx="2462">
                  <c:v>0.56000000000000005</c:v>
                </c:pt>
                <c:pt idx="2463">
                  <c:v>0.25</c:v>
                </c:pt>
                <c:pt idx="2464">
                  <c:v>0.14000000000000001</c:v>
                </c:pt>
                <c:pt idx="2465">
                  <c:v>0.59</c:v>
                </c:pt>
                <c:pt idx="2466">
                  <c:v>0.49</c:v>
                </c:pt>
                <c:pt idx="2467">
                  <c:v>0.9</c:v>
                </c:pt>
                <c:pt idx="2468">
                  <c:v>0.57999999999999996</c:v>
                </c:pt>
                <c:pt idx="2469">
                  <c:v>0.62</c:v>
                </c:pt>
                <c:pt idx="2470">
                  <c:v>0.15</c:v>
                </c:pt>
                <c:pt idx="2471">
                  <c:v>0.39</c:v>
                </c:pt>
                <c:pt idx="2472">
                  <c:v>0.87</c:v>
                </c:pt>
                <c:pt idx="2473">
                  <c:v>0.46</c:v>
                </c:pt>
                <c:pt idx="2474">
                  <c:v>0.28000000000000003</c:v>
                </c:pt>
                <c:pt idx="2475">
                  <c:v>0.38</c:v>
                </c:pt>
                <c:pt idx="2476">
                  <c:v>0.84</c:v>
                </c:pt>
                <c:pt idx="2477">
                  <c:v>0.09</c:v>
                </c:pt>
                <c:pt idx="2478">
                  <c:v>0.24</c:v>
                </c:pt>
                <c:pt idx="2479">
                  <c:v>0.8</c:v>
                </c:pt>
                <c:pt idx="2480">
                  <c:v>0.56999999999999995</c:v>
                </c:pt>
                <c:pt idx="2481">
                  <c:v>0.5</c:v>
                </c:pt>
                <c:pt idx="2482">
                  <c:v>0.81</c:v>
                </c:pt>
                <c:pt idx="2483">
                  <c:v>0.17</c:v>
                </c:pt>
                <c:pt idx="2484">
                  <c:v>0.65</c:v>
                </c:pt>
                <c:pt idx="2485">
                  <c:v>0.37</c:v>
                </c:pt>
                <c:pt idx="2486">
                  <c:v>0.51</c:v>
                </c:pt>
                <c:pt idx="2487">
                  <c:v>0.1</c:v>
                </c:pt>
                <c:pt idx="2488">
                  <c:v>0.28999999999999998</c:v>
                </c:pt>
                <c:pt idx="2489">
                  <c:v>0.87</c:v>
                </c:pt>
                <c:pt idx="2490">
                  <c:v>0.36</c:v>
                </c:pt>
                <c:pt idx="2491">
                  <c:v>0.4</c:v>
                </c:pt>
                <c:pt idx="2492">
                  <c:v>0.38</c:v>
                </c:pt>
                <c:pt idx="2493">
                  <c:v>0.62</c:v>
                </c:pt>
                <c:pt idx="2494">
                  <c:v>0.34</c:v>
                </c:pt>
                <c:pt idx="2495">
                  <c:v>0.77</c:v>
                </c:pt>
                <c:pt idx="2496">
                  <c:v>0.65</c:v>
                </c:pt>
                <c:pt idx="2497">
                  <c:v>0.72</c:v>
                </c:pt>
                <c:pt idx="2498">
                  <c:v>0.11</c:v>
                </c:pt>
                <c:pt idx="2499">
                  <c:v>0.55000000000000004</c:v>
                </c:pt>
                <c:pt idx="2500">
                  <c:v>0.4</c:v>
                </c:pt>
                <c:pt idx="2501">
                  <c:v>0.6</c:v>
                </c:pt>
                <c:pt idx="2502">
                  <c:v>0.62</c:v>
                </c:pt>
                <c:pt idx="2503">
                  <c:v>0.37</c:v>
                </c:pt>
                <c:pt idx="2504">
                  <c:v>0.31</c:v>
                </c:pt>
                <c:pt idx="2505">
                  <c:v>0.34</c:v>
                </c:pt>
                <c:pt idx="2506">
                  <c:v>0.7</c:v>
                </c:pt>
                <c:pt idx="2507">
                  <c:v>7.0000000000000007E-2</c:v>
                </c:pt>
                <c:pt idx="2508">
                  <c:v>0.87</c:v>
                </c:pt>
                <c:pt idx="2509">
                  <c:v>0.45</c:v>
                </c:pt>
                <c:pt idx="2510">
                  <c:v>0.86</c:v>
                </c:pt>
                <c:pt idx="2511">
                  <c:v>7.0000000000000007E-2</c:v>
                </c:pt>
                <c:pt idx="2512">
                  <c:v>0.91</c:v>
                </c:pt>
                <c:pt idx="2513">
                  <c:v>0.7</c:v>
                </c:pt>
                <c:pt idx="2514">
                  <c:v>0.52</c:v>
                </c:pt>
                <c:pt idx="2515">
                  <c:v>0.17</c:v>
                </c:pt>
                <c:pt idx="2516">
                  <c:v>0.61</c:v>
                </c:pt>
                <c:pt idx="2517">
                  <c:v>0.94</c:v>
                </c:pt>
                <c:pt idx="2518">
                  <c:v>0.87</c:v>
                </c:pt>
                <c:pt idx="2519">
                  <c:v>0.61</c:v>
                </c:pt>
                <c:pt idx="2520">
                  <c:v>0.93</c:v>
                </c:pt>
                <c:pt idx="2521">
                  <c:v>0.88</c:v>
                </c:pt>
                <c:pt idx="2522">
                  <c:v>0.57999999999999996</c:v>
                </c:pt>
                <c:pt idx="2523">
                  <c:v>0.9</c:v>
                </c:pt>
                <c:pt idx="2524">
                  <c:v>0.71</c:v>
                </c:pt>
                <c:pt idx="2525">
                  <c:v>0.48</c:v>
                </c:pt>
                <c:pt idx="2526">
                  <c:v>0.71</c:v>
                </c:pt>
                <c:pt idx="2527">
                  <c:v>0.17</c:v>
                </c:pt>
                <c:pt idx="2528">
                  <c:v>0.8</c:v>
                </c:pt>
                <c:pt idx="2529">
                  <c:v>0.28999999999999998</c:v>
                </c:pt>
                <c:pt idx="2530">
                  <c:v>0.5</c:v>
                </c:pt>
                <c:pt idx="2531">
                  <c:v>0.68</c:v>
                </c:pt>
                <c:pt idx="2532">
                  <c:v>0.77</c:v>
                </c:pt>
                <c:pt idx="2533">
                  <c:v>0.28000000000000003</c:v>
                </c:pt>
                <c:pt idx="2534">
                  <c:v>0.64</c:v>
                </c:pt>
                <c:pt idx="2535">
                  <c:v>0.32</c:v>
                </c:pt>
                <c:pt idx="2536">
                  <c:v>0.93</c:v>
                </c:pt>
                <c:pt idx="2537">
                  <c:v>0.78</c:v>
                </c:pt>
                <c:pt idx="2538">
                  <c:v>0.79</c:v>
                </c:pt>
                <c:pt idx="2539">
                  <c:v>0.3</c:v>
                </c:pt>
                <c:pt idx="2540">
                  <c:v>0.52</c:v>
                </c:pt>
                <c:pt idx="2541">
                  <c:v>0.83</c:v>
                </c:pt>
                <c:pt idx="2542">
                  <c:v>7.0000000000000007E-2</c:v>
                </c:pt>
                <c:pt idx="2543">
                  <c:v>0.3</c:v>
                </c:pt>
                <c:pt idx="2544">
                  <c:v>0.18</c:v>
                </c:pt>
                <c:pt idx="2545">
                  <c:v>0.49</c:v>
                </c:pt>
                <c:pt idx="2546">
                  <c:v>0.8</c:v>
                </c:pt>
                <c:pt idx="2547">
                  <c:v>0.14000000000000001</c:v>
                </c:pt>
                <c:pt idx="2548">
                  <c:v>0.36</c:v>
                </c:pt>
                <c:pt idx="2549">
                  <c:v>0.59</c:v>
                </c:pt>
                <c:pt idx="2550">
                  <c:v>0.6</c:v>
                </c:pt>
                <c:pt idx="2551">
                  <c:v>0.63</c:v>
                </c:pt>
                <c:pt idx="2552">
                  <c:v>0.86</c:v>
                </c:pt>
                <c:pt idx="2553">
                  <c:v>0.35</c:v>
                </c:pt>
                <c:pt idx="2554">
                  <c:v>0.7</c:v>
                </c:pt>
                <c:pt idx="2555">
                  <c:v>0.93</c:v>
                </c:pt>
                <c:pt idx="2556">
                  <c:v>0.44</c:v>
                </c:pt>
                <c:pt idx="2557">
                  <c:v>0.59</c:v>
                </c:pt>
                <c:pt idx="2558">
                  <c:v>0.68</c:v>
                </c:pt>
                <c:pt idx="2559">
                  <c:v>0.83</c:v>
                </c:pt>
                <c:pt idx="2560">
                  <c:v>0.66</c:v>
                </c:pt>
                <c:pt idx="2561">
                  <c:v>0.5</c:v>
                </c:pt>
                <c:pt idx="2562">
                  <c:v>0.54</c:v>
                </c:pt>
                <c:pt idx="2563">
                  <c:v>0.41</c:v>
                </c:pt>
                <c:pt idx="2564">
                  <c:v>7.0000000000000007E-2</c:v>
                </c:pt>
                <c:pt idx="2565">
                  <c:v>0.22</c:v>
                </c:pt>
                <c:pt idx="2566">
                  <c:v>0.28999999999999998</c:v>
                </c:pt>
                <c:pt idx="2567">
                  <c:v>0.18</c:v>
                </c:pt>
                <c:pt idx="2568">
                  <c:v>0.82</c:v>
                </c:pt>
                <c:pt idx="2569">
                  <c:v>0.5</c:v>
                </c:pt>
                <c:pt idx="2570">
                  <c:v>0.51</c:v>
                </c:pt>
                <c:pt idx="2571">
                  <c:v>0.75</c:v>
                </c:pt>
                <c:pt idx="2572">
                  <c:v>0.15</c:v>
                </c:pt>
                <c:pt idx="2573">
                  <c:v>0.17</c:v>
                </c:pt>
                <c:pt idx="2574">
                  <c:v>0.5</c:v>
                </c:pt>
                <c:pt idx="2575">
                  <c:v>0.73</c:v>
                </c:pt>
                <c:pt idx="2576">
                  <c:v>0.82</c:v>
                </c:pt>
                <c:pt idx="2577">
                  <c:v>0.4</c:v>
                </c:pt>
                <c:pt idx="2578">
                  <c:v>0.44</c:v>
                </c:pt>
                <c:pt idx="2579">
                  <c:v>0.35</c:v>
                </c:pt>
                <c:pt idx="2580">
                  <c:v>0.93</c:v>
                </c:pt>
                <c:pt idx="2581">
                  <c:v>0.18</c:v>
                </c:pt>
                <c:pt idx="2582">
                  <c:v>0.39</c:v>
                </c:pt>
                <c:pt idx="2583">
                  <c:v>0.63</c:v>
                </c:pt>
                <c:pt idx="2584">
                  <c:v>0.15</c:v>
                </c:pt>
                <c:pt idx="2585">
                  <c:v>0.76</c:v>
                </c:pt>
                <c:pt idx="2586">
                  <c:v>0.72</c:v>
                </c:pt>
                <c:pt idx="2587">
                  <c:v>0.37</c:v>
                </c:pt>
                <c:pt idx="2588">
                  <c:v>0.85</c:v>
                </c:pt>
                <c:pt idx="2589">
                  <c:v>0.56000000000000005</c:v>
                </c:pt>
                <c:pt idx="2590">
                  <c:v>0.76</c:v>
                </c:pt>
                <c:pt idx="2591">
                  <c:v>0.7</c:v>
                </c:pt>
                <c:pt idx="2592">
                  <c:v>0.92</c:v>
                </c:pt>
                <c:pt idx="2593">
                  <c:v>0.43</c:v>
                </c:pt>
                <c:pt idx="2594">
                  <c:v>0.91</c:v>
                </c:pt>
                <c:pt idx="2595">
                  <c:v>0.61</c:v>
                </c:pt>
                <c:pt idx="2596">
                  <c:v>0.53</c:v>
                </c:pt>
                <c:pt idx="2597">
                  <c:v>0.51</c:v>
                </c:pt>
                <c:pt idx="2598">
                  <c:v>0.44</c:v>
                </c:pt>
                <c:pt idx="2599">
                  <c:v>0.78</c:v>
                </c:pt>
                <c:pt idx="2600">
                  <c:v>0.86</c:v>
                </c:pt>
                <c:pt idx="2601">
                  <c:v>0.12</c:v>
                </c:pt>
                <c:pt idx="2602">
                  <c:v>0.43</c:v>
                </c:pt>
                <c:pt idx="2603">
                  <c:v>0.51</c:v>
                </c:pt>
                <c:pt idx="2604">
                  <c:v>0.37</c:v>
                </c:pt>
                <c:pt idx="2605">
                  <c:v>0.68</c:v>
                </c:pt>
                <c:pt idx="2606">
                  <c:v>0.26</c:v>
                </c:pt>
                <c:pt idx="2607">
                  <c:v>0.72</c:v>
                </c:pt>
                <c:pt idx="2608">
                  <c:v>0.51</c:v>
                </c:pt>
                <c:pt idx="2609">
                  <c:v>0.09</c:v>
                </c:pt>
                <c:pt idx="2610">
                  <c:v>0.95</c:v>
                </c:pt>
                <c:pt idx="2611">
                  <c:v>0.59</c:v>
                </c:pt>
                <c:pt idx="2612">
                  <c:v>0.55000000000000004</c:v>
                </c:pt>
                <c:pt idx="2613">
                  <c:v>0.27</c:v>
                </c:pt>
                <c:pt idx="2614">
                  <c:v>0.32</c:v>
                </c:pt>
                <c:pt idx="2615">
                  <c:v>0.52</c:v>
                </c:pt>
                <c:pt idx="2616">
                  <c:v>0.48</c:v>
                </c:pt>
                <c:pt idx="2617">
                  <c:v>0.15</c:v>
                </c:pt>
                <c:pt idx="2618">
                  <c:v>0.41</c:v>
                </c:pt>
                <c:pt idx="2619">
                  <c:v>0.36</c:v>
                </c:pt>
                <c:pt idx="2620">
                  <c:v>0.6</c:v>
                </c:pt>
                <c:pt idx="2621">
                  <c:v>0.43</c:v>
                </c:pt>
                <c:pt idx="2622">
                  <c:v>0.16</c:v>
                </c:pt>
                <c:pt idx="2623">
                  <c:v>0.12</c:v>
                </c:pt>
                <c:pt idx="2624">
                  <c:v>0.52</c:v>
                </c:pt>
                <c:pt idx="2625">
                  <c:v>0.48</c:v>
                </c:pt>
                <c:pt idx="2626">
                  <c:v>0.13</c:v>
                </c:pt>
                <c:pt idx="2627">
                  <c:v>0.2</c:v>
                </c:pt>
                <c:pt idx="2628">
                  <c:v>0.63</c:v>
                </c:pt>
                <c:pt idx="2629">
                  <c:v>0.33</c:v>
                </c:pt>
                <c:pt idx="2630">
                  <c:v>0.62</c:v>
                </c:pt>
                <c:pt idx="2631">
                  <c:v>0.9</c:v>
                </c:pt>
                <c:pt idx="2632">
                  <c:v>0.26</c:v>
                </c:pt>
                <c:pt idx="2633">
                  <c:v>0.74</c:v>
                </c:pt>
                <c:pt idx="2634">
                  <c:v>0.41</c:v>
                </c:pt>
                <c:pt idx="2635">
                  <c:v>0.35</c:v>
                </c:pt>
                <c:pt idx="2636">
                  <c:v>0.71</c:v>
                </c:pt>
                <c:pt idx="2637">
                  <c:v>0.5</c:v>
                </c:pt>
                <c:pt idx="2638">
                  <c:v>0.56999999999999995</c:v>
                </c:pt>
                <c:pt idx="2639">
                  <c:v>0.44</c:v>
                </c:pt>
                <c:pt idx="2640">
                  <c:v>0.88</c:v>
                </c:pt>
                <c:pt idx="2641">
                  <c:v>0.44</c:v>
                </c:pt>
                <c:pt idx="2642">
                  <c:v>0.82</c:v>
                </c:pt>
                <c:pt idx="2643">
                  <c:v>0.35</c:v>
                </c:pt>
                <c:pt idx="2644">
                  <c:v>0.91</c:v>
                </c:pt>
                <c:pt idx="2645">
                  <c:v>0.61</c:v>
                </c:pt>
                <c:pt idx="2646">
                  <c:v>0.93</c:v>
                </c:pt>
                <c:pt idx="2647">
                  <c:v>0.76</c:v>
                </c:pt>
                <c:pt idx="2648">
                  <c:v>0.2</c:v>
                </c:pt>
                <c:pt idx="2649">
                  <c:v>0.21</c:v>
                </c:pt>
                <c:pt idx="2650">
                  <c:v>0.14000000000000001</c:v>
                </c:pt>
                <c:pt idx="2651">
                  <c:v>0.9</c:v>
                </c:pt>
                <c:pt idx="2652">
                  <c:v>0.45</c:v>
                </c:pt>
                <c:pt idx="2653">
                  <c:v>0.39</c:v>
                </c:pt>
                <c:pt idx="2654">
                  <c:v>0.54</c:v>
                </c:pt>
                <c:pt idx="2655">
                  <c:v>0.71</c:v>
                </c:pt>
                <c:pt idx="2656">
                  <c:v>0.5</c:v>
                </c:pt>
                <c:pt idx="2657">
                  <c:v>0.8</c:v>
                </c:pt>
                <c:pt idx="2658">
                  <c:v>0.48</c:v>
                </c:pt>
                <c:pt idx="2659">
                  <c:v>0.5</c:v>
                </c:pt>
                <c:pt idx="2660">
                  <c:v>0.84</c:v>
                </c:pt>
                <c:pt idx="2661">
                  <c:v>0.65</c:v>
                </c:pt>
                <c:pt idx="2662">
                  <c:v>0.63</c:v>
                </c:pt>
                <c:pt idx="2663">
                  <c:v>0.12</c:v>
                </c:pt>
                <c:pt idx="2664">
                  <c:v>0.36</c:v>
                </c:pt>
                <c:pt idx="2665">
                  <c:v>0.94</c:v>
                </c:pt>
                <c:pt idx="2666">
                  <c:v>0.26</c:v>
                </c:pt>
                <c:pt idx="2667">
                  <c:v>0.77</c:v>
                </c:pt>
                <c:pt idx="2668">
                  <c:v>0.42</c:v>
                </c:pt>
                <c:pt idx="2669">
                  <c:v>0.89</c:v>
                </c:pt>
                <c:pt idx="2670">
                  <c:v>0.43</c:v>
                </c:pt>
                <c:pt idx="2671">
                  <c:v>0.3</c:v>
                </c:pt>
                <c:pt idx="2672">
                  <c:v>0.77</c:v>
                </c:pt>
                <c:pt idx="2673">
                  <c:v>0.88</c:v>
                </c:pt>
                <c:pt idx="2674">
                  <c:v>0.77</c:v>
                </c:pt>
                <c:pt idx="2675">
                  <c:v>0.33</c:v>
                </c:pt>
                <c:pt idx="2676">
                  <c:v>0.33</c:v>
                </c:pt>
                <c:pt idx="2677">
                  <c:v>0.9</c:v>
                </c:pt>
                <c:pt idx="2678">
                  <c:v>0.39</c:v>
                </c:pt>
                <c:pt idx="2679">
                  <c:v>0.17</c:v>
                </c:pt>
                <c:pt idx="2680">
                  <c:v>0.56000000000000005</c:v>
                </c:pt>
                <c:pt idx="2681">
                  <c:v>0.77</c:v>
                </c:pt>
                <c:pt idx="2682">
                  <c:v>0.16</c:v>
                </c:pt>
                <c:pt idx="2683">
                  <c:v>0.46</c:v>
                </c:pt>
                <c:pt idx="2684">
                  <c:v>0.44</c:v>
                </c:pt>
                <c:pt idx="2685">
                  <c:v>0.35</c:v>
                </c:pt>
                <c:pt idx="2686">
                  <c:v>0.23</c:v>
                </c:pt>
                <c:pt idx="2687">
                  <c:v>0.71</c:v>
                </c:pt>
                <c:pt idx="2688">
                  <c:v>0.91</c:v>
                </c:pt>
                <c:pt idx="2689">
                  <c:v>0.18</c:v>
                </c:pt>
                <c:pt idx="2690">
                  <c:v>0.42</c:v>
                </c:pt>
                <c:pt idx="2691">
                  <c:v>0.09</c:v>
                </c:pt>
                <c:pt idx="2692">
                  <c:v>0.8</c:v>
                </c:pt>
                <c:pt idx="2693">
                  <c:v>0.72</c:v>
                </c:pt>
                <c:pt idx="2694">
                  <c:v>0.52</c:v>
                </c:pt>
                <c:pt idx="2695">
                  <c:v>0.4</c:v>
                </c:pt>
                <c:pt idx="2696">
                  <c:v>0.61</c:v>
                </c:pt>
                <c:pt idx="2697">
                  <c:v>0.49</c:v>
                </c:pt>
                <c:pt idx="2698">
                  <c:v>0.59</c:v>
                </c:pt>
                <c:pt idx="2699">
                  <c:v>0.82</c:v>
                </c:pt>
                <c:pt idx="2700">
                  <c:v>0.85</c:v>
                </c:pt>
                <c:pt idx="2701">
                  <c:v>0.86</c:v>
                </c:pt>
                <c:pt idx="2702">
                  <c:v>0.92</c:v>
                </c:pt>
                <c:pt idx="2703">
                  <c:v>0.59</c:v>
                </c:pt>
                <c:pt idx="2704">
                  <c:v>0.42</c:v>
                </c:pt>
                <c:pt idx="2705">
                  <c:v>0.92</c:v>
                </c:pt>
                <c:pt idx="2706">
                  <c:v>0.19</c:v>
                </c:pt>
                <c:pt idx="2707">
                  <c:v>0.12</c:v>
                </c:pt>
                <c:pt idx="2708">
                  <c:v>0.81</c:v>
                </c:pt>
                <c:pt idx="2709">
                  <c:v>0.44</c:v>
                </c:pt>
                <c:pt idx="2710">
                  <c:v>0.34</c:v>
                </c:pt>
                <c:pt idx="2711">
                  <c:v>0.84</c:v>
                </c:pt>
                <c:pt idx="2712">
                  <c:v>0.56000000000000005</c:v>
                </c:pt>
                <c:pt idx="2713">
                  <c:v>0.67</c:v>
                </c:pt>
                <c:pt idx="2714">
                  <c:v>0.39</c:v>
                </c:pt>
                <c:pt idx="2715">
                  <c:v>0.2</c:v>
                </c:pt>
                <c:pt idx="2716">
                  <c:v>0.43</c:v>
                </c:pt>
                <c:pt idx="2717">
                  <c:v>0.67</c:v>
                </c:pt>
                <c:pt idx="2718">
                  <c:v>0.42</c:v>
                </c:pt>
                <c:pt idx="2719">
                  <c:v>0.32</c:v>
                </c:pt>
                <c:pt idx="2720">
                  <c:v>0.63</c:v>
                </c:pt>
                <c:pt idx="2721">
                  <c:v>0.53</c:v>
                </c:pt>
                <c:pt idx="2722">
                  <c:v>0.89</c:v>
                </c:pt>
                <c:pt idx="2723">
                  <c:v>0.42</c:v>
                </c:pt>
                <c:pt idx="2724">
                  <c:v>0.72</c:v>
                </c:pt>
                <c:pt idx="2725">
                  <c:v>0.23</c:v>
                </c:pt>
                <c:pt idx="2726">
                  <c:v>0.69</c:v>
                </c:pt>
                <c:pt idx="2727">
                  <c:v>0.2</c:v>
                </c:pt>
                <c:pt idx="2728">
                  <c:v>0.46</c:v>
                </c:pt>
                <c:pt idx="2729">
                  <c:v>0.65</c:v>
                </c:pt>
                <c:pt idx="2730">
                  <c:v>0.57999999999999996</c:v>
                </c:pt>
                <c:pt idx="2731">
                  <c:v>0.09</c:v>
                </c:pt>
                <c:pt idx="2732">
                  <c:v>0.85</c:v>
                </c:pt>
                <c:pt idx="2733">
                  <c:v>0.38</c:v>
                </c:pt>
                <c:pt idx="2734">
                  <c:v>0.77</c:v>
                </c:pt>
                <c:pt idx="2735">
                  <c:v>0.68</c:v>
                </c:pt>
                <c:pt idx="2736">
                  <c:v>0.52</c:v>
                </c:pt>
                <c:pt idx="2737">
                  <c:v>0.72</c:v>
                </c:pt>
                <c:pt idx="2738">
                  <c:v>0.89</c:v>
                </c:pt>
                <c:pt idx="2739">
                  <c:v>0.44</c:v>
                </c:pt>
                <c:pt idx="2740">
                  <c:v>0.93</c:v>
                </c:pt>
                <c:pt idx="2741">
                  <c:v>0.38</c:v>
                </c:pt>
                <c:pt idx="2742">
                  <c:v>0.63</c:v>
                </c:pt>
                <c:pt idx="2743">
                  <c:v>0.4</c:v>
                </c:pt>
                <c:pt idx="2744">
                  <c:v>0.05</c:v>
                </c:pt>
                <c:pt idx="2745">
                  <c:v>0.87</c:v>
                </c:pt>
                <c:pt idx="2746">
                  <c:v>0.51</c:v>
                </c:pt>
                <c:pt idx="2747">
                  <c:v>0.53</c:v>
                </c:pt>
                <c:pt idx="2748">
                  <c:v>0.34</c:v>
                </c:pt>
                <c:pt idx="2749">
                  <c:v>0.82</c:v>
                </c:pt>
                <c:pt idx="2750">
                  <c:v>0.48</c:v>
                </c:pt>
                <c:pt idx="2751">
                  <c:v>0.86</c:v>
                </c:pt>
                <c:pt idx="2752">
                  <c:v>0.71</c:v>
                </c:pt>
                <c:pt idx="2753">
                  <c:v>0.57999999999999996</c:v>
                </c:pt>
                <c:pt idx="2754">
                  <c:v>0.33</c:v>
                </c:pt>
                <c:pt idx="2755">
                  <c:v>0.36</c:v>
                </c:pt>
                <c:pt idx="2756">
                  <c:v>0.64</c:v>
                </c:pt>
                <c:pt idx="2757">
                  <c:v>0.21</c:v>
                </c:pt>
                <c:pt idx="2758">
                  <c:v>0.51</c:v>
                </c:pt>
                <c:pt idx="2759">
                  <c:v>0.44</c:v>
                </c:pt>
                <c:pt idx="2760">
                  <c:v>0.21</c:v>
                </c:pt>
                <c:pt idx="2761">
                  <c:v>0.32</c:v>
                </c:pt>
                <c:pt idx="2762">
                  <c:v>0.94</c:v>
                </c:pt>
                <c:pt idx="2763">
                  <c:v>0.64</c:v>
                </c:pt>
                <c:pt idx="2764">
                  <c:v>0.64</c:v>
                </c:pt>
                <c:pt idx="2765">
                  <c:v>0.59</c:v>
                </c:pt>
                <c:pt idx="2766">
                  <c:v>0.76</c:v>
                </c:pt>
                <c:pt idx="2767">
                  <c:v>0.35</c:v>
                </c:pt>
                <c:pt idx="2768">
                  <c:v>0.06</c:v>
                </c:pt>
                <c:pt idx="2769">
                  <c:v>0.44</c:v>
                </c:pt>
                <c:pt idx="2770">
                  <c:v>0.56999999999999995</c:v>
                </c:pt>
                <c:pt idx="2771">
                  <c:v>0.5</c:v>
                </c:pt>
                <c:pt idx="2772">
                  <c:v>0.71</c:v>
                </c:pt>
                <c:pt idx="2773">
                  <c:v>0.63</c:v>
                </c:pt>
                <c:pt idx="2774">
                  <c:v>0.48</c:v>
                </c:pt>
                <c:pt idx="2775">
                  <c:v>0.2</c:v>
                </c:pt>
                <c:pt idx="2776">
                  <c:v>0.49</c:v>
                </c:pt>
                <c:pt idx="2777">
                  <c:v>0.67</c:v>
                </c:pt>
                <c:pt idx="2778">
                  <c:v>0.28999999999999998</c:v>
                </c:pt>
                <c:pt idx="2779">
                  <c:v>0.48</c:v>
                </c:pt>
                <c:pt idx="2780">
                  <c:v>0.76</c:v>
                </c:pt>
                <c:pt idx="2781">
                  <c:v>0.52</c:v>
                </c:pt>
                <c:pt idx="2782">
                  <c:v>0.2</c:v>
                </c:pt>
                <c:pt idx="2783">
                  <c:v>0.94</c:v>
                </c:pt>
                <c:pt idx="2784">
                  <c:v>0.43</c:v>
                </c:pt>
                <c:pt idx="2785">
                  <c:v>0.51</c:v>
                </c:pt>
                <c:pt idx="2786">
                  <c:v>0.76</c:v>
                </c:pt>
                <c:pt idx="2787">
                  <c:v>0.57999999999999996</c:v>
                </c:pt>
                <c:pt idx="2788">
                  <c:v>0.6</c:v>
                </c:pt>
                <c:pt idx="2789">
                  <c:v>0.5</c:v>
                </c:pt>
                <c:pt idx="2790">
                  <c:v>0.41</c:v>
                </c:pt>
                <c:pt idx="2791">
                  <c:v>0.41</c:v>
                </c:pt>
                <c:pt idx="2792">
                  <c:v>0.67</c:v>
                </c:pt>
                <c:pt idx="2793">
                  <c:v>0.45</c:v>
                </c:pt>
                <c:pt idx="2794">
                  <c:v>0.51</c:v>
                </c:pt>
                <c:pt idx="2795">
                  <c:v>0.69</c:v>
                </c:pt>
                <c:pt idx="2796">
                  <c:v>0.79</c:v>
                </c:pt>
                <c:pt idx="2797">
                  <c:v>0.6</c:v>
                </c:pt>
                <c:pt idx="2798">
                  <c:v>0.8</c:v>
                </c:pt>
                <c:pt idx="2799">
                  <c:v>0.13</c:v>
                </c:pt>
                <c:pt idx="2800">
                  <c:v>0.56999999999999995</c:v>
                </c:pt>
                <c:pt idx="2801">
                  <c:v>0.28999999999999998</c:v>
                </c:pt>
                <c:pt idx="2802">
                  <c:v>0.65</c:v>
                </c:pt>
                <c:pt idx="2803">
                  <c:v>0.51</c:v>
                </c:pt>
                <c:pt idx="2804">
                  <c:v>0.35</c:v>
                </c:pt>
                <c:pt idx="2805">
                  <c:v>0.57999999999999996</c:v>
                </c:pt>
                <c:pt idx="2806">
                  <c:v>0.54</c:v>
                </c:pt>
                <c:pt idx="2807">
                  <c:v>0.14000000000000001</c:v>
                </c:pt>
                <c:pt idx="2808">
                  <c:v>0.64</c:v>
                </c:pt>
                <c:pt idx="2809">
                  <c:v>0.38</c:v>
                </c:pt>
                <c:pt idx="2810">
                  <c:v>0.88</c:v>
                </c:pt>
                <c:pt idx="2811">
                  <c:v>0.63</c:v>
                </c:pt>
                <c:pt idx="2812">
                  <c:v>0.88</c:v>
                </c:pt>
                <c:pt idx="2813">
                  <c:v>0.45</c:v>
                </c:pt>
                <c:pt idx="2814">
                  <c:v>0.6</c:v>
                </c:pt>
                <c:pt idx="2815">
                  <c:v>0.71</c:v>
                </c:pt>
                <c:pt idx="2816">
                  <c:v>0.44</c:v>
                </c:pt>
                <c:pt idx="2817">
                  <c:v>0.38</c:v>
                </c:pt>
                <c:pt idx="2818">
                  <c:v>0.1</c:v>
                </c:pt>
                <c:pt idx="2819">
                  <c:v>0.17</c:v>
                </c:pt>
                <c:pt idx="2820">
                  <c:v>0.57999999999999996</c:v>
                </c:pt>
                <c:pt idx="2821">
                  <c:v>0.66</c:v>
                </c:pt>
                <c:pt idx="2822">
                  <c:v>0.1</c:v>
                </c:pt>
                <c:pt idx="2823">
                  <c:v>0.06</c:v>
                </c:pt>
                <c:pt idx="2824">
                  <c:v>0.76</c:v>
                </c:pt>
                <c:pt idx="2825">
                  <c:v>0.21</c:v>
                </c:pt>
                <c:pt idx="2826">
                  <c:v>0.12</c:v>
                </c:pt>
                <c:pt idx="2827">
                  <c:v>0.57999999999999996</c:v>
                </c:pt>
                <c:pt idx="2828">
                  <c:v>0.69</c:v>
                </c:pt>
                <c:pt idx="2829">
                  <c:v>0.66</c:v>
                </c:pt>
                <c:pt idx="2830">
                  <c:v>0.92</c:v>
                </c:pt>
                <c:pt idx="2831">
                  <c:v>0.77</c:v>
                </c:pt>
                <c:pt idx="2832">
                  <c:v>0.81</c:v>
                </c:pt>
                <c:pt idx="2833">
                  <c:v>0.57999999999999996</c:v>
                </c:pt>
                <c:pt idx="2834">
                  <c:v>0.59</c:v>
                </c:pt>
                <c:pt idx="2835">
                  <c:v>0.31</c:v>
                </c:pt>
                <c:pt idx="2836">
                  <c:v>0.05</c:v>
                </c:pt>
                <c:pt idx="2837">
                  <c:v>0.74</c:v>
                </c:pt>
                <c:pt idx="2838">
                  <c:v>0.89</c:v>
                </c:pt>
                <c:pt idx="2839">
                  <c:v>0.39</c:v>
                </c:pt>
                <c:pt idx="2840">
                  <c:v>0.5</c:v>
                </c:pt>
                <c:pt idx="2841">
                  <c:v>0.17</c:v>
                </c:pt>
                <c:pt idx="2842">
                  <c:v>0.5</c:v>
                </c:pt>
                <c:pt idx="2843">
                  <c:v>0.73</c:v>
                </c:pt>
                <c:pt idx="2844">
                  <c:v>0.8</c:v>
                </c:pt>
                <c:pt idx="2845">
                  <c:v>0.39</c:v>
                </c:pt>
                <c:pt idx="2846">
                  <c:v>0.47</c:v>
                </c:pt>
                <c:pt idx="2847">
                  <c:v>0.46</c:v>
                </c:pt>
                <c:pt idx="2848">
                  <c:v>0.14000000000000001</c:v>
                </c:pt>
                <c:pt idx="2849">
                  <c:v>0.92</c:v>
                </c:pt>
                <c:pt idx="2850">
                  <c:v>0.34</c:v>
                </c:pt>
                <c:pt idx="2851">
                  <c:v>0.69</c:v>
                </c:pt>
                <c:pt idx="2852">
                  <c:v>0.69</c:v>
                </c:pt>
                <c:pt idx="2853">
                  <c:v>0.82</c:v>
                </c:pt>
                <c:pt idx="2854">
                  <c:v>0.9</c:v>
                </c:pt>
                <c:pt idx="2855">
                  <c:v>0.53</c:v>
                </c:pt>
                <c:pt idx="2856">
                  <c:v>0.95</c:v>
                </c:pt>
                <c:pt idx="2857">
                  <c:v>0.33</c:v>
                </c:pt>
                <c:pt idx="2858">
                  <c:v>0.35</c:v>
                </c:pt>
                <c:pt idx="2859">
                  <c:v>0.81</c:v>
                </c:pt>
                <c:pt idx="2860">
                  <c:v>0.33</c:v>
                </c:pt>
                <c:pt idx="2861">
                  <c:v>0.26</c:v>
                </c:pt>
                <c:pt idx="2862">
                  <c:v>0.56999999999999995</c:v>
                </c:pt>
                <c:pt idx="2863">
                  <c:v>0.77</c:v>
                </c:pt>
                <c:pt idx="2864">
                  <c:v>0.82</c:v>
                </c:pt>
                <c:pt idx="2865">
                  <c:v>0.4</c:v>
                </c:pt>
                <c:pt idx="2866">
                  <c:v>0.52</c:v>
                </c:pt>
                <c:pt idx="2867">
                  <c:v>0.19</c:v>
                </c:pt>
                <c:pt idx="2868">
                  <c:v>0.38</c:v>
                </c:pt>
                <c:pt idx="2869">
                  <c:v>0.38</c:v>
                </c:pt>
                <c:pt idx="2870">
                  <c:v>0.71</c:v>
                </c:pt>
                <c:pt idx="2871">
                  <c:v>0.61</c:v>
                </c:pt>
                <c:pt idx="2872">
                  <c:v>0.56999999999999995</c:v>
                </c:pt>
                <c:pt idx="2873">
                  <c:v>0.91</c:v>
                </c:pt>
                <c:pt idx="2874">
                  <c:v>0.31</c:v>
                </c:pt>
                <c:pt idx="2875">
                  <c:v>0.69</c:v>
                </c:pt>
                <c:pt idx="2876">
                  <c:v>0.4</c:v>
                </c:pt>
                <c:pt idx="2877">
                  <c:v>0.79</c:v>
                </c:pt>
                <c:pt idx="2878">
                  <c:v>0.45</c:v>
                </c:pt>
                <c:pt idx="2879">
                  <c:v>0.76</c:v>
                </c:pt>
                <c:pt idx="2880">
                  <c:v>0.78</c:v>
                </c:pt>
                <c:pt idx="2881">
                  <c:v>0.35</c:v>
                </c:pt>
                <c:pt idx="2882">
                  <c:v>0.33</c:v>
                </c:pt>
                <c:pt idx="2883">
                  <c:v>0.74</c:v>
                </c:pt>
                <c:pt idx="2884">
                  <c:v>0.37</c:v>
                </c:pt>
                <c:pt idx="2885">
                  <c:v>0.47</c:v>
                </c:pt>
                <c:pt idx="2886">
                  <c:v>7.0000000000000007E-2</c:v>
                </c:pt>
                <c:pt idx="2887">
                  <c:v>0.72</c:v>
                </c:pt>
                <c:pt idx="2888">
                  <c:v>0.46</c:v>
                </c:pt>
                <c:pt idx="2889">
                  <c:v>0.09</c:v>
                </c:pt>
                <c:pt idx="2890">
                  <c:v>0.11</c:v>
                </c:pt>
                <c:pt idx="2891">
                  <c:v>0.37</c:v>
                </c:pt>
                <c:pt idx="2892">
                  <c:v>0.78</c:v>
                </c:pt>
                <c:pt idx="2893">
                  <c:v>0.94</c:v>
                </c:pt>
                <c:pt idx="2894">
                  <c:v>0.75</c:v>
                </c:pt>
                <c:pt idx="2895">
                  <c:v>0.8</c:v>
                </c:pt>
                <c:pt idx="2896">
                  <c:v>0.85</c:v>
                </c:pt>
                <c:pt idx="2897">
                  <c:v>0.8</c:v>
                </c:pt>
                <c:pt idx="2898">
                  <c:v>0.59</c:v>
                </c:pt>
                <c:pt idx="2899">
                  <c:v>0.89</c:v>
                </c:pt>
                <c:pt idx="2900">
                  <c:v>0.44</c:v>
                </c:pt>
                <c:pt idx="2901">
                  <c:v>0.28999999999999998</c:v>
                </c:pt>
                <c:pt idx="2902">
                  <c:v>0.41</c:v>
                </c:pt>
                <c:pt idx="2903">
                  <c:v>0.64</c:v>
                </c:pt>
                <c:pt idx="2904">
                  <c:v>0.2</c:v>
                </c:pt>
                <c:pt idx="2905">
                  <c:v>0.21</c:v>
                </c:pt>
                <c:pt idx="2906">
                  <c:v>0.48</c:v>
                </c:pt>
                <c:pt idx="2907">
                  <c:v>7.0000000000000007E-2</c:v>
                </c:pt>
                <c:pt idx="2908">
                  <c:v>0.8</c:v>
                </c:pt>
                <c:pt idx="2909">
                  <c:v>0.35</c:v>
                </c:pt>
                <c:pt idx="2910">
                  <c:v>0.87</c:v>
                </c:pt>
                <c:pt idx="2911">
                  <c:v>0.49</c:v>
                </c:pt>
                <c:pt idx="2912">
                  <c:v>0.11</c:v>
                </c:pt>
                <c:pt idx="2913">
                  <c:v>0.26</c:v>
                </c:pt>
                <c:pt idx="2914">
                  <c:v>0.16</c:v>
                </c:pt>
                <c:pt idx="2915">
                  <c:v>0.79</c:v>
                </c:pt>
                <c:pt idx="2916">
                  <c:v>0.71</c:v>
                </c:pt>
                <c:pt idx="2917">
                  <c:v>0.31</c:v>
                </c:pt>
                <c:pt idx="2918">
                  <c:v>0.81</c:v>
                </c:pt>
                <c:pt idx="2919">
                  <c:v>0.23</c:v>
                </c:pt>
                <c:pt idx="2920">
                  <c:v>0.74</c:v>
                </c:pt>
                <c:pt idx="2921">
                  <c:v>0.34</c:v>
                </c:pt>
                <c:pt idx="2922">
                  <c:v>0.45</c:v>
                </c:pt>
                <c:pt idx="2923">
                  <c:v>0.6</c:v>
                </c:pt>
                <c:pt idx="2924">
                  <c:v>0.23</c:v>
                </c:pt>
                <c:pt idx="2925">
                  <c:v>0.41</c:v>
                </c:pt>
                <c:pt idx="2926">
                  <c:v>0.21</c:v>
                </c:pt>
                <c:pt idx="2927">
                  <c:v>0.31</c:v>
                </c:pt>
                <c:pt idx="2928">
                  <c:v>0.38</c:v>
                </c:pt>
                <c:pt idx="2929">
                  <c:v>0.45</c:v>
                </c:pt>
                <c:pt idx="2930">
                  <c:v>0.56000000000000005</c:v>
                </c:pt>
                <c:pt idx="2931">
                  <c:v>0.74</c:v>
                </c:pt>
                <c:pt idx="2932">
                  <c:v>0.54</c:v>
                </c:pt>
                <c:pt idx="2933">
                  <c:v>0.95</c:v>
                </c:pt>
                <c:pt idx="2934">
                  <c:v>0.47</c:v>
                </c:pt>
                <c:pt idx="2935">
                  <c:v>0.26</c:v>
                </c:pt>
                <c:pt idx="2936">
                  <c:v>0.61</c:v>
                </c:pt>
                <c:pt idx="2937">
                  <c:v>0.36</c:v>
                </c:pt>
                <c:pt idx="2938">
                  <c:v>0.77</c:v>
                </c:pt>
                <c:pt idx="2939">
                  <c:v>0.71</c:v>
                </c:pt>
                <c:pt idx="2940">
                  <c:v>0.76</c:v>
                </c:pt>
                <c:pt idx="2941">
                  <c:v>0.42</c:v>
                </c:pt>
                <c:pt idx="2942">
                  <c:v>0.83</c:v>
                </c:pt>
                <c:pt idx="2943">
                  <c:v>0.75</c:v>
                </c:pt>
                <c:pt idx="2944">
                  <c:v>0.26</c:v>
                </c:pt>
                <c:pt idx="2945">
                  <c:v>0.93</c:v>
                </c:pt>
                <c:pt idx="2946">
                  <c:v>0.54</c:v>
                </c:pt>
                <c:pt idx="2947">
                  <c:v>0.94</c:v>
                </c:pt>
                <c:pt idx="2948">
                  <c:v>0.78</c:v>
                </c:pt>
                <c:pt idx="2949">
                  <c:v>0.31</c:v>
                </c:pt>
                <c:pt idx="2950">
                  <c:v>0.64</c:v>
                </c:pt>
                <c:pt idx="2951">
                  <c:v>0.3</c:v>
                </c:pt>
                <c:pt idx="2952">
                  <c:v>0.7</c:v>
                </c:pt>
                <c:pt idx="2953">
                  <c:v>0.93</c:v>
                </c:pt>
                <c:pt idx="2954">
                  <c:v>0.67</c:v>
                </c:pt>
                <c:pt idx="2955">
                  <c:v>0.25</c:v>
                </c:pt>
                <c:pt idx="2956">
                  <c:v>0.39</c:v>
                </c:pt>
                <c:pt idx="2957">
                  <c:v>0.55000000000000004</c:v>
                </c:pt>
                <c:pt idx="2958">
                  <c:v>0.3</c:v>
                </c:pt>
                <c:pt idx="2959">
                  <c:v>0.69</c:v>
                </c:pt>
                <c:pt idx="2960">
                  <c:v>0.56999999999999995</c:v>
                </c:pt>
                <c:pt idx="2961">
                  <c:v>0.31</c:v>
                </c:pt>
                <c:pt idx="2962">
                  <c:v>0.82</c:v>
                </c:pt>
                <c:pt idx="2963">
                  <c:v>0.45</c:v>
                </c:pt>
                <c:pt idx="2964">
                  <c:v>0.43</c:v>
                </c:pt>
                <c:pt idx="2965">
                  <c:v>0.68</c:v>
                </c:pt>
                <c:pt idx="2966">
                  <c:v>0.1</c:v>
                </c:pt>
                <c:pt idx="2967">
                  <c:v>0.6</c:v>
                </c:pt>
                <c:pt idx="2968">
                  <c:v>0.75</c:v>
                </c:pt>
                <c:pt idx="2969">
                  <c:v>0.2</c:v>
                </c:pt>
                <c:pt idx="2970">
                  <c:v>0.55000000000000004</c:v>
                </c:pt>
                <c:pt idx="2971">
                  <c:v>0.32</c:v>
                </c:pt>
                <c:pt idx="2972">
                  <c:v>0.91</c:v>
                </c:pt>
                <c:pt idx="2973">
                  <c:v>0.28000000000000003</c:v>
                </c:pt>
                <c:pt idx="2974">
                  <c:v>0.6</c:v>
                </c:pt>
                <c:pt idx="2975">
                  <c:v>0.33</c:v>
                </c:pt>
                <c:pt idx="2976">
                  <c:v>0.2</c:v>
                </c:pt>
                <c:pt idx="2977">
                  <c:v>0.37</c:v>
                </c:pt>
                <c:pt idx="2978">
                  <c:v>0.1</c:v>
                </c:pt>
                <c:pt idx="2979">
                  <c:v>0.72</c:v>
                </c:pt>
                <c:pt idx="2980">
                  <c:v>0.15</c:v>
                </c:pt>
                <c:pt idx="2981">
                  <c:v>0.12</c:v>
                </c:pt>
                <c:pt idx="2982">
                  <c:v>0.75</c:v>
                </c:pt>
                <c:pt idx="2983">
                  <c:v>0.32</c:v>
                </c:pt>
                <c:pt idx="2984">
                  <c:v>0.1</c:v>
                </c:pt>
                <c:pt idx="2985">
                  <c:v>0.76</c:v>
                </c:pt>
                <c:pt idx="2986">
                  <c:v>0.88</c:v>
                </c:pt>
                <c:pt idx="2987">
                  <c:v>0.67</c:v>
                </c:pt>
                <c:pt idx="2988">
                  <c:v>0.84</c:v>
                </c:pt>
                <c:pt idx="2989">
                  <c:v>0.4</c:v>
                </c:pt>
                <c:pt idx="2990">
                  <c:v>0.7</c:v>
                </c:pt>
                <c:pt idx="2991">
                  <c:v>0.52</c:v>
                </c:pt>
                <c:pt idx="2992">
                  <c:v>0.73</c:v>
                </c:pt>
                <c:pt idx="2993">
                  <c:v>0.28000000000000003</c:v>
                </c:pt>
                <c:pt idx="2994">
                  <c:v>0.47</c:v>
                </c:pt>
                <c:pt idx="2995">
                  <c:v>0.2</c:v>
                </c:pt>
                <c:pt idx="2996">
                  <c:v>0.35</c:v>
                </c:pt>
                <c:pt idx="2997">
                  <c:v>0.39</c:v>
                </c:pt>
                <c:pt idx="2998">
                  <c:v>0.46</c:v>
                </c:pt>
                <c:pt idx="2999">
                  <c:v>0.49</c:v>
                </c:pt>
              </c:numCache>
            </c:numRef>
          </c:yVal>
          <c:smooth val="0"/>
          <c:extLst>
            <c:ext xmlns:c16="http://schemas.microsoft.com/office/drawing/2014/chart" uri="{C3380CC4-5D6E-409C-BE32-E72D297353CC}">
              <c16:uniqueId val="{00000000-8484-4862-BD4A-AE942027A20E}"/>
            </c:ext>
          </c:extLst>
        </c:ser>
        <c:dLbls>
          <c:showLegendKey val="0"/>
          <c:showVal val="0"/>
          <c:showCatName val="0"/>
          <c:showSerName val="0"/>
          <c:showPercent val="0"/>
          <c:showBubbleSize val="0"/>
        </c:dLbls>
        <c:axId val="1633603071"/>
        <c:axId val="1633604991"/>
      </c:scatterChart>
      <c:valAx>
        <c:axId val="1633603071"/>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000" b="0" i="0" u="none" strike="noStrike" baseline="0"/>
                  <a:t>AI_Exposure_Index</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3604991"/>
        <c:crosses val="autoZero"/>
        <c:crossBetween val="midCat"/>
      </c:valAx>
      <c:valAx>
        <c:axId val="163360499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000" b="0" i="0" u="none" strike="noStrike" baseline="0"/>
                  <a:t>Automation_Probability_2030</a:t>
                </a:r>
                <a:endParaRPr lang="en-IN"/>
              </a:p>
            </c:rich>
          </c:tx>
          <c:layout>
            <c:manualLayout>
              <c:xMode val="edge"/>
              <c:yMode val="edge"/>
              <c:x val="1.9444444444444445E-2"/>
              <c:y val="0.18481882473024205"/>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3603071"/>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[Analysis job risk by Abhishek Kumar.xlsx]Pivot!PivotTable2</c:name>
    <c:fmtId val="3"/>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IN" sz="1400" b="0" i="0" u="none" strike="noStrike" baseline="0">
                <a:solidFill>
                  <a:schemeClr val="tx1"/>
                </a:solidFill>
              </a:rPr>
              <a:t>Avg Salary by Education</a:t>
            </a:r>
            <a:endParaRPr lang="en-IN">
              <a:solidFill>
                <a:schemeClr val="tx1"/>
              </a:solidFill>
            </a:endParaRPr>
          </a:p>
        </c:rich>
      </c:tx>
      <c:layout>
        <c:manualLayout>
          <c:xMode val="edge"/>
          <c:yMode val="edge"/>
          <c:x val="0.2600459458696695"/>
          <c:y val="0.1424978127734033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Pivot!$I$4</c:f>
              <c:strCache>
                <c:ptCount val="1"/>
                <c:pt idx="0">
                  <c:v>Averge_Salary</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Pivot!$H$5:$H$9</c:f>
              <c:strCache>
                <c:ptCount val="4"/>
                <c:pt idx="0">
                  <c:v>Bachelor's</c:v>
                </c:pt>
                <c:pt idx="1">
                  <c:v>High School</c:v>
                </c:pt>
                <c:pt idx="2">
                  <c:v>Master's</c:v>
                </c:pt>
                <c:pt idx="3">
                  <c:v>PhD</c:v>
                </c:pt>
              </c:strCache>
            </c:strRef>
          </c:cat>
          <c:val>
            <c:numRef>
              <c:f>Pivot!$I$5:$I$9</c:f>
              <c:numCache>
                <c:formatCode>General</c:formatCode>
                <c:ptCount val="4"/>
                <c:pt idx="0">
                  <c:v>88815.495424836598</c:v>
                </c:pt>
                <c:pt idx="1">
                  <c:v>88389.293367346938</c:v>
                </c:pt>
                <c:pt idx="2">
                  <c:v>91318.56462585034</c:v>
                </c:pt>
                <c:pt idx="3">
                  <c:v>89045.575418994413</c:v>
                </c:pt>
              </c:numCache>
            </c:numRef>
          </c:val>
          <c:extLst>
            <c:ext xmlns:c16="http://schemas.microsoft.com/office/drawing/2014/chart" uri="{C3380CC4-5D6E-409C-BE32-E72D297353CC}">
              <c16:uniqueId val="{00000000-FD02-4577-8B77-73E2466683B2}"/>
            </c:ext>
          </c:extLst>
        </c:ser>
        <c:ser>
          <c:idx val="1"/>
          <c:order val="1"/>
          <c:tx>
            <c:strRef>
              <c:f>Pivot!$J$4</c:f>
              <c:strCache>
                <c:ptCount val="1"/>
                <c:pt idx="0">
                  <c:v>Average of Automation_Probability_2030</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Pivot!$H$5:$H$9</c:f>
              <c:strCache>
                <c:ptCount val="4"/>
                <c:pt idx="0">
                  <c:v>Bachelor's</c:v>
                </c:pt>
                <c:pt idx="1">
                  <c:v>High School</c:v>
                </c:pt>
                <c:pt idx="2">
                  <c:v>Master's</c:v>
                </c:pt>
                <c:pt idx="3">
                  <c:v>PhD</c:v>
                </c:pt>
              </c:strCache>
            </c:strRef>
          </c:cat>
          <c:val>
            <c:numRef>
              <c:f>Pivot!$J$5:$J$9</c:f>
              <c:numCache>
                <c:formatCode>0.00</c:formatCode>
                <c:ptCount val="4"/>
                <c:pt idx="0">
                  <c:v>0.50035294117647022</c:v>
                </c:pt>
                <c:pt idx="1">
                  <c:v>0.50905612244897902</c:v>
                </c:pt>
                <c:pt idx="2">
                  <c:v>0.49563265306122434</c:v>
                </c:pt>
                <c:pt idx="3">
                  <c:v>0.50048882681564233</c:v>
                </c:pt>
              </c:numCache>
            </c:numRef>
          </c:val>
          <c:extLst>
            <c:ext xmlns:c16="http://schemas.microsoft.com/office/drawing/2014/chart" uri="{C3380CC4-5D6E-409C-BE32-E72D297353CC}">
              <c16:uniqueId val="{00000001-FD02-4577-8B77-73E2466683B2}"/>
            </c:ext>
          </c:extLst>
        </c:ser>
        <c:dLbls>
          <c:dLblPos val="inEnd"/>
          <c:showLegendKey val="0"/>
          <c:showVal val="1"/>
          <c:showCatName val="0"/>
          <c:showSerName val="0"/>
          <c:showPercent val="0"/>
          <c:showBubbleSize val="0"/>
        </c:dLbls>
        <c:gapWidth val="182"/>
        <c:axId val="63228703"/>
        <c:axId val="63240703"/>
      </c:barChart>
      <c:catAx>
        <c:axId val="63228703"/>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63240703"/>
        <c:crosses val="autoZero"/>
        <c:auto val="1"/>
        <c:lblAlgn val="ctr"/>
        <c:lblOffset val="100"/>
        <c:noMultiLvlLbl val="0"/>
      </c:catAx>
      <c:valAx>
        <c:axId val="63240703"/>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632287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image" Target="../media/image1.jpeg"/><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5</xdr:col>
      <xdr:colOff>423495</xdr:colOff>
      <xdr:row>1</xdr:row>
      <xdr:rowOff>0</xdr:rowOff>
    </xdr:from>
    <xdr:to>
      <xdr:col>27</xdr:col>
      <xdr:colOff>615460</xdr:colOff>
      <xdr:row>35</xdr:row>
      <xdr:rowOff>117231</xdr:rowOff>
    </xdr:to>
    <xdr:sp macro="" textlink="">
      <xdr:nvSpPr>
        <xdr:cNvPr id="2" name="TextBox 1">
          <a:extLst>
            <a:ext uri="{FF2B5EF4-FFF2-40B4-BE49-F238E27FC236}">
              <a16:creationId xmlns:a16="http://schemas.microsoft.com/office/drawing/2014/main" id="{68591E3B-FFD6-C311-7A95-8F44FECC0D8A}"/>
            </a:ext>
          </a:extLst>
        </xdr:cNvPr>
        <xdr:cNvSpPr txBox="1"/>
      </xdr:nvSpPr>
      <xdr:spPr>
        <a:xfrm>
          <a:off x="423495" y="470553"/>
          <a:ext cx="13732119" cy="6695178"/>
        </a:xfrm>
        <a:prstGeom prst="rect">
          <a:avLst/>
        </a:prstGeom>
        <a:solidFill>
          <a:schemeClr val="accent4">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twoCellAnchor>
    <xdr:from>
      <xdr:col>17</xdr:col>
      <xdr:colOff>581664</xdr:colOff>
      <xdr:row>1</xdr:row>
      <xdr:rowOff>181518</xdr:rowOff>
    </xdr:from>
    <xdr:to>
      <xdr:col>27</xdr:col>
      <xdr:colOff>274878</xdr:colOff>
      <xdr:row>19</xdr:row>
      <xdr:rowOff>114393</xdr:rowOff>
    </xdr:to>
    <xdr:graphicFrame macro="">
      <xdr:nvGraphicFramePr>
        <xdr:cNvPr id="3" name="Chart 3">
          <a:extLst>
            <a:ext uri="{FF2B5EF4-FFF2-40B4-BE49-F238E27FC236}">
              <a16:creationId xmlns:a16="http://schemas.microsoft.com/office/drawing/2014/main" id="{04F3ADF2-98E1-4947-BA46-A05F41148C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553064</xdr:colOff>
      <xdr:row>23</xdr:row>
      <xdr:rowOff>22217</xdr:rowOff>
    </xdr:from>
    <xdr:to>
      <xdr:col>17</xdr:col>
      <xdr:colOff>345310</xdr:colOff>
      <xdr:row>34</xdr:row>
      <xdr:rowOff>45380</xdr:rowOff>
    </xdr:to>
    <xdr:graphicFrame macro="">
      <xdr:nvGraphicFramePr>
        <xdr:cNvPr id="5" name="Chart 4">
          <a:extLst>
            <a:ext uri="{FF2B5EF4-FFF2-40B4-BE49-F238E27FC236}">
              <a16:creationId xmlns:a16="http://schemas.microsoft.com/office/drawing/2014/main" id="{7695A193-2AF5-43F3-9BAB-89087085BC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612390</xdr:colOff>
      <xdr:row>20</xdr:row>
      <xdr:rowOff>73979</xdr:rowOff>
    </xdr:from>
    <xdr:to>
      <xdr:col>27</xdr:col>
      <xdr:colOff>320259</xdr:colOff>
      <xdr:row>34</xdr:row>
      <xdr:rowOff>59325</xdr:rowOff>
    </xdr:to>
    <xdr:graphicFrame macro="">
      <xdr:nvGraphicFramePr>
        <xdr:cNvPr id="6" name="Chart 6">
          <a:extLst>
            <a:ext uri="{FF2B5EF4-FFF2-40B4-BE49-F238E27FC236}">
              <a16:creationId xmlns:a16="http://schemas.microsoft.com/office/drawing/2014/main" id="{A2548CA3-11A9-4A0A-A078-70C684F87C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537701</xdr:colOff>
      <xdr:row>10</xdr:row>
      <xdr:rowOff>68989</xdr:rowOff>
    </xdr:from>
    <xdr:to>
      <xdr:col>17</xdr:col>
      <xdr:colOff>285278</xdr:colOff>
      <xdr:row>22</xdr:row>
      <xdr:rowOff>103995</xdr:rowOff>
    </xdr:to>
    <xdr:graphicFrame macro="">
      <xdr:nvGraphicFramePr>
        <xdr:cNvPr id="7" name="Chart 6">
          <a:extLst>
            <a:ext uri="{FF2B5EF4-FFF2-40B4-BE49-F238E27FC236}">
              <a16:creationId xmlns:a16="http://schemas.microsoft.com/office/drawing/2014/main" id="{6E8CC1EF-562C-436D-B1B0-887AD84B17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553064</xdr:colOff>
      <xdr:row>1</xdr:row>
      <xdr:rowOff>76814</xdr:rowOff>
    </xdr:from>
    <xdr:to>
      <xdr:col>11</xdr:col>
      <xdr:colOff>276534</xdr:colOff>
      <xdr:row>3</xdr:row>
      <xdr:rowOff>107540</xdr:rowOff>
    </xdr:to>
    <xdr:sp macro="" textlink="">
      <xdr:nvSpPr>
        <xdr:cNvPr id="10" name="TextBox 9">
          <a:extLst>
            <a:ext uri="{FF2B5EF4-FFF2-40B4-BE49-F238E27FC236}">
              <a16:creationId xmlns:a16="http://schemas.microsoft.com/office/drawing/2014/main" id="{29828DB7-CA04-5F73-1F99-60714FC2CB77}"/>
            </a:ext>
          </a:extLst>
        </xdr:cNvPr>
        <xdr:cNvSpPr txBox="1"/>
      </xdr:nvSpPr>
      <xdr:spPr>
        <a:xfrm>
          <a:off x="3625645" y="261169"/>
          <a:ext cx="3410566" cy="399436"/>
        </a:xfrm>
        <a:prstGeom prst="rect">
          <a:avLst/>
        </a:prstGeom>
        <a:solidFill>
          <a:schemeClr val="accent4">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400" b="0">
              <a:solidFill>
                <a:schemeClr val="tx1"/>
              </a:solidFill>
            </a:rPr>
            <a:t>AI Impact On Jobs-2030</a:t>
          </a:r>
        </a:p>
      </xdr:txBody>
    </xdr:sp>
    <xdr:clientData/>
  </xdr:twoCellAnchor>
  <xdr:twoCellAnchor editAs="oneCell">
    <xdr:from>
      <xdr:col>5</xdr:col>
      <xdr:colOff>553064</xdr:colOff>
      <xdr:row>4</xdr:row>
      <xdr:rowOff>26683</xdr:rowOff>
    </xdr:from>
    <xdr:to>
      <xdr:col>9</xdr:col>
      <xdr:colOff>402508</xdr:colOff>
      <xdr:row>10</xdr:row>
      <xdr:rowOff>25056</xdr:rowOff>
    </xdr:to>
    <mc:AlternateContent xmlns:mc="http://schemas.openxmlformats.org/markup-compatibility/2006">
      <mc:Choice xmlns:a14="http://schemas.microsoft.com/office/drawing/2010/main" Requires="a14">
        <xdr:graphicFrame macro="">
          <xdr:nvGraphicFramePr>
            <xdr:cNvPr id="11" name="Risk_Category 2">
              <a:extLst>
                <a:ext uri="{FF2B5EF4-FFF2-40B4-BE49-F238E27FC236}">
                  <a16:creationId xmlns:a16="http://schemas.microsoft.com/office/drawing/2014/main" id="{5777FAB3-5E07-4442-B84B-D98DC07B56BF}"/>
                </a:ext>
              </a:extLst>
            </xdr:cNvPr>
            <xdr:cNvGraphicFramePr/>
          </xdr:nvGraphicFramePr>
          <xdr:xfrm>
            <a:off x="0" y="0"/>
            <a:ext cx="0" cy="0"/>
          </xdr:xfrm>
          <a:graphic>
            <a:graphicData uri="http://schemas.microsoft.com/office/drawing/2010/slicer">
              <sle:slicer xmlns:sle="http://schemas.microsoft.com/office/drawing/2010/slicer" name="Risk_Category 2"/>
            </a:graphicData>
          </a:graphic>
        </xdr:graphicFrame>
      </mc:Choice>
      <mc:Fallback>
        <xdr:sp macro="" textlink="">
          <xdr:nvSpPr>
            <xdr:cNvPr id="0" name=""/>
            <xdr:cNvSpPr>
              <a:spLocks noTextEdit="1"/>
            </xdr:cNvSpPr>
          </xdr:nvSpPr>
          <xdr:spPr>
            <a:xfrm>
              <a:off x="3589158" y="788683"/>
              <a:ext cx="2278319" cy="114137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431770</xdr:colOff>
      <xdr:row>4</xdr:row>
      <xdr:rowOff>25974</xdr:rowOff>
    </xdr:from>
    <xdr:to>
      <xdr:col>17</xdr:col>
      <xdr:colOff>301351</xdr:colOff>
      <xdr:row>10</xdr:row>
      <xdr:rowOff>24345</xdr:rowOff>
    </xdr:to>
    <mc:AlternateContent xmlns:mc="http://schemas.openxmlformats.org/markup-compatibility/2006">
      <mc:Choice xmlns:a14="http://schemas.microsoft.com/office/drawing/2010/main" Requires="a14">
        <xdr:graphicFrame macro="">
          <xdr:nvGraphicFramePr>
            <xdr:cNvPr id="12" name="Career_Stage 2">
              <a:extLst>
                <a:ext uri="{FF2B5EF4-FFF2-40B4-BE49-F238E27FC236}">
                  <a16:creationId xmlns:a16="http://schemas.microsoft.com/office/drawing/2014/main" id="{62AC8F4B-6611-4C11-922F-479EFC71DF95}"/>
                </a:ext>
              </a:extLst>
            </xdr:cNvPr>
            <xdr:cNvGraphicFramePr/>
          </xdr:nvGraphicFramePr>
          <xdr:xfrm>
            <a:off x="0" y="0"/>
            <a:ext cx="0" cy="0"/>
          </xdr:xfrm>
          <a:graphic>
            <a:graphicData uri="http://schemas.microsoft.com/office/drawing/2010/slicer">
              <sle:slicer xmlns:sle="http://schemas.microsoft.com/office/drawing/2010/slicer" name="Career_Stage 2"/>
            </a:graphicData>
          </a:graphic>
        </xdr:graphicFrame>
      </mc:Choice>
      <mc:Fallback>
        <xdr:sp macro="" textlink="">
          <xdr:nvSpPr>
            <xdr:cNvPr id="0" name=""/>
            <xdr:cNvSpPr>
              <a:spLocks noTextEdit="1"/>
            </xdr:cNvSpPr>
          </xdr:nvSpPr>
          <xdr:spPr>
            <a:xfrm>
              <a:off x="8325614" y="787974"/>
              <a:ext cx="2298456" cy="114137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503384</xdr:colOff>
      <xdr:row>4</xdr:row>
      <xdr:rowOff>25973</xdr:rowOff>
    </xdr:from>
    <xdr:to>
      <xdr:col>13</xdr:col>
      <xdr:colOff>315294</xdr:colOff>
      <xdr:row>10</xdr:row>
      <xdr:rowOff>24346</xdr:rowOff>
    </xdr:to>
    <mc:AlternateContent xmlns:mc="http://schemas.openxmlformats.org/markup-compatibility/2006">
      <mc:Choice xmlns:a14="http://schemas.microsoft.com/office/drawing/2010/main" Requires="a14">
        <xdr:graphicFrame macro="">
          <xdr:nvGraphicFramePr>
            <xdr:cNvPr id="13" name="Education_Level 2">
              <a:extLst>
                <a:ext uri="{FF2B5EF4-FFF2-40B4-BE49-F238E27FC236}">
                  <a16:creationId xmlns:a16="http://schemas.microsoft.com/office/drawing/2014/main" id="{7E8A6299-21E4-4DB1-BF5F-FAE56EB775CA}"/>
                </a:ext>
              </a:extLst>
            </xdr:cNvPr>
            <xdr:cNvGraphicFramePr/>
          </xdr:nvGraphicFramePr>
          <xdr:xfrm>
            <a:off x="0" y="0"/>
            <a:ext cx="0" cy="0"/>
          </xdr:xfrm>
          <a:graphic>
            <a:graphicData uri="http://schemas.microsoft.com/office/drawing/2010/slicer">
              <sle:slicer xmlns:sle="http://schemas.microsoft.com/office/drawing/2010/slicer" name="Education_Level 2"/>
            </a:graphicData>
          </a:graphic>
        </xdr:graphicFrame>
      </mc:Choice>
      <mc:Fallback>
        <xdr:sp macro="" textlink="">
          <xdr:nvSpPr>
            <xdr:cNvPr id="0" name=""/>
            <xdr:cNvSpPr>
              <a:spLocks noTextEdit="1"/>
            </xdr:cNvSpPr>
          </xdr:nvSpPr>
          <xdr:spPr>
            <a:xfrm>
              <a:off x="5968353" y="787973"/>
              <a:ext cx="2240785" cy="114137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401410</xdr:colOff>
      <xdr:row>1</xdr:row>
      <xdr:rowOff>71438</xdr:rowOff>
    </xdr:from>
    <xdr:to>
      <xdr:col>12</xdr:col>
      <xdr:colOff>381000</xdr:colOff>
      <xdr:row>3</xdr:row>
      <xdr:rowOff>107156</xdr:rowOff>
    </xdr:to>
    <xdr:pic>
      <xdr:nvPicPr>
        <xdr:cNvPr id="14" name="Picture 13">
          <a:extLst>
            <a:ext uri="{FF2B5EF4-FFF2-40B4-BE49-F238E27FC236}">
              <a16:creationId xmlns:a16="http://schemas.microsoft.com/office/drawing/2014/main" id="{1277A2A9-FEC4-918F-243D-AA47B56FC7DF}"/>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7080816" y="261938"/>
          <a:ext cx="586809" cy="41671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66675</xdr:colOff>
      <xdr:row>4</xdr:row>
      <xdr:rowOff>142876</xdr:rowOff>
    </xdr:from>
    <xdr:to>
      <xdr:col>7</xdr:col>
      <xdr:colOff>314325</xdr:colOff>
      <xdr:row>12</xdr:row>
      <xdr:rowOff>28576</xdr:rowOff>
    </xdr:to>
    <mc:AlternateContent xmlns:mc="http://schemas.openxmlformats.org/markup-compatibility/2006" xmlns:a14="http://schemas.microsoft.com/office/drawing/2010/main">
      <mc:Choice Requires="a14">
        <xdr:graphicFrame macro="">
          <xdr:nvGraphicFramePr>
            <xdr:cNvPr id="8" name="Education_Level">
              <a:extLst>
                <a:ext uri="{FF2B5EF4-FFF2-40B4-BE49-F238E27FC236}">
                  <a16:creationId xmlns:a16="http://schemas.microsoft.com/office/drawing/2014/main" id="{C7C9E18F-10B4-D8D4-4ADB-1B425B92F058}"/>
                </a:ext>
              </a:extLst>
            </xdr:cNvPr>
            <xdr:cNvGraphicFramePr/>
          </xdr:nvGraphicFramePr>
          <xdr:xfrm>
            <a:off x="0" y="0"/>
            <a:ext cx="0" cy="0"/>
          </xdr:xfrm>
          <a:graphic>
            <a:graphicData uri="http://schemas.microsoft.com/office/drawing/2010/slicer">
              <sle:slicer xmlns:sle="http://schemas.microsoft.com/office/drawing/2010/slicer" name="Education_Level"/>
            </a:graphicData>
          </a:graphic>
        </xdr:graphicFrame>
      </mc:Choice>
      <mc:Fallback xmlns="">
        <xdr:sp macro="" textlink="">
          <xdr:nvSpPr>
            <xdr:cNvPr id="0" name=""/>
            <xdr:cNvSpPr>
              <a:spLocks noTextEdit="1"/>
            </xdr:cNvSpPr>
          </xdr:nvSpPr>
          <xdr:spPr>
            <a:xfrm>
              <a:off x="3629025" y="904876"/>
              <a:ext cx="1847850" cy="14097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552450</xdr:colOff>
      <xdr:row>5</xdr:row>
      <xdr:rowOff>28576</xdr:rowOff>
    </xdr:from>
    <xdr:to>
      <xdr:col>6</xdr:col>
      <xdr:colOff>381000</xdr:colOff>
      <xdr:row>11</xdr:row>
      <xdr:rowOff>9526</xdr:rowOff>
    </xdr:to>
    <mc:AlternateContent xmlns:mc="http://schemas.openxmlformats.org/markup-compatibility/2006" xmlns:a14="http://schemas.microsoft.com/office/drawing/2010/main">
      <mc:Choice Requires="a14">
        <xdr:graphicFrame macro="">
          <xdr:nvGraphicFramePr>
            <xdr:cNvPr id="9" name="Risk_Category">
              <a:extLst>
                <a:ext uri="{FF2B5EF4-FFF2-40B4-BE49-F238E27FC236}">
                  <a16:creationId xmlns:a16="http://schemas.microsoft.com/office/drawing/2014/main" id="{04178491-0C19-8E2D-8175-7FD4EF8B147C}"/>
                </a:ext>
              </a:extLst>
            </xdr:cNvPr>
            <xdr:cNvGraphicFramePr/>
          </xdr:nvGraphicFramePr>
          <xdr:xfrm>
            <a:off x="0" y="0"/>
            <a:ext cx="0" cy="0"/>
          </xdr:xfrm>
          <a:graphic>
            <a:graphicData uri="http://schemas.microsoft.com/office/drawing/2010/slicer">
              <sle:slicer xmlns:sle="http://schemas.microsoft.com/office/drawing/2010/slicer" name="Risk_Category"/>
            </a:graphicData>
          </a:graphic>
        </xdr:graphicFrame>
      </mc:Choice>
      <mc:Fallback xmlns="">
        <xdr:sp macro="" textlink="">
          <xdr:nvSpPr>
            <xdr:cNvPr id="0" name=""/>
            <xdr:cNvSpPr>
              <a:spLocks noTextEdit="1"/>
            </xdr:cNvSpPr>
          </xdr:nvSpPr>
          <xdr:spPr>
            <a:xfrm>
              <a:off x="3314700" y="981076"/>
              <a:ext cx="1828800" cy="11239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238125</xdr:colOff>
      <xdr:row>9</xdr:row>
      <xdr:rowOff>142875</xdr:rowOff>
    </xdr:from>
    <xdr:to>
      <xdr:col>8</xdr:col>
      <xdr:colOff>390525</xdr:colOff>
      <xdr:row>15</xdr:row>
      <xdr:rowOff>171450</xdr:rowOff>
    </xdr:to>
    <mc:AlternateContent xmlns:mc="http://schemas.openxmlformats.org/markup-compatibility/2006" xmlns:a14="http://schemas.microsoft.com/office/drawing/2010/main">
      <mc:Choice Requires="a14">
        <xdr:graphicFrame macro="">
          <xdr:nvGraphicFramePr>
            <xdr:cNvPr id="10" name="Career_Stage">
              <a:extLst>
                <a:ext uri="{FF2B5EF4-FFF2-40B4-BE49-F238E27FC236}">
                  <a16:creationId xmlns:a16="http://schemas.microsoft.com/office/drawing/2014/main" id="{7221C1F4-CF73-0CAA-16C6-186BA29D1BC0}"/>
                </a:ext>
              </a:extLst>
            </xdr:cNvPr>
            <xdr:cNvGraphicFramePr/>
          </xdr:nvGraphicFramePr>
          <xdr:xfrm>
            <a:off x="0" y="0"/>
            <a:ext cx="0" cy="0"/>
          </xdr:xfrm>
          <a:graphic>
            <a:graphicData uri="http://schemas.microsoft.com/office/drawing/2010/slicer">
              <sle:slicer xmlns:sle="http://schemas.microsoft.com/office/drawing/2010/slicer" name="Career_Stage"/>
            </a:graphicData>
          </a:graphic>
        </xdr:graphicFrame>
      </mc:Choice>
      <mc:Fallback xmlns="">
        <xdr:sp macro="" textlink="">
          <xdr:nvSpPr>
            <xdr:cNvPr id="0" name=""/>
            <xdr:cNvSpPr>
              <a:spLocks noTextEdit="1"/>
            </xdr:cNvSpPr>
          </xdr:nvSpPr>
          <xdr:spPr>
            <a:xfrm>
              <a:off x="4600575" y="1857375"/>
              <a:ext cx="1828800" cy="11715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bhishek Kumar" refreshedDate="46035.736339814815" createdVersion="8" refreshedVersion="8" minRefreshableVersion="3" recordCount="3000" xr:uid="{E4A2A4F0-AAB7-4E4D-B61D-D5F12A52BB53}">
  <cacheSource type="worksheet">
    <worksheetSource name="Table1"/>
  </cacheSource>
  <cacheFields count="20">
    <cacheField name="Job_Title" numFmtId="0">
      <sharedItems count="20">
        <s v="Security Guard"/>
        <s v="Research Scientist"/>
        <s v="Construction Worker"/>
        <s v="Software Engineer"/>
        <s v="Financial Analyst"/>
        <s v="AI Engineer"/>
        <s v="Mechanic"/>
        <s v="Teacher"/>
        <s v="HR Specialist"/>
        <s v="Customer Support"/>
        <s v="UX Researcher"/>
        <s v="Lawyer"/>
        <s v="Data Scientist"/>
        <s v="Graphic Designer"/>
        <s v="Retail Worker"/>
        <s v="Doctor"/>
        <s v="Truck Driver"/>
        <s v="Chef"/>
        <s v="Nurse"/>
        <s v="Marketing Manager"/>
      </sharedItems>
    </cacheField>
    <cacheField name="Average_Salary" numFmtId="0">
      <sharedItems containsSemiMixedTypes="0" containsString="0" containsNumber="1" containsInteger="1" minValue="30030" maxValue="149798" count="2960">
        <n v="45795"/>
        <n v="133355"/>
        <n v="146216"/>
        <n v="136530"/>
        <n v="70397"/>
        <n v="92592"/>
        <n v="107373"/>
        <n v="53419"/>
        <n v="139225"/>
        <n v="85016"/>
        <n v="82733"/>
        <n v="117455"/>
        <n v="79811"/>
        <n v="115981"/>
        <n v="96690"/>
        <n v="32869"/>
        <n v="36893"/>
        <n v="103744"/>
        <n v="148015"/>
        <n v="108069"/>
        <n v="43403"/>
        <n v="49508"/>
        <n v="58251"/>
        <n v="33343"/>
        <n v="125435"/>
        <n v="39540"/>
        <n v="68304"/>
        <n v="33267"/>
        <n v="89031"/>
        <n v="102936"/>
        <n v="114076"/>
        <n v="69081"/>
        <n v="102124"/>
        <n v="91629"/>
        <n v="43843"/>
        <n v="59703"/>
        <n v="64349"/>
        <n v="92292"/>
        <n v="53524"/>
        <n v="88017"/>
        <n v="111317"/>
        <n v="144825"/>
        <n v="52415"/>
        <n v="134680"/>
        <n v="109714"/>
        <n v="97067"/>
        <n v="37561"/>
        <n v="142581"/>
        <n v="39111"/>
        <n v="72101"/>
        <n v="117958"/>
        <n v="97444"/>
        <n v="30077"/>
        <n v="148721"/>
        <n v="127720"/>
        <n v="50103"/>
        <n v="145033"/>
        <n v="95310"/>
        <n v="93374"/>
        <n v="71914"/>
        <n v="132547"/>
        <n v="119106"/>
        <n v="82603"/>
        <n v="131358"/>
        <n v="83394"/>
        <n v="92516"/>
        <n v="53752"/>
        <n v="108411"/>
        <n v="116145"/>
        <n v="124613"/>
        <n v="30060"/>
        <n v="87134"/>
        <n v="67641"/>
        <n v="67265"/>
        <n v="145608"/>
        <n v="59629"/>
        <n v="85619"/>
        <n v="136506"/>
        <n v="148533"/>
        <n v="105758"/>
        <n v="55559"/>
        <n v="31591"/>
        <n v="32469"/>
        <n v="117263"/>
        <n v="121357"/>
        <n v="54860"/>
        <n v="36540"/>
        <n v="58602"/>
        <n v="69341"/>
        <n v="41536"/>
        <n v="113309"/>
        <n v="78787"/>
        <n v="98577"/>
        <n v="54826"/>
        <n v="61890"/>
        <n v="75500"/>
        <n v="95128"/>
        <n v="49975"/>
        <n v="75893"/>
        <n v="106619"/>
        <n v="113310"/>
        <n v="55611"/>
        <n v="108131"/>
        <n v="58625"/>
        <n v="47087"/>
        <n v="143942"/>
        <n v="109973"/>
        <n v="57598"/>
        <n v="75379"/>
        <n v="130441"/>
        <n v="72668"/>
        <n v="140641"/>
        <n v="46014"/>
        <n v="92438"/>
        <n v="102240"/>
        <n v="39686"/>
        <n v="40754"/>
        <n v="40699"/>
        <n v="120373"/>
        <n v="70461"/>
        <n v="103965"/>
        <n v="58179"/>
        <n v="125694"/>
        <n v="128723"/>
        <n v="36548"/>
        <n v="40634"/>
        <n v="62784"/>
        <n v="37099"/>
        <n v="74857"/>
        <n v="91063"/>
        <n v="89765"/>
        <n v="32461"/>
        <n v="53911"/>
        <n v="50567"/>
        <n v="52656"/>
        <n v="77701"/>
        <n v="137539"/>
        <n v="46087"/>
        <n v="67861"/>
        <n v="89792"/>
        <n v="36397"/>
        <n v="49715"/>
        <n v="122573"/>
        <n v="133864"/>
        <n v="48745"/>
        <n v="49446"/>
        <n v="98673"/>
        <n v="93870"/>
        <n v="72951"/>
        <n v="37239"/>
        <n v="149798"/>
        <n v="149052"/>
        <n v="39587"/>
        <n v="120301"/>
        <n v="117969"/>
        <n v="39528"/>
        <n v="95677"/>
        <n v="51778"/>
        <n v="36816"/>
        <n v="53567"/>
        <n v="121170"/>
        <n v="91944"/>
        <n v="123905"/>
        <n v="73056"/>
        <n v="89156"/>
        <n v="54995"/>
        <n v="100194"/>
        <n v="97534"/>
        <n v="123547"/>
        <n v="111926"/>
        <n v="107487"/>
        <n v="107362"/>
        <n v="44973"/>
        <n v="30340"/>
        <n v="104965"/>
        <n v="74789"/>
        <n v="88954"/>
        <n v="78456"/>
        <n v="116698"/>
        <n v="40886"/>
        <n v="78511"/>
        <n v="136127"/>
        <n v="45592"/>
        <n v="134859"/>
        <n v="119678"/>
        <n v="62402"/>
        <n v="53478"/>
        <n v="52005"/>
        <n v="82389"/>
        <n v="84336"/>
        <n v="112594"/>
        <n v="85243"/>
        <n v="85668"/>
        <n v="82428"/>
        <n v="107240"/>
        <n v="120270"/>
        <n v="74605"/>
        <n v="140059"/>
        <n v="96155"/>
        <n v="131971"/>
        <n v="57413"/>
        <n v="138125"/>
        <n v="42602"/>
        <n v="110070"/>
        <n v="50954"/>
        <n v="118691"/>
        <n v="120453"/>
        <n v="37214"/>
        <n v="139269"/>
        <n v="119285"/>
        <n v="122268"/>
        <n v="118791"/>
        <n v="86408"/>
        <n v="136464"/>
        <n v="56049"/>
        <n v="84845"/>
        <n v="133937"/>
        <n v="143557"/>
        <n v="32994"/>
        <n v="54351"/>
        <n v="74816"/>
        <n v="103788"/>
        <n v="40103"/>
        <n v="34458"/>
        <n v="59493"/>
        <n v="93059"/>
        <n v="121683"/>
        <n v="46322"/>
        <n v="100293"/>
        <n v="79298"/>
        <n v="73937"/>
        <n v="146464"/>
        <n v="106274"/>
        <n v="32581"/>
        <n v="142309"/>
        <n v="85612"/>
        <n v="65710"/>
        <n v="46999"/>
        <n v="142701"/>
        <n v="54031"/>
        <n v="115679"/>
        <n v="63724"/>
        <n v="131154"/>
        <n v="100014"/>
        <n v="35232"/>
        <n v="114425"/>
        <n v="116795"/>
        <n v="53559"/>
        <n v="94418"/>
        <n v="117954"/>
        <n v="105831"/>
        <n v="48814"/>
        <n v="147904"/>
        <n v="116694"/>
        <n v="74739"/>
        <n v="110357"/>
        <n v="44079"/>
        <n v="103648"/>
        <n v="143892"/>
        <n v="135296"/>
        <n v="66639"/>
        <n v="105476"/>
        <n v="71830"/>
        <n v="129555"/>
        <n v="91576"/>
        <n v="137524"/>
        <n v="148360"/>
        <n v="55464"/>
        <n v="85798"/>
        <n v="133243"/>
        <n v="84710"/>
        <n v="38848"/>
        <n v="95942"/>
        <n v="45086"/>
        <n v="39343"/>
        <n v="89550"/>
        <n v="70317"/>
        <n v="102055"/>
        <n v="145660"/>
        <n v="64785"/>
        <n v="70149"/>
        <n v="100122"/>
        <n v="46524"/>
        <n v="82347"/>
        <n v="71743"/>
        <n v="118302"/>
        <n v="96706"/>
        <n v="95780"/>
        <n v="78899"/>
        <n v="92559"/>
        <n v="140168"/>
        <n v="143857"/>
        <n v="37189"/>
        <n v="91158"/>
        <n v="52394"/>
        <n v="50245"/>
        <n v="48624"/>
        <n v="46626"/>
        <n v="74950"/>
        <n v="130211"/>
        <n v="117460"/>
        <n v="115489"/>
        <n v="143880"/>
        <n v="41569"/>
        <n v="147027"/>
        <n v="111384"/>
        <n v="107463"/>
        <n v="74148"/>
        <n v="59793"/>
        <n v="102095"/>
        <n v="112508"/>
        <n v="97598"/>
        <n v="98472"/>
        <n v="108291"/>
        <n v="130342"/>
        <n v="73894"/>
        <n v="49023"/>
        <n v="34758"/>
        <n v="47065"/>
        <n v="53464"/>
        <n v="102572"/>
        <n v="67344"/>
        <n v="122759"/>
        <n v="66444"/>
        <n v="46932"/>
        <n v="55363"/>
        <n v="30893"/>
        <n v="84962"/>
        <n v="94173"/>
        <n v="82949"/>
        <n v="141738"/>
        <n v="80492"/>
        <n v="117527"/>
        <n v="83639"/>
        <n v="66993"/>
        <n v="61551"/>
        <n v="63896"/>
        <n v="63686"/>
        <n v="147256"/>
        <n v="103531"/>
        <n v="53991"/>
        <n v="39269"/>
        <n v="149391"/>
        <n v="124598"/>
        <n v="89470"/>
        <n v="34321"/>
        <n v="50977"/>
        <n v="62167"/>
        <n v="108518"/>
        <n v="93752"/>
        <n v="77691"/>
        <n v="59813"/>
        <n v="95603"/>
        <n v="118150"/>
        <n v="31996"/>
        <n v="108015"/>
        <n v="59709"/>
        <n v="33203"/>
        <n v="39327"/>
        <n v="37868"/>
        <n v="76097"/>
        <n v="117838"/>
        <n v="136931"/>
        <n v="76900"/>
        <n v="41221"/>
        <n v="30654"/>
        <n v="112928"/>
        <n v="99444"/>
        <n v="115092"/>
        <n v="123122"/>
        <n v="49177"/>
        <n v="107360"/>
        <n v="132877"/>
        <n v="73158"/>
        <n v="87889"/>
        <n v="136196"/>
        <n v="133801"/>
        <n v="109557"/>
        <n v="54502"/>
        <n v="128878"/>
        <n v="136802"/>
        <n v="80901"/>
        <n v="96214"/>
        <n v="104755"/>
        <n v="134580"/>
        <n v="63477"/>
        <n v="142134"/>
        <n v="119080"/>
        <n v="42467"/>
        <n v="100601"/>
        <n v="148764"/>
        <n v="113795"/>
        <n v="45994"/>
        <n v="66701"/>
        <n v="63785"/>
        <n v="122282"/>
        <n v="30229"/>
        <n v="45620"/>
        <n v="68104"/>
        <n v="78733"/>
        <n v="33320"/>
        <n v="137648"/>
        <n v="53104"/>
        <n v="69451"/>
        <n v="104854"/>
        <n v="35147"/>
        <n v="68563"/>
        <n v="133496"/>
        <n v="79692"/>
        <n v="135585"/>
        <n v="59545"/>
        <n v="138777"/>
        <n v="88760"/>
        <n v="106870"/>
        <n v="32147"/>
        <n v="140463"/>
        <n v="148623"/>
        <n v="49360"/>
        <n v="45605"/>
        <n v="103953"/>
        <n v="76531"/>
        <n v="139198"/>
        <n v="111199"/>
        <n v="65321"/>
        <n v="77218"/>
        <n v="39752"/>
        <n v="34792"/>
        <n v="44591"/>
        <n v="35424"/>
        <n v="89789"/>
        <n v="38804"/>
        <n v="58400"/>
        <n v="129525"/>
        <n v="145183"/>
        <n v="82066"/>
        <n v="59059"/>
        <n v="57499"/>
        <n v="122103"/>
        <n v="47806"/>
        <n v="104702"/>
        <n v="37373"/>
        <n v="98519"/>
        <n v="72578"/>
        <n v="94280"/>
        <n v="43777"/>
        <n v="81040"/>
        <n v="97313"/>
        <n v="59092"/>
        <n v="66613"/>
        <n v="40292"/>
        <n v="111335"/>
        <n v="86747"/>
        <n v="129318"/>
        <n v="38789"/>
        <n v="85823"/>
        <n v="123286"/>
        <n v="63161"/>
        <n v="103889"/>
        <n v="135584"/>
        <n v="50968"/>
        <n v="137814"/>
        <n v="83015"/>
        <n v="86862"/>
        <n v="115501"/>
        <n v="141768"/>
        <n v="38419"/>
        <n v="94800"/>
        <n v="111976"/>
        <n v="67909"/>
        <n v="46934"/>
        <n v="41586"/>
        <n v="77013"/>
        <n v="133693"/>
        <n v="78825"/>
        <n v="131505"/>
        <n v="90107"/>
        <n v="71916"/>
        <n v="129794"/>
        <n v="82186"/>
        <n v="72531"/>
        <n v="127596"/>
        <n v="124826"/>
        <n v="48320"/>
        <n v="62449"/>
        <n v="84097"/>
        <n v="64629"/>
        <n v="38859"/>
        <n v="40082"/>
        <n v="136153"/>
        <n v="70612"/>
        <n v="118444"/>
        <n v="94204"/>
        <n v="39852"/>
        <n v="144476"/>
        <n v="128336"/>
        <n v="77598"/>
        <n v="60628"/>
        <n v="96188"/>
        <n v="42516"/>
        <n v="54722"/>
        <n v="58743"/>
        <n v="31695"/>
        <n v="93294"/>
        <n v="116310"/>
        <n v="60615"/>
        <n v="64568"/>
        <n v="34507"/>
        <n v="58343"/>
        <n v="84544"/>
        <n v="112790"/>
        <n v="99918"/>
        <n v="47290"/>
        <n v="78002"/>
        <n v="39372"/>
        <n v="87911"/>
        <n v="87920"/>
        <n v="86768"/>
        <n v="43866"/>
        <n v="133627"/>
        <n v="45700"/>
        <n v="112799"/>
        <n v="74458"/>
        <n v="50125"/>
        <n v="78926"/>
        <n v="138778"/>
        <n v="30671"/>
        <n v="114153"/>
        <n v="69574"/>
        <n v="144616"/>
        <n v="144313"/>
        <n v="79047"/>
        <n v="116649"/>
        <n v="131192"/>
        <n v="84165"/>
        <n v="132488"/>
        <n v="57757"/>
        <n v="106095"/>
        <n v="84304"/>
        <n v="86414"/>
        <n v="47040"/>
        <n v="80192"/>
        <n v="141359"/>
        <n v="75482"/>
        <n v="147232"/>
        <n v="147220"/>
        <n v="107078"/>
        <n v="63979"/>
        <n v="120290"/>
        <n v="51573"/>
        <n v="79984"/>
        <n v="96770"/>
        <n v="68031"/>
        <n v="124238"/>
        <n v="105587"/>
        <n v="34023"/>
        <n v="72215"/>
        <n v="82870"/>
        <n v="32978"/>
        <n v="45522"/>
        <n v="63414"/>
        <n v="47140"/>
        <n v="140261"/>
        <n v="62975"/>
        <n v="146004"/>
        <n v="57167"/>
        <n v="39046"/>
        <n v="113184"/>
        <n v="52689"/>
        <n v="125494"/>
        <n v="111214"/>
        <n v="139071"/>
        <n v="34027"/>
        <n v="129074"/>
        <n v="114785"/>
        <n v="149107"/>
        <n v="42380"/>
        <n v="81331"/>
        <n v="38245"/>
        <n v="76766"/>
        <n v="121865"/>
        <n v="133457"/>
        <n v="131126"/>
        <n v="73066"/>
        <n v="72875"/>
        <n v="90011"/>
        <n v="98232"/>
        <n v="132491"/>
        <n v="70741"/>
        <n v="76566"/>
        <n v="78817"/>
        <n v="137334"/>
        <n v="30591"/>
        <n v="42938"/>
        <n v="82076"/>
        <n v="71628"/>
        <n v="82136"/>
        <n v="74440"/>
        <n v="43453"/>
        <n v="140252"/>
        <n v="99212"/>
        <n v="50043"/>
        <n v="33017"/>
        <n v="118913"/>
        <n v="144420"/>
        <n v="126805"/>
        <n v="144780"/>
        <n v="137009"/>
        <n v="82328"/>
        <n v="78542"/>
        <n v="35703"/>
        <n v="110146"/>
        <n v="117052"/>
        <n v="89254"/>
        <n v="62009"/>
        <n v="56651"/>
        <n v="59410"/>
        <n v="103844"/>
        <n v="128035"/>
        <n v="147270"/>
        <n v="43769"/>
        <n v="103616"/>
        <n v="79004"/>
        <n v="140190"/>
        <n v="51071"/>
        <n v="97913"/>
        <n v="138336"/>
        <n v="37432"/>
        <n v="54578"/>
        <n v="83609"/>
        <n v="51182"/>
        <n v="127841"/>
        <n v="101160"/>
        <n v="38711"/>
        <n v="138886"/>
        <n v="97696"/>
        <n v="105948"/>
        <n v="44235"/>
        <n v="61688"/>
        <n v="47883"/>
        <n v="105569"/>
        <n v="73271"/>
        <n v="147327"/>
        <n v="76798"/>
        <n v="127077"/>
        <n v="145088"/>
        <n v="33841"/>
        <n v="141789"/>
        <n v="102828"/>
        <n v="50754"/>
        <n v="105481"/>
        <n v="118110"/>
        <n v="96178"/>
        <n v="146903"/>
        <n v="101835"/>
        <n v="144300"/>
        <n v="80908"/>
        <n v="30567"/>
        <n v="119342"/>
        <n v="106762"/>
        <n v="101486"/>
        <n v="56926"/>
        <n v="64986"/>
        <n v="30944"/>
        <n v="60540"/>
        <n v="87410"/>
        <n v="148362"/>
        <n v="72460"/>
        <n v="130257"/>
        <n v="106054"/>
        <n v="139588"/>
        <n v="97143"/>
        <n v="49798"/>
        <n v="87748"/>
        <n v="46254"/>
        <n v="75211"/>
        <n v="39695"/>
        <n v="57740"/>
        <n v="99306"/>
        <n v="54524"/>
        <n v="92345"/>
        <n v="93220"/>
        <n v="108610"/>
        <n v="64722"/>
        <n v="70910"/>
        <n v="138347"/>
        <n v="58152"/>
        <n v="95063"/>
        <n v="125761"/>
        <n v="31645"/>
        <n v="73262"/>
        <n v="51730"/>
        <n v="123878"/>
        <n v="89300"/>
        <n v="113441"/>
        <n v="87589"/>
        <n v="113446"/>
        <n v="135301"/>
        <n v="118552"/>
        <n v="148977"/>
        <n v="48715"/>
        <n v="147045"/>
        <n v="40196"/>
        <n v="141054"/>
        <n v="132785"/>
        <n v="123249"/>
        <n v="62500"/>
        <n v="136128"/>
        <n v="142109"/>
        <n v="87737"/>
        <n v="121903"/>
        <n v="141654"/>
        <n v="50662"/>
        <n v="116755"/>
        <n v="133719"/>
        <n v="127427"/>
        <n v="130628"/>
        <n v="43686"/>
        <n v="57313"/>
        <n v="91404"/>
        <n v="109794"/>
        <n v="49416"/>
        <n v="56162"/>
        <n v="85420"/>
        <n v="82948"/>
        <n v="91336"/>
        <n v="104474"/>
        <n v="72628"/>
        <n v="135494"/>
        <n v="71751"/>
        <n v="86087"/>
        <n v="127425"/>
        <n v="133587"/>
        <n v="140373"/>
        <n v="133080"/>
        <n v="123012"/>
        <n v="76629"/>
        <n v="33811"/>
        <n v="95283"/>
        <n v="113205"/>
        <n v="100453"/>
        <n v="68397"/>
        <n v="113824"/>
        <n v="50758"/>
        <n v="135900"/>
        <n v="133613"/>
        <n v="93115"/>
        <n v="129683"/>
        <n v="83013"/>
        <n v="45233"/>
        <n v="50765"/>
        <n v="108766"/>
        <n v="64297"/>
        <n v="76126"/>
        <n v="112694"/>
        <n v="117287"/>
        <n v="31082"/>
        <n v="137252"/>
        <n v="31511"/>
        <n v="33145"/>
        <n v="115642"/>
        <n v="128303"/>
        <n v="81142"/>
        <n v="89817"/>
        <n v="124410"/>
        <n v="138139"/>
        <n v="78657"/>
        <n v="69309"/>
        <n v="68669"/>
        <n v="87033"/>
        <n v="80658"/>
        <n v="136081"/>
        <n v="48728"/>
        <n v="52286"/>
        <n v="55727"/>
        <n v="104638"/>
        <n v="119363"/>
        <n v="141597"/>
        <n v="72756"/>
        <n v="77774"/>
        <n v="119865"/>
        <n v="33692"/>
        <n v="139419"/>
        <n v="48782"/>
        <n v="140349"/>
        <n v="80075"/>
        <n v="120629"/>
        <n v="135899"/>
        <n v="115333"/>
        <n v="93908"/>
        <n v="41564"/>
        <n v="144507"/>
        <n v="147679"/>
        <n v="132811"/>
        <n v="54940"/>
        <n v="144326"/>
        <n v="30511"/>
        <n v="49359"/>
        <n v="36265"/>
        <n v="122313"/>
        <n v="39280"/>
        <n v="80281"/>
        <n v="98354"/>
        <n v="140951"/>
        <n v="145131"/>
        <n v="51529"/>
        <n v="30594"/>
        <n v="142770"/>
        <n v="122995"/>
        <n v="137126"/>
        <n v="44372"/>
        <n v="53795"/>
        <n v="80697"/>
        <n v="118078"/>
        <n v="125773"/>
        <n v="93766"/>
        <n v="45782"/>
        <n v="127288"/>
        <n v="107865"/>
        <n v="75986"/>
        <n v="60276"/>
        <n v="137294"/>
        <n v="147272"/>
        <n v="45819"/>
        <n v="36473"/>
        <n v="62556"/>
        <n v="88209"/>
        <n v="147067"/>
        <n v="38699"/>
        <n v="107593"/>
        <n v="75076"/>
        <n v="91743"/>
        <n v="80924"/>
        <n v="72500"/>
        <n v="52380"/>
        <n v="34355"/>
        <n v="32035"/>
        <n v="32665"/>
        <n v="100739"/>
        <n v="128560"/>
        <n v="59974"/>
        <n v="90521"/>
        <n v="66476"/>
        <n v="82271"/>
        <n v="33743"/>
        <n v="111256"/>
        <n v="132859"/>
        <n v="99810"/>
        <n v="90360"/>
        <n v="130290"/>
        <n v="105656"/>
        <n v="107982"/>
        <n v="33970"/>
        <n v="71753"/>
        <n v="104354"/>
        <n v="35280"/>
        <n v="116545"/>
        <n v="131041"/>
        <n v="134087"/>
        <n v="90985"/>
        <n v="118257"/>
        <n v="134294"/>
        <n v="55666"/>
        <n v="71516"/>
        <n v="48226"/>
        <n v="60011"/>
        <n v="136979"/>
        <n v="85215"/>
        <n v="107255"/>
        <n v="70821"/>
        <n v="133185"/>
        <n v="107929"/>
        <n v="49523"/>
        <n v="88188"/>
        <n v="77969"/>
        <n v="149528"/>
        <n v="85416"/>
        <n v="50491"/>
        <n v="105955"/>
        <n v="97519"/>
        <n v="74775"/>
        <n v="116437"/>
        <n v="112201"/>
        <n v="91134"/>
        <n v="76647"/>
        <n v="138197"/>
        <n v="76413"/>
        <n v="112604"/>
        <n v="61478"/>
        <n v="92402"/>
        <n v="65319"/>
        <n v="58830"/>
        <n v="59328"/>
        <n v="36123"/>
        <n v="66587"/>
        <n v="51951"/>
        <n v="37804"/>
        <n v="40349"/>
        <n v="136203"/>
        <n v="86317"/>
        <n v="117385"/>
        <n v="109841"/>
        <n v="95197"/>
        <n v="93410"/>
        <n v="104225"/>
        <n v="67499"/>
        <n v="130537"/>
        <n v="118627"/>
        <n v="99074"/>
        <n v="71716"/>
        <n v="132033"/>
        <n v="40715"/>
        <n v="77553"/>
        <n v="36861"/>
        <n v="70154"/>
        <n v="93576"/>
        <n v="127294"/>
        <n v="139875"/>
        <n v="52925"/>
        <n v="119779"/>
        <n v="87702"/>
        <n v="127556"/>
        <n v="46289"/>
        <n v="115823"/>
        <n v="55966"/>
        <n v="98560"/>
        <n v="109023"/>
        <n v="112455"/>
        <n v="42930"/>
        <n v="48065"/>
        <n v="86422"/>
        <n v="69305"/>
        <n v="105355"/>
        <n v="31776"/>
        <n v="113187"/>
        <n v="44937"/>
        <n v="77259"/>
        <n v="48225"/>
        <n v="101519"/>
        <n v="100994"/>
        <n v="49450"/>
        <n v="148585"/>
        <n v="106970"/>
        <n v="31112"/>
        <n v="117351"/>
        <n v="51661"/>
        <n v="67443"/>
        <n v="44234"/>
        <n v="134383"/>
        <n v="72320"/>
        <n v="91196"/>
        <n v="104861"/>
        <n v="148169"/>
        <n v="89630"/>
        <n v="127435"/>
        <n v="114845"/>
        <n v="49053"/>
        <n v="100683"/>
        <n v="120153"/>
        <n v="129926"/>
        <n v="43140"/>
        <n v="104362"/>
        <n v="73030"/>
        <n v="54400"/>
        <n v="33760"/>
        <n v="122930"/>
        <n v="33323"/>
        <n v="65098"/>
        <n v="101153"/>
        <n v="101279"/>
        <n v="143115"/>
        <n v="149487"/>
        <n v="123304"/>
        <n v="134134"/>
        <n v="107199"/>
        <n v="132658"/>
        <n v="41352"/>
        <n v="43679"/>
        <n v="122345"/>
        <n v="108179"/>
        <n v="77878"/>
        <n v="125777"/>
        <n v="112124"/>
        <n v="126367"/>
        <n v="77080"/>
        <n v="61280"/>
        <n v="39835"/>
        <n v="52369"/>
        <n v="30637"/>
        <n v="62209"/>
        <n v="70478"/>
        <n v="90760"/>
        <n v="52505"/>
        <n v="140441"/>
        <n v="108944"/>
        <n v="85744"/>
        <n v="75778"/>
        <n v="88764"/>
        <n v="62795"/>
        <n v="107223"/>
        <n v="98835"/>
        <n v="139640"/>
        <n v="87225"/>
        <n v="37466"/>
        <n v="80530"/>
        <n v="40040"/>
        <n v="145874"/>
        <n v="60985"/>
        <n v="57262"/>
        <n v="102022"/>
        <n v="31320"/>
        <n v="84681"/>
        <n v="82167"/>
        <n v="64477"/>
        <n v="32565"/>
        <n v="112915"/>
        <n v="103251"/>
        <n v="51258"/>
        <n v="115535"/>
        <n v="101156"/>
        <n v="127417"/>
        <n v="60066"/>
        <n v="78359"/>
        <n v="78225"/>
        <n v="135633"/>
        <n v="32599"/>
        <n v="41394"/>
        <n v="91351"/>
        <n v="60480"/>
        <n v="113442"/>
        <n v="32199"/>
        <n v="111646"/>
        <n v="146536"/>
        <n v="100072"/>
        <n v="41246"/>
        <n v="120088"/>
        <n v="41913"/>
        <n v="127771"/>
        <n v="82035"/>
        <n v="75643"/>
        <n v="111751"/>
        <n v="145650"/>
        <n v="94649"/>
        <n v="95615"/>
        <n v="144317"/>
        <n v="66640"/>
        <n v="47528"/>
        <n v="53655"/>
        <n v="102264"/>
        <n v="42550"/>
        <n v="91284"/>
        <n v="51200"/>
        <n v="147529"/>
        <n v="46151"/>
        <n v="146849"/>
        <n v="44537"/>
        <n v="72294"/>
        <n v="45749"/>
        <n v="91561"/>
        <n v="55757"/>
        <n v="32251"/>
        <n v="94274"/>
        <n v="136023"/>
        <n v="126746"/>
        <n v="115421"/>
        <n v="45817"/>
        <n v="76205"/>
        <n v="142398"/>
        <n v="54453"/>
        <n v="129821"/>
        <n v="89615"/>
        <n v="57470"/>
        <n v="102082"/>
        <n v="90639"/>
        <n v="61854"/>
        <n v="110882"/>
        <n v="143352"/>
        <n v="91922"/>
        <n v="116195"/>
        <n v="91775"/>
        <n v="86776"/>
        <n v="142192"/>
        <n v="120351"/>
        <n v="50080"/>
        <n v="95729"/>
        <n v="123330"/>
        <n v="96302"/>
        <n v="97986"/>
        <n v="43776"/>
        <n v="37163"/>
        <n v="135001"/>
        <n v="108156"/>
        <n v="68842"/>
        <n v="78039"/>
        <n v="59552"/>
        <n v="144759"/>
        <n v="131442"/>
        <n v="126969"/>
        <n v="111606"/>
        <n v="137904"/>
        <n v="93878"/>
        <n v="71986"/>
        <n v="65169"/>
        <n v="47330"/>
        <n v="119937"/>
        <n v="113301"/>
        <n v="81899"/>
        <n v="100390"/>
        <n v="106019"/>
        <n v="129878"/>
        <n v="55463"/>
        <n v="115275"/>
        <n v="81408"/>
        <n v="93305"/>
        <n v="115442"/>
        <n v="86467"/>
        <n v="87304"/>
        <n v="62734"/>
        <n v="76865"/>
        <n v="147882"/>
        <n v="126666"/>
        <n v="113319"/>
        <n v="134041"/>
        <n v="43760"/>
        <n v="118670"/>
        <n v="80806"/>
        <n v="83276"/>
        <n v="58897"/>
        <n v="44842"/>
        <n v="115984"/>
        <n v="105664"/>
        <n v="130777"/>
        <n v="82723"/>
        <n v="104039"/>
        <n v="33974"/>
        <n v="148821"/>
        <n v="51944"/>
        <n v="127065"/>
        <n v="130874"/>
        <n v="41039"/>
        <n v="102816"/>
        <n v="133722"/>
        <n v="136657"/>
        <n v="135817"/>
        <n v="93483"/>
        <n v="111165"/>
        <n v="73815"/>
        <n v="40244"/>
        <n v="116483"/>
        <n v="149346"/>
        <n v="104399"/>
        <n v="92327"/>
        <n v="111399"/>
        <n v="114267"/>
        <n v="93537"/>
        <n v="144147"/>
        <n v="126172"/>
        <n v="108267"/>
        <n v="56013"/>
        <n v="43829"/>
        <n v="42391"/>
        <n v="55123"/>
        <n v="147420"/>
        <n v="120299"/>
        <n v="69140"/>
        <n v="113698"/>
        <n v="75939"/>
        <n v="54180"/>
        <n v="125941"/>
        <n v="42003"/>
        <n v="46915"/>
        <n v="59179"/>
        <n v="119257"/>
        <n v="113994"/>
        <n v="88742"/>
        <n v="65963"/>
        <n v="128770"/>
        <n v="61977"/>
        <n v="86195"/>
        <n v="35136"/>
        <n v="139950"/>
        <n v="133488"/>
        <n v="87251"/>
        <n v="48456"/>
        <n v="134042"/>
        <n v="42054"/>
        <n v="73441"/>
        <n v="80321"/>
        <n v="94566"/>
        <n v="42857"/>
        <n v="114271"/>
        <n v="104745"/>
        <n v="119729"/>
        <n v="58134"/>
        <n v="57987"/>
        <n v="135454"/>
        <n v="60539"/>
        <n v="113081"/>
        <n v="146180"/>
        <n v="140164"/>
        <n v="54599"/>
        <n v="68921"/>
        <n v="140747"/>
        <n v="138809"/>
        <n v="35983"/>
        <n v="47946"/>
        <n v="138295"/>
        <n v="97806"/>
        <n v="111339"/>
        <n v="70720"/>
        <n v="50914"/>
        <n v="112684"/>
        <n v="55568"/>
        <n v="130965"/>
        <n v="38861"/>
        <n v="88812"/>
        <n v="104900"/>
        <n v="121814"/>
        <n v="112283"/>
        <n v="79678"/>
        <n v="136020"/>
        <n v="127155"/>
        <n v="94813"/>
        <n v="127501"/>
        <n v="90843"/>
        <n v="34715"/>
        <n v="44870"/>
        <n v="45432"/>
        <n v="102964"/>
        <n v="127677"/>
        <n v="36918"/>
        <n v="78634"/>
        <n v="95199"/>
        <n v="115062"/>
        <n v="119007"/>
        <n v="58333"/>
        <n v="140415"/>
        <n v="89151"/>
        <n v="143268"/>
        <n v="85134"/>
        <n v="87109"/>
        <n v="114116"/>
        <n v="39495"/>
        <n v="115380"/>
        <n v="117843"/>
        <n v="84104"/>
        <n v="81179"/>
        <n v="120404"/>
        <n v="127119"/>
        <n v="84232"/>
        <n v="38689"/>
        <n v="143466"/>
        <n v="141038"/>
        <n v="117526"/>
        <n v="99503"/>
        <n v="39157"/>
        <n v="143565"/>
        <n v="107952"/>
        <n v="81224"/>
        <n v="49517"/>
        <n v="70849"/>
        <n v="142277"/>
        <n v="137251"/>
        <n v="42979"/>
        <n v="102868"/>
        <n v="31649"/>
        <n v="91305"/>
        <n v="38738"/>
        <n v="55775"/>
        <n v="45569"/>
        <n v="89327"/>
        <n v="142674"/>
        <n v="67602"/>
        <n v="68057"/>
        <n v="108104"/>
        <n v="139418"/>
        <n v="65411"/>
        <n v="139497"/>
        <n v="53043"/>
        <n v="139732"/>
        <n v="146332"/>
        <n v="110314"/>
        <n v="147230"/>
        <n v="107271"/>
        <n v="135812"/>
        <n v="138613"/>
        <n v="82774"/>
        <n v="44436"/>
        <n v="41573"/>
        <n v="99269"/>
        <n v="55734"/>
        <n v="43764"/>
        <n v="40485"/>
        <n v="83804"/>
        <n v="97635"/>
        <n v="100880"/>
        <n v="74344"/>
        <n v="122424"/>
        <n v="131388"/>
        <n v="146649"/>
        <n v="79117"/>
        <n v="45685"/>
        <n v="134031"/>
        <n v="67595"/>
        <n v="54541"/>
        <n v="118598"/>
        <n v="70785"/>
        <n v="131633"/>
        <n v="90359"/>
        <n v="55642"/>
        <n v="117657"/>
        <n v="128525"/>
        <n v="41360"/>
        <n v="135190"/>
        <n v="81747"/>
        <n v="131809"/>
        <n v="145070"/>
        <n v="98688"/>
        <n v="53545"/>
        <n v="138322"/>
        <n v="37965"/>
        <n v="52546"/>
        <n v="57774"/>
        <n v="113394"/>
        <n v="40002"/>
        <n v="107365"/>
        <n v="44833"/>
        <n v="52844"/>
        <n v="95265"/>
        <n v="35725"/>
        <n v="33573"/>
        <n v="65744"/>
        <n v="58672"/>
        <n v="107831"/>
        <n v="69215"/>
        <n v="88769"/>
        <n v="48408"/>
        <n v="34286"/>
        <n v="86153"/>
        <n v="102944"/>
        <n v="92845"/>
        <n v="145429"/>
        <n v="144621"/>
        <n v="110174"/>
        <n v="95951"/>
        <n v="132255"/>
        <n v="77052"/>
        <n v="98324"/>
        <n v="127204"/>
        <n v="106489"/>
        <n v="138906"/>
        <n v="105477"/>
        <n v="128103"/>
        <n v="58401"/>
        <n v="109870"/>
        <n v="93560"/>
        <n v="143114"/>
        <n v="128960"/>
        <n v="30125"/>
        <n v="121703"/>
        <n v="40736"/>
        <n v="131709"/>
        <n v="48050"/>
        <n v="38338"/>
        <n v="80382"/>
        <n v="147511"/>
        <n v="46791"/>
        <n v="114300"/>
        <n v="105165"/>
        <n v="68180"/>
        <n v="72019"/>
        <n v="117464"/>
        <n v="100278"/>
        <n v="105073"/>
        <n v="35922"/>
        <n v="99915"/>
        <n v="143868"/>
        <n v="30318"/>
        <n v="144148"/>
        <n v="68790"/>
        <n v="102353"/>
        <n v="50810"/>
        <n v="83565"/>
        <n v="74555"/>
        <n v="110196"/>
        <n v="133501"/>
        <n v="60639"/>
        <n v="94414"/>
        <n v="97963"/>
        <n v="137020"/>
        <n v="71941"/>
        <n v="54269"/>
        <n v="122816"/>
        <n v="97500"/>
        <n v="129626"/>
        <n v="95107"/>
        <n v="49638"/>
        <n v="131471"/>
        <n v="46029"/>
        <n v="62380"/>
        <n v="108966"/>
        <n v="142692"/>
        <n v="33518"/>
        <n v="49098"/>
        <n v="130992"/>
        <n v="43950"/>
        <n v="96603"/>
        <n v="106831"/>
        <n v="81850"/>
        <n v="142697"/>
        <n v="63158"/>
        <n v="43065"/>
        <n v="53115"/>
        <n v="111462"/>
        <n v="30234"/>
        <n v="80262"/>
        <n v="100529"/>
        <n v="72563"/>
        <n v="122983"/>
        <n v="93815"/>
        <n v="58385"/>
        <n v="148297"/>
        <n v="35289"/>
        <n v="35877"/>
        <n v="52761"/>
        <n v="123758"/>
        <n v="86366"/>
        <n v="85652"/>
        <n v="55286"/>
        <n v="104041"/>
        <n v="140998"/>
        <n v="122743"/>
        <n v="64303"/>
        <n v="89977"/>
        <n v="67133"/>
        <n v="70680"/>
        <n v="47013"/>
        <n v="139982"/>
        <n v="114935"/>
        <n v="74741"/>
        <n v="113110"/>
        <n v="108596"/>
        <n v="135649"/>
        <n v="131433"/>
        <n v="148962"/>
        <n v="104901"/>
        <n v="44133"/>
        <n v="114293"/>
        <n v="66155"/>
        <n v="116070"/>
        <n v="86439"/>
        <n v="98500"/>
        <n v="79887"/>
        <n v="109880"/>
        <n v="105352"/>
        <n v="73781"/>
        <n v="126492"/>
        <n v="149635"/>
        <n v="99368"/>
        <n v="94344"/>
        <n v="79223"/>
        <n v="68907"/>
        <n v="115733"/>
        <n v="128203"/>
        <n v="96416"/>
        <n v="59825"/>
        <n v="42795"/>
        <n v="127391"/>
        <n v="87635"/>
        <n v="111115"/>
        <n v="87392"/>
        <n v="100143"/>
        <n v="94863"/>
        <n v="48819"/>
        <n v="142255"/>
        <n v="128664"/>
        <n v="33347"/>
        <n v="105618"/>
        <n v="135309"/>
        <n v="78276"/>
        <n v="145269"/>
        <n v="47060"/>
        <n v="118307"/>
        <n v="98140"/>
        <n v="145092"/>
        <n v="122965"/>
        <n v="138204"/>
        <n v="138500"/>
        <n v="49728"/>
        <n v="79108"/>
        <n v="114724"/>
        <n v="123566"/>
        <n v="33984"/>
        <n v="140839"/>
        <n v="78481"/>
        <n v="101343"/>
        <n v="84034"/>
        <n v="66419"/>
        <n v="79357"/>
        <n v="99064"/>
        <n v="44280"/>
        <n v="49691"/>
        <n v="95234"/>
        <n v="63783"/>
        <n v="95609"/>
        <n v="34590"/>
        <n v="141463"/>
        <n v="90891"/>
        <n v="127976"/>
        <n v="137046"/>
        <n v="51058"/>
        <n v="34258"/>
        <n v="107273"/>
        <n v="144365"/>
        <n v="91146"/>
        <n v="139759"/>
        <n v="89087"/>
        <n v="105692"/>
        <n v="94930"/>
        <n v="80852"/>
        <n v="135857"/>
        <n v="118816"/>
        <n v="73906"/>
        <n v="79723"/>
        <n v="98457"/>
        <n v="35659"/>
        <n v="114295"/>
        <n v="128989"/>
        <n v="125011"/>
        <n v="70372"/>
        <n v="37203"/>
        <n v="72928"/>
        <n v="42568"/>
        <n v="147982"/>
        <n v="81011"/>
        <n v="148691"/>
        <n v="139014"/>
        <n v="111164"/>
        <n v="37529"/>
        <n v="125707"/>
        <n v="139633"/>
        <n v="75477"/>
        <n v="84756"/>
        <n v="67309"/>
        <n v="130043"/>
        <n v="101880"/>
        <n v="37011"/>
        <n v="89658"/>
        <n v="99720"/>
        <n v="115934"/>
        <n v="104713"/>
        <n v="51622"/>
        <n v="118635"/>
        <n v="58645"/>
        <n v="74511"/>
        <n v="101013"/>
        <n v="131277"/>
        <n v="47881"/>
        <n v="109741"/>
        <n v="126509"/>
        <n v="85308"/>
        <n v="41467"/>
        <n v="82762"/>
        <n v="125711"/>
        <n v="131011"/>
        <n v="36588"/>
        <n v="133768"/>
        <n v="149170"/>
        <n v="91860"/>
        <n v="106206"/>
        <n v="145155"/>
        <n v="101812"/>
        <n v="89199"/>
        <n v="141176"/>
        <n v="53983"/>
        <n v="35807"/>
        <n v="82546"/>
        <n v="40987"/>
        <n v="116856"/>
        <n v="71397"/>
        <n v="45456"/>
        <n v="66911"/>
        <n v="34852"/>
        <n v="42705"/>
        <n v="65495"/>
        <n v="99282"/>
        <n v="107275"/>
        <n v="45573"/>
        <n v="128853"/>
        <n v="65314"/>
        <n v="88826"/>
        <n v="53449"/>
        <n v="87564"/>
        <n v="32405"/>
        <n v="114028"/>
        <n v="122061"/>
        <n v="121396"/>
        <n v="87454"/>
        <n v="127216"/>
        <n v="89871"/>
        <n v="140564"/>
        <n v="76887"/>
        <n v="94817"/>
        <n v="90388"/>
        <n v="133323"/>
        <n v="119526"/>
        <n v="62676"/>
        <n v="44590"/>
        <n v="68463"/>
        <n v="52053"/>
        <n v="104767"/>
        <n v="65303"/>
        <n v="34312"/>
        <n v="69794"/>
        <n v="80102"/>
        <n v="106743"/>
        <n v="67333"/>
        <n v="80724"/>
        <n v="107684"/>
        <n v="57161"/>
        <n v="33687"/>
        <n v="58777"/>
        <n v="58915"/>
        <n v="148222"/>
        <n v="112056"/>
        <n v="133144"/>
        <n v="127364"/>
        <n v="147257"/>
        <n v="141706"/>
        <n v="60795"/>
        <n v="137729"/>
        <n v="59340"/>
        <n v="75487"/>
        <n v="123258"/>
        <n v="37160"/>
        <n v="43869"/>
        <n v="142266"/>
        <n v="112833"/>
        <n v="124538"/>
        <n v="54608"/>
        <n v="41367"/>
        <n v="123159"/>
        <n v="138864"/>
        <n v="125504"/>
        <n v="90302"/>
        <n v="72722"/>
        <n v="116379"/>
        <n v="72412"/>
        <n v="74956"/>
        <n v="108872"/>
        <n v="90542"/>
        <n v="48481"/>
        <n v="37075"/>
        <n v="100043"/>
        <n v="105069"/>
        <n v="82692"/>
        <n v="71918"/>
        <n v="33264"/>
        <n v="144047"/>
        <n v="83433"/>
        <n v="99201"/>
        <n v="134290"/>
        <n v="100779"/>
        <n v="100935"/>
        <n v="59483"/>
        <n v="61155"/>
        <n v="34176"/>
        <n v="50746"/>
        <n v="104557"/>
        <n v="131242"/>
        <n v="116949"/>
        <n v="88204"/>
        <n v="45089"/>
        <n v="83341"/>
        <n v="126621"/>
        <n v="128283"/>
        <n v="100446"/>
        <n v="107413"/>
        <n v="106789"/>
        <n v="86193"/>
        <n v="102652"/>
        <n v="131038"/>
        <n v="55143"/>
        <n v="112702"/>
        <n v="141459"/>
        <n v="56107"/>
        <n v="98402"/>
        <n v="36005"/>
        <n v="81038"/>
        <n v="96783"/>
        <n v="101020"/>
        <n v="95217"/>
        <n v="97323"/>
        <n v="80049"/>
        <n v="48428"/>
        <n v="85331"/>
        <n v="35973"/>
        <n v="67236"/>
        <n v="112473"/>
        <n v="138480"/>
        <n v="73464"/>
        <n v="118060"/>
        <n v="76905"/>
        <n v="101341"/>
        <n v="119314"/>
        <n v="109455"/>
        <n v="96951"/>
        <n v="44057"/>
        <n v="60185"/>
        <n v="63797"/>
        <n v="52792"/>
        <n v="136827"/>
        <n v="34134"/>
        <n v="117463"/>
        <n v="74597"/>
        <n v="40603"/>
        <n v="106968"/>
        <n v="149700"/>
        <n v="77890"/>
        <n v="141930"/>
        <n v="65976"/>
        <n v="81356"/>
        <n v="129928"/>
        <n v="51625"/>
        <n v="118760"/>
        <n v="111299"/>
        <n v="94535"/>
        <n v="116030"/>
        <n v="90127"/>
        <n v="55577"/>
        <n v="82573"/>
        <n v="44703"/>
        <n v="66003"/>
        <n v="44756"/>
        <n v="45380"/>
        <n v="139044"/>
        <n v="114705"/>
        <n v="141375"/>
        <n v="55903"/>
        <n v="55036"/>
        <n v="117309"/>
        <n v="100412"/>
        <n v="32414"/>
        <n v="140419"/>
        <n v="55976"/>
        <n v="104918"/>
        <n v="118121"/>
        <n v="34847"/>
        <n v="100182"/>
        <n v="128757"/>
        <n v="129584"/>
        <n v="59476"/>
        <n v="81880"/>
        <n v="148283"/>
        <n v="32393"/>
        <n v="35481"/>
        <n v="137033"/>
        <n v="49361"/>
        <n v="59146"/>
        <n v="113102"/>
        <n v="37769"/>
        <n v="126939"/>
        <n v="68226"/>
        <n v="99516"/>
        <n v="143645"/>
        <n v="134230"/>
        <n v="53167"/>
        <n v="52772"/>
        <n v="55354"/>
        <n v="51942"/>
        <n v="38152"/>
        <n v="134753"/>
        <n v="42061"/>
        <n v="76350"/>
        <n v="99828"/>
        <n v="37084"/>
        <n v="112617"/>
        <n v="36486"/>
        <n v="107925"/>
        <n v="52474"/>
        <n v="48274"/>
        <n v="79696"/>
        <n v="82736"/>
        <n v="65539"/>
        <n v="71135"/>
        <n v="146298"/>
        <n v="144571"/>
        <n v="112753"/>
        <n v="81716"/>
        <n v="46250"/>
        <n v="102006"/>
        <n v="60837"/>
        <n v="66742"/>
        <n v="119131"/>
        <n v="107497"/>
        <n v="57788"/>
        <n v="64712"/>
        <n v="68319"/>
        <n v="67289"/>
        <n v="75040"/>
        <n v="120886"/>
        <n v="64118"/>
        <n v="125381"/>
        <n v="62146"/>
        <n v="60410"/>
        <n v="110449"/>
        <n v="142691"/>
        <n v="33659"/>
        <n v="109911"/>
        <n v="117298"/>
        <n v="100114"/>
        <n v="149401"/>
        <n v="66594"/>
        <n v="94043"/>
        <n v="110270"/>
        <n v="98393"/>
        <n v="104038"/>
        <n v="104088"/>
        <n v="38290"/>
        <n v="86373"/>
        <n v="73532"/>
        <n v="132708"/>
        <n v="144846"/>
        <n v="90254"/>
        <n v="51219"/>
        <n v="114899"/>
        <n v="63275"/>
        <n v="79662"/>
        <n v="62158"/>
        <n v="103484"/>
        <n v="116810"/>
        <n v="104035"/>
        <n v="83917"/>
        <n v="91752"/>
        <n v="120866"/>
        <n v="56974"/>
        <n v="130672"/>
        <n v="58327"/>
        <n v="63258"/>
        <n v="95777"/>
        <n v="105127"/>
        <n v="64846"/>
        <n v="89397"/>
        <n v="148915"/>
        <n v="140554"/>
        <n v="137526"/>
        <n v="126482"/>
        <n v="124274"/>
        <n v="48638"/>
        <n v="73162"/>
        <n v="66105"/>
        <n v="48246"/>
        <n v="86470"/>
        <n v="136054"/>
        <n v="109721"/>
        <n v="90475"/>
        <n v="48422"/>
        <n v="74380"/>
        <n v="114999"/>
        <n v="45224"/>
        <n v="73302"/>
        <n v="97743"/>
        <n v="136974"/>
        <n v="31987"/>
        <n v="102587"/>
        <n v="56932"/>
        <n v="114371"/>
        <n v="133027"/>
        <n v="45353"/>
        <n v="67970"/>
        <n v="57154"/>
        <n v="115793"/>
        <n v="43174"/>
        <n v="88323"/>
        <n v="123335"/>
        <n v="67877"/>
        <n v="86779"/>
        <n v="34650"/>
        <n v="93884"/>
        <n v="37317"/>
        <n v="123947"/>
        <n v="88524"/>
        <n v="44316"/>
        <n v="112142"/>
        <n v="124939"/>
        <n v="125756"/>
        <n v="53255"/>
        <n v="111808"/>
        <n v="142102"/>
        <n v="72690"/>
        <n v="39304"/>
        <n v="129581"/>
        <n v="69819"/>
        <n v="141925"/>
        <n v="75805"/>
        <n v="67326"/>
        <n v="69224"/>
        <n v="132567"/>
        <n v="129417"/>
        <n v="129652"/>
        <n v="58498"/>
        <n v="37816"/>
        <n v="65074"/>
        <n v="46775"/>
        <n v="127095"/>
        <n v="85124"/>
        <n v="48224"/>
        <n v="80421"/>
        <n v="149028"/>
        <n v="137919"/>
        <n v="129391"/>
        <n v="105125"/>
        <n v="127071"/>
        <n v="109036"/>
        <n v="59000"/>
        <n v="45529"/>
        <n v="124845"/>
        <n v="135312"/>
        <n v="95478"/>
        <n v="71702"/>
        <n v="123068"/>
        <n v="33911"/>
        <n v="121964"/>
        <n v="78229"/>
        <n v="66704"/>
        <n v="91295"/>
        <n v="114532"/>
        <n v="129211"/>
        <n v="36826"/>
        <n v="113899"/>
        <n v="59407"/>
        <n v="120389"/>
        <n v="145796"/>
        <n v="44433"/>
        <n v="120913"/>
        <n v="128747"/>
        <n v="102593"/>
        <n v="57706"/>
        <n v="53665"/>
        <n v="109133"/>
        <n v="74329"/>
        <n v="37279"/>
        <n v="69323"/>
        <n v="81454"/>
        <n v="80366"/>
        <n v="71476"/>
        <n v="122850"/>
        <n v="80608"/>
        <n v="92188"/>
        <n v="43606"/>
        <n v="83568"/>
        <n v="81638"/>
        <n v="123309"/>
        <n v="64873"/>
        <n v="78179"/>
        <n v="78139"/>
        <n v="43445"/>
        <n v="31299"/>
        <n v="104263"/>
        <n v="33250"/>
        <n v="135050"/>
        <n v="80029"/>
        <n v="34965"/>
        <n v="148225"/>
        <n v="118458"/>
        <n v="105763"/>
        <n v="99458"/>
        <n v="34516"/>
        <n v="123606"/>
        <n v="149359"/>
        <n v="37509"/>
        <n v="117178"/>
        <n v="49060"/>
        <n v="59235"/>
        <n v="79216"/>
        <n v="49789"/>
        <n v="107171"/>
        <n v="30443"/>
        <n v="105494"/>
        <n v="45231"/>
        <n v="116065"/>
        <n v="102436"/>
        <n v="62256"/>
        <n v="61917"/>
        <n v="62948"/>
        <n v="138602"/>
        <n v="43322"/>
        <n v="143044"/>
        <n v="128875"/>
        <n v="130901"/>
        <n v="138298"/>
        <n v="86987"/>
        <n v="48445"/>
        <n v="44407"/>
        <n v="36934"/>
        <n v="131053"/>
        <n v="48082"/>
        <n v="66738"/>
        <n v="125946"/>
        <n v="40037"/>
        <n v="77287"/>
        <n v="33063"/>
        <n v="140263"/>
        <n v="67932"/>
        <n v="53519"/>
        <n v="100363"/>
        <n v="58911"/>
        <n v="105253"/>
        <n v="105650"/>
        <n v="99037"/>
        <n v="38715"/>
        <n v="44466"/>
        <n v="85432"/>
        <n v="127557"/>
        <n v="104227"/>
        <n v="64585"/>
        <n v="140397"/>
        <n v="102620"/>
        <n v="123332"/>
        <n v="120833"/>
        <n v="77131"/>
        <n v="131298"/>
        <n v="58653"/>
        <n v="83020"/>
        <n v="141257"/>
        <n v="33303"/>
        <n v="104519"/>
        <n v="121751"/>
        <n v="91557"/>
        <n v="101452"/>
        <n v="70508"/>
        <n v="81238"/>
        <n v="146084"/>
        <n v="99619"/>
        <n v="49830"/>
        <n v="70882"/>
        <n v="124204"/>
        <n v="84255"/>
        <n v="51566"/>
        <n v="130461"/>
        <n v="80891"/>
        <n v="127871"/>
        <n v="112418"/>
        <n v="54002"/>
        <n v="108391"/>
        <n v="53474"/>
        <n v="106286"/>
        <n v="92520"/>
        <n v="60210"/>
        <n v="109558"/>
        <n v="54559"/>
        <n v="85099"/>
        <n v="68433"/>
        <n v="109791"/>
        <n v="149321"/>
        <n v="72048"/>
        <n v="132076"/>
        <n v="105605"/>
        <n v="120811"/>
        <n v="115520"/>
        <n v="135341"/>
        <n v="116402"/>
        <n v="71503"/>
        <n v="107366"/>
        <n v="132187"/>
        <n v="71164"/>
        <n v="67624"/>
        <n v="144499"/>
        <n v="146585"/>
        <n v="115780"/>
        <n v="113764"/>
        <n v="114367"/>
        <n v="54195"/>
        <n v="98397"/>
        <n v="114692"/>
        <n v="75814"/>
        <n v="122079"/>
        <n v="138165"/>
        <n v="130296"/>
        <n v="144547"/>
        <n v="85133"/>
        <n v="127347"/>
        <n v="82990"/>
        <n v="69379"/>
        <n v="128235"/>
        <n v="102181"/>
        <n v="111839"/>
        <n v="83242"/>
        <n v="93611"/>
        <n v="38871"/>
        <n v="78743"/>
        <n v="107418"/>
        <n v="116472"/>
        <n v="56025"/>
        <n v="51747"/>
        <n v="117090"/>
        <n v="65486"/>
        <n v="148871"/>
        <n v="72925"/>
        <n v="50647"/>
        <n v="134839"/>
        <n v="94310"/>
        <n v="67788"/>
        <n v="87676"/>
        <n v="73677"/>
        <n v="84012"/>
        <n v="67470"/>
        <n v="139055"/>
        <n v="31757"/>
        <n v="62964"/>
        <n v="139276"/>
        <n v="124364"/>
        <n v="30030"/>
        <n v="43733"/>
        <n v="92086"/>
        <n v="134643"/>
        <n v="136565"/>
        <n v="53784"/>
        <n v="129892"/>
        <n v="123497"/>
        <n v="71147"/>
        <n v="138131"/>
        <n v="38168"/>
        <n v="126017"/>
        <n v="106548"/>
        <n v="64574"/>
        <n v="106334"/>
        <n v="50709"/>
        <n v="72434"/>
        <n v="122192"/>
        <n v="102399"/>
        <n v="52489"/>
        <n v="123995"/>
        <n v="116090"/>
        <n v="126190"/>
        <n v="132535"/>
        <n v="84026"/>
        <n v="61171"/>
        <n v="140549"/>
        <n v="120061"/>
        <n v="143357"/>
        <n v="74099"/>
        <n v="101543"/>
        <n v="129691"/>
        <n v="111793"/>
        <n v="33814"/>
        <n v="113395"/>
        <n v="104892"/>
        <n v="134560"/>
        <n v="46585"/>
        <n v="65878"/>
        <n v="144742"/>
        <n v="108074"/>
        <n v="135178"/>
        <n v="38794"/>
        <n v="87364"/>
        <n v="41853"/>
        <n v="73280"/>
        <n v="130854"/>
        <n v="100286"/>
        <n v="129646"/>
        <n v="82445"/>
        <n v="86152"/>
        <n v="45485"/>
        <n v="53953"/>
        <n v="48027"/>
        <n v="45265"/>
        <n v="39160"/>
        <n v="100717"/>
        <n v="117275"/>
        <n v="73496"/>
        <n v="95635"/>
        <n v="57762"/>
        <n v="95888"/>
        <n v="84150"/>
        <n v="87026"/>
        <n v="133992"/>
        <n v="115847"/>
        <n v="30645"/>
        <n v="40704"/>
        <n v="64224"/>
        <n v="43167"/>
        <n v="99459"/>
        <n v="90628"/>
        <n v="95162"/>
        <n v="144009"/>
        <n v="53978"/>
        <n v="85419"/>
        <n v="123004"/>
        <n v="47874"/>
        <n v="149318"/>
        <n v="39413"/>
        <n v="137541"/>
        <n v="45890"/>
        <n v="137747"/>
        <n v="72582"/>
        <n v="124964"/>
        <n v="64091"/>
        <n v="95707"/>
        <n v="82892"/>
        <n v="51946"/>
        <n v="92294"/>
        <n v="101022"/>
        <n v="116377"/>
        <n v="125614"/>
        <n v="70577"/>
        <n v="70214"/>
        <n v="115416"/>
        <n v="138176"/>
        <n v="88744"/>
        <n v="55759"/>
        <n v="37589"/>
        <n v="119485"/>
        <n v="55090"/>
        <n v="102889"/>
        <n v="93282"/>
        <n v="40892"/>
        <n v="132524"/>
        <n v="56006"/>
        <n v="60805"/>
        <n v="86121"/>
        <n v="70344"/>
        <n v="62185"/>
        <n v="133060"/>
        <n v="149756"/>
        <n v="31981"/>
        <n v="66443"/>
        <n v="89434"/>
        <n v="73159"/>
        <n v="103298"/>
        <n v="65357"/>
        <n v="86735"/>
        <n v="131977"/>
        <n v="79684"/>
        <n v="90273"/>
        <n v="85547"/>
        <n v="117429"/>
        <n v="40208"/>
        <n v="74056"/>
        <n v="53553"/>
        <n v="54287"/>
        <n v="48803"/>
        <n v="113192"/>
        <n v="128740"/>
        <n v="38996"/>
        <n v="79210"/>
        <n v="134439"/>
        <n v="41135"/>
        <n v="110709"/>
        <n v="78416"/>
        <n v="57309"/>
        <n v="67542"/>
        <n v="50723"/>
        <n v="62081"/>
        <n v="129443"/>
        <n v="55482"/>
        <n v="103933"/>
        <n v="43997"/>
        <n v="66258"/>
        <n v="132495"/>
        <n v="135071"/>
        <n v="45590"/>
        <n v="118035"/>
        <n v="147488"/>
        <n v="111506"/>
        <n v="104644"/>
        <n v="85197"/>
        <n v="145435"/>
        <n v="31113"/>
        <n v="119374"/>
        <n v="105450"/>
        <n v="113453"/>
        <n v="62656"/>
        <n v="50823"/>
        <n v="52879"/>
        <n v="132132"/>
        <n v="32693"/>
        <n v="69812"/>
        <n v="58353"/>
        <n v="103969"/>
        <n v="34110"/>
        <n v="73105"/>
        <n v="147323"/>
        <n v="97720"/>
        <n v="30877"/>
        <n v="38499"/>
        <n v="135634"/>
        <n v="88843"/>
        <n v="68966"/>
        <n v="95490"/>
        <n v="101786"/>
        <n v="41808"/>
        <n v="44903"/>
        <n v="93615"/>
        <n v="81141"/>
        <n v="126705"/>
        <n v="57254"/>
        <n v="126923"/>
        <n v="71689"/>
        <n v="49546"/>
        <n v="41398"/>
        <n v="142301"/>
        <n v="73042"/>
        <n v="110094"/>
        <n v="126155"/>
        <n v="128464"/>
        <n v="139791"/>
        <n v="56745"/>
        <n v="94558"/>
        <n v="91478"/>
        <n v="125980"/>
        <n v="128708"/>
        <n v="41638"/>
        <n v="54829"/>
        <n v="50720"/>
        <n v="99981"/>
        <n v="104541"/>
        <n v="30733"/>
        <n v="127760"/>
        <n v="56819"/>
        <n v="105954"/>
        <n v="145386"/>
        <n v="101360"/>
        <n v="108349"/>
        <n v="137102"/>
        <n v="97310"/>
        <n v="121111"/>
        <n v="85983"/>
        <n v="98407"/>
        <n v="130641"/>
        <n v="56363"/>
        <n v="56187"/>
        <n v="133171"/>
        <n v="143968"/>
        <n v="89376"/>
        <n v="70305"/>
        <n v="47054"/>
        <n v="103080"/>
        <n v="55401"/>
        <n v="41928"/>
        <n v="140177"/>
        <n v="47024"/>
        <n v="39612"/>
        <n v="51450"/>
        <n v="149511"/>
        <n v="106554"/>
        <n v="97173"/>
        <n v="44517"/>
        <n v="31321"/>
        <n v="93001"/>
        <n v="35685"/>
        <n v="35335"/>
        <n v="110286"/>
        <n v="45641"/>
        <n v="50242"/>
        <n v="60166"/>
        <n v="61232"/>
        <n v="78720"/>
        <n v="125110"/>
        <n v="113128"/>
        <n v="120605"/>
        <n v="39513"/>
        <n v="57177"/>
        <n v="85572"/>
        <n v="147849"/>
        <n v="126080"/>
        <n v="144438"/>
        <n v="34844"/>
        <n v="47639"/>
        <n v="86041"/>
        <n v="68575"/>
        <n v="120150"/>
        <n v="42485"/>
        <n v="103147"/>
        <n v="66598"/>
        <n v="132916"/>
        <n v="41311"/>
        <n v="139940"/>
        <n v="124930"/>
        <n v="115639"/>
        <n v="34123"/>
        <n v="98384"/>
        <n v="102433"/>
        <n v="127550"/>
        <n v="76509"/>
        <n v="141075"/>
        <n v="35853"/>
        <n v="95311"/>
        <n v="145672"/>
        <n v="107045"/>
        <n v="68211"/>
        <n v="58454"/>
        <n v="97855"/>
        <n v="127891"/>
        <n v="120094"/>
        <n v="130621"/>
        <n v="141579"/>
        <n v="64907"/>
        <n v="147754"/>
        <n v="61937"/>
        <n v="41593"/>
        <n v="75337"/>
        <n v="147553"/>
        <n v="69114"/>
        <n v="142467"/>
        <n v="95410"/>
        <n v="44802"/>
        <n v="62611"/>
        <n v="58419"/>
        <n v="74852"/>
        <n v="125640"/>
        <n v="112654"/>
        <n v="57476"/>
        <n v="109398"/>
        <n v="139240"/>
        <n v="143089"/>
        <n v="145632"/>
        <n v="104657"/>
        <n v="44835"/>
        <n v="43830"/>
        <n v="67293"/>
        <n v="68690"/>
        <n v="45234"/>
        <n v="120052"/>
        <n v="40270"/>
        <n v="52562"/>
        <n v="52065"/>
        <n v="66183"/>
        <n v="67098"/>
        <n v="74143"/>
        <n v="149245"/>
        <n v="112802"/>
        <n v="76611"/>
        <n v="48609"/>
        <n v="138629"/>
        <n v="53481"/>
        <n v="60412"/>
        <n v="137271"/>
        <n v="37612"/>
        <n v="87623"/>
        <n v="84503"/>
        <n v="140427"/>
        <n v="73281"/>
        <n v="66492"/>
        <n v="52368"/>
        <n v="113302"/>
        <n v="68197"/>
        <n v="101721"/>
        <n v="125101"/>
        <n v="143605"/>
        <n v="124183"/>
        <n v="81907"/>
        <n v="130231"/>
        <n v="50893"/>
        <n v="34273"/>
        <n v="129941"/>
        <n v="65310"/>
        <n v="111301"/>
        <n v="125325"/>
        <n v="53070"/>
        <n v="137582"/>
        <n v="77851"/>
        <n v="94690"/>
        <n v="106145"/>
        <n v="144256"/>
        <n v="94322"/>
        <n v="97504"/>
        <n v="64897"/>
        <n v="53425"/>
        <n v="69426"/>
        <n v="69801"/>
        <n v="102904"/>
        <n v="72020"/>
        <n v="59362"/>
        <n v="113366"/>
        <n v="114142"/>
        <n v="94197"/>
        <n v="73518"/>
        <n v="138460"/>
        <n v="38628"/>
        <n v="72353"/>
        <n v="73489"/>
        <n v="127014"/>
        <n v="138569"/>
        <n v="134371"/>
        <n v="77687"/>
        <n v="40128"/>
        <n v="105505"/>
        <n v="37109"/>
        <n v="97672"/>
        <n v="149593"/>
        <n v="81108"/>
        <n v="77197"/>
        <n v="113499"/>
        <n v="133462"/>
        <n v="96393"/>
        <n v="99226"/>
        <n v="55483"/>
        <n v="35499"/>
        <n v="59737"/>
        <n v="40364"/>
        <n v="97954"/>
        <n v="36534"/>
        <n v="85012"/>
        <n v="94712"/>
        <n v="124580"/>
        <n v="127054"/>
        <n v="68899"/>
        <n v="102564"/>
        <n v="47928"/>
        <n v="48560"/>
        <n v="81290"/>
        <n v="63897"/>
        <n v="124752"/>
        <n v="78008"/>
        <n v="75018"/>
        <n v="94407"/>
        <n v="43096"/>
        <n v="65504"/>
        <n v="115692"/>
        <n v="72971"/>
        <n v="75456"/>
        <n v="42929"/>
        <n v="87735"/>
        <n v="69029"/>
        <n v="50387"/>
        <n v="94918"/>
        <n v="56154"/>
        <n v="141634"/>
        <n v="50377"/>
        <n v="74516"/>
        <n v="129895"/>
        <n v="41329"/>
        <n v="40013"/>
        <n v="120777"/>
        <n v="107011"/>
        <n v="67630"/>
        <n v="96360"/>
        <n v="103850"/>
        <n v="117133"/>
        <n v="125065"/>
        <n v="147600"/>
        <n v="96333"/>
        <n v="126847"/>
        <n v="92244"/>
        <n v="93810"/>
        <n v="127211"/>
        <n v="35455"/>
        <n v="37289"/>
        <n v="81428"/>
        <n v="123890"/>
        <n v="67422"/>
        <n v="62947"/>
        <n v="149554"/>
        <n v="66497"/>
        <n v="91140"/>
        <n v="147342"/>
        <n v="119647"/>
        <n v="31234"/>
        <n v="34677"/>
        <n v="125288"/>
        <n v="77540"/>
        <n v="62953"/>
        <n v="99754"/>
        <n v="114865"/>
        <n v="59904"/>
        <n v="53473"/>
        <n v="34564"/>
        <n v="128259"/>
        <n v="144486"/>
        <n v="136766"/>
        <n v="139097"/>
        <n v="97004"/>
        <n v="87143"/>
        <n v="86668"/>
        <n v="45027"/>
        <n v="86546"/>
        <n v="101621"/>
        <n v="114191"/>
        <n v="41918"/>
        <n v="130213"/>
        <n v="88561"/>
        <n v="132013"/>
        <n v="67010"/>
        <n v="131807"/>
        <n v="117563"/>
        <n v="51798"/>
        <n v="73701"/>
        <n v="135959"/>
        <n v="129721"/>
        <n v="98132"/>
        <n v="132945"/>
        <n v="141318"/>
        <n v="114005"/>
        <n v="107974"/>
        <n v="89876"/>
        <n v="144947"/>
        <n v="129590"/>
        <n v="147129"/>
        <n v="107417"/>
        <n v="75631"/>
        <n v="85753"/>
        <n v="91138"/>
        <n v="106258"/>
        <n v="140514"/>
        <n v="47762"/>
        <n v="101060"/>
        <n v="37361"/>
        <n v="47736"/>
        <n v="57814"/>
        <n v="135636"/>
        <n v="124697"/>
        <n v="132887"/>
        <n v="104336"/>
        <n v="143398"/>
        <n v="143546"/>
        <n v="132676"/>
        <n v="54569"/>
        <n v="124093"/>
        <n v="83638"/>
        <n v="126765"/>
        <n v="121190"/>
        <n v="84916"/>
        <n v="125462"/>
        <n v="74838"/>
        <n v="113253"/>
        <n v="111546"/>
        <n v="140217"/>
        <n v="107576"/>
        <n v="89849"/>
        <n v="133970"/>
        <n v="65340"/>
        <n v="94605"/>
        <n v="132025"/>
        <n v="42623"/>
        <n v="82913"/>
        <n v="39159"/>
        <n v="70294"/>
        <n v="110381"/>
        <n v="142488"/>
        <n v="35749"/>
        <n v="81833"/>
        <n v="52703"/>
        <n v="76554"/>
        <n v="67648"/>
        <n v="135718"/>
        <n v="53876"/>
        <n v="56513"/>
        <n v="125564"/>
        <n v="65253"/>
        <n v="138482"/>
        <n v="143169"/>
        <n v="89816"/>
        <n v="71729"/>
        <n v="90924"/>
        <n v="135963"/>
        <n v="46294"/>
        <n v="34383"/>
        <n v="93742"/>
        <n v="82210"/>
        <n v="55281"/>
        <n v="35143"/>
        <n v="67404"/>
        <n v="134534"/>
        <n v="37120"/>
        <n v="140931"/>
        <n v="68191"/>
        <n v="58453"/>
        <n v="114815"/>
        <n v="122562"/>
        <n v="145427"/>
        <n v="142113"/>
        <n v="111912"/>
        <n v="33390"/>
        <n v="100174"/>
        <n v="42225"/>
        <n v="62864"/>
        <n v="102135"/>
        <n v="84879"/>
        <n v="105342"/>
        <n v="115424"/>
        <n v="75381"/>
        <n v="112146"/>
        <n v="61973"/>
        <n v="147442"/>
        <n v="73904"/>
        <n v="131937"/>
        <n v="122928"/>
        <n v="133120"/>
        <n v="33796"/>
        <n v="92058"/>
        <n v="46005"/>
        <n v="63445"/>
        <n v="88851"/>
        <n v="94127"/>
        <n v="36703"/>
        <n v="120027"/>
        <n v="36384"/>
        <n v="41460"/>
        <n v="87803"/>
        <n v="46482"/>
        <n v="73307"/>
        <n v="37505"/>
        <n v="57205"/>
        <n v="82025"/>
        <n v="121676"/>
        <n v="145614"/>
        <n v="124362"/>
        <n v="133132"/>
        <n v="133601"/>
        <n v="32894"/>
        <n v="65714"/>
        <n v="110560"/>
        <n v="115236"/>
        <n v="36276"/>
        <n v="111779"/>
        <n v="44775"/>
        <n v="108256"/>
        <n v="117377"/>
        <n v="39479"/>
        <n v="130003"/>
        <n v="128039"/>
        <n v="55563"/>
        <n v="57287"/>
        <n v="70103"/>
        <n v="126600"/>
        <n v="57217"/>
        <n v="82216"/>
        <n v="147063"/>
        <n v="67631"/>
        <n v="116425"/>
        <n v="146598"/>
        <n v="45597"/>
        <n v="119643"/>
        <n v="56108"/>
        <n v="40130"/>
        <n v="43077"/>
        <n v="38957"/>
        <n v="52989"/>
        <n v="70544"/>
        <n v="45580"/>
        <n v="110614"/>
        <n v="135953"/>
        <n v="111687"/>
        <n v="147426"/>
        <n v="92778"/>
        <n v="107863"/>
        <n v="73622"/>
        <n v="119565"/>
        <n v="36944"/>
        <n v="36357"/>
        <n v="130709"/>
        <n v="133134"/>
        <n v="135383"/>
        <n v="58212"/>
        <n v="59210"/>
        <n v="65630"/>
        <n v="127942"/>
        <n v="147050"/>
        <n v="100655"/>
        <n v="52901"/>
        <n v="63144"/>
        <n v="44410"/>
        <n v="43785"/>
        <n v="90037"/>
        <n v="132424"/>
        <n v="118400"/>
        <n v="41151"/>
        <n v="56257"/>
        <n v="136933"/>
        <n v="50705"/>
        <n v="123064"/>
        <n v="77089"/>
        <n v="76978"/>
        <n v="62235"/>
        <n v="43739"/>
        <n v="96321"/>
        <n v="94314"/>
        <n v="72229"/>
        <n v="121842"/>
        <n v="55564"/>
        <n v="35555"/>
        <n v="116134"/>
        <n v="79326"/>
        <n v="114141"/>
        <n v="65120"/>
        <n v="115317"/>
        <n v="115564"/>
        <n v="35504"/>
        <n v="63489"/>
        <n v="135390"/>
        <n v="36902"/>
        <n v="77373"/>
        <n v="104010"/>
        <n v="68011"/>
        <n v="51460"/>
        <n v="125076"/>
        <n v="45281"/>
        <n v="67038"/>
        <n v="143472"/>
        <n v="54192"/>
        <n v="138614"/>
        <n v="124500"/>
        <n v="90486"/>
        <n v="44142"/>
        <n v="121168"/>
        <n v="34461"/>
        <n v="41591"/>
        <n v="58465"/>
        <n v="89973"/>
        <n v="134615"/>
        <n v="81469"/>
        <n v="105764"/>
        <n v="50543"/>
        <n v="36086"/>
        <n v="65906"/>
        <n v="70527"/>
        <n v="91894"/>
        <n v="78145"/>
        <n v="95056"/>
        <n v="135949"/>
        <n v="78793"/>
        <n v="81380"/>
        <n v="33827"/>
        <n v="103038"/>
        <n v="122276"/>
        <n v="89309"/>
        <n v="57891"/>
        <n v="61766"/>
        <n v="87657"/>
        <n v="48476"/>
        <n v="121860"/>
        <n v="125798"/>
        <n v="138695"/>
        <n v="69802"/>
        <n v="86832"/>
        <n v="143959"/>
        <n v="61709"/>
        <n v="43669"/>
        <n v="61142"/>
        <n v="111396"/>
        <n v="50852"/>
        <n v="99191"/>
        <n v="69537"/>
        <n v="65629"/>
        <n v="39597"/>
        <n v="34096"/>
        <n v="63434"/>
        <n v="81358"/>
        <n v="80626"/>
        <n v="59638"/>
        <n v="145156"/>
        <n v="88717"/>
        <n v="68746"/>
        <n v="83207"/>
        <n v="138109"/>
        <n v="86834"/>
        <n v="133988"/>
        <n v="145064"/>
        <n v="106620"/>
        <n v="80942"/>
        <n v="133274"/>
        <n v="49826"/>
        <n v="97116"/>
        <n v="136030"/>
        <n v="33388"/>
        <n v="58797"/>
        <n v="129508"/>
        <n v="54996"/>
        <n v="136165"/>
        <n v="83986"/>
        <n v="126681"/>
        <n v="148083"/>
        <n v="145915"/>
        <n v="45002"/>
        <n v="90587"/>
        <n v="117927"/>
        <n v="138560"/>
        <n v="113092"/>
        <n v="41430"/>
        <n v="39349"/>
        <n v="61658"/>
        <n v="39106"/>
        <n v="97792"/>
        <n v="39788"/>
        <n v="88215"/>
        <n v="87487"/>
        <n v="38701"/>
        <n v="145571"/>
        <n v="106733"/>
        <n v="128725"/>
        <n v="112669"/>
        <n v="79755"/>
        <n v="80636"/>
        <n v="52437"/>
        <n v="119128"/>
        <n v="36210"/>
        <n v="88880"/>
        <n v="72428"/>
        <n v="42199"/>
        <n v="95109"/>
        <n v="30448"/>
        <n v="91638"/>
        <n v="79584"/>
        <n v="134065"/>
        <n v="61474"/>
        <n v="101864"/>
        <n v="40496"/>
        <n v="45285"/>
        <n v="53929"/>
        <n v="90993"/>
        <n v="115059"/>
        <n v="84853"/>
        <n v="84566"/>
        <n v="89930"/>
        <n v="75357"/>
        <n v="102730"/>
        <n v="73200"/>
        <n v="84887"/>
        <n v="34008"/>
        <n v="138321"/>
        <n v="105328"/>
        <n v="105755"/>
        <n v="42430"/>
        <n v="67088"/>
        <n v="31312"/>
        <n v="33914"/>
        <n v="74181"/>
        <n v="72734"/>
        <n v="59319"/>
        <n v="108806"/>
        <n v="110296"/>
        <n v="140979"/>
        <n v="147083"/>
        <n v="120236"/>
        <n v="63867"/>
        <n v="132922"/>
        <n v="134242"/>
        <n v="72408"/>
        <n v="146199"/>
        <n v="122864"/>
        <n v="63791"/>
        <n v="70840"/>
        <n v="87796"/>
        <n v="126747"/>
        <n v="126409"/>
        <n v="60740"/>
        <n v="108275"/>
        <n v="32570"/>
        <n v="80258"/>
        <n v="34970"/>
        <n v="101126"/>
        <n v="123686"/>
        <n v="39421"/>
        <n v="119894"/>
        <n v="78448"/>
        <n v="86686"/>
        <n v="111319"/>
        <n v="44363"/>
        <n v="61325"/>
        <n v="123909"/>
      </sharedItems>
    </cacheField>
    <cacheField name="Years_Experience" numFmtId="0">
      <sharedItems containsSemiMixedTypes="0" containsString="0" containsNumber="1" containsInteger="1" minValue="0" maxValue="29"/>
    </cacheField>
    <cacheField name="Education_Level" numFmtId="0">
      <sharedItems count="4">
        <s v="Master's"/>
        <s v="PhD"/>
        <s v="High School"/>
        <s v="Bachelor's"/>
      </sharedItems>
    </cacheField>
    <cacheField name="AI_Exposure_Index" numFmtId="0">
      <sharedItems containsSemiMixedTypes="0" containsString="0" containsNumber="1" minValue="0" maxValue="1"/>
    </cacheField>
    <cacheField name="Tech_Growth_Factor" numFmtId="2">
      <sharedItems containsSemiMixedTypes="0" containsString="0" containsNumber="1" minValue="0.5" maxValue="1.5"/>
    </cacheField>
    <cacheField name="Automation_Probability_2030" numFmtId="2">
      <sharedItems containsSemiMixedTypes="0" containsString="0" containsNumber="1" minValue="0.05" maxValue="0.95" count="91">
        <n v="0.85"/>
        <n v="0.05"/>
        <n v="0.81"/>
        <n v="0.6"/>
        <n v="0.64"/>
        <n v="0.1"/>
        <n v="0.41"/>
        <n v="0.17"/>
        <n v="0.48"/>
        <n v="0.8"/>
        <n v="0.4"/>
        <n v="0.5"/>
        <n v="0.63"/>
        <n v="0.21"/>
        <n v="0.57999999999999996"/>
        <n v="0.27"/>
        <n v="0.28000000000000003"/>
        <n v="0.93"/>
        <n v="0.15"/>
        <n v="0.06"/>
        <n v="0.33"/>
        <n v="0.28999999999999998"/>
        <n v="0.54"/>
        <n v="0.56000000000000005"/>
        <n v="0.92"/>
        <n v="0.47"/>
        <n v="0.68"/>
        <n v="0.19"/>
        <n v="0.72"/>
        <n v="0.22"/>
        <n v="0.44"/>
        <n v="0.59"/>
        <n v="0.91"/>
        <n v="0.55000000000000004"/>
        <n v="7.0000000000000007E-2"/>
        <n v="0.83"/>
        <n v="0.46"/>
        <n v="0.11"/>
        <n v="0.65"/>
        <n v="0.76"/>
        <n v="0.9"/>
        <n v="0.14000000000000001"/>
        <n v="0.2"/>
        <n v="0.52"/>
        <n v="0.74"/>
        <n v="0.61"/>
        <n v="0.36"/>
        <n v="0.08"/>
        <n v="0.38"/>
        <n v="0.37"/>
        <n v="0.51"/>
        <n v="0.88"/>
        <n v="0.24"/>
        <n v="0.35"/>
        <n v="0.12"/>
        <n v="0.34"/>
        <n v="0.84"/>
        <n v="0.31"/>
        <n v="0.7"/>
        <n v="0.87"/>
        <n v="0.95"/>
        <n v="0.13"/>
        <n v="0.77"/>
        <n v="0.09"/>
        <n v="0.56999999999999995"/>
        <n v="0.39"/>
        <n v="0.69"/>
        <n v="0.73"/>
        <n v="0.53"/>
        <n v="0.62"/>
        <n v="0.23"/>
        <n v="0.42"/>
        <n v="0.66"/>
        <n v="0.75"/>
        <n v="0.16"/>
        <n v="0.26"/>
        <n v="0.71"/>
        <n v="0.79"/>
        <n v="0.49"/>
        <n v="0.67"/>
        <n v="0.78"/>
        <n v="0.89"/>
        <n v="0.18"/>
        <n v="0.86"/>
        <n v="0.45"/>
        <n v="0.3"/>
        <n v="0.32"/>
        <n v="0.43"/>
        <n v="0.25"/>
        <n v="0.94"/>
        <n v="0.82"/>
      </sharedItems>
    </cacheField>
    <cacheField name="Risk_Category" numFmtId="49">
      <sharedItems count="3">
        <s v="High"/>
        <s v="Low"/>
        <s v="Medium"/>
      </sharedItems>
    </cacheField>
    <cacheField name="Skill_1" numFmtId="0">
      <sharedItems containsSemiMixedTypes="0" containsString="0" containsNumber="1" minValue="0" maxValue="1"/>
    </cacheField>
    <cacheField name="Skill_2" numFmtId="0">
      <sharedItems containsSemiMixedTypes="0" containsString="0" containsNumber="1" minValue="0" maxValue="1"/>
    </cacheField>
    <cacheField name="Skill_3" numFmtId="0">
      <sharedItems containsSemiMixedTypes="0" containsString="0" containsNumber="1" minValue="0" maxValue="1"/>
    </cacheField>
    <cacheField name="Skill_4" numFmtId="0">
      <sharedItems containsSemiMixedTypes="0" containsString="0" containsNumber="1" minValue="0" maxValue="1"/>
    </cacheField>
    <cacheField name="Skill_5" numFmtId="0">
      <sharedItems containsSemiMixedTypes="0" containsString="0" containsNumber="1" minValue="0" maxValue="1"/>
    </cacheField>
    <cacheField name="Skill_6" numFmtId="0">
      <sharedItems containsSemiMixedTypes="0" containsString="0" containsNumber="1" minValue="0" maxValue="1"/>
    </cacheField>
    <cacheField name="Skill_7" numFmtId="0">
      <sharedItems containsSemiMixedTypes="0" containsString="0" containsNumber="1" minValue="0" maxValue="1"/>
    </cacheField>
    <cacheField name="Skill_8" numFmtId="0">
      <sharedItems containsSemiMixedTypes="0" containsString="0" containsNumber="1" minValue="0" maxValue="1"/>
    </cacheField>
    <cacheField name="Skill_9" numFmtId="0">
      <sharedItems containsSemiMixedTypes="0" containsString="0" containsNumber="1" minValue="0" maxValue="1"/>
    </cacheField>
    <cacheField name="Skill_10" numFmtId="0">
      <sharedItems containsSemiMixedTypes="0" containsString="0" containsNumber="1" minValue="0" maxValue="1"/>
    </cacheField>
    <cacheField name="Career_Stage" numFmtId="0">
      <sharedItems count="3">
        <s v="Senior Level"/>
        <s v="Early Career"/>
        <s v="Mid Career"/>
      </sharedItems>
    </cacheField>
    <cacheField name="Exposure_Level_Text" numFmtId="0">
      <sharedItems/>
    </cacheField>
  </cacheFields>
  <extLst>
    <ext xmlns:x14="http://schemas.microsoft.com/office/spreadsheetml/2009/9/main" uri="{725AE2AE-9491-48be-B2B4-4EB974FC3084}">
      <x14:pivotCacheDefinition pivotCacheId="18125811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0">
  <r>
    <x v="0"/>
    <x v="0"/>
    <n v="28"/>
    <x v="0"/>
    <n v="0.18"/>
    <n v="1.28"/>
    <x v="0"/>
    <x v="0"/>
    <n v="0.45"/>
    <n v="0.1"/>
    <n v="0.46"/>
    <n v="0.33"/>
    <n v="0.14000000000000001"/>
    <n v="0.65"/>
    <n v="0.06"/>
    <n v="0.72"/>
    <n v="0.94"/>
    <n v="0"/>
    <x v="0"/>
    <s v="Low Exposure"/>
  </r>
  <r>
    <x v="1"/>
    <x v="1"/>
    <n v="20"/>
    <x v="1"/>
    <n v="0.62"/>
    <n v="1.1100000000000001"/>
    <x v="1"/>
    <x v="1"/>
    <n v="0.02"/>
    <n v="0.52"/>
    <n v="0.4"/>
    <n v="0.05"/>
    <n v="0.97"/>
    <n v="0.23"/>
    <n v="0.09"/>
    <n v="0.62"/>
    <n v="0.38"/>
    <n v="0.98"/>
    <x v="0"/>
    <s v="Medium Exposure"/>
  </r>
  <r>
    <x v="2"/>
    <x v="2"/>
    <n v="2"/>
    <x v="2"/>
    <n v="0.86"/>
    <n v="1.18"/>
    <x v="2"/>
    <x v="0"/>
    <n v="0.01"/>
    <n v="0.94"/>
    <n v="0.56000000000000005"/>
    <n v="0.39"/>
    <n v="0.02"/>
    <n v="0.23"/>
    <n v="0.24"/>
    <n v="0.68"/>
    <n v="0.61"/>
    <n v="0.83"/>
    <x v="1"/>
    <s v="High Exposure"/>
  </r>
  <r>
    <x v="3"/>
    <x v="3"/>
    <n v="13"/>
    <x v="1"/>
    <n v="0.39"/>
    <n v="0.68"/>
    <x v="3"/>
    <x v="2"/>
    <n v="0.43"/>
    <n v="0.21"/>
    <n v="0.56999999999999995"/>
    <n v="0.03"/>
    <n v="0.84"/>
    <n v="0.45"/>
    <n v="0.4"/>
    <n v="0.93"/>
    <n v="0.73"/>
    <n v="0.33"/>
    <x v="2"/>
    <s v="Medium Exposure"/>
  </r>
  <r>
    <x v="4"/>
    <x v="4"/>
    <n v="22"/>
    <x v="2"/>
    <n v="0.52"/>
    <n v="1.46"/>
    <x v="4"/>
    <x v="2"/>
    <n v="0.75"/>
    <n v="0.54"/>
    <n v="0.59"/>
    <n v="0.97"/>
    <n v="0.61"/>
    <n v="0.28000000000000003"/>
    <n v="0.3"/>
    <n v="0.17"/>
    <n v="0.02"/>
    <n v="0.42"/>
    <x v="0"/>
    <s v="Medium Exposure"/>
  </r>
  <r>
    <x v="5"/>
    <x v="5"/>
    <n v="11"/>
    <x v="0"/>
    <n v="0.28999999999999998"/>
    <n v="0.51"/>
    <x v="5"/>
    <x v="1"/>
    <n v="0.71"/>
    <n v="0.79"/>
    <n v="0.61"/>
    <n v="0.93"/>
    <n v="0.65"/>
    <n v="0.91"/>
    <n v="0.85"/>
    <n v="0.45"/>
    <n v="0.1"/>
    <n v="0.37"/>
    <x v="2"/>
    <s v="Low Exposure"/>
  </r>
  <r>
    <x v="6"/>
    <x v="6"/>
    <n v="23"/>
    <x v="1"/>
    <n v="0.67"/>
    <n v="1.0900000000000001"/>
    <x v="6"/>
    <x v="2"/>
    <n v="0.56000000000000005"/>
    <n v="0.38"/>
    <n v="0.97"/>
    <n v="0.85"/>
    <n v="0.72"/>
    <n v="0.24"/>
    <n v="0.26"/>
    <n v="0.04"/>
    <n v="0.71"/>
    <n v="0.11"/>
    <x v="0"/>
    <s v="Medium Exposure"/>
  </r>
  <r>
    <x v="7"/>
    <x v="7"/>
    <n v="12"/>
    <x v="2"/>
    <n v="0.2"/>
    <n v="1.4"/>
    <x v="7"/>
    <x v="1"/>
    <n v="0.56000000000000005"/>
    <n v="0.7"/>
    <n v="0.14000000000000001"/>
    <n v="0.6"/>
    <n v="0.54"/>
    <n v="0.2"/>
    <n v="0.94"/>
    <n v="0.6"/>
    <n v="0.69"/>
    <n v="0.88"/>
    <x v="2"/>
    <s v="Low Exposure"/>
  </r>
  <r>
    <x v="8"/>
    <x v="8"/>
    <n v="12"/>
    <x v="0"/>
    <n v="0.3"/>
    <n v="0.61"/>
    <x v="8"/>
    <x v="2"/>
    <n v="0.22"/>
    <n v="0.42"/>
    <n v="0.88"/>
    <n v="0.32"/>
    <n v="0.12"/>
    <n v="0.36"/>
    <n v="0.91"/>
    <n v="0.27"/>
    <n v="0.65"/>
    <n v="0"/>
    <x v="2"/>
    <s v="Medium Exposure"/>
  </r>
  <r>
    <x v="9"/>
    <x v="9"/>
    <n v="2"/>
    <x v="2"/>
    <n v="0.01"/>
    <n v="1.01"/>
    <x v="9"/>
    <x v="0"/>
    <n v="0.22"/>
    <n v="0.12"/>
    <n v="0.34"/>
    <n v="0.94"/>
    <n v="0.32"/>
    <n v="0.52"/>
    <n v="0.7"/>
    <n v="0.36"/>
    <n v="0.97"/>
    <n v="0.96"/>
    <x v="1"/>
    <s v="Low Exposure"/>
  </r>
  <r>
    <x v="10"/>
    <x v="10"/>
    <n v="6"/>
    <x v="2"/>
    <n v="0.5"/>
    <n v="0.8"/>
    <x v="6"/>
    <x v="2"/>
    <n v="0.04"/>
    <n v="0.61"/>
    <n v="0.5"/>
    <n v="0.05"/>
    <n v="0.28000000000000003"/>
    <n v="0.91"/>
    <n v="0.24"/>
    <n v="0.14000000000000001"/>
    <n v="0.49"/>
    <n v="0.99"/>
    <x v="2"/>
    <s v="Medium Exposure"/>
  </r>
  <r>
    <x v="4"/>
    <x v="11"/>
    <n v="22"/>
    <x v="2"/>
    <n v="0.67"/>
    <n v="1.26"/>
    <x v="10"/>
    <x v="2"/>
    <n v="0.73"/>
    <n v="0.37"/>
    <n v="0.63"/>
    <n v="0.63"/>
    <n v="0.54"/>
    <n v="0.09"/>
    <n v="0.84"/>
    <n v="0.32"/>
    <n v="0.19"/>
    <n v="0.04"/>
    <x v="0"/>
    <s v="Medium Exposure"/>
  </r>
  <r>
    <x v="11"/>
    <x v="12"/>
    <n v="27"/>
    <x v="2"/>
    <n v="0.68"/>
    <n v="0.52"/>
    <x v="11"/>
    <x v="2"/>
    <n v="0.23"/>
    <n v="0.65"/>
    <n v="0.17"/>
    <n v="0.69"/>
    <n v="0.39"/>
    <n v="0.94"/>
    <n v="0.14000000000000001"/>
    <n v="0.34"/>
    <n v="0.11"/>
    <n v="0.92"/>
    <x v="0"/>
    <s v="Medium Exposure"/>
  </r>
  <r>
    <x v="12"/>
    <x v="13"/>
    <n v="9"/>
    <x v="2"/>
    <n v="0.26"/>
    <n v="1.1599999999999999"/>
    <x v="12"/>
    <x v="2"/>
    <n v="0.56000000000000005"/>
    <n v="0.53"/>
    <n v="0.24"/>
    <n v="0.09"/>
    <n v="0.9"/>
    <n v="0.9"/>
    <n v="0.63"/>
    <n v="0.34"/>
    <n v="0.35"/>
    <n v="0.73"/>
    <x v="2"/>
    <s v="Low Exposure"/>
  </r>
  <r>
    <x v="1"/>
    <x v="14"/>
    <n v="19"/>
    <x v="0"/>
    <n v="0.89"/>
    <n v="1.28"/>
    <x v="13"/>
    <x v="1"/>
    <n v="0.08"/>
    <n v="0.16"/>
    <n v="0.9"/>
    <n v="0.61"/>
    <n v="0.01"/>
    <n v="0.1"/>
    <n v="0.66"/>
    <n v="0.01"/>
    <n v="0.16"/>
    <n v="0.55000000000000004"/>
    <x v="0"/>
    <s v="High Exposure"/>
  </r>
  <r>
    <x v="13"/>
    <x v="15"/>
    <n v="2"/>
    <x v="2"/>
    <n v="0.65"/>
    <n v="0.72"/>
    <x v="14"/>
    <x v="2"/>
    <n v="0.24"/>
    <n v="0.33"/>
    <n v="0.75"/>
    <n v="0.65"/>
    <n v="0.85"/>
    <n v="0.66"/>
    <n v="0.56999999999999995"/>
    <n v="0.09"/>
    <n v="0.37"/>
    <n v="0.27"/>
    <x v="1"/>
    <s v="Medium Exposure"/>
  </r>
  <r>
    <x v="7"/>
    <x v="16"/>
    <n v="29"/>
    <x v="3"/>
    <n v="0.97"/>
    <n v="0.89"/>
    <x v="15"/>
    <x v="1"/>
    <n v="0.63"/>
    <n v="0.79"/>
    <n v="0.5"/>
    <n v="0.57999999999999996"/>
    <n v="0.49"/>
    <n v="0.2"/>
    <n v="0.72"/>
    <n v="0.28000000000000003"/>
    <n v="0.02"/>
    <n v="0.65"/>
    <x v="0"/>
    <s v="High Exposure"/>
  </r>
  <r>
    <x v="7"/>
    <x v="17"/>
    <n v="11"/>
    <x v="3"/>
    <n v="0.94"/>
    <n v="1.45"/>
    <x v="16"/>
    <x v="1"/>
    <n v="0.37"/>
    <n v="0.02"/>
    <n v="0.93"/>
    <n v="0.43"/>
    <n v="0.97"/>
    <n v="0.96"/>
    <n v="0.85"/>
    <n v="0.28999999999999998"/>
    <n v="0.39"/>
    <n v="0.85"/>
    <x v="2"/>
    <s v="High Exposure"/>
  </r>
  <r>
    <x v="14"/>
    <x v="18"/>
    <n v="2"/>
    <x v="1"/>
    <n v="0.17"/>
    <n v="1.06"/>
    <x v="17"/>
    <x v="0"/>
    <n v="0.7"/>
    <n v="0.56999999999999995"/>
    <n v="0.1"/>
    <n v="0.62"/>
    <n v="0.99"/>
    <n v="0.14000000000000001"/>
    <n v="0.52"/>
    <n v="0.88"/>
    <n v="0.74"/>
    <n v="0.7"/>
    <x v="1"/>
    <s v="Low Exposure"/>
  </r>
  <r>
    <x v="15"/>
    <x v="19"/>
    <n v="15"/>
    <x v="0"/>
    <n v="0.55000000000000004"/>
    <n v="0.8"/>
    <x v="18"/>
    <x v="1"/>
    <n v="0.26"/>
    <n v="0.61"/>
    <n v="0.08"/>
    <n v="0.01"/>
    <n v="0.63"/>
    <n v="0.19"/>
    <n v="7.0000000000000007E-2"/>
    <n v="0.4"/>
    <n v="0.05"/>
    <n v="0.89"/>
    <x v="2"/>
    <s v="Medium Exposure"/>
  </r>
  <r>
    <x v="5"/>
    <x v="20"/>
    <n v="1"/>
    <x v="2"/>
    <n v="0.09"/>
    <n v="1.08"/>
    <x v="19"/>
    <x v="1"/>
    <n v="0.47"/>
    <n v="0.54"/>
    <n v="0.28999999999999998"/>
    <n v="0.59"/>
    <n v="0.03"/>
    <n v="0.04"/>
    <n v="0.82"/>
    <n v="0.36"/>
    <n v="0.13"/>
    <n v="0.52"/>
    <x v="1"/>
    <s v="Low Exposure"/>
  </r>
  <r>
    <x v="8"/>
    <x v="21"/>
    <n v="27"/>
    <x v="3"/>
    <n v="0.22"/>
    <n v="1.1200000000000001"/>
    <x v="20"/>
    <x v="2"/>
    <n v="0.05"/>
    <n v="0.53"/>
    <n v="0.54"/>
    <n v="0.64"/>
    <n v="0.73"/>
    <n v="0.98"/>
    <n v="0.52"/>
    <n v="0.32"/>
    <n v="0.8"/>
    <n v="0.27"/>
    <x v="0"/>
    <s v="Low Exposure"/>
  </r>
  <r>
    <x v="7"/>
    <x v="22"/>
    <n v="25"/>
    <x v="1"/>
    <n v="0.08"/>
    <n v="0.53"/>
    <x v="21"/>
    <x v="1"/>
    <n v="0.84"/>
    <n v="0.7"/>
    <n v="0.41"/>
    <n v="0.17"/>
    <n v="0.16"/>
    <n v="0.25"/>
    <n v="0.55000000000000004"/>
    <n v="0.71"/>
    <n v="0.66"/>
    <n v="0.28000000000000003"/>
    <x v="0"/>
    <s v="Low Exposure"/>
  </r>
  <r>
    <x v="4"/>
    <x v="23"/>
    <n v="28"/>
    <x v="2"/>
    <n v="0.74"/>
    <n v="1.05"/>
    <x v="22"/>
    <x v="2"/>
    <n v="0.42"/>
    <n v="0.25"/>
    <n v="0.36"/>
    <n v="0.76"/>
    <n v="0.01"/>
    <n v="0.12"/>
    <n v="0.05"/>
    <n v="0.04"/>
    <n v="0.86"/>
    <n v="0.7"/>
    <x v="0"/>
    <s v="High Exposure"/>
  </r>
  <r>
    <x v="5"/>
    <x v="24"/>
    <n v="15"/>
    <x v="1"/>
    <n v="0.1"/>
    <n v="0.99"/>
    <x v="7"/>
    <x v="1"/>
    <n v="0.17"/>
    <n v="0.43"/>
    <n v="0.4"/>
    <n v="0.62"/>
    <n v="0.64"/>
    <n v="0.05"/>
    <n v="0.37"/>
    <n v="0.63"/>
    <n v="0.5"/>
    <n v="0.86"/>
    <x v="2"/>
    <s v="Low Exposure"/>
  </r>
  <r>
    <x v="3"/>
    <x v="25"/>
    <n v="12"/>
    <x v="2"/>
    <n v="0.16"/>
    <n v="0.56999999999999995"/>
    <x v="23"/>
    <x v="2"/>
    <n v="0.03"/>
    <n v="0.59"/>
    <n v="0.94"/>
    <n v="0.57999999999999996"/>
    <n v="0.39"/>
    <n v="0.64"/>
    <n v="0.46"/>
    <n v="0.55000000000000004"/>
    <n v="0.94"/>
    <n v="0.39"/>
    <x v="2"/>
    <s v="Low Exposure"/>
  </r>
  <r>
    <x v="6"/>
    <x v="26"/>
    <n v="7"/>
    <x v="0"/>
    <n v="0.91"/>
    <n v="0.7"/>
    <x v="20"/>
    <x v="2"/>
    <n v="0.1"/>
    <n v="0.02"/>
    <n v="0.09"/>
    <n v="0.68"/>
    <n v="7.0000000000000007E-2"/>
    <n v="0.32"/>
    <n v="0.84"/>
    <n v="0.02"/>
    <n v="0.81"/>
    <n v="0.28000000000000003"/>
    <x v="2"/>
    <s v="High Exposure"/>
  </r>
  <r>
    <x v="9"/>
    <x v="27"/>
    <n v="25"/>
    <x v="1"/>
    <n v="0.7"/>
    <n v="1.1299999999999999"/>
    <x v="24"/>
    <x v="0"/>
    <n v="0.74"/>
    <n v="0.8"/>
    <n v="0.28000000000000003"/>
    <n v="0.18"/>
    <n v="0.75"/>
    <n v="0.81"/>
    <n v="0.99"/>
    <n v="0.41"/>
    <n v="0.37"/>
    <n v="0.78"/>
    <x v="0"/>
    <s v="High Exposure"/>
  </r>
  <r>
    <x v="8"/>
    <x v="28"/>
    <n v="22"/>
    <x v="0"/>
    <n v="0.93"/>
    <n v="1.36"/>
    <x v="25"/>
    <x v="2"/>
    <n v="0.75"/>
    <n v="0.75"/>
    <n v="0.1"/>
    <n v="0.9"/>
    <n v="0.51"/>
    <n v="0.83"/>
    <n v="0.32"/>
    <n v="0.9"/>
    <n v="0.39"/>
    <n v="0.01"/>
    <x v="0"/>
    <s v="High Exposure"/>
  </r>
  <r>
    <x v="8"/>
    <x v="29"/>
    <n v="18"/>
    <x v="0"/>
    <n v="0.09"/>
    <n v="0.82"/>
    <x v="26"/>
    <x v="2"/>
    <n v="0.95"/>
    <n v="0.56999999999999995"/>
    <n v="0.63"/>
    <n v="0.45"/>
    <n v="0.28999999999999998"/>
    <n v="0.33"/>
    <n v="0.67"/>
    <n v="0.75"/>
    <n v="0.79"/>
    <n v="0.79"/>
    <x v="0"/>
    <s v="Low Exposure"/>
  </r>
  <r>
    <x v="7"/>
    <x v="30"/>
    <n v="20"/>
    <x v="0"/>
    <n v="0.49"/>
    <n v="0.56000000000000005"/>
    <x v="27"/>
    <x v="1"/>
    <n v="0.44"/>
    <n v="0.89"/>
    <n v="0.35"/>
    <n v="0.12"/>
    <n v="0.14000000000000001"/>
    <n v="0.76"/>
    <n v="0.62"/>
    <n v="0.1"/>
    <n v="0.08"/>
    <n v="0.7"/>
    <x v="0"/>
    <s v="Medium Exposure"/>
  </r>
  <r>
    <x v="14"/>
    <x v="31"/>
    <n v="8"/>
    <x v="2"/>
    <n v="0.82"/>
    <n v="1.21"/>
    <x v="28"/>
    <x v="0"/>
    <n v="0.08"/>
    <n v="0.99"/>
    <n v="0.37"/>
    <n v="0.37"/>
    <n v="0.81"/>
    <n v="0.95"/>
    <n v="0.99"/>
    <n v="0.75"/>
    <n v="0.38"/>
    <n v="0.08"/>
    <x v="2"/>
    <s v="High Exposure"/>
  </r>
  <r>
    <x v="14"/>
    <x v="32"/>
    <n v="11"/>
    <x v="3"/>
    <n v="0.56000000000000005"/>
    <n v="0.92"/>
    <x v="17"/>
    <x v="0"/>
    <n v="0.11"/>
    <n v="0.49"/>
    <n v="0.01"/>
    <n v="0.47"/>
    <n v="0.06"/>
    <n v="0.12"/>
    <n v="0.12"/>
    <n v="0.65"/>
    <n v="0.75"/>
    <n v="0.57999999999999996"/>
    <x v="2"/>
    <s v="Medium Exposure"/>
  </r>
  <r>
    <x v="16"/>
    <x v="33"/>
    <n v="24"/>
    <x v="2"/>
    <n v="0.37"/>
    <n v="0.79"/>
    <x v="24"/>
    <x v="0"/>
    <n v="0.22"/>
    <n v="0.96"/>
    <n v="0.01"/>
    <n v="0.97"/>
    <n v="0.04"/>
    <n v="0.89"/>
    <n v="0.53"/>
    <n v="0.99"/>
    <n v="7.0000000000000007E-2"/>
    <n v="0.55000000000000004"/>
    <x v="0"/>
    <s v="Medium Exposure"/>
  </r>
  <r>
    <x v="7"/>
    <x v="34"/>
    <n v="24"/>
    <x v="1"/>
    <n v="0.52"/>
    <n v="1.1299999999999999"/>
    <x v="29"/>
    <x v="1"/>
    <n v="0.45"/>
    <n v="0.63"/>
    <n v="0.57999999999999996"/>
    <n v="0.9"/>
    <n v="0.05"/>
    <n v="0.28000000000000003"/>
    <n v="0.95"/>
    <n v="0.89"/>
    <n v="0.46"/>
    <n v="0.62"/>
    <x v="0"/>
    <s v="Medium Exposure"/>
  </r>
  <r>
    <x v="6"/>
    <x v="35"/>
    <n v="25"/>
    <x v="3"/>
    <n v="0.19"/>
    <n v="0.96"/>
    <x v="30"/>
    <x v="2"/>
    <n v="0.57999999999999996"/>
    <n v="0.08"/>
    <n v="0.97"/>
    <n v="0.99"/>
    <n v="0.7"/>
    <n v="0.54"/>
    <n v="0.31"/>
    <n v="0.81"/>
    <n v="0.68"/>
    <n v="0.16"/>
    <x v="0"/>
    <s v="Low Exposure"/>
  </r>
  <r>
    <x v="6"/>
    <x v="36"/>
    <n v="2"/>
    <x v="3"/>
    <n v="0.82"/>
    <n v="1.45"/>
    <x v="31"/>
    <x v="2"/>
    <n v="0.61"/>
    <n v="0.42"/>
    <n v="0.93"/>
    <n v="0.87"/>
    <n v="0.05"/>
    <n v="0.03"/>
    <n v="0.38"/>
    <n v="0.81"/>
    <n v="0.99"/>
    <n v="0.15"/>
    <x v="1"/>
    <s v="High Exposure"/>
  </r>
  <r>
    <x v="9"/>
    <x v="37"/>
    <n v="25"/>
    <x v="3"/>
    <n v="0.38"/>
    <n v="1.47"/>
    <x v="32"/>
    <x v="0"/>
    <n v="0.84"/>
    <n v="0.47"/>
    <n v="0.41"/>
    <n v="0.27"/>
    <n v="0.06"/>
    <n v="0.86"/>
    <n v="0.81"/>
    <n v="1"/>
    <n v="1"/>
    <n v="0.56000000000000005"/>
    <x v="0"/>
    <s v="Medium Exposure"/>
  </r>
  <r>
    <x v="17"/>
    <x v="38"/>
    <n v="20"/>
    <x v="1"/>
    <n v="0.94"/>
    <n v="1.35"/>
    <x v="10"/>
    <x v="2"/>
    <n v="0.45"/>
    <n v="0.13"/>
    <n v="0.95"/>
    <n v="0.61"/>
    <n v="0.23"/>
    <n v="0.67"/>
    <n v="0.62"/>
    <n v="0.36"/>
    <n v="0.11"/>
    <n v="0.67"/>
    <x v="0"/>
    <s v="High Exposure"/>
  </r>
  <r>
    <x v="14"/>
    <x v="39"/>
    <n v="21"/>
    <x v="3"/>
    <n v="0.77"/>
    <n v="1.02"/>
    <x v="32"/>
    <x v="0"/>
    <n v="0.55000000000000004"/>
    <n v="0.56000000000000005"/>
    <n v="0.88"/>
    <n v="0.4"/>
    <n v="0.13"/>
    <n v="0.03"/>
    <n v="0.76"/>
    <n v="0.62"/>
    <n v="0.7"/>
    <n v="0.21"/>
    <x v="0"/>
    <s v="High Exposure"/>
  </r>
  <r>
    <x v="13"/>
    <x v="40"/>
    <n v="27"/>
    <x v="1"/>
    <n v="0.98"/>
    <n v="1.1100000000000001"/>
    <x v="33"/>
    <x v="2"/>
    <n v="0.55000000000000004"/>
    <n v="0.09"/>
    <n v="0.73"/>
    <n v="0.55000000000000004"/>
    <n v="0.45"/>
    <n v="0.91"/>
    <n v="0.3"/>
    <n v="0.52"/>
    <n v="0.7"/>
    <n v="0.8"/>
    <x v="0"/>
    <s v="High Exposure"/>
  </r>
  <r>
    <x v="15"/>
    <x v="41"/>
    <n v="23"/>
    <x v="3"/>
    <n v="0.84"/>
    <n v="1.27"/>
    <x v="34"/>
    <x v="1"/>
    <n v="0.05"/>
    <n v="0.62"/>
    <n v="0.35"/>
    <n v="0.21"/>
    <n v="0.57999999999999996"/>
    <n v="0.34"/>
    <n v="0.54"/>
    <n v="0.46"/>
    <n v="0.57999999999999996"/>
    <n v="0.4"/>
    <x v="0"/>
    <s v="High Exposure"/>
  </r>
  <r>
    <x v="1"/>
    <x v="42"/>
    <n v="7"/>
    <x v="1"/>
    <n v="0.18"/>
    <n v="1.2"/>
    <x v="18"/>
    <x v="1"/>
    <n v="0.87"/>
    <n v="0.52"/>
    <n v="0.97"/>
    <n v="0.6"/>
    <n v="0.22"/>
    <n v="0.82"/>
    <n v="0.35"/>
    <n v="0.35"/>
    <n v="0.03"/>
    <n v="0.55000000000000004"/>
    <x v="2"/>
    <s v="Low Exposure"/>
  </r>
  <r>
    <x v="2"/>
    <x v="43"/>
    <n v="11"/>
    <x v="1"/>
    <n v="0.21"/>
    <n v="0.86"/>
    <x v="35"/>
    <x v="0"/>
    <n v="0.69"/>
    <n v="0.04"/>
    <n v="0.8"/>
    <n v="0.63"/>
    <n v="0.08"/>
    <n v="0.87"/>
    <n v="0.92"/>
    <n v="0.06"/>
    <n v="0.28000000000000003"/>
    <n v="0.81"/>
    <x v="2"/>
    <s v="Low Exposure"/>
  </r>
  <r>
    <x v="9"/>
    <x v="44"/>
    <n v="28"/>
    <x v="1"/>
    <n v="0.99"/>
    <n v="1.04"/>
    <x v="17"/>
    <x v="0"/>
    <n v="0.24"/>
    <n v="0.76"/>
    <n v="0.53"/>
    <n v="0.72"/>
    <n v="0.06"/>
    <n v="0.15"/>
    <n v="0.13"/>
    <n v="0.69"/>
    <n v="0.84"/>
    <n v="0.75"/>
    <x v="0"/>
    <s v="High Exposure"/>
  </r>
  <r>
    <x v="12"/>
    <x v="45"/>
    <n v="12"/>
    <x v="2"/>
    <n v="0.87"/>
    <n v="0.85"/>
    <x v="36"/>
    <x v="2"/>
    <n v="0.1"/>
    <n v="0.74"/>
    <n v="0.18"/>
    <n v="0.56000000000000005"/>
    <n v="0.84"/>
    <n v="0.09"/>
    <n v="0.54"/>
    <n v="0.23"/>
    <n v="0.34"/>
    <n v="0.47"/>
    <x v="2"/>
    <s v="High Exposure"/>
  </r>
  <r>
    <x v="2"/>
    <x v="46"/>
    <n v="2"/>
    <x v="0"/>
    <n v="0.65"/>
    <n v="0.98"/>
    <x v="0"/>
    <x v="0"/>
    <n v="0.74"/>
    <n v="0.56000000000000005"/>
    <n v="0.59"/>
    <n v="0.56000000000000005"/>
    <n v="0.38"/>
    <n v="0.34"/>
    <n v="0.9"/>
    <n v="0.61"/>
    <n v="0.24"/>
    <n v="0.5"/>
    <x v="1"/>
    <s v="Medium Exposure"/>
  </r>
  <r>
    <x v="7"/>
    <x v="47"/>
    <n v="4"/>
    <x v="2"/>
    <n v="0.93"/>
    <n v="0.51"/>
    <x v="37"/>
    <x v="1"/>
    <n v="0.37"/>
    <n v="0.49"/>
    <n v="0.85"/>
    <n v="0.09"/>
    <n v="0.81"/>
    <n v="0.06"/>
    <n v="0.84"/>
    <n v="0.05"/>
    <n v="0.02"/>
    <n v="0.7"/>
    <x v="1"/>
    <s v="High Exposure"/>
  </r>
  <r>
    <x v="10"/>
    <x v="48"/>
    <n v="5"/>
    <x v="3"/>
    <n v="0.4"/>
    <n v="1.47"/>
    <x v="38"/>
    <x v="2"/>
    <n v="0.82"/>
    <n v="0.26"/>
    <n v="0.17"/>
    <n v="0.67"/>
    <n v="0.93"/>
    <n v="0.56000000000000005"/>
    <n v="0.56999999999999995"/>
    <n v="0.28000000000000003"/>
    <n v="0.77"/>
    <n v="0.19"/>
    <x v="1"/>
    <s v="Medium Exposure"/>
  </r>
  <r>
    <x v="14"/>
    <x v="49"/>
    <n v="3"/>
    <x v="2"/>
    <n v="0.43"/>
    <n v="1.01"/>
    <x v="39"/>
    <x v="0"/>
    <n v="0.11"/>
    <n v="0.61"/>
    <n v="0.28999999999999998"/>
    <n v="0.57999999999999996"/>
    <n v="0.15"/>
    <n v="0.48"/>
    <n v="0.53"/>
    <n v="0.05"/>
    <n v="0.34"/>
    <n v="0.13"/>
    <x v="1"/>
    <s v="Medium Exposure"/>
  </r>
  <r>
    <x v="0"/>
    <x v="50"/>
    <n v="9"/>
    <x v="2"/>
    <n v="0.99"/>
    <n v="0.82"/>
    <x v="40"/>
    <x v="0"/>
    <n v="0.25"/>
    <n v="0.68"/>
    <n v="0.76"/>
    <n v="0.6"/>
    <n v="0.47"/>
    <n v="0.41"/>
    <n v="0.35"/>
    <n v="0.93"/>
    <n v="0.83"/>
    <n v="0.97"/>
    <x v="2"/>
    <s v="High Exposure"/>
  </r>
  <r>
    <x v="5"/>
    <x v="51"/>
    <n v="23"/>
    <x v="2"/>
    <n v="0.99"/>
    <n v="0.71"/>
    <x v="41"/>
    <x v="1"/>
    <n v="0.93"/>
    <n v="0.72"/>
    <n v="0.05"/>
    <n v="0.78"/>
    <n v="0.83"/>
    <n v="0.75"/>
    <n v="0.8"/>
    <n v="0.83"/>
    <n v="0.19"/>
    <n v="0.24"/>
    <x v="0"/>
    <s v="High Exposure"/>
  </r>
  <r>
    <x v="5"/>
    <x v="52"/>
    <n v="25"/>
    <x v="2"/>
    <n v="0.91"/>
    <n v="0.82"/>
    <x v="42"/>
    <x v="1"/>
    <n v="0.68"/>
    <n v="0.45"/>
    <n v="0.71"/>
    <n v="0.9"/>
    <n v="0.62"/>
    <n v="0.54"/>
    <n v="0.44"/>
    <n v="0.57999999999999996"/>
    <n v="0.36"/>
    <n v="0.39"/>
    <x v="0"/>
    <s v="High Exposure"/>
  </r>
  <r>
    <x v="10"/>
    <x v="53"/>
    <n v="13"/>
    <x v="2"/>
    <n v="7.0000000000000007E-2"/>
    <n v="0.73"/>
    <x v="43"/>
    <x v="2"/>
    <n v="0.43"/>
    <n v="0.33"/>
    <n v="0.73"/>
    <n v="0.69"/>
    <n v="0.17"/>
    <n v="0.88"/>
    <n v="0.5"/>
    <n v="0.74"/>
    <n v="0.56999999999999995"/>
    <n v="1"/>
    <x v="2"/>
    <s v="Low Exposure"/>
  </r>
  <r>
    <x v="9"/>
    <x v="54"/>
    <n v="0"/>
    <x v="2"/>
    <n v="0.71"/>
    <n v="1.28"/>
    <x v="44"/>
    <x v="0"/>
    <n v="0.2"/>
    <n v="0.71"/>
    <n v="0.49"/>
    <n v="0.75"/>
    <n v="0.1"/>
    <n v="0.54"/>
    <n v="0.38"/>
    <n v="0.46"/>
    <n v="0.6"/>
    <n v="0.5"/>
    <x v="1"/>
    <s v="High Exposure"/>
  </r>
  <r>
    <x v="12"/>
    <x v="55"/>
    <n v="4"/>
    <x v="0"/>
    <n v="0.49"/>
    <n v="0.91"/>
    <x v="45"/>
    <x v="2"/>
    <n v="0.01"/>
    <n v="0.6"/>
    <n v="0.56999999999999995"/>
    <n v="0.72"/>
    <n v="0.6"/>
    <n v="0.83"/>
    <n v="0.96"/>
    <n v="0.34"/>
    <n v="0.23"/>
    <n v="0.42"/>
    <x v="1"/>
    <s v="Medium Exposure"/>
  </r>
  <r>
    <x v="13"/>
    <x v="56"/>
    <n v="13"/>
    <x v="2"/>
    <n v="0.61"/>
    <n v="1.41"/>
    <x v="46"/>
    <x v="2"/>
    <n v="0.1"/>
    <n v="0.26"/>
    <n v="0.73"/>
    <n v="0.59"/>
    <n v="0.1"/>
    <n v="0.92"/>
    <n v="0.79"/>
    <n v="0.02"/>
    <n v="0.65"/>
    <n v="0.77"/>
    <x v="2"/>
    <s v="Medium Exposure"/>
  </r>
  <r>
    <x v="15"/>
    <x v="57"/>
    <n v="25"/>
    <x v="3"/>
    <n v="7.0000000000000007E-2"/>
    <n v="0.57999999999999996"/>
    <x v="47"/>
    <x v="1"/>
    <n v="0.84"/>
    <n v="0.91"/>
    <n v="0.12"/>
    <n v="0.24"/>
    <n v="0.17"/>
    <n v="0.19"/>
    <n v="0.84"/>
    <n v="0.33"/>
    <n v="0.31"/>
    <n v="0.23"/>
    <x v="0"/>
    <s v="Low Exposure"/>
  </r>
  <r>
    <x v="6"/>
    <x v="58"/>
    <n v="20"/>
    <x v="0"/>
    <n v="0.38"/>
    <n v="1.24"/>
    <x v="48"/>
    <x v="2"/>
    <n v="0.79"/>
    <n v="0.6"/>
    <n v="0.11"/>
    <n v="0.41"/>
    <n v="0.86"/>
    <n v="0.92"/>
    <n v="0.47"/>
    <n v="0.48"/>
    <n v="0.92"/>
    <n v="0.59"/>
    <x v="0"/>
    <s v="Medium Exposure"/>
  </r>
  <r>
    <x v="1"/>
    <x v="59"/>
    <n v="11"/>
    <x v="0"/>
    <n v="0.91"/>
    <n v="0.75"/>
    <x v="27"/>
    <x v="1"/>
    <n v="0.17"/>
    <n v="0.03"/>
    <n v="0.31"/>
    <n v="0.78"/>
    <n v="0.28000000000000003"/>
    <n v="0.22"/>
    <n v="0.21"/>
    <n v="0.52"/>
    <n v="0.98"/>
    <n v="0.46"/>
    <x v="2"/>
    <s v="High Exposure"/>
  </r>
  <r>
    <x v="4"/>
    <x v="60"/>
    <n v="21"/>
    <x v="1"/>
    <n v="0.86"/>
    <n v="1.04"/>
    <x v="49"/>
    <x v="2"/>
    <n v="0.3"/>
    <n v="0.31"/>
    <n v="0.4"/>
    <n v="0.43"/>
    <n v="0.8"/>
    <n v="0.35"/>
    <n v="0.47"/>
    <n v="0.62"/>
    <n v="0.38"/>
    <n v="0.84"/>
    <x v="0"/>
    <s v="High Exposure"/>
  </r>
  <r>
    <x v="10"/>
    <x v="61"/>
    <n v="17"/>
    <x v="0"/>
    <n v="0.28999999999999998"/>
    <n v="1.21"/>
    <x v="50"/>
    <x v="2"/>
    <n v="0.53"/>
    <n v="0.48"/>
    <n v="0.5"/>
    <n v="0.77"/>
    <n v="0.1"/>
    <n v="0.33"/>
    <n v="0.08"/>
    <n v="0.75"/>
    <n v="0.27"/>
    <n v="0.9"/>
    <x v="0"/>
    <s v="Low Exposure"/>
  </r>
  <r>
    <x v="10"/>
    <x v="62"/>
    <n v="0"/>
    <x v="2"/>
    <n v="0.03"/>
    <n v="0.66"/>
    <x v="31"/>
    <x v="2"/>
    <n v="0.66"/>
    <n v="0.03"/>
    <n v="0.22"/>
    <n v="0.23"/>
    <n v="0.67"/>
    <n v="0.02"/>
    <n v="0.1"/>
    <n v="0.8"/>
    <n v="0.18"/>
    <n v="0.65"/>
    <x v="1"/>
    <s v="Low Exposure"/>
  </r>
  <r>
    <x v="0"/>
    <x v="63"/>
    <n v="7"/>
    <x v="3"/>
    <n v="0.1"/>
    <n v="0.74"/>
    <x v="51"/>
    <x v="0"/>
    <n v="0.86"/>
    <n v="0.83"/>
    <n v="0.4"/>
    <n v="0.67"/>
    <n v="0.2"/>
    <n v="0.28999999999999998"/>
    <n v="0.9"/>
    <n v="0.01"/>
    <n v="0.09"/>
    <n v="0.21"/>
    <x v="2"/>
    <s v="Low Exposure"/>
  </r>
  <r>
    <x v="0"/>
    <x v="64"/>
    <n v="15"/>
    <x v="2"/>
    <n v="0.18"/>
    <n v="1.08"/>
    <x v="2"/>
    <x v="0"/>
    <n v="0.89"/>
    <n v="0.82"/>
    <n v="0.34"/>
    <n v="0.26"/>
    <n v="0.38"/>
    <n v="0.59"/>
    <n v="0.27"/>
    <n v="0.62"/>
    <n v="0.41"/>
    <n v="0.55000000000000004"/>
    <x v="2"/>
    <s v="Low Exposure"/>
  </r>
  <r>
    <x v="18"/>
    <x v="65"/>
    <n v="11"/>
    <x v="3"/>
    <n v="0.22"/>
    <n v="1.47"/>
    <x v="52"/>
    <x v="1"/>
    <n v="0.11"/>
    <n v="0.56999999999999995"/>
    <n v="0.99"/>
    <n v="0.47"/>
    <n v="0.18"/>
    <n v="0.48"/>
    <n v="0.51"/>
    <n v="0.74"/>
    <n v="0.7"/>
    <n v="0.4"/>
    <x v="2"/>
    <s v="Low Exposure"/>
  </r>
  <r>
    <x v="13"/>
    <x v="66"/>
    <n v="21"/>
    <x v="0"/>
    <n v="0.65"/>
    <n v="0.92"/>
    <x v="53"/>
    <x v="2"/>
    <n v="0.9"/>
    <n v="0.69"/>
    <n v="0.68"/>
    <n v="0.82"/>
    <n v="0.53"/>
    <n v="0.82"/>
    <n v="0.5"/>
    <n v="7.0000000000000007E-2"/>
    <n v="0.41"/>
    <n v="0.5"/>
    <x v="0"/>
    <s v="Medium Exposure"/>
  </r>
  <r>
    <x v="5"/>
    <x v="67"/>
    <n v="22"/>
    <x v="1"/>
    <n v="0.11"/>
    <n v="0.64"/>
    <x v="54"/>
    <x v="1"/>
    <n v="0.27"/>
    <n v="0.73"/>
    <n v="0.25"/>
    <n v="0.63"/>
    <n v="0.49"/>
    <n v="0.56999999999999995"/>
    <n v="0.84"/>
    <n v="0.4"/>
    <n v="0.77"/>
    <n v="0.42"/>
    <x v="0"/>
    <s v="Low Exposure"/>
  </r>
  <r>
    <x v="17"/>
    <x v="68"/>
    <n v="27"/>
    <x v="0"/>
    <n v="0.96"/>
    <n v="0.68"/>
    <x v="55"/>
    <x v="2"/>
    <n v="0.77"/>
    <n v="7.0000000000000007E-2"/>
    <n v="0.84"/>
    <n v="0.44"/>
    <n v="0.92"/>
    <n v="0.72"/>
    <n v="0.61"/>
    <n v="0.95"/>
    <n v="0.4"/>
    <n v="0.95"/>
    <x v="0"/>
    <s v="High Exposure"/>
  </r>
  <r>
    <x v="12"/>
    <x v="69"/>
    <n v="4"/>
    <x v="2"/>
    <n v="0.48"/>
    <n v="0.77"/>
    <x v="43"/>
    <x v="2"/>
    <n v="0.16"/>
    <n v="0.84"/>
    <n v="0.85"/>
    <n v="0.96"/>
    <n v="0.15"/>
    <n v="0.62"/>
    <n v="0.47"/>
    <n v="0.34"/>
    <n v="0.35"/>
    <n v="0.41"/>
    <x v="1"/>
    <s v="Medium Exposure"/>
  </r>
  <r>
    <x v="19"/>
    <x v="70"/>
    <n v="10"/>
    <x v="1"/>
    <n v="0.6"/>
    <n v="0.96"/>
    <x v="20"/>
    <x v="2"/>
    <n v="0.08"/>
    <n v="0"/>
    <n v="0.97"/>
    <n v="0.01"/>
    <n v="0.1"/>
    <n v="0.31"/>
    <n v="0.81"/>
    <n v="0.96"/>
    <n v="0.79"/>
    <n v="0.69"/>
    <x v="2"/>
    <s v="Medium Exposure"/>
  </r>
  <r>
    <x v="19"/>
    <x v="71"/>
    <n v="11"/>
    <x v="2"/>
    <n v="0.54"/>
    <n v="1.37"/>
    <x v="31"/>
    <x v="2"/>
    <n v="0.81"/>
    <n v="0.66"/>
    <n v="0.69"/>
    <n v="0.85"/>
    <n v="0.25"/>
    <n v="0.49"/>
    <n v="0.22"/>
    <n v="0.99"/>
    <n v="0.94"/>
    <n v="0.04"/>
    <x v="2"/>
    <s v="Medium Exposure"/>
  </r>
  <r>
    <x v="2"/>
    <x v="72"/>
    <n v="15"/>
    <x v="1"/>
    <n v="0.93"/>
    <n v="0.68"/>
    <x v="56"/>
    <x v="0"/>
    <n v="0.92"/>
    <n v="0.03"/>
    <n v="0.7"/>
    <n v="0.3"/>
    <n v="0.92"/>
    <n v="0.97"/>
    <n v="0.94"/>
    <n v="0.47"/>
    <n v="0.86"/>
    <n v="0.84"/>
    <x v="2"/>
    <s v="High Exposure"/>
  </r>
  <r>
    <x v="1"/>
    <x v="73"/>
    <n v="26"/>
    <x v="0"/>
    <n v="0.83"/>
    <n v="0.54"/>
    <x v="42"/>
    <x v="1"/>
    <n v="0.23"/>
    <n v="0.12"/>
    <n v="0.08"/>
    <n v="0.7"/>
    <n v="0.34"/>
    <n v="0.72"/>
    <n v="7.0000000000000007E-2"/>
    <n v="0.32"/>
    <n v="0.54"/>
    <n v="0.79"/>
    <x v="0"/>
    <s v="High Exposure"/>
  </r>
  <r>
    <x v="9"/>
    <x v="74"/>
    <n v="12"/>
    <x v="0"/>
    <n v="0.63"/>
    <n v="1.39"/>
    <x v="0"/>
    <x v="0"/>
    <n v="0.23"/>
    <n v="0.02"/>
    <n v="0.87"/>
    <n v="0.02"/>
    <n v="0.87"/>
    <n v="0.53"/>
    <n v="0.94"/>
    <n v="0.8"/>
    <n v="1"/>
    <n v="0.35"/>
    <x v="2"/>
    <s v="Medium Exposure"/>
  </r>
  <r>
    <x v="6"/>
    <x v="75"/>
    <n v="16"/>
    <x v="2"/>
    <n v="0.4"/>
    <n v="0.98"/>
    <x v="33"/>
    <x v="2"/>
    <n v="0.87"/>
    <n v="0.98"/>
    <n v="0.77"/>
    <n v="0.42"/>
    <n v="0.42"/>
    <n v="0.74"/>
    <n v="0.24"/>
    <n v="0.11"/>
    <n v="0.35"/>
    <n v="0.28999999999999998"/>
    <x v="0"/>
    <s v="Medium Exposure"/>
  </r>
  <r>
    <x v="12"/>
    <x v="76"/>
    <n v="17"/>
    <x v="3"/>
    <n v="0.23"/>
    <n v="0.54"/>
    <x v="57"/>
    <x v="2"/>
    <n v="0.99"/>
    <n v="0.43"/>
    <n v="0.38"/>
    <n v="0.68"/>
    <n v="0.22"/>
    <n v="0.95"/>
    <n v="0.79"/>
    <n v="0.09"/>
    <n v="0.42"/>
    <n v="0.88"/>
    <x v="0"/>
    <s v="Low Exposure"/>
  </r>
  <r>
    <x v="3"/>
    <x v="77"/>
    <n v="29"/>
    <x v="1"/>
    <n v="0.61"/>
    <n v="0.67"/>
    <x v="58"/>
    <x v="2"/>
    <n v="0.23"/>
    <n v="0.94"/>
    <n v="0.65"/>
    <n v="0.61"/>
    <n v="0.51"/>
    <n v="0.23"/>
    <n v="0.18"/>
    <n v="0.22"/>
    <n v="0.19"/>
    <n v="0.78"/>
    <x v="0"/>
    <s v="Medium Exposure"/>
  </r>
  <r>
    <x v="1"/>
    <x v="78"/>
    <n v="4"/>
    <x v="2"/>
    <n v="0.06"/>
    <n v="1.47"/>
    <x v="15"/>
    <x v="1"/>
    <n v="0.93"/>
    <n v="0.99"/>
    <n v="0.17"/>
    <n v="0.4"/>
    <n v="0.76"/>
    <n v="0.7"/>
    <n v="0.15"/>
    <n v="0.82"/>
    <n v="0.22"/>
    <n v="0.22"/>
    <x v="1"/>
    <s v="Low Exposure"/>
  </r>
  <r>
    <x v="4"/>
    <x v="79"/>
    <n v="24"/>
    <x v="3"/>
    <n v="0.59"/>
    <n v="1.08"/>
    <x v="55"/>
    <x v="2"/>
    <n v="0.88"/>
    <n v="0.27"/>
    <n v="0.13"/>
    <n v="0.89"/>
    <n v="0.96"/>
    <n v="0.86"/>
    <n v="0.81"/>
    <n v="0.66"/>
    <n v="0.55000000000000004"/>
    <n v="0.09"/>
    <x v="0"/>
    <s v="Medium Exposure"/>
  </r>
  <r>
    <x v="19"/>
    <x v="80"/>
    <n v="27"/>
    <x v="0"/>
    <n v="0.37"/>
    <n v="0.76"/>
    <x v="31"/>
    <x v="2"/>
    <n v="0.5"/>
    <n v="0.08"/>
    <n v="0.22"/>
    <n v="0.68"/>
    <n v="0.08"/>
    <n v="0.85"/>
    <n v="0.5"/>
    <n v="0.48"/>
    <n v="0.59"/>
    <n v="0.82"/>
    <x v="0"/>
    <s v="Medium Exposure"/>
  </r>
  <r>
    <x v="4"/>
    <x v="81"/>
    <n v="7"/>
    <x v="0"/>
    <n v="0.68"/>
    <n v="1.07"/>
    <x v="6"/>
    <x v="2"/>
    <n v="0.88"/>
    <n v="0.8"/>
    <n v="0.66"/>
    <n v="0.85"/>
    <n v="0.87"/>
    <n v="0.71"/>
    <n v="0.84"/>
    <n v="0.7"/>
    <n v="0.68"/>
    <n v="0.62"/>
    <x v="2"/>
    <s v="Medium Exposure"/>
  </r>
  <r>
    <x v="4"/>
    <x v="82"/>
    <n v="27"/>
    <x v="0"/>
    <n v="0.16"/>
    <n v="1.38"/>
    <x v="38"/>
    <x v="2"/>
    <n v="0.03"/>
    <n v="0.83"/>
    <n v="0.13"/>
    <n v="0.34"/>
    <n v="0.74"/>
    <n v="0.16"/>
    <n v="0.82"/>
    <n v="0.83"/>
    <n v="0.51"/>
    <n v="0.01"/>
    <x v="0"/>
    <s v="Low Exposure"/>
  </r>
  <r>
    <x v="19"/>
    <x v="83"/>
    <n v="12"/>
    <x v="3"/>
    <n v="0.62"/>
    <n v="1.48"/>
    <x v="33"/>
    <x v="2"/>
    <n v="0.26"/>
    <n v="0.63"/>
    <n v="0.54"/>
    <n v="0.78"/>
    <n v="0.11"/>
    <n v="0.76"/>
    <n v="0.54"/>
    <n v="0.96"/>
    <n v="0.34"/>
    <n v="0.63"/>
    <x v="2"/>
    <s v="Medium Exposure"/>
  </r>
  <r>
    <x v="14"/>
    <x v="84"/>
    <n v="4"/>
    <x v="0"/>
    <n v="0.1"/>
    <n v="1.44"/>
    <x v="59"/>
    <x v="0"/>
    <n v="7.0000000000000007E-2"/>
    <n v="0.3"/>
    <n v="0.71"/>
    <n v="7.0000000000000007E-2"/>
    <n v="0.57999999999999996"/>
    <n v="0.35"/>
    <n v="0.62"/>
    <n v="0.05"/>
    <n v="0.87"/>
    <n v="0.97"/>
    <x v="1"/>
    <s v="Low Exposure"/>
  </r>
  <r>
    <x v="18"/>
    <x v="85"/>
    <n v="11"/>
    <x v="2"/>
    <n v="0.75"/>
    <n v="0.63"/>
    <x v="52"/>
    <x v="1"/>
    <n v="0.02"/>
    <n v="0.02"/>
    <n v="0.32"/>
    <n v="0.49"/>
    <n v="0.77"/>
    <n v="0.68"/>
    <n v="0.45"/>
    <n v="0.27"/>
    <n v="1"/>
    <n v="0.43"/>
    <x v="2"/>
    <s v="High Exposure"/>
  </r>
  <r>
    <x v="14"/>
    <x v="86"/>
    <n v="8"/>
    <x v="1"/>
    <n v="0.16"/>
    <n v="1.29"/>
    <x v="59"/>
    <x v="0"/>
    <n v="0.22"/>
    <n v="0.08"/>
    <n v="0.68"/>
    <n v="0.65"/>
    <n v="0.27"/>
    <n v="0.95"/>
    <n v="0.15"/>
    <n v="0.43"/>
    <n v="0.94"/>
    <n v="0.42"/>
    <x v="2"/>
    <s v="Low Exposure"/>
  </r>
  <r>
    <x v="14"/>
    <x v="87"/>
    <n v="19"/>
    <x v="2"/>
    <n v="0.4"/>
    <n v="0.77"/>
    <x v="60"/>
    <x v="0"/>
    <n v="0.41"/>
    <n v="0.89"/>
    <n v="0.23"/>
    <n v="0.21"/>
    <n v="0.03"/>
    <n v="0.65"/>
    <n v="0.37"/>
    <n v="0.86"/>
    <n v="0.47"/>
    <n v="0.97"/>
    <x v="0"/>
    <s v="Medium Exposure"/>
  </r>
  <r>
    <x v="11"/>
    <x v="88"/>
    <n v="24"/>
    <x v="1"/>
    <n v="0.87"/>
    <n v="1.28"/>
    <x v="45"/>
    <x v="2"/>
    <n v="0.84"/>
    <n v="0.76"/>
    <n v="0.63"/>
    <n v="0.13"/>
    <n v="0.03"/>
    <n v="0.92"/>
    <n v="0.62"/>
    <n v="0.8"/>
    <n v="0.48"/>
    <n v="0.12"/>
    <x v="0"/>
    <s v="High Exposure"/>
  </r>
  <r>
    <x v="15"/>
    <x v="89"/>
    <n v="29"/>
    <x v="1"/>
    <n v="0.69"/>
    <n v="0.93"/>
    <x v="5"/>
    <x v="1"/>
    <n v="0.49"/>
    <n v="0.06"/>
    <n v="0.57999999999999996"/>
    <n v="0.27"/>
    <n v="0.8"/>
    <n v="0.31"/>
    <n v="0.46"/>
    <n v="0.01"/>
    <n v="7.0000000000000007E-2"/>
    <n v="0.39"/>
    <x v="0"/>
    <s v="Medium Exposure"/>
  </r>
  <r>
    <x v="19"/>
    <x v="90"/>
    <n v="14"/>
    <x v="0"/>
    <n v="0.6"/>
    <n v="0.79"/>
    <x v="14"/>
    <x v="2"/>
    <n v="0.86"/>
    <n v="0.78"/>
    <n v="0.04"/>
    <n v="0.48"/>
    <n v="0.1"/>
    <n v="0.24"/>
    <n v="0.99"/>
    <n v="0.14000000000000001"/>
    <n v="0.5"/>
    <n v="0.62"/>
    <x v="2"/>
    <s v="Medium Exposure"/>
  </r>
  <r>
    <x v="5"/>
    <x v="91"/>
    <n v="0"/>
    <x v="0"/>
    <n v="0.56000000000000005"/>
    <n v="0.51"/>
    <x v="61"/>
    <x v="1"/>
    <n v="0.52"/>
    <n v="0.09"/>
    <n v="0.35"/>
    <n v="0.03"/>
    <n v="0.08"/>
    <n v="0.4"/>
    <n v="0.13"/>
    <n v="0.56999999999999995"/>
    <n v="0.69"/>
    <n v="0.8"/>
    <x v="1"/>
    <s v="Medium Exposure"/>
  </r>
  <r>
    <x v="13"/>
    <x v="92"/>
    <n v="9"/>
    <x v="2"/>
    <n v="0.17"/>
    <n v="0.6"/>
    <x v="33"/>
    <x v="2"/>
    <n v="0.71"/>
    <n v="0.03"/>
    <n v="0.94"/>
    <n v="0.05"/>
    <n v="0.54"/>
    <n v="0.71"/>
    <n v="0.87"/>
    <n v="0.71"/>
    <n v="0.8"/>
    <n v="0.34"/>
    <x v="2"/>
    <s v="Low Exposure"/>
  </r>
  <r>
    <x v="2"/>
    <x v="93"/>
    <n v="6"/>
    <x v="0"/>
    <n v="0.66"/>
    <n v="1.05"/>
    <x v="0"/>
    <x v="0"/>
    <n v="0.78"/>
    <n v="0.48"/>
    <n v="0.04"/>
    <n v="0.16"/>
    <n v="0.44"/>
    <n v="0.72"/>
    <n v="0.59"/>
    <n v="0.65"/>
    <n v="0.48"/>
    <n v="0.62"/>
    <x v="2"/>
    <s v="Medium Exposure"/>
  </r>
  <r>
    <x v="19"/>
    <x v="94"/>
    <n v="22"/>
    <x v="0"/>
    <n v="0.47"/>
    <n v="1.24"/>
    <x v="38"/>
    <x v="2"/>
    <n v="0.43"/>
    <n v="0.04"/>
    <n v="0.16"/>
    <n v="0.02"/>
    <n v="0.65"/>
    <n v="0.33"/>
    <n v="0.54"/>
    <n v="0.49"/>
    <n v="0.08"/>
    <n v="0.4"/>
    <x v="0"/>
    <s v="Medium Exposure"/>
  </r>
  <r>
    <x v="8"/>
    <x v="95"/>
    <n v="28"/>
    <x v="3"/>
    <n v="0.42"/>
    <n v="0.7"/>
    <x v="4"/>
    <x v="2"/>
    <n v="0.17"/>
    <n v="0.96"/>
    <n v="0.42"/>
    <n v="0.85"/>
    <n v="0.63"/>
    <n v="0.74"/>
    <n v="0.77"/>
    <n v="0.5"/>
    <n v="0.54"/>
    <n v="0.51"/>
    <x v="0"/>
    <s v="Medium Exposure"/>
  </r>
  <r>
    <x v="16"/>
    <x v="96"/>
    <n v="3"/>
    <x v="1"/>
    <n v="0.03"/>
    <n v="0.9"/>
    <x v="0"/>
    <x v="0"/>
    <n v="0.6"/>
    <n v="0.79"/>
    <n v="0.66"/>
    <n v="0.99"/>
    <n v="0.28000000000000003"/>
    <n v="0.36"/>
    <n v="0.38"/>
    <n v="0.47"/>
    <n v="0.84"/>
    <n v="0.24"/>
    <x v="1"/>
    <s v="Low Exposure"/>
  </r>
  <r>
    <x v="10"/>
    <x v="97"/>
    <n v="3"/>
    <x v="2"/>
    <n v="0.91"/>
    <n v="0.68"/>
    <x v="10"/>
    <x v="2"/>
    <n v="0.97"/>
    <n v="0.18"/>
    <n v="0.85"/>
    <n v="0.49"/>
    <n v="0.25"/>
    <n v="0.87"/>
    <n v="0.45"/>
    <n v="0.51"/>
    <n v="0.36"/>
    <n v="0.59"/>
    <x v="1"/>
    <s v="High Exposure"/>
  </r>
  <r>
    <x v="17"/>
    <x v="98"/>
    <n v="16"/>
    <x v="0"/>
    <n v="0.39"/>
    <n v="1.47"/>
    <x v="10"/>
    <x v="2"/>
    <n v="0.66"/>
    <n v="0.33"/>
    <n v="0.77"/>
    <n v="0.13"/>
    <n v="0.97"/>
    <n v="0.45"/>
    <n v="0.24"/>
    <n v="7.0000000000000007E-2"/>
    <n v="0.17"/>
    <n v="0.52"/>
    <x v="0"/>
    <s v="Medium Exposure"/>
  </r>
  <r>
    <x v="8"/>
    <x v="99"/>
    <n v="29"/>
    <x v="2"/>
    <n v="0.15"/>
    <n v="0.95"/>
    <x v="22"/>
    <x v="2"/>
    <n v="0.95"/>
    <n v="0.25"/>
    <n v="0.36"/>
    <n v="0.38"/>
    <n v="0.61"/>
    <n v="0.36"/>
    <n v="0.53"/>
    <n v="0.78"/>
    <n v="0.71"/>
    <n v="0.45"/>
    <x v="0"/>
    <s v="Low Exposure"/>
  </r>
  <r>
    <x v="8"/>
    <x v="100"/>
    <n v="14"/>
    <x v="2"/>
    <n v="0.56000000000000005"/>
    <n v="1.04"/>
    <x v="57"/>
    <x v="2"/>
    <n v="0.99"/>
    <n v="0.12"/>
    <n v="0.23"/>
    <n v="0.05"/>
    <n v="0.64"/>
    <n v="0.22"/>
    <n v="0.18"/>
    <n v="0.09"/>
    <n v="0.1"/>
    <n v="0.57999999999999996"/>
    <x v="2"/>
    <s v="Medium Exposure"/>
  </r>
  <r>
    <x v="5"/>
    <x v="101"/>
    <n v="9"/>
    <x v="2"/>
    <n v="0.4"/>
    <n v="0.98"/>
    <x v="29"/>
    <x v="1"/>
    <n v="0.02"/>
    <n v="0.32"/>
    <n v="0.97"/>
    <n v="0.57999999999999996"/>
    <n v="0.25"/>
    <n v="0.52"/>
    <n v="0.34"/>
    <n v="0.53"/>
    <n v="0.13"/>
    <n v="0.13"/>
    <x v="2"/>
    <s v="Medium Exposure"/>
  </r>
  <r>
    <x v="16"/>
    <x v="102"/>
    <n v="15"/>
    <x v="3"/>
    <n v="0.94"/>
    <n v="1.23"/>
    <x v="44"/>
    <x v="0"/>
    <n v="0.19"/>
    <n v="0.73"/>
    <n v="0.16"/>
    <n v="0.23"/>
    <n v="0.96"/>
    <n v="0.26"/>
    <n v="0.66"/>
    <n v="0.98"/>
    <n v="0.37"/>
    <n v="0.02"/>
    <x v="2"/>
    <s v="High Exposure"/>
  </r>
  <r>
    <x v="1"/>
    <x v="103"/>
    <n v="16"/>
    <x v="3"/>
    <n v="0.83"/>
    <n v="1.36"/>
    <x v="52"/>
    <x v="1"/>
    <n v="0.11"/>
    <n v="0.8"/>
    <n v="0.92"/>
    <n v="0.6"/>
    <n v="0.94"/>
    <n v="0.83"/>
    <n v="0.67"/>
    <n v="0.57999999999999996"/>
    <n v="0.35"/>
    <n v="0.16"/>
    <x v="0"/>
    <s v="High Exposure"/>
  </r>
  <r>
    <x v="11"/>
    <x v="104"/>
    <n v="5"/>
    <x v="3"/>
    <n v="0.32"/>
    <n v="1.37"/>
    <x v="58"/>
    <x v="2"/>
    <n v="0.75"/>
    <n v="0.09"/>
    <n v="0.28999999999999998"/>
    <n v="0.11"/>
    <n v="0.65"/>
    <n v="0.77"/>
    <n v="0.93"/>
    <n v="0.44"/>
    <n v="0.9"/>
    <n v="0.88"/>
    <x v="1"/>
    <s v="Medium Exposure"/>
  </r>
  <r>
    <x v="9"/>
    <x v="105"/>
    <n v="18"/>
    <x v="3"/>
    <n v="0.87"/>
    <n v="0.88"/>
    <x v="62"/>
    <x v="0"/>
    <n v="0.65"/>
    <n v="0.33"/>
    <n v="0.63"/>
    <n v="0.61"/>
    <n v="0.56000000000000005"/>
    <n v="0.38"/>
    <n v="0.55000000000000004"/>
    <n v="0.6"/>
    <n v="0.55000000000000004"/>
    <n v="0.44"/>
    <x v="0"/>
    <s v="High Exposure"/>
  </r>
  <r>
    <x v="6"/>
    <x v="106"/>
    <n v="25"/>
    <x v="2"/>
    <n v="0.59"/>
    <n v="0.67"/>
    <x v="23"/>
    <x v="2"/>
    <n v="0.76"/>
    <n v="0.5"/>
    <n v="0.54"/>
    <n v="0.95"/>
    <n v="0.85"/>
    <n v="0.91"/>
    <n v="0.81"/>
    <n v="0.11"/>
    <n v="0.15"/>
    <n v="0.53"/>
    <x v="0"/>
    <s v="Medium Exposure"/>
  </r>
  <r>
    <x v="16"/>
    <x v="107"/>
    <n v="11"/>
    <x v="1"/>
    <n v="0.48"/>
    <n v="0.89"/>
    <x v="56"/>
    <x v="0"/>
    <n v="0.75"/>
    <n v="0.72"/>
    <n v="0.52"/>
    <n v="0.82"/>
    <n v="0.43"/>
    <n v="0.9"/>
    <n v="7.0000000000000007E-2"/>
    <n v="0.95"/>
    <n v="0.65"/>
    <n v="0.38"/>
    <x v="2"/>
    <s v="Medium Exposure"/>
  </r>
  <r>
    <x v="15"/>
    <x v="108"/>
    <n v="20"/>
    <x v="3"/>
    <n v="0.48"/>
    <n v="0.69"/>
    <x v="63"/>
    <x v="1"/>
    <n v="0.62"/>
    <n v="0.52"/>
    <n v="0.67"/>
    <n v="0.93"/>
    <n v="0.53"/>
    <n v="0.57999999999999996"/>
    <n v="0.09"/>
    <n v="0.72"/>
    <n v="0.4"/>
    <n v="0.98"/>
    <x v="0"/>
    <s v="Medium Exposure"/>
  </r>
  <r>
    <x v="8"/>
    <x v="109"/>
    <n v="24"/>
    <x v="2"/>
    <n v="0.52"/>
    <n v="0.62"/>
    <x v="4"/>
    <x v="2"/>
    <n v="0.8"/>
    <n v="0.18"/>
    <n v="0.3"/>
    <n v="0.79"/>
    <n v="0.19"/>
    <n v="0.92"/>
    <n v="0.42"/>
    <n v="0.09"/>
    <n v="0.82"/>
    <n v="0.37"/>
    <x v="0"/>
    <s v="Medium Exposure"/>
  </r>
  <r>
    <x v="10"/>
    <x v="110"/>
    <n v="9"/>
    <x v="2"/>
    <n v="0.11"/>
    <n v="0.5"/>
    <x v="23"/>
    <x v="2"/>
    <n v="0.52"/>
    <n v="0.59"/>
    <n v="0.79"/>
    <n v="0.65"/>
    <n v="0.17"/>
    <n v="0.36"/>
    <n v="0.91"/>
    <n v="0.77"/>
    <n v="0.56000000000000005"/>
    <n v="0.26"/>
    <x v="2"/>
    <s v="Low Exposure"/>
  </r>
  <r>
    <x v="12"/>
    <x v="111"/>
    <n v="23"/>
    <x v="0"/>
    <n v="0.82"/>
    <n v="0.92"/>
    <x v="64"/>
    <x v="2"/>
    <n v="0.1"/>
    <n v="0.62"/>
    <n v="0.45"/>
    <n v="0.59"/>
    <n v="0.17"/>
    <n v="0.74"/>
    <n v="0.86"/>
    <n v="0.22"/>
    <n v="0.1"/>
    <n v="0.02"/>
    <x v="0"/>
    <s v="High Exposure"/>
  </r>
  <r>
    <x v="19"/>
    <x v="112"/>
    <n v="2"/>
    <x v="1"/>
    <n v="0.61"/>
    <n v="1.05"/>
    <x v="65"/>
    <x v="2"/>
    <n v="0.39"/>
    <n v="0.59"/>
    <n v="0.5"/>
    <n v="0.99"/>
    <n v="0.14000000000000001"/>
    <n v="0.7"/>
    <n v="0.4"/>
    <n v="0.43"/>
    <n v="0.72"/>
    <n v="0.69"/>
    <x v="1"/>
    <s v="Medium Exposure"/>
  </r>
  <r>
    <x v="12"/>
    <x v="113"/>
    <n v="23"/>
    <x v="3"/>
    <n v="0.13"/>
    <n v="0.6"/>
    <x v="31"/>
    <x v="2"/>
    <n v="0.57999999999999996"/>
    <n v="0.27"/>
    <n v="0.08"/>
    <n v="0.09"/>
    <n v="0.89"/>
    <n v="0.19"/>
    <n v="0.32"/>
    <n v="0.23"/>
    <n v="0.35"/>
    <n v="7.0000000000000007E-2"/>
    <x v="0"/>
    <s v="Low Exposure"/>
  </r>
  <r>
    <x v="15"/>
    <x v="114"/>
    <n v="27"/>
    <x v="2"/>
    <n v="7.0000000000000007E-2"/>
    <n v="1.3"/>
    <x v="37"/>
    <x v="1"/>
    <n v="0.54"/>
    <n v="0.88"/>
    <n v="0.65"/>
    <n v="0.53"/>
    <n v="0.32"/>
    <n v="0.33"/>
    <n v="0.67"/>
    <n v="0.99"/>
    <n v="0.66"/>
    <n v="0.56000000000000005"/>
    <x v="0"/>
    <s v="Low Exposure"/>
  </r>
  <r>
    <x v="16"/>
    <x v="115"/>
    <n v="29"/>
    <x v="1"/>
    <n v="0.33"/>
    <n v="1.08"/>
    <x v="28"/>
    <x v="0"/>
    <n v="0.96"/>
    <n v="0.63"/>
    <n v="0.75"/>
    <n v="0.17"/>
    <n v="0.41"/>
    <n v="0.42"/>
    <n v="0.82"/>
    <n v="0"/>
    <n v="0.3"/>
    <n v="0.98"/>
    <x v="0"/>
    <s v="Medium Exposure"/>
  </r>
  <r>
    <x v="6"/>
    <x v="116"/>
    <n v="15"/>
    <x v="1"/>
    <n v="0.38"/>
    <n v="0.62"/>
    <x v="66"/>
    <x v="2"/>
    <n v="0.02"/>
    <n v="0.74"/>
    <n v="0.77"/>
    <n v="0.24"/>
    <n v="0.67"/>
    <n v="0.09"/>
    <n v="0.26"/>
    <n v="0.79"/>
    <n v="0.86"/>
    <n v="0.61"/>
    <x v="2"/>
    <s v="Medium Exposure"/>
  </r>
  <r>
    <x v="14"/>
    <x v="117"/>
    <n v="5"/>
    <x v="3"/>
    <n v="0.16"/>
    <n v="0.56000000000000005"/>
    <x v="67"/>
    <x v="0"/>
    <n v="0.23"/>
    <n v="0.34"/>
    <n v="0.38"/>
    <n v="0.35"/>
    <n v="0.24"/>
    <n v="0.51"/>
    <n v="0.83"/>
    <n v="0.28000000000000003"/>
    <n v="0.94"/>
    <n v="0.87"/>
    <x v="1"/>
    <s v="Low Exposure"/>
  </r>
  <r>
    <x v="8"/>
    <x v="118"/>
    <n v="2"/>
    <x v="1"/>
    <n v="0.79"/>
    <n v="1.07"/>
    <x v="68"/>
    <x v="2"/>
    <n v="0.39"/>
    <n v="0.5"/>
    <n v="0.4"/>
    <n v="0.54"/>
    <n v="0.63"/>
    <n v="0.67"/>
    <n v="0.53"/>
    <n v="0.72"/>
    <n v="0.14000000000000001"/>
    <n v="0.21"/>
    <x v="1"/>
    <s v="High Exposure"/>
  </r>
  <r>
    <x v="3"/>
    <x v="119"/>
    <n v="8"/>
    <x v="2"/>
    <n v="0.32"/>
    <n v="0.52"/>
    <x v="46"/>
    <x v="2"/>
    <n v="0.22"/>
    <n v="0.96"/>
    <n v="0.56999999999999995"/>
    <n v="0.93"/>
    <n v="0.57999999999999996"/>
    <n v="0.48"/>
    <n v="0.31"/>
    <n v="0.61"/>
    <n v="0.14000000000000001"/>
    <n v="0.9"/>
    <x v="2"/>
    <s v="Medium Exposure"/>
  </r>
  <r>
    <x v="8"/>
    <x v="120"/>
    <n v="28"/>
    <x v="2"/>
    <n v="0.32"/>
    <n v="1.45"/>
    <x v="12"/>
    <x v="2"/>
    <n v="0.67"/>
    <n v="0.12"/>
    <n v="0.48"/>
    <n v="0.51"/>
    <n v="0.23"/>
    <n v="0.08"/>
    <n v="0.78"/>
    <n v="0.12"/>
    <n v="0.59"/>
    <n v="0.94"/>
    <x v="0"/>
    <s v="Medium Exposure"/>
  </r>
  <r>
    <x v="1"/>
    <x v="121"/>
    <n v="17"/>
    <x v="1"/>
    <n v="0.28000000000000003"/>
    <n v="1.35"/>
    <x v="1"/>
    <x v="1"/>
    <n v="0.02"/>
    <n v="0.6"/>
    <n v="0.36"/>
    <n v="0.39"/>
    <n v="0.56000000000000005"/>
    <n v="0.19"/>
    <n v="0.21"/>
    <n v="0.48"/>
    <n v="0.75"/>
    <n v="0.62"/>
    <x v="0"/>
    <s v="Low Exposure"/>
  </r>
  <r>
    <x v="15"/>
    <x v="122"/>
    <n v="8"/>
    <x v="1"/>
    <n v="0.43"/>
    <n v="0.67"/>
    <x v="34"/>
    <x v="1"/>
    <n v="0.78"/>
    <n v="0.27"/>
    <n v="0.18"/>
    <n v="0.69"/>
    <n v="0.62"/>
    <n v="0.63"/>
    <n v="0.23"/>
    <n v="0.23"/>
    <n v="0.22"/>
    <n v="0.17"/>
    <x v="2"/>
    <s v="Medium Exposure"/>
  </r>
  <r>
    <x v="17"/>
    <x v="123"/>
    <n v="27"/>
    <x v="2"/>
    <n v="0.85"/>
    <n v="1.22"/>
    <x v="69"/>
    <x v="2"/>
    <n v="0.4"/>
    <n v="0.65"/>
    <n v="0.35"/>
    <n v="0.53"/>
    <n v="0.48"/>
    <n v="0.18"/>
    <n v="0.39"/>
    <n v="0.96"/>
    <n v="0.25"/>
    <n v="0.13"/>
    <x v="0"/>
    <s v="High Exposure"/>
  </r>
  <r>
    <x v="4"/>
    <x v="124"/>
    <n v="21"/>
    <x v="3"/>
    <n v="0.79"/>
    <n v="1.08"/>
    <x v="64"/>
    <x v="2"/>
    <n v="0.19"/>
    <n v="0.62"/>
    <n v="0.32"/>
    <n v="0.83"/>
    <n v="0.63"/>
    <n v="0.2"/>
    <n v="0.06"/>
    <n v="0.04"/>
    <n v="0.37"/>
    <n v="0.27"/>
    <x v="0"/>
    <s v="High Exposure"/>
  </r>
  <r>
    <x v="1"/>
    <x v="125"/>
    <n v="20"/>
    <x v="1"/>
    <n v="0.84"/>
    <n v="0.6"/>
    <x v="7"/>
    <x v="1"/>
    <n v="0.15"/>
    <n v="0.32"/>
    <n v="0.74"/>
    <n v="0.48"/>
    <n v="0.38"/>
    <n v="0.39"/>
    <n v="0.46"/>
    <n v="0.79"/>
    <n v="0.89"/>
    <n v="0.96"/>
    <x v="0"/>
    <s v="High Exposure"/>
  </r>
  <r>
    <x v="8"/>
    <x v="126"/>
    <n v="23"/>
    <x v="0"/>
    <n v="0.32"/>
    <n v="1.19"/>
    <x v="8"/>
    <x v="2"/>
    <n v="0.25"/>
    <n v="0.84"/>
    <n v="0.04"/>
    <n v="0.9"/>
    <n v="0.46"/>
    <n v="0.64"/>
    <n v="0.66"/>
    <n v="0.9"/>
    <n v="0.64"/>
    <n v="0.61"/>
    <x v="0"/>
    <s v="Medium Exposure"/>
  </r>
  <r>
    <x v="18"/>
    <x v="127"/>
    <n v="22"/>
    <x v="2"/>
    <n v="0.52"/>
    <n v="0.65"/>
    <x v="70"/>
    <x v="1"/>
    <n v="0.51"/>
    <n v="0.68"/>
    <n v="0.04"/>
    <n v="0.08"/>
    <n v="0.72"/>
    <n v="7.0000000000000007E-2"/>
    <n v="7.0000000000000007E-2"/>
    <n v="0.01"/>
    <n v="0.96"/>
    <n v="0.74"/>
    <x v="0"/>
    <s v="Medium Exposure"/>
  </r>
  <r>
    <x v="13"/>
    <x v="128"/>
    <n v="13"/>
    <x v="3"/>
    <n v="0.99"/>
    <n v="1.47"/>
    <x v="26"/>
    <x v="2"/>
    <n v="0.78"/>
    <n v="0.35"/>
    <n v="0.41"/>
    <n v="0.55000000000000004"/>
    <n v="0.83"/>
    <n v="7.0000000000000007E-2"/>
    <n v="0.42"/>
    <n v="0.08"/>
    <n v="0.51"/>
    <n v="0.9"/>
    <x v="2"/>
    <s v="High Exposure"/>
  </r>
  <r>
    <x v="12"/>
    <x v="129"/>
    <n v="7"/>
    <x v="0"/>
    <n v="0.62"/>
    <n v="0.88"/>
    <x v="48"/>
    <x v="2"/>
    <n v="0.12"/>
    <n v="0.62"/>
    <n v="0.77"/>
    <n v="0.64"/>
    <n v="0.53"/>
    <n v="0.04"/>
    <n v="0.97"/>
    <n v="0.8"/>
    <n v="0.28999999999999998"/>
    <n v="0.98"/>
    <x v="2"/>
    <s v="Medium Exposure"/>
  </r>
  <r>
    <x v="0"/>
    <x v="130"/>
    <n v="12"/>
    <x v="1"/>
    <n v="0.57999999999999996"/>
    <n v="1.25"/>
    <x v="40"/>
    <x v="0"/>
    <n v="0.66"/>
    <n v="0.13"/>
    <n v="0.34"/>
    <n v="0.93"/>
    <n v="0.22"/>
    <n v="0.37"/>
    <n v="0.43"/>
    <n v="0.44"/>
    <n v="0.61"/>
    <n v="0.94"/>
    <x v="2"/>
    <s v="Medium Exposure"/>
  </r>
  <r>
    <x v="6"/>
    <x v="131"/>
    <n v="19"/>
    <x v="2"/>
    <n v="0.12"/>
    <n v="0.7"/>
    <x v="38"/>
    <x v="2"/>
    <n v="0.65"/>
    <n v="0.28999999999999998"/>
    <n v="0.82"/>
    <n v="0.86"/>
    <n v="0.85"/>
    <n v="0.92"/>
    <n v="0.25"/>
    <n v="0.76"/>
    <n v="0.46"/>
    <n v="0.84"/>
    <x v="0"/>
    <s v="Low Exposure"/>
  </r>
  <r>
    <x v="7"/>
    <x v="132"/>
    <n v="13"/>
    <x v="0"/>
    <n v="0.78"/>
    <n v="1.1599999999999999"/>
    <x v="63"/>
    <x v="1"/>
    <n v="0.55000000000000004"/>
    <n v="0.98"/>
    <n v="0.94"/>
    <n v="0.04"/>
    <n v="0.16"/>
    <n v="0.13"/>
    <n v="0.73"/>
    <n v="0.82"/>
    <n v="0.21"/>
    <n v="0.51"/>
    <x v="2"/>
    <s v="High Exposure"/>
  </r>
  <r>
    <x v="4"/>
    <x v="133"/>
    <n v="11"/>
    <x v="3"/>
    <n v="0.73"/>
    <n v="1.04"/>
    <x v="22"/>
    <x v="2"/>
    <n v="0.51"/>
    <n v="0.3"/>
    <n v="0.56999999999999995"/>
    <n v="0.69"/>
    <n v="0.87"/>
    <n v="0.64"/>
    <n v="0.76"/>
    <n v="0.16"/>
    <n v="0.46"/>
    <n v="0.01"/>
    <x v="2"/>
    <s v="High Exposure"/>
  </r>
  <r>
    <x v="19"/>
    <x v="134"/>
    <n v="11"/>
    <x v="3"/>
    <n v="0.73"/>
    <n v="1.49"/>
    <x v="55"/>
    <x v="2"/>
    <n v="0.4"/>
    <n v="0.8"/>
    <n v="0.2"/>
    <n v="0.56000000000000005"/>
    <n v="0.73"/>
    <n v="0.62"/>
    <n v="0.19"/>
    <n v="0.36"/>
    <n v="0.78"/>
    <n v="0.55000000000000004"/>
    <x v="2"/>
    <s v="High Exposure"/>
  </r>
  <r>
    <x v="1"/>
    <x v="135"/>
    <n v="9"/>
    <x v="3"/>
    <n v="0.76"/>
    <n v="0.54"/>
    <x v="52"/>
    <x v="1"/>
    <n v="0.2"/>
    <n v="0.96"/>
    <n v="0.37"/>
    <n v="0.33"/>
    <n v="0.15"/>
    <n v="0.31"/>
    <n v="0.88"/>
    <n v="1"/>
    <n v="0.37"/>
    <n v="0.45"/>
    <x v="2"/>
    <s v="High Exposure"/>
  </r>
  <r>
    <x v="13"/>
    <x v="136"/>
    <n v="9"/>
    <x v="2"/>
    <n v="0.89"/>
    <n v="1.0900000000000001"/>
    <x v="36"/>
    <x v="2"/>
    <n v="0.41"/>
    <n v="0.7"/>
    <n v="0"/>
    <n v="0.62"/>
    <n v="0.36"/>
    <n v="0.79"/>
    <n v="0.09"/>
    <n v="0.59"/>
    <n v="0.48"/>
    <n v="0.64"/>
    <x v="2"/>
    <s v="High Exposure"/>
  </r>
  <r>
    <x v="1"/>
    <x v="137"/>
    <n v="4"/>
    <x v="2"/>
    <n v="0.57999999999999996"/>
    <n v="1.06"/>
    <x v="27"/>
    <x v="1"/>
    <n v="0.6"/>
    <n v="0.68"/>
    <n v="0.8"/>
    <n v="0.27"/>
    <n v="0.83"/>
    <n v="0.5"/>
    <n v="0.08"/>
    <n v="0.06"/>
    <n v="0.33"/>
    <n v="0.78"/>
    <x v="1"/>
    <s v="Medium Exposure"/>
  </r>
  <r>
    <x v="11"/>
    <x v="138"/>
    <n v="20"/>
    <x v="1"/>
    <n v="0.79"/>
    <n v="1.02"/>
    <x v="8"/>
    <x v="2"/>
    <n v="0.15"/>
    <n v="0.33"/>
    <n v="0.43"/>
    <n v="0.09"/>
    <n v="0.22"/>
    <n v="0.6"/>
    <n v="0.74"/>
    <n v="1"/>
    <n v="0.93"/>
    <n v="0.64"/>
    <x v="0"/>
    <s v="High Exposure"/>
  </r>
  <r>
    <x v="2"/>
    <x v="139"/>
    <n v="5"/>
    <x v="0"/>
    <n v="0.64"/>
    <n v="1.29"/>
    <x v="67"/>
    <x v="0"/>
    <n v="0.41"/>
    <n v="0.84"/>
    <n v="0.38"/>
    <n v="0.56999999999999995"/>
    <n v="0.59"/>
    <n v="0.18"/>
    <n v="0.36"/>
    <n v="0.33"/>
    <n v="0.03"/>
    <n v="0.02"/>
    <x v="1"/>
    <s v="Medium Exposure"/>
  </r>
  <r>
    <x v="17"/>
    <x v="140"/>
    <n v="21"/>
    <x v="3"/>
    <n v="0.27"/>
    <n v="1.02"/>
    <x v="71"/>
    <x v="2"/>
    <n v="0.94"/>
    <n v="0.26"/>
    <n v="0.43"/>
    <n v="0.87"/>
    <n v="0.84"/>
    <n v="0.19"/>
    <n v="0.8"/>
    <n v="0.46"/>
    <n v="0.48"/>
    <n v="0.13"/>
    <x v="0"/>
    <s v="Low Exposure"/>
  </r>
  <r>
    <x v="12"/>
    <x v="141"/>
    <n v="29"/>
    <x v="0"/>
    <n v="0.73"/>
    <n v="1"/>
    <x v="25"/>
    <x v="2"/>
    <n v="0.73"/>
    <n v="0.77"/>
    <n v="0.16"/>
    <n v="0.61"/>
    <n v="0.14000000000000001"/>
    <n v="0.75"/>
    <n v="0.66"/>
    <n v="0.96"/>
    <n v="7.0000000000000007E-2"/>
    <n v="0.06"/>
    <x v="0"/>
    <s v="High Exposure"/>
  </r>
  <r>
    <x v="11"/>
    <x v="142"/>
    <n v="21"/>
    <x v="2"/>
    <n v="0.26"/>
    <n v="0.75"/>
    <x v="72"/>
    <x v="2"/>
    <n v="0.25"/>
    <n v="0.27"/>
    <n v="0.76"/>
    <n v="0.45"/>
    <n v="0.78"/>
    <n v="7.0000000000000007E-2"/>
    <n v="0.49"/>
    <n v="0.03"/>
    <n v="0.06"/>
    <n v="0.91"/>
    <x v="0"/>
    <s v="Low Exposure"/>
  </r>
  <r>
    <x v="13"/>
    <x v="143"/>
    <n v="20"/>
    <x v="0"/>
    <n v="0.53"/>
    <n v="0.91"/>
    <x v="30"/>
    <x v="2"/>
    <n v="0.9"/>
    <n v="0.02"/>
    <n v="0.66"/>
    <n v="0.96"/>
    <n v="0.56000000000000005"/>
    <n v="0.94"/>
    <n v="0.05"/>
    <n v="0.42"/>
    <n v="0.26"/>
    <n v="0.73"/>
    <x v="0"/>
    <s v="Medium Exposure"/>
  </r>
  <r>
    <x v="17"/>
    <x v="144"/>
    <n v="20"/>
    <x v="0"/>
    <n v="0.26"/>
    <n v="1.1499999999999999"/>
    <x v="48"/>
    <x v="2"/>
    <n v="0.56999999999999995"/>
    <n v="0.46"/>
    <n v="0.97"/>
    <n v="0.61"/>
    <n v="0.35"/>
    <n v="0.11"/>
    <n v="0.15"/>
    <n v="0.23"/>
    <n v="0.25"/>
    <n v="0.85"/>
    <x v="0"/>
    <s v="Low Exposure"/>
  </r>
  <r>
    <x v="15"/>
    <x v="145"/>
    <n v="0"/>
    <x v="0"/>
    <n v="0.52"/>
    <n v="0.61"/>
    <x v="15"/>
    <x v="1"/>
    <n v="0.72"/>
    <n v="7.0000000000000007E-2"/>
    <n v="0.71"/>
    <n v="0.54"/>
    <n v="0.08"/>
    <n v="0.46"/>
    <n v="0.48"/>
    <n v="0.17"/>
    <n v="0.95"/>
    <n v="0.85"/>
    <x v="1"/>
    <s v="Medium Exposure"/>
  </r>
  <r>
    <x v="18"/>
    <x v="146"/>
    <n v="9"/>
    <x v="0"/>
    <n v="0.46"/>
    <n v="0.91"/>
    <x v="13"/>
    <x v="1"/>
    <n v="0.55000000000000004"/>
    <n v="0.06"/>
    <n v="0.51"/>
    <n v="0.81"/>
    <n v="0.46"/>
    <n v="0.05"/>
    <n v="0.79"/>
    <n v="0.2"/>
    <n v="0.26"/>
    <n v="0.16"/>
    <x v="2"/>
    <s v="Medium Exposure"/>
  </r>
  <r>
    <x v="9"/>
    <x v="147"/>
    <n v="3"/>
    <x v="1"/>
    <n v="0.76"/>
    <n v="1.02"/>
    <x v="73"/>
    <x v="0"/>
    <n v="0.88"/>
    <n v="0.88"/>
    <n v="0.87"/>
    <n v="0.24"/>
    <n v="0.45"/>
    <n v="0.98"/>
    <n v="0.77"/>
    <n v="0.03"/>
    <n v="7.0000000000000007E-2"/>
    <n v="0.46"/>
    <x v="1"/>
    <s v="High Exposure"/>
  </r>
  <r>
    <x v="4"/>
    <x v="148"/>
    <n v="11"/>
    <x v="2"/>
    <n v="0.54"/>
    <n v="1"/>
    <x v="55"/>
    <x v="2"/>
    <n v="0.66"/>
    <n v="0.82"/>
    <n v="0.38"/>
    <n v="0.78"/>
    <n v="0.96"/>
    <n v="0.2"/>
    <n v="0.52"/>
    <n v="0.28999999999999998"/>
    <n v="0.79"/>
    <n v="0.57999999999999996"/>
    <x v="2"/>
    <s v="Medium Exposure"/>
  </r>
  <r>
    <x v="2"/>
    <x v="149"/>
    <n v="22"/>
    <x v="2"/>
    <n v="0.64"/>
    <n v="0.7"/>
    <x v="24"/>
    <x v="0"/>
    <n v="0.52"/>
    <n v="0.45"/>
    <n v="0.56000000000000005"/>
    <n v="0.17"/>
    <n v="0.61"/>
    <n v="0.36"/>
    <n v="0.9"/>
    <n v="0.17"/>
    <n v="0.51"/>
    <n v="0.6"/>
    <x v="0"/>
    <s v="Medium Exposure"/>
  </r>
  <r>
    <x v="9"/>
    <x v="150"/>
    <n v="7"/>
    <x v="1"/>
    <n v="0.89"/>
    <n v="1.1499999999999999"/>
    <x v="44"/>
    <x v="0"/>
    <n v="0.44"/>
    <n v="0.62"/>
    <n v="0.08"/>
    <n v="0.88"/>
    <n v="0.8"/>
    <n v="0.51"/>
    <n v="0.97"/>
    <n v="0.42"/>
    <n v="0.98"/>
    <n v="0.67"/>
    <x v="2"/>
    <s v="High Exposure"/>
  </r>
  <r>
    <x v="0"/>
    <x v="151"/>
    <n v="1"/>
    <x v="3"/>
    <n v="0.17"/>
    <n v="1.38"/>
    <x v="2"/>
    <x v="0"/>
    <n v="0.16"/>
    <n v="0.01"/>
    <n v="0.56000000000000005"/>
    <n v="0.53"/>
    <n v="0.72"/>
    <n v="0.89"/>
    <n v="0.08"/>
    <n v="0.73"/>
    <n v="0.19"/>
    <n v="0.86"/>
    <x v="1"/>
    <s v="Low Exposure"/>
  </r>
  <r>
    <x v="7"/>
    <x v="152"/>
    <n v="5"/>
    <x v="3"/>
    <n v="0.54"/>
    <n v="1.21"/>
    <x v="61"/>
    <x v="1"/>
    <n v="0.47"/>
    <n v="0.82"/>
    <n v="0.46"/>
    <n v="0.36"/>
    <n v="0.49"/>
    <n v="0.83"/>
    <n v="0.34"/>
    <n v="0.17"/>
    <n v="0.71"/>
    <n v="0.83"/>
    <x v="1"/>
    <s v="Medium Exposure"/>
  </r>
  <r>
    <x v="19"/>
    <x v="153"/>
    <n v="0"/>
    <x v="0"/>
    <n v="0.24"/>
    <n v="0.64"/>
    <x v="30"/>
    <x v="2"/>
    <n v="0.45"/>
    <n v="0.75"/>
    <n v="0.65"/>
    <n v="0.62"/>
    <n v="0.35"/>
    <n v="0.84"/>
    <n v="0.47"/>
    <n v="0.98"/>
    <n v="0.63"/>
    <n v="0.13"/>
    <x v="1"/>
    <s v="Low Exposure"/>
  </r>
  <r>
    <x v="8"/>
    <x v="154"/>
    <n v="1"/>
    <x v="1"/>
    <n v="0.31"/>
    <n v="0.5"/>
    <x v="64"/>
    <x v="2"/>
    <n v="0.17"/>
    <n v="0.66"/>
    <n v="0.99"/>
    <n v="7.0000000000000007E-2"/>
    <n v="0.08"/>
    <n v="0.34"/>
    <n v="0.87"/>
    <n v="0.22"/>
    <n v="0.36"/>
    <n v="7.0000000000000007E-2"/>
    <x v="1"/>
    <s v="Medium Exposure"/>
  </r>
  <r>
    <x v="0"/>
    <x v="155"/>
    <n v="20"/>
    <x v="2"/>
    <n v="0.41"/>
    <n v="1.26"/>
    <x v="17"/>
    <x v="0"/>
    <n v="0.23"/>
    <n v="0.81"/>
    <n v="0.06"/>
    <n v="0.9"/>
    <n v="0.65"/>
    <n v="0.87"/>
    <n v="0"/>
    <n v="0.17"/>
    <n v="0.39"/>
    <n v="0.38"/>
    <x v="0"/>
    <s v="Medium Exposure"/>
  </r>
  <r>
    <x v="7"/>
    <x v="156"/>
    <n v="3"/>
    <x v="0"/>
    <n v="0.38"/>
    <n v="0.63"/>
    <x v="18"/>
    <x v="1"/>
    <n v="0.8"/>
    <n v="0.48"/>
    <n v="0.02"/>
    <n v="0.42"/>
    <n v="0.03"/>
    <n v="0.97"/>
    <n v="0.13"/>
    <n v="0.71"/>
    <n v="0.97"/>
    <n v="0.83"/>
    <x v="1"/>
    <s v="Medium Exposure"/>
  </r>
  <r>
    <x v="8"/>
    <x v="157"/>
    <n v="8"/>
    <x v="3"/>
    <n v="0.84"/>
    <n v="1.48"/>
    <x v="33"/>
    <x v="2"/>
    <n v="0.56000000000000005"/>
    <n v="0.63"/>
    <n v="0.53"/>
    <n v="0.64"/>
    <n v="0.45"/>
    <n v="0.22"/>
    <n v="0.12"/>
    <n v="7.0000000000000007E-2"/>
    <n v="0.26"/>
    <n v="0.05"/>
    <x v="2"/>
    <s v="High Exposure"/>
  </r>
  <r>
    <x v="11"/>
    <x v="158"/>
    <n v="23"/>
    <x v="2"/>
    <n v="0.28000000000000003"/>
    <n v="1.32"/>
    <x v="20"/>
    <x v="2"/>
    <n v="0.23"/>
    <n v="0.73"/>
    <n v="0.6"/>
    <n v="0.06"/>
    <n v="0.88"/>
    <n v="0.88"/>
    <n v="0.33"/>
    <n v="0.34"/>
    <n v="0.99"/>
    <n v="0.63"/>
    <x v="0"/>
    <s v="Low Exposure"/>
  </r>
  <r>
    <x v="1"/>
    <x v="159"/>
    <n v="28"/>
    <x v="3"/>
    <n v="0.84"/>
    <n v="0.79"/>
    <x v="74"/>
    <x v="1"/>
    <n v="0.27"/>
    <n v="0.79"/>
    <n v="0.56999999999999995"/>
    <n v="0.66"/>
    <n v="0.25"/>
    <n v="0.22"/>
    <n v="0.49"/>
    <n v="0.74"/>
    <n v="0.53"/>
    <n v="0.03"/>
    <x v="0"/>
    <s v="High Exposure"/>
  </r>
  <r>
    <x v="11"/>
    <x v="160"/>
    <n v="16"/>
    <x v="3"/>
    <n v="0.06"/>
    <n v="1.46"/>
    <x v="57"/>
    <x v="2"/>
    <n v="0.69"/>
    <n v="0.08"/>
    <n v="0.91"/>
    <n v="0.46"/>
    <n v="0.14000000000000001"/>
    <n v="0.34"/>
    <n v="0.16"/>
    <n v="0.17"/>
    <n v="0.95"/>
    <n v="0.45"/>
    <x v="0"/>
    <s v="Low Exposure"/>
  </r>
  <r>
    <x v="5"/>
    <x v="161"/>
    <n v="28"/>
    <x v="3"/>
    <n v="0.64"/>
    <n v="1.18"/>
    <x v="47"/>
    <x v="1"/>
    <n v="0.23"/>
    <n v="0.79"/>
    <n v="0.97"/>
    <n v="0.26"/>
    <n v="0.27"/>
    <n v="0.47"/>
    <n v="0.98"/>
    <n v="0.27"/>
    <n v="0.41"/>
    <n v="0.89"/>
    <x v="0"/>
    <s v="Medium Exposure"/>
  </r>
  <r>
    <x v="0"/>
    <x v="162"/>
    <n v="16"/>
    <x v="3"/>
    <n v="0.04"/>
    <n v="1.1000000000000001"/>
    <x v="17"/>
    <x v="0"/>
    <n v="0.24"/>
    <n v="0.47"/>
    <n v="0.45"/>
    <n v="0.47"/>
    <n v="0.62"/>
    <n v="0.47"/>
    <n v="0.45"/>
    <n v="0.47"/>
    <n v="0.59"/>
    <n v="0.54"/>
    <x v="0"/>
    <s v="Low Exposure"/>
  </r>
  <r>
    <x v="7"/>
    <x v="163"/>
    <n v="13"/>
    <x v="0"/>
    <n v="0.05"/>
    <n v="1.33"/>
    <x v="75"/>
    <x v="1"/>
    <n v="0.28000000000000003"/>
    <n v="0.46"/>
    <n v="0.44"/>
    <n v="0.22"/>
    <n v="0.4"/>
    <n v="0.04"/>
    <n v="0.28000000000000003"/>
    <n v="0.82"/>
    <n v="0.28000000000000003"/>
    <n v="0.82"/>
    <x v="2"/>
    <s v="Low Exposure"/>
  </r>
  <r>
    <x v="16"/>
    <x v="164"/>
    <n v="18"/>
    <x v="0"/>
    <n v="0.88"/>
    <n v="1.07"/>
    <x v="76"/>
    <x v="0"/>
    <n v="0.68"/>
    <n v="0.04"/>
    <n v="0.45"/>
    <n v="0.93"/>
    <n v="0.17"/>
    <n v="0.39"/>
    <n v="0.73"/>
    <n v="0.88"/>
    <n v="0.67"/>
    <n v="0.26"/>
    <x v="0"/>
    <s v="High Exposure"/>
  </r>
  <r>
    <x v="19"/>
    <x v="32"/>
    <n v="15"/>
    <x v="1"/>
    <n v="0.3"/>
    <n v="1.22"/>
    <x v="26"/>
    <x v="2"/>
    <n v="0.72"/>
    <n v="0.86"/>
    <n v="0"/>
    <n v="0.72"/>
    <n v="0.83"/>
    <n v="0.04"/>
    <n v="0.87"/>
    <n v="0.26"/>
    <n v="0.67"/>
    <n v="0.8"/>
    <x v="2"/>
    <s v="Medium Exposure"/>
  </r>
  <r>
    <x v="15"/>
    <x v="165"/>
    <n v="17"/>
    <x v="1"/>
    <n v="0.09"/>
    <n v="1.1000000000000001"/>
    <x v="27"/>
    <x v="1"/>
    <n v="0.9"/>
    <n v="0.4"/>
    <n v="0.32"/>
    <n v="0.75"/>
    <n v="0.41"/>
    <n v="0.65"/>
    <n v="0.65"/>
    <n v="0.89"/>
    <n v="0.6"/>
    <n v="0.5"/>
    <x v="0"/>
    <s v="Low Exposure"/>
  </r>
  <r>
    <x v="6"/>
    <x v="166"/>
    <n v="21"/>
    <x v="2"/>
    <n v="0.12"/>
    <n v="0.65"/>
    <x v="49"/>
    <x v="2"/>
    <n v="0.64"/>
    <n v="0.74"/>
    <n v="0.53"/>
    <n v="0.83"/>
    <n v="0.99"/>
    <n v="0.82"/>
    <n v="0.69"/>
    <n v="0.53"/>
    <n v="0.45"/>
    <n v="0.08"/>
    <x v="0"/>
    <s v="Low Exposure"/>
  </r>
  <r>
    <x v="11"/>
    <x v="167"/>
    <n v="25"/>
    <x v="2"/>
    <n v="0.91"/>
    <n v="1.31"/>
    <x v="65"/>
    <x v="2"/>
    <n v="0.47"/>
    <n v="0.82"/>
    <n v="7.0000000000000007E-2"/>
    <n v="0.39"/>
    <n v="0.85"/>
    <n v="0.4"/>
    <n v="0.08"/>
    <n v="0.54"/>
    <n v="0.86"/>
    <n v="0.59"/>
    <x v="0"/>
    <s v="High Exposure"/>
  </r>
  <r>
    <x v="10"/>
    <x v="168"/>
    <n v="1"/>
    <x v="2"/>
    <n v="0.38"/>
    <n v="0.95"/>
    <x v="68"/>
    <x v="2"/>
    <n v="0.76"/>
    <n v="0.1"/>
    <n v="0.89"/>
    <n v="0.01"/>
    <n v="0.37"/>
    <n v="0.03"/>
    <n v="0.39"/>
    <n v="0.53"/>
    <n v="0.51"/>
    <n v="0.17"/>
    <x v="1"/>
    <s v="Medium Exposure"/>
  </r>
  <r>
    <x v="5"/>
    <x v="169"/>
    <n v="3"/>
    <x v="3"/>
    <n v="0.04"/>
    <n v="1.26"/>
    <x v="21"/>
    <x v="1"/>
    <n v="0.34"/>
    <n v="0.52"/>
    <n v="0.38"/>
    <n v="0.01"/>
    <n v="0.39"/>
    <n v="0.79"/>
    <n v="0.6"/>
    <n v="0.1"/>
    <n v="0.85"/>
    <n v="0.53"/>
    <x v="1"/>
    <s v="Low Exposure"/>
  </r>
  <r>
    <x v="8"/>
    <x v="170"/>
    <n v="19"/>
    <x v="3"/>
    <n v="0.57999999999999996"/>
    <n v="1.06"/>
    <x v="55"/>
    <x v="2"/>
    <n v="0.17"/>
    <n v="0.97"/>
    <n v="0.23"/>
    <n v="0.98"/>
    <n v="0.53"/>
    <n v="0.14000000000000001"/>
    <n v="0.1"/>
    <n v="0.21"/>
    <n v="0.93"/>
    <n v="0.41"/>
    <x v="0"/>
    <s v="Medium Exposure"/>
  </r>
  <r>
    <x v="8"/>
    <x v="171"/>
    <n v="17"/>
    <x v="0"/>
    <n v="0.31"/>
    <n v="0.65"/>
    <x v="11"/>
    <x v="2"/>
    <n v="0.13"/>
    <n v="0.84"/>
    <n v="0.37"/>
    <n v="0.37"/>
    <n v="0.47"/>
    <n v="0.44"/>
    <n v="0.99"/>
    <n v="0.55000000000000004"/>
    <n v="0.09"/>
    <n v="0.61"/>
    <x v="0"/>
    <s v="Medium Exposure"/>
  </r>
  <r>
    <x v="4"/>
    <x v="172"/>
    <n v="19"/>
    <x v="0"/>
    <n v="0.03"/>
    <n v="1.47"/>
    <x v="45"/>
    <x v="2"/>
    <n v="0.98"/>
    <n v="0.48"/>
    <n v="0.53"/>
    <n v="0.17"/>
    <n v="0.25"/>
    <n v="0.84"/>
    <n v="0.36"/>
    <n v="0.83"/>
    <n v="0.71"/>
    <n v="0.18"/>
    <x v="0"/>
    <s v="Low Exposure"/>
  </r>
  <r>
    <x v="1"/>
    <x v="173"/>
    <n v="13"/>
    <x v="0"/>
    <n v="0.68"/>
    <n v="0.74"/>
    <x v="75"/>
    <x v="1"/>
    <n v="0.54"/>
    <n v="0.17"/>
    <n v="0.57999999999999996"/>
    <n v="1"/>
    <n v="0.15"/>
    <n v="0.82"/>
    <n v="0.21"/>
    <n v="0.78"/>
    <n v="0.73"/>
    <n v="0.3"/>
    <x v="2"/>
    <s v="Medium Exposure"/>
  </r>
  <r>
    <x v="15"/>
    <x v="174"/>
    <n v="24"/>
    <x v="3"/>
    <n v="0.79"/>
    <n v="0.96"/>
    <x v="70"/>
    <x v="1"/>
    <n v="0.15"/>
    <n v="0.85"/>
    <n v="0.71"/>
    <n v="0.91"/>
    <n v="0.13"/>
    <n v="0.59"/>
    <n v="0.6"/>
    <n v="0.35"/>
    <n v="0.46"/>
    <n v="0.04"/>
    <x v="0"/>
    <s v="High Exposure"/>
  </r>
  <r>
    <x v="16"/>
    <x v="175"/>
    <n v="10"/>
    <x v="0"/>
    <n v="0.55000000000000004"/>
    <n v="0.56000000000000005"/>
    <x v="59"/>
    <x v="0"/>
    <n v="0.47"/>
    <n v="0.03"/>
    <n v="0.97"/>
    <n v="0.95"/>
    <n v="0.51"/>
    <n v="0.09"/>
    <n v="0.75"/>
    <n v="0.49"/>
    <n v="0.3"/>
    <n v="0.49"/>
    <x v="2"/>
    <s v="Medium Exposure"/>
  </r>
  <r>
    <x v="0"/>
    <x v="176"/>
    <n v="0"/>
    <x v="2"/>
    <n v="0.56000000000000005"/>
    <n v="0.94"/>
    <x v="0"/>
    <x v="0"/>
    <n v="0.92"/>
    <n v="0.36"/>
    <n v="0.73"/>
    <n v="0.89"/>
    <n v="0.46"/>
    <n v="0.44"/>
    <n v="0.6"/>
    <n v="0.59"/>
    <n v="0.81"/>
    <n v="0.48"/>
    <x v="1"/>
    <s v="Medium Exposure"/>
  </r>
  <r>
    <x v="7"/>
    <x v="177"/>
    <n v="7"/>
    <x v="1"/>
    <n v="0.85"/>
    <n v="0.94"/>
    <x v="75"/>
    <x v="1"/>
    <n v="0.89"/>
    <n v="0.06"/>
    <n v="0.88"/>
    <n v="0.45"/>
    <n v="0.51"/>
    <n v="0.63"/>
    <n v="0.93"/>
    <n v="0.02"/>
    <n v="0.48"/>
    <n v="0.69"/>
    <x v="2"/>
    <s v="High Exposure"/>
  </r>
  <r>
    <x v="4"/>
    <x v="178"/>
    <n v="2"/>
    <x v="2"/>
    <n v="0.69"/>
    <n v="0.63"/>
    <x v="71"/>
    <x v="2"/>
    <n v="0.36"/>
    <n v="0.8"/>
    <n v="0.28000000000000003"/>
    <n v="0.21"/>
    <n v="0.96"/>
    <n v="0.01"/>
    <n v="1"/>
    <n v="0.68"/>
    <n v="0.83"/>
    <n v="0.28999999999999998"/>
    <x v="1"/>
    <s v="Medium Exposure"/>
  </r>
  <r>
    <x v="17"/>
    <x v="179"/>
    <n v="2"/>
    <x v="2"/>
    <n v="0.74"/>
    <n v="1.33"/>
    <x v="3"/>
    <x v="2"/>
    <n v="0.14000000000000001"/>
    <n v="0.75"/>
    <n v="0.77"/>
    <n v="0.66"/>
    <n v="0.77"/>
    <n v="0.85"/>
    <n v="0.61"/>
    <n v="0.09"/>
    <n v="0.49"/>
    <n v="0.08"/>
    <x v="1"/>
    <s v="High Exposure"/>
  </r>
  <r>
    <x v="5"/>
    <x v="180"/>
    <n v="3"/>
    <x v="2"/>
    <n v="0.41"/>
    <n v="0.56999999999999995"/>
    <x v="41"/>
    <x v="1"/>
    <n v="0.11"/>
    <n v="0.81"/>
    <n v="0.95"/>
    <n v="7.0000000000000007E-2"/>
    <n v="0.96"/>
    <n v="0.52"/>
    <n v="0.3"/>
    <n v="0.08"/>
    <n v="0.5"/>
    <n v="0.79"/>
    <x v="1"/>
    <s v="Medium Exposure"/>
  </r>
  <r>
    <x v="5"/>
    <x v="181"/>
    <n v="5"/>
    <x v="0"/>
    <n v="0.05"/>
    <n v="0.56999999999999995"/>
    <x v="18"/>
    <x v="1"/>
    <n v="0.3"/>
    <n v="0.23"/>
    <n v="0.28000000000000003"/>
    <n v="0.8"/>
    <n v="0.93"/>
    <n v="0.41"/>
    <n v="0.91"/>
    <n v="0.32"/>
    <n v="0.48"/>
    <n v="0.23"/>
    <x v="1"/>
    <s v="Low Exposure"/>
  </r>
  <r>
    <x v="16"/>
    <x v="182"/>
    <n v="29"/>
    <x v="3"/>
    <n v="0.98"/>
    <n v="1.1000000000000001"/>
    <x v="77"/>
    <x v="0"/>
    <n v="0.65"/>
    <n v="0.12"/>
    <n v="0.89"/>
    <n v="0.5"/>
    <n v="0.45"/>
    <n v="0.59"/>
    <n v="0.62"/>
    <n v="7.0000000000000007E-2"/>
    <n v="0.68"/>
    <n v="0.24"/>
    <x v="0"/>
    <s v="High Exposure"/>
  </r>
  <r>
    <x v="0"/>
    <x v="183"/>
    <n v="13"/>
    <x v="0"/>
    <n v="0.82"/>
    <n v="1.3"/>
    <x v="56"/>
    <x v="0"/>
    <n v="0.52"/>
    <n v="0.14000000000000001"/>
    <n v="0.78"/>
    <n v="0.27"/>
    <n v="0.5"/>
    <n v="0.28000000000000003"/>
    <n v="0.13"/>
    <n v="0.63"/>
    <n v="0.05"/>
    <n v="0.75"/>
    <x v="2"/>
    <s v="High Exposure"/>
  </r>
  <r>
    <x v="18"/>
    <x v="184"/>
    <n v="24"/>
    <x v="2"/>
    <n v="0"/>
    <n v="1.01"/>
    <x v="19"/>
    <x v="1"/>
    <n v="0.28000000000000003"/>
    <n v="0.71"/>
    <n v="0.06"/>
    <n v="0.84"/>
    <n v="0"/>
    <n v="0.25"/>
    <n v="0.74"/>
    <n v="0.32"/>
    <n v="0.1"/>
    <n v="0.36"/>
    <x v="0"/>
    <s v="Low Exposure"/>
  </r>
  <r>
    <x v="10"/>
    <x v="185"/>
    <n v="8"/>
    <x v="0"/>
    <n v="0.84"/>
    <n v="0.81"/>
    <x v="69"/>
    <x v="2"/>
    <n v="0.89"/>
    <n v="0.43"/>
    <n v="0.91"/>
    <n v="0.38"/>
    <n v="0.96"/>
    <n v="0.09"/>
    <n v="0.69"/>
    <n v="0.49"/>
    <n v="0.39"/>
    <n v="0.63"/>
    <x v="2"/>
    <s v="High Exposure"/>
  </r>
  <r>
    <x v="6"/>
    <x v="186"/>
    <n v="9"/>
    <x v="3"/>
    <n v="0.14000000000000001"/>
    <n v="0.75"/>
    <x v="38"/>
    <x v="2"/>
    <n v="0.18"/>
    <n v="0.28000000000000003"/>
    <n v="0.13"/>
    <n v="0.68"/>
    <n v="0.94"/>
    <n v="0.27"/>
    <n v="0.48"/>
    <n v="0.63"/>
    <n v="1"/>
    <n v="0.1"/>
    <x v="2"/>
    <s v="Low Exposure"/>
  </r>
  <r>
    <x v="11"/>
    <x v="187"/>
    <n v="15"/>
    <x v="3"/>
    <n v="0.39"/>
    <n v="1.37"/>
    <x v="78"/>
    <x v="2"/>
    <n v="0.11"/>
    <n v="0.63"/>
    <n v="0.77"/>
    <n v="0"/>
    <n v="0.86"/>
    <n v="0.19"/>
    <n v="0.55000000000000004"/>
    <n v="0.42"/>
    <n v="0.72"/>
    <n v="0.37"/>
    <x v="2"/>
    <s v="Medium Exposure"/>
  </r>
  <r>
    <x v="0"/>
    <x v="188"/>
    <n v="10"/>
    <x v="3"/>
    <n v="0.73"/>
    <n v="1.1499999999999999"/>
    <x v="40"/>
    <x v="0"/>
    <n v="0.75"/>
    <n v="0.04"/>
    <n v="0.39"/>
    <n v="0.93"/>
    <n v="0.13"/>
    <n v="0.74"/>
    <n v="0.97"/>
    <n v="0.05"/>
    <n v="0.68"/>
    <n v="0.47"/>
    <x v="2"/>
    <s v="High Exposure"/>
  </r>
  <r>
    <x v="17"/>
    <x v="189"/>
    <n v="3"/>
    <x v="2"/>
    <n v="0.09"/>
    <n v="0.54"/>
    <x v="64"/>
    <x v="2"/>
    <n v="0.82"/>
    <n v="0.78"/>
    <n v="0.54"/>
    <n v="0.1"/>
    <n v="0.69"/>
    <n v="0.24"/>
    <n v="0.91"/>
    <n v="0.84"/>
    <n v="0.71"/>
    <n v="0.95"/>
    <x v="1"/>
    <s v="Low Exposure"/>
  </r>
  <r>
    <x v="4"/>
    <x v="190"/>
    <n v="24"/>
    <x v="2"/>
    <n v="0.74"/>
    <n v="0.83"/>
    <x v="72"/>
    <x v="2"/>
    <n v="0.27"/>
    <n v="0.72"/>
    <n v="0.88"/>
    <n v="0.04"/>
    <n v="0.4"/>
    <n v="0.76"/>
    <n v="0.45"/>
    <n v="0.27"/>
    <n v="0.22"/>
    <n v="0.13"/>
    <x v="0"/>
    <s v="High Exposure"/>
  </r>
  <r>
    <x v="0"/>
    <x v="191"/>
    <n v="26"/>
    <x v="3"/>
    <n v="0.57999999999999996"/>
    <n v="0.57999999999999996"/>
    <x v="9"/>
    <x v="0"/>
    <n v="0.37"/>
    <n v="0.18"/>
    <n v="0.44"/>
    <n v="0.33"/>
    <n v="0.34"/>
    <n v="0.74"/>
    <n v="0.22"/>
    <n v="0.64"/>
    <n v="0.56999999999999995"/>
    <n v="0.56999999999999995"/>
    <x v="0"/>
    <s v="Medium Exposure"/>
  </r>
  <r>
    <x v="10"/>
    <x v="192"/>
    <n v="3"/>
    <x v="0"/>
    <n v="0.55000000000000004"/>
    <n v="1.38"/>
    <x v="64"/>
    <x v="2"/>
    <n v="0.55000000000000004"/>
    <n v="0.83"/>
    <n v="0.61"/>
    <n v="0.28999999999999998"/>
    <n v="0.21"/>
    <n v="0.15"/>
    <n v="0.9"/>
    <n v="0.71"/>
    <n v="0.94"/>
    <n v="0.6"/>
    <x v="1"/>
    <s v="Medium Exposure"/>
  </r>
  <r>
    <x v="3"/>
    <x v="193"/>
    <n v="14"/>
    <x v="3"/>
    <n v="0.06"/>
    <n v="1.17"/>
    <x v="68"/>
    <x v="2"/>
    <n v="0.99"/>
    <n v="0.24"/>
    <n v="0.53"/>
    <n v="0.65"/>
    <n v="0.64"/>
    <n v="0.56000000000000005"/>
    <n v="0.78"/>
    <n v="0.2"/>
    <n v="0.73"/>
    <n v="0.62"/>
    <x v="2"/>
    <s v="Low Exposure"/>
  </r>
  <r>
    <x v="12"/>
    <x v="194"/>
    <n v="25"/>
    <x v="3"/>
    <n v="0.85"/>
    <n v="0.82"/>
    <x v="6"/>
    <x v="2"/>
    <n v="0.98"/>
    <n v="0.53"/>
    <n v="0.91"/>
    <n v="0.16"/>
    <n v="0.64"/>
    <n v="0.81"/>
    <n v="0.95"/>
    <n v="0.34"/>
    <n v="0.72"/>
    <n v="0.54"/>
    <x v="0"/>
    <s v="High Exposure"/>
  </r>
  <r>
    <x v="10"/>
    <x v="195"/>
    <n v="8"/>
    <x v="0"/>
    <n v="0.69"/>
    <n v="1.19"/>
    <x v="79"/>
    <x v="2"/>
    <n v="0.5"/>
    <n v="0.23"/>
    <n v="0.04"/>
    <n v="0.42"/>
    <n v="0.3"/>
    <n v="0.76"/>
    <n v="0.35"/>
    <n v="0.95"/>
    <n v="0.96"/>
    <n v="0.62"/>
    <x v="2"/>
    <s v="Medium Exposure"/>
  </r>
  <r>
    <x v="5"/>
    <x v="196"/>
    <n v="21"/>
    <x v="0"/>
    <n v="0.76"/>
    <n v="1.05"/>
    <x v="5"/>
    <x v="1"/>
    <n v="0.46"/>
    <n v="0.56000000000000005"/>
    <n v="0.86"/>
    <n v="0.48"/>
    <n v="0.9"/>
    <n v="0.67"/>
    <n v="0.14000000000000001"/>
    <n v="0.99"/>
    <n v="0.53"/>
    <n v="0.39"/>
    <x v="0"/>
    <s v="High Exposure"/>
  </r>
  <r>
    <x v="10"/>
    <x v="197"/>
    <n v="5"/>
    <x v="3"/>
    <n v="0.11"/>
    <n v="1.1399999999999999"/>
    <x v="11"/>
    <x v="2"/>
    <n v="0.41"/>
    <n v="0.95"/>
    <n v="0.52"/>
    <n v="0.22"/>
    <n v="0.46"/>
    <n v="0.92"/>
    <n v="0.18"/>
    <n v="0.21"/>
    <n v="0.01"/>
    <n v="0.01"/>
    <x v="1"/>
    <s v="Low Exposure"/>
  </r>
  <r>
    <x v="6"/>
    <x v="198"/>
    <n v="18"/>
    <x v="3"/>
    <n v="0.73"/>
    <n v="0.86"/>
    <x v="14"/>
    <x v="2"/>
    <n v="0.4"/>
    <n v="0.95"/>
    <n v="0.97"/>
    <n v="0.39"/>
    <n v="0.85"/>
    <n v="0.77"/>
    <n v="0.31"/>
    <n v="0.23"/>
    <n v="0.46"/>
    <n v="0.78"/>
    <x v="0"/>
    <s v="High Exposure"/>
  </r>
  <r>
    <x v="2"/>
    <x v="199"/>
    <n v="23"/>
    <x v="0"/>
    <n v="0.76"/>
    <n v="1.36"/>
    <x v="0"/>
    <x v="0"/>
    <n v="0.84"/>
    <n v="0.78"/>
    <n v="0.38"/>
    <n v="0.55000000000000004"/>
    <n v="0.8"/>
    <n v="0.05"/>
    <n v="0.81"/>
    <n v="0.18"/>
    <n v="0.51"/>
    <n v="0.81"/>
    <x v="0"/>
    <s v="High Exposure"/>
  </r>
  <r>
    <x v="7"/>
    <x v="200"/>
    <n v="4"/>
    <x v="2"/>
    <n v="0.25"/>
    <n v="0.9"/>
    <x v="15"/>
    <x v="1"/>
    <n v="0"/>
    <n v="0.9"/>
    <n v="0.15"/>
    <n v="0.99"/>
    <n v="0.95"/>
    <n v="0.49"/>
    <n v="0.51"/>
    <n v="0.48"/>
    <n v="0.64"/>
    <n v="0.09"/>
    <x v="1"/>
    <s v="Low Exposure"/>
  </r>
  <r>
    <x v="3"/>
    <x v="201"/>
    <n v="2"/>
    <x v="3"/>
    <n v="0.06"/>
    <n v="0.94"/>
    <x v="6"/>
    <x v="2"/>
    <n v="0.62"/>
    <n v="0.99"/>
    <n v="0.39"/>
    <n v="0.56999999999999995"/>
    <n v="0.42"/>
    <n v="0.85"/>
    <n v="0.9"/>
    <n v="0.88"/>
    <n v="0.97"/>
    <n v="0.03"/>
    <x v="1"/>
    <s v="Low Exposure"/>
  </r>
  <r>
    <x v="8"/>
    <x v="202"/>
    <n v="10"/>
    <x v="1"/>
    <n v="0.75"/>
    <n v="0.73"/>
    <x v="26"/>
    <x v="2"/>
    <n v="0.15"/>
    <n v="0.68"/>
    <n v="0.22"/>
    <n v="0.43"/>
    <n v="0.72"/>
    <n v="0.56000000000000005"/>
    <n v="0.43"/>
    <n v="0.33"/>
    <n v="0.84"/>
    <n v="0.14000000000000001"/>
    <x v="2"/>
    <s v="High Exposure"/>
  </r>
  <r>
    <x v="1"/>
    <x v="203"/>
    <n v="14"/>
    <x v="0"/>
    <n v="0.9"/>
    <n v="1.35"/>
    <x v="18"/>
    <x v="1"/>
    <n v="0.76"/>
    <n v="0.82"/>
    <n v="0.89"/>
    <n v="0.54"/>
    <n v="0.2"/>
    <n v="0.26"/>
    <n v="0.3"/>
    <n v="0.59"/>
    <n v="0.03"/>
    <n v="0.64"/>
    <x v="2"/>
    <s v="High Exposure"/>
  </r>
  <r>
    <x v="10"/>
    <x v="204"/>
    <n v="3"/>
    <x v="0"/>
    <n v="0.3"/>
    <n v="1.38"/>
    <x v="8"/>
    <x v="2"/>
    <n v="0.1"/>
    <n v="0.83"/>
    <n v="0.05"/>
    <n v="0.73"/>
    <n v="0.77"/>
    <n v="0.35"/>
    <n v="0.82"/>
    <n v="0.52"/>
    <n v="0.46"/>
    <n v="0.05"/>
    <x v="1"/>
    <s v="Medium Exposure"/>
  </r>
  <r>
    <x v="9"/>
    <x v="205"/>
    <n v="22"/>
    <x v="1"/>
    <n v="0.93"/>
    <n v="0.89"/>
    <x v="56"/>
    <x v="0"/>
    <n v="0.53"/>
    <n v="0.59"/>
    <n v="0.06"/>
    <n v="0.36"/>
    <n v="0.72"/>
    <n v="0.2"/>
    <n v="0.2"/>
    <n v="0.01"/>
    <n v="0.44"/>
    <n v="0.88"/>
    <x v="0"/>
    <s v="High Exposure"/>
  </r>
  <r>
    <x v="11"/>
    <x v="206"/>
    <n v="14"/>
    <x v="3"/>
    <n v="0.19"/>
    <n v="0.81"/>
    <x v="31"/>
    <x v="2"/>
    <n v="0.64"/>
    <n v="0.42"/>
    <n v="0.76"/>
    <n v="0.61"/>
    <n v="0.9"/>
    <n v="0.82"/>
    <n v="0.25"/>
    <n v="0.27"/>
    <n v="0.13"/>
    <n v="0.34"/>
    <x v="2"/>
    <s v="Low Exposure"/>
  </r>
  <r>
    <x v="3"/>
    <x v="207"/>
    <n v="21"/>
    <x v="1"/>
    <n v="0.41"/>
    <n v="0.72"/>
    <x v="3"/>
    <x v="2"/>
    <n v="0.54"/>
    <n v="0.15"/>
    <n v="0.38"/>
    <n v="0.41"/>
    <n v="0.75"/>
    <n v="0.02"/>
    <n v="0.27"/>
    <n v="0.52"/>
    <n v="0.27"/>
    <n v="0.63"/>
    <x v="0"/>
    <s v="Medium Exposure"/>
  </r>
  <r>
    <x v="1"/>
    <x v="208"/>
    <n v="24"/>
    <x v="2"/>
    <n v="0.36"/>
    <n v="1.45"/>
    <x v="13"/>
    <x v="1"/>
    <n v="0.13"/>
    <n v="0.56000000000000005"/>
    <n v="0.78"/>
    <n v="0.71"/>
    <n v="0.17"/>
    <n v="0.97"/>
    <n v="0.45"/>
    <n v="0.16"/>
    <n v="0.18"/>
    <n v="0.1"/>
    <x v="0"/>
    <s v="Medium Exposure"/>
  </r>
  <r>
    <x v="2"/>
    <x v="209"/>
    <n v="0"/>
    <x v="1"/>
    <n v="0.12"/>
    <n v="0.63"/>
    <x v="32"/>
    <x v="0"/>
    <n v="0.34"/>
    <n v="0.03"/>
    <n v="0.05"/>
    <n v="0.14000000000000001"/>
    <n v="0.21"/>
    <n v="0.67"/>
    <n v="0.16"/>
    <n v="0.12"/>
    <n v="0.76"/>
    <n v="0.67"/>
    <x v="1"/>
    <s v="Low Exposure"/>
  </r>
  <r>
    <x v="1"/>
    <x v="210"/>
    <n v="22"/>
    <x v="3"/>
    <n v="0.55000000000000004"/>
    <n v="0.81"/>
    <x v="7"/>
    <x v="1"/>
    <n v="0.51"/>
    <n v="0.39"/>
    <n v="0.91"/>
    <n v="0.02"/>
    <n v="0.78"/>
    <n v="0.12"/>
    <n v="0.8"/>
    <n v="0.62"/>
    <n v="0.84"/>
    <n v="0.1"/>
    <x v="0"/>
    <s v="Medium Exposure"/>
  </r>
  <r>
    <x v="9"/>
    <x v="211"/>
    <n v="26"/>
    <x v="3"/>
    <n v="0.5"/>
    <n v="1.21"/>
    <x v="35"/>
    <x v="0"/>
    <n v="0.54"/>
    <n v="0.43"/>
    <n v="0.31"/>
    <n v="0.48"/>
    <n v="0.12"/>
    <n v="0.96"/>
    <n v="0.71"/>
    <n v="0.95"/>
    <n v="0.23"/>
    <n v="0.88"/>
    <x v="0"/>
    <s v="Medium Exposure"/>
  </r>
  <r>
    <x v="9"/>
    <x v="212"/>
    <n v="19"/>
    <x v="2"/>
    <n v="0.68"/>
    <n v="1.1299999999999999"/>
    <x v="80"/>
    <x v="0"/>
    <n v="0.82"/>
    <n v="0.5"/>
    <n v="7.0000000000000007E-2"/>
    <n v="0.31"/>
    <n v="0.94"/>
    <n v="0.85"/>
    <n v="0.98"/>
    <n v="0.63"/>
    <n v="0.25"/>
    <n v="0.16"/>
    <x v="0"/>
    <s v="Medium Exposure"/>
  </r>
  <r>
    <x v="4"/>
    <x v="213"/>
    <n v="16"/>
    <x v="1"/>
    <n v="0.02"/>
    <n v="0.89"/>
    <x v="48"/>
    <x v="2"/>
    <n v="0.41"/>
    <n v="0.93"/>
    <n v="0.43"/>
    <n v="0.88"/>
    <n v="0.61"/>
    <n v="0.25"/>
    <n v="0.36"/>
    <n v="0.08"/>
    <n v="0.33"/>
    <n v="0.68"/>
    <x v="0"/>
    <s v="Low Exposure"/>
  </r>
  <r>
    <x v="13"/>
    <x v="214"/>
    <n v="29"/>
    <x v="3"/>
    <n v="0.37"/>
    <n v="1.44"/>
    <x v="23"/>
    <x v="2"/>
    <n v="0.67"/>
    <n v="0.63"/>
    <n v="0.2"/>
    <n v="0.42"/>
    <n v="0.75"/>
    <n v="0.1"/>
    <n v="0.28000000000000003"/>
    <n v="0.28000000000000003"/>
    <n v="0.43"/>
    <n v="0.98"/>
    <x v="0"/>
    <s v="Medium Exposure"/>
  </r>
  <r>
    <x v="13"/>
    <x v="215"/>
    <n v="28"/>
    <x v="1"/>
    <n v="0.98"/>
    <n v="0.6"/>
    <x v="43"/>
    <x v="2"/>
    <n v="0.98"/>
    <n v="0.56000000000000005"/>
    <n v="0.19"/>
    <n v="0.57999999999999996"/>
    <n v="0.2"/>
    <n v="0.52"/>
    <n v="7.0000000000000007E-2"/>
    <n v="0.61"/>
    <n v="0.52"/>
    <n v="0.74"/>
    <x v="0"/>
    <s v="High Exposure"/>
  </r>
  <r>
    <x v="13"/>
    <x v="216"/>
    <n v="27"/>
    <x v="0"/>
    <n v="0.55000000000000004"/>
    <n v="1.19"/>
    <x v="46"/>
    <x v="2"/>
    <n v="0.6"/>
    <n v="0.17"/>
    <n v="0.93"/>
    <n v="7.0000000000000007E-2"/>
    <n v="0.43"/>
    <n v="0.7"/>
    <n v="0.46"/>
    <n v="0.09"/>
    <n v="0.55000000000000004"/>
    <n v="0.64"/>
    <x v="0"/>
    <s v="Medium Exposure"/>
  </r>
  <r>
    <x v="5"/>
    <x v="217"/>
    <n v="2"/>
    <x v="2"/>
    <n v="0.37"/>
    <n v="1.06"/>
    <x v="74"/>
    <x v="1"/>
    <n v="0.67"/>
    <n v="0.57999999999999996"/>
    <n v="0.53"/>
    <n v="0.25"/>
    <n v="0"/>
    <n v="0.17"/>
    <n v="0.12"/>
    <n v="0.45"/>
    <n v="0.61"/>
    <n v="0.21"/>
    <x v="1"/>
    <s v="Medium Exposure"/>
  </r>
  <r>
    <x v="12"/>
    <x v="218"/>
    <n v="15"/>
    <x v="1"/>
    <n v="0.01"/>
    <n v="1.27"/>
    <x v="33"/>
    <x v="2"/>
    <n v="0.37"/>
    <n v="0.05"/>
    <n v="0.63"/>
    <n v="0.39"/>
    <n v="0.94"/>
    <n v="0.54"/>
    <n v="0.94"/>
    <n v="0.22"/>
    <n v="0.73"/>
    <n v="0.62"/>
    <x v="2"/>
    <s v="Low Exposure"/>
  </r>
  <r>
    <x v="16"/>
    <x v="219"/>
    <n v="5"/>
    <x v="1"/>
    <n v="0.98"/>
    <n v="0.6"/>
    <x v="58"/>
    <x v="2"/>
    <n v="0.43"/>
    <n v="0.09"/>
    <n v="0.75"/>
    <n v="0.91"/>
    <n v="0.43"/>
    <n v="0.26"/>
    <n v="0.43"/>
    <n v="0.72"/>
    <n v="0.01"/>
    <n v="0.59"/>
    <x v="1"/>
    <s v="High Exposure"/>
  </r>
  <r>
    <x v="7"/>
    <x v="220"/>
    <n v="10"/>
    <x v="0"/>
    <n v="0.64"/>
    <n v="0.74"/>
    <x v="70"/>
    <x v="1"/>
    <n v="0.09"/>
    <n v="0.2"/>
    <n v="0.88"/>
    <n v="0.74"/>
    <n v="0.01"/>
    <n v="0.25"/>
    <n v="0.21"/>
    <n v="0.27"/>
    <n v="0.25"/>
    <n v="0.06"/>
    <x v="2"/>
    <s v="Medium Exposure"/>
  </r>
  <r>
    <x v="4"/>
    <x v="221"/>
    <n v="17"/>
    <x v="3"/>
    <n v="0.73"/>
    <n v="1.1100000000000001"/>
    <x v="64"/>
    <x v="2"/>
    <n v="0.08"/>
    <n v="0.95"/>
    <n v="0.84"/>
    <n v="0.81"/>
    <n v="0.82"/>
    <n v="0.93"/>
    <n v="0.54"/>
    <n v="0.2"/>
    <n v="0.62"/>
    <n v="0.74"/>
    <x v="0"/>
    <s v="High Exposure"/>
  </r>
  <r>
    <x v="7"/>
    <x v="222"/>
    <n v="26"/>
    <x v="3"/>
    <n v="0.52"/>
    <n v="0.56999999999999995"/>
    <x v="41"/>
    <x v="1"/>
    <n v="0.92"/>
    <n v="0.57999999999999996"/>
    <n v="0.54"/>
    <n v="0.27"/>
    <n v="0.37"/>
    <n v="0.9"/>
    <n v="0.67"/>
    <n v="0.79"/>
    <n v="0.45"/>
    <n v="0.63"/>
    <x v="0"/>
    <s v="Medium Exposure"/>
  </r>
  <r>
    <x v="19"/>
    <x v="223"/>
    <n v="26"/>
    <x v="2"/>
    <n v="0.71"/>
    <n v="0.93"/>
    <x v="8"/>
    <x v="2"/>
    <n v="0.65"/>
    <n v="0.94"/>
    <n v="0.06"/>
    <n v="0.82"/>
    <n v="0.28999999999999998"/>
    <n v="0.44"/>
    <n v="0.02"/>
    <n v="0.3"/>
    <n v="0.5"/>
    <n v="0.06"/>
    <x v="0"/>
    <s v="High Exposure"/>
  </r>
  <r>
    <x v="2"/>
    <x v="224"/>
    <n v="23"/>
    <x v="3"/>
    <n v="0.93"/>
    <n v="0.61"/>
    <x v="81"/>
    <x v="0"/>
    <n v="0.41"/>
    <n v="0.66"/>
    <n v="0.26"/>
    <n v="0.16"/>
    <n v="0.16"/>
    <n v="7.0000000000000007E-2"/>
    <n v="0.19"/>
    <n v="0.66"/>
    <n v="0.88"/>
    <n v="0.81"/>
    <x v="0"/>
    <s v="High Exposure"/>
  </r>
  <r>
    <x v="12"/>
    <x v="225"/>
    <n v="18"/>
    <x v="2"/>
    <n v="0.11"/>
    <n v="0.79"/>
    <x v="71"/>
    <x v="2"/>
    <n v="0.25"/>
    <n v="0.52"/>
    <n v="0.54"/>
    <n v="0.36"/>
    <n v="0.35"/>
    <n v="0.83"/>
    <n v="0.79"/>
    <n v="0.31"/>
    <n v="0.91"/>
    <n v="0.95"/>
    <x v="0"/>
    <s v="Low Exposure"/>
  </r>
  <r>
    <x v="13"/>
    <x v="226"/>
    <n v="13"/>
    <x v="1"/>
    <n v="0.35"/>
    <n v="1.01"/>
    <x v="26"/>
    <x v="2"/>
    <n v="0.88"/>
    <n v="0.1"/>
    <n v="0.39"/>
    <n v="0.55000000000000004"/>
    <n v="0.5"/>
    <n v="0.19"/>
    <n v="0.86"/>
    <n v="0.68"/>
    <n v="0.84"/>
    <n v="0.86"/>
    <x v="2"/>
    <s v="Medium Exposure"/>
  </r>
  <r>
    <x v="11"/>
    <x v="227"/>
    <n v="29"/>
    <x v="1"/>
    <n v="0.44"/>
    <n v="1.1100000000000001"/>
    <x v="46"/>
    <x v="2"/>
    <n v="0.67"/>
    <n v="0.18"/>
    <n v="0.69"/>
    <n v="0.23"/>
    <n v="0.12"/>
    <n v="0.17"/>
    <n v="0"/>
    <n v="0.72"/>
    <n v="0.73"/>
    <n v="0.51"/>
    <x v="0"/>
    <s v="Medium Exposure"/>
  </r>
  <r>
    <x v="3"/>
    <x v="228"/>
    <n v="21"/>
    <x v="3"/>
    <n v="0.08"/>
    <n v="0.52"/>
    <x v="49"/>
    <x v="2"/>
    <n v="0.89"/>
    <n v="0.24"/>
    <n v="0.35"/>
    <n v="0.11"/>
    <n v="0.22"/>
    <n v="0.52"/>
    <n v="0.61"/>
    <n v="0.25"/>
    <n v="0.06"/>
    <n v="0.39"/>
    <x v="0"/>
    <s v="Low Exposure"/>
  </r>
  <r>
    <x v="16"/>
    <x v="229"/>
    <n v="21"/>
    <x v="3"/>
    <n v="0.22"/>
    <n v="1.46"/>
    <x v="0"/>
    <x v="0"/>
    <n v="0.56000000000000005"/>
    <n v="0.42"/>
    <n v="0.43"/>
    <n v="0.54"/>
    <n v="0.7"/>
    <n v="0.7"/>
    <n v="0.17"/>
    <n v="0.5"/>
    <n v="0.41"/>
    <n v="0.87"/>
    <x v="0"/>
    <s v="Low Exposure"/>
  </r>
  <r>
    <x v="2"/>
    <x v="230"/>
    <n v="28"/>
    <x v="1"/>
    <n v="0.53"/>
    <n v="0.62"/>
    <x v="0"/>
    <x v="0"/>
    <n v="0.12"/>
    <n v="0.34"/>
    <n v="0.14000000000000001"/>
    <n v="0.69"/>
    <n v="0.21"/>
    <n v="0.39"/>
    <n v="0.9"/>
    <n v="0.2"/>
    <n v="0.51"/>
    <n v="0.42"/>
    <x v="0"/>
    <s v="Medium Exposure"/>
  </r>
  <r>
    <x v="11"/>
    <x v="231"/>
    <n v="29"/>
    <x v="2"/>
    <n v="0.79"/>
    <n v="0.56999999999999995"/>
    <x v="78"/>
    <x v="2"/>
    <n v="0.56000000000000005"/>
    <n v="0.63"/>
    <n v="0.69"/>
    <n v="0.25"/>
    <n v="0.01"/>
    <n v="0.72"/>
    <n v="0.54"/>
    <n v="0.84"/>
    <n v="0.82"/>
    <n v="0.84"/>
    <x v="0"/>
    <s v="High Exposure"/>
  </r>
  <r>
    <x v="14"/>
    <x v="232"/>
    <n v="11"/>
    <x v="2"/>
    <n v="0.33"/>
    <n v="1.29"/>
    <x v="2"/>
    <x v="0"/>
    <n v="0.18"/>
    <n v="0.85"/>
    <n v="0.88"/>
    <n v="0.47"/>
    <n v="0.08"/>
    <n v="0.39"/>
    <n v="0.8"/>
    <n v="0.9"/>
    <n v="0.2"/>
    <n v="7.0000000000000007E-2"/>
    <x v="2"/>
    <s v="Medium Exposure"/>
  </r>
  <r>
    <x v="17"/>
    <x v="233"/>
    <n v="5"/>
    <x v="1"/>
    <n v="0.39"/>
    <n v="1.04"/>
    <x v="66"/>
    <x v="2"/>
    <n v="7.0000000000000007E-2"/>
    <n v="0.65"/>
    <n v="7.0000000000000007E-2"/>
    <n v="0.38"/>
    <n v="0.8"/>
    <n v="0.43"/>
    <n v="1"/>
    <n v="0.56000000000000005"/>
    <n v="0.32"/>
    <n v="0.22"/>
    <x v="1"/>
    <s v="Medium Exposure"/>
  </r>
  <r>
    <x v="16"/>
    <x v="234"/>
    <n v="13"/>
    <x v="0"/>
    <n v="0.37"/>
    <n v="0.56999999999999995"/>
    <x v="77"/>
    <x v="0"/>
    <n v="0.46"/>
    <n v="0.72"/>
    <n v="0.66"/>
    <n v="0.71"/>
    <n v="0.01"/>
    <n v="0.22"/>
    <n v="0.66"/>
    <n v="0.48"/>
    <n v="0.01"/>
    <n v="0.8"/>
    <x v="2"/>
    <s v="Medium Exposure"/>
  </r>
  <r>
    <x v="19"/>
    <x v="235"/>
    <n v="23"/>
    <x v="2"/>
    <n v="0.55000000000000004"/>
    <n v="0.56999999999999995"/>
    <x v="45"/>
    <x v="2"/>
    <n v="0.57999999999999996"/>
    <n v="0.78"/>
    <n v="0.75"/>
    <n v="0.8"/>
    <n v="0.52"/>
    <n v="0.14000000000000001"/>
    <n v="0.67"/>
    <n v="0.62"/>
    <n v="0.74"/>
    <n v="0.17"/>
    <x v="0"/>
    <s v="Medium Exposure"/>
  </r>
  <r>
    <x v="16"/>
    <x v="236"/>
    <n v="27"/>
    <x v="3"/>
    <n v="0.39"/>
    <n v="0.66"/>
    <x v="39"/>
    <x v="0"/>
    <n v="0.61"/>
    <n v="0.43"/>
    <n v="0.77"/>
    <n v="0.85"/>
    <n v="0.54"/>
    <n v="0.76"/>
    <n v="0.31"/>
    <n v="0.41"/>
    <n v="0.71"/>
    <n v="0.39"/>
    <x v="0"/>
    <s v="Medium Exposure"/>
  </r>
  <r>
    <x v="0"/>
    <x v="237"/>
    <n v="26"/>
    <x v="0"/>
    <n v="0.19"/>
    <n v="1.1000000000000001"/>
    <x v="24"/>
    <x v="0"/>
    <n v="0.87"/>
    <n v="0.72"/>
    <n v="0.75"/>
    <n v="0.56000000000000005"/>
    <n v="0.57999999999999996"/>
    <n v="0.13"/>
    <n v="0.44"/>
    <n v="0.45"/>
    <n v="0.96"/>
    <n v="0.43"/>
    <x v="0"/>
    <s v="Low Exposure"/>
  </r>
  <r>
    <x v="9"/>
    <x v="238"/>
    <n v="5"/>
    <x v="1"/>
    <n v="0.53"/>
    <n v="1.1399999999999999"/>
    <x v="81"/>
    <x v="0"/>
    <n v="0.23"/>
    <n v="0.53"/>
    <n v="0.83"/>
    <n v="0.46"/>
    <n v="0.28000000000000003"/>
    <n v="0.65"/>
    <n v="0.82"/>
    <n v="0.06"/>
    <n v="0.78"/>
    <n v="0.82"/>
    <x v="1"/>
    <s v="Medium Exposure"/>
  </r>
  <r>
    <x v="7"/>
    <x v="239"/>
    <n v="22"/>
    <x v="1"/>
    <n v="0.98"/>
    <n v="1.29"/>
    <x v="52"/>
    <x v="1"/>
    <n v="0.75"/>
    <n v="0.15"/>
    <n v="0.22"/>
    <n v="0.46"/>
    <n v="0.26"/>
    <n v="0.42"/>
    <n v="0.89"/>
    <n v="0.82"/>
    <n v="0.63"/>
    <n v="0.86"/>
    <x v="0"/>
    <s v="High Exposure"/>
  </r>
  <r>
    <x v="3"/>
    <x v="240"/>
    <n v="5"/>
    <x v="1"/>
    <n v="0.43"/>
    <n v="0.7"/>
    <x v="50"/>
    <x v="2"/>
    <n v="0.74"/>
    <n v="0.44"/>
    <n v="0.67"/>
    <n v="0.09"/>
    <n v="0.75"/>
    <n v="0.81"/>
    <n v="0.71"/>
    <n v="0.97"/>
    <n v="0.83"/>
    <n v="0.9"/>
    <x v="1"/>
    <s v="Medium Exposure"/>
  </r>
  <r>
    <x v="6"/>
    <x v="241"/>
    <n v="26"/>
    <x v="1"/>
    <n v="0.81"/>
    <n v="1.36"/>
    <x v="58"/>
    <x v="2"/>
    <n v="0.24"/>
    <n v="0.04"/>
    <n v="0.41"/>
    <n v="0.13"/>
    <n v="0.02"/>
    <n v="0.36"/>
    <n v="0.78"/>
    <n v="0.56999999999999995"/>
    <n v="0.31"/>
    <n v="0.65"/>
    <x v="0"/>
    <s v="High Exposure"/>
  </r>
  <r>
    <x v="10"/>
    <x v="242"/>
    <n v="21"/>
    <x v="0"/>
    <n v="0.01"/>
    <n v="1.26"/>
    <x v="33"/>
    <x v="2"/>
    <n v="0.76"/>
    <n v="0.04"/>
    <n v="0.84"/>
    <n v="0.62"/>
    <n v="0.56000000000000005"/>
    <n v="0.62"/>
    <n v="0.86"/>
    <n v="0.59"/>
    <n v="0.57999999999999996"/>
    <n v="0.99"/>
    <x v="0"/>
    <s v="Low Exposure"/>
  </r>
  <r>
    <x v="6"/>
    <x v="243"/>
    <n v="18"/>
    <x v="3"/>
    <n v="0.44"/>
    <n v="1.21"/>
    <x v="36"/>
    <x v="2"/>
    <n v="0.23"/>
    <n v="0.6"/>
    <n v="0.93"/>
    <n v="0.93"/>
    <n v="0.34"/>
    <n v="0.53"/>
    <n v="0.21"/>
    <n v="1"/>
    <n v="0.98"/>
    <n v="0.65"/>
    <x v="0"/>
    <s v="Medium Exposure"/>
  </r>
  <r>
    <x v="18"/>
    <x v="244"/>
    <n v="9"/>
    <x v="2"/>
    <n v="0.72"/>
    <n v="1.0900000000000001"/>
    <x v="19"/>
    <x v="1"/>
    <n v="0.45"/>
    <n v="0.67"/>
    <n v="0.68"/>
    <n v="0.37"/>
    <n v="0.94"/>
    <n v="0.17"/>
    <n v="0.5"/>
    <n v="0.69"/>
    <n v="0.7"/>
    <n v="0.65"/>
    <x v="2"/>
    <s v="High Exposure"/>
  </r>
  <r>
    <x v="13"/>
    <x v="245"/>
    <n v="21"/>
    <x v="1"/>
    <n v="0.16"/>
    <n v="1.1399999999999999"/>
    <x v="22"/>
    <x v="2"/>
    <n v="0.18"/>
    <n v="0.71"/>
    <n v="0.46"/>
    <n v="0.67"/>
    <n v="0.84"/>
    <n v="0.17"/>
    <n v="0.02"/>
    <n v="0.78"/>
    <n v="0.61"/>
    <n v="0.7"/>
    <x v="0"/>
    <s v="Low Exposure"/>
  </r>
  <r>
    <x v="1"/>
    <x v="246"/>
    <n v="7"/>
    <x v="2"/>
    <n v="0.8"/>
    <n v="1.46"/>
    <x v="82"/>
    <x v="1"/>
    <n v="0.49"/>
    <n v="0.4"/>
    <n v="0.15"/>
    <n v="0.56999999999999995"/>
    <n v="0.28000000000000003"/>
    <n v="0.92"/>
    <n v="0.57999999999999996"/>
    <n v="0.59"/>
    <n v="0.35"/>
    <n v="0.05"/>
    <x v="2"/>
    <s v="High Exposure"/>
  </r>
  <r>
    <x v="9"/>
    <x v="247"/>
    <n v="28"/>
    <x v="3"/>
    <n v="0.42"/>
    <n v="0.57999999999999996"/>
    <x v="0"/>
    <x v="0"/>
    <n v="0.88"/>
    <n v="0.88"/>
    <n v="0.66"/>
    <n v="0.21"/>
    <n v="0.86"/>
    <n v="0.89"/>
    <n v="0.2"/>
    <n v="0.74"/>
    <n v="0.28999999999999998"/>
    <n v="0.8"/>
    <x v="0"/>
    <s v="Medium Exposure"/>
  </r>
  <r>
    <x v="2"/>
    <x v="248"/>
    <n v="18"/>
    <x v="0"/>
    <n v="0.03"/>
    <n v="1.4"/>
    <x v="83"/>
    <x v="0"/>
    <n v="0.97"/>
    <n v="0.47"/>
    <n v="0.85"/>
    <n v="0.06"/>
    <n v="0.34"/>
    <n v="7.0000000000000007E-2"/>
    <n v="0.98"/>
    <n v="0.82"/>
    <n v="0.85"/>
    <n v="0.94"/>
    <x v="0"/>
    <s v="Low Exposure"/>
  </r>
  <r>
    <x v="12"/>
    <x v="249"/>
    <n v="13"/>
    <x v="1"/>
    <n v="0.39"/>
    <n v="0.56999999999999995"/>
    <x v="48"/>
    <x v="2"/>
    <n v="0.23"/>
    <n v="0.47"/>
    <n v="0.27"/>
    <n v="0.1"/>
    <n v="0.17"/>
    <n v="0.15"/>
    <n v="0.97"/>
    <n v="0.76"/>
    <n v="0.97"/>
    <n v="0.44"/>
    <x v="2"/>
    <s v="Medium Exposure"/>
  </r>
  <r>
    <x v="6"/>
    <x v="250"/>
    <n v="22"/>
    <x v="0"/>
    <n v="0.8"/>
    <n v="0.83"/>
    <x v="71"/>
    <x v="2"/>
    <n v="0.23"/>
    <n v="0.13"/>
    <n v="0.26"/>
    <n v="0.36"/>
    <n v="0.67"/>
    <n v="0.06"/>
    <n v="0.21"/>
    <n v="0.81"/>
    <n v="0.15"/>
    <n v="0.34"/>
    <x v="0"/>
    <s v="High Exposure"/>
  </r>
  <r>
    <x v="8"/>
    <x v="251"/>
    <n v="23"/>
    <x v="3"/>
    <n v="0.15"/>
    <n v="0.57999999999999996"/>
    <x v="78"/>
    <x v="2"/>
    <n v="0.3"/>
    <n v="0.56000000000000005"/>
    <n v="0.8"/>
    <n v="0.14000000000000001"/>
    <n v="0.57999999999999996"/>
    <n v="0.51"/>
    <n v="0.14000000000000001"/>
    <n v="0.62"/>
    <n v="0.27"/>
    <n v="0.49"/>
    <x v="0"/>
    <s v="Low Exposure"/>
  </r>
  <r>
    <x v="1"/>
    <x v="252"/>
    <n v="0"/>
    <x v="2"/>
    <n v="0.46"/>
    <n v="0.81"/>
    <x v="75"/>
    <x v="1"/>
    <n v="0.06"/>
    <n v="0.42"/>
    <n v="0.46"/>
    <n v="0.73"/>
    <n v="0.56999999999999995"/>
    <n v="0.67"/>
    <n v="0.78"/>
    <n v="0.86"/>
    <n v="0.31"/>
    <n v="0.54"/>
    <x v="1"/>
    <s v="Medium Exposure"/>
  </r>
  <r>
    <x v="17"/>
    <x v="253"/>
    <n v="12"/>
    <x v="2"/>
    <n v="0.99"/>
    <n v="1.39"/>
    <x v="84"/>
    <x v="2"/>
    <n v="0.2"/>
    <n v="0.49"/>
    <n v="0.74"/>
    <n v="0.49"/>
    <n v="0.48"/>
    <n v="0.84"/>
    <n v="0.36"/>
    <n v="0.86"/>
    <n v="0.41"/>
    <n v="0.33"/>
    <x v="2"/>
    <s v="High Exposure"/>
  </r>
  <r>
    <x v="0"/>
    <x v="254"/>
    <n v="26"/>
    <x v="2"/>
    <n v="0.76"/>
    <n v="0.63"/>
    <x v="73"/>
    <x v="0"/>
    <n v="0.95"/>
    <n v="0.18"/>
    <n v="0.56999999999999995"/>
    <n v="0.57999999999999996"/>
    <n v="0.49"/>
    <n v="0.64"/>
    <n v="0.23"/>
    <n v="0.55000000000000004"/>
    <n v="0.37"/>
    <n v="0.66"/>
    <x v="0"/>
    <s v="High Exposure"/>
  </r>
  <r>
    <x v="5"/>
    <x v="255"/>
    <n v="5"/>
    <x v="2"/>
    <n v="0.85"/>
    <n v="0.67"/>
    <x v="75"/>
    <x v="1"/>
    <n v="0.49"/>
    <n v="0.41"/>
    <n v="0.9"/>
    <n v="0.6"/>
    <n v="0.57999999999999996"/>
    <n v="0.56000000000000005"/>
    <n v="0.37"/>
    <n v="0.79"/>
    <n v="0.25"/>
    <n v="0.94"/>
    <x v="1"/>
    <s v="High Exposure"/>
  </r>
  <r>
    <x v="11"/>
    <x v="256"/>
    <n v="26"/>
    <x v="2"/>
    <n v="0.34"/>
    <n v="1.23"/>
    <x v="68"/>
    <x v="2"/>
    <n v="0.34"/>
    <n v="0.99"/>
    <n v="0.03"/>
    <n v="0.25"/>
    <n v="0.52"/>
    <n v="0.52"/>
    <n v="0.59"/>
    <n v="0.75"/>
    <n v="0.62"/>
    <n v="0.6"/>
    <x v="0"/>
    <s v="Medium Exposure"/>
  </r>
  <r>
    <x v="10"/>
    <x v="257"/>
    <n v="19"/>
    <x v="3"/>
    <n v="0.38"/>
    <n v="0.73"/>
    <x v="6"/>
    <x v="2"/>
    <n v="0.55000000000000004"/>
    <n v="0.2"/>
    <n v="0.28999999999999998"/>
    <n v="0.24"/>
    <n v="0.95"/>
    <n v="0.94"/>
    <n v="0.61"/>
    <n v="0.92"/>
    <n v="0.79"/>
    <n v="0.59"/>
    <x v="0"/>
    <s v="Medium Exposure"/>
  </r>
  <r>
    <x v="10"/>
    <x v="258"/>
    <n v="16"/>
    <x v="0"/>
    <n v="0.77"/>
    <n v="1.2"/>
    <x v="33"/>
    <x v="2"/>
    <n v="0.76"/>
    <n v="0.51"/>
    <n v="0.7"/>
    <n v="0.94"/>
    <n v="0.38"/>
    <n v="0.71"/>
    <n v="0.48"/>
    <n v="0.67"/>
    <n v="0.76"/>
    <n v="0.05"/>
    <x v="0"/>
    <s v="High Exposure"/>
  </r>
  <r>
    <x v="12"/>
    <x v="259"/>
    <n v="7"/>
    <x v="2"/>
    <n v="0.23"/>
    <n v="1.17"/>
    <x v="78"/>
    <x v="2"/>
    <n v="0.77"/>
    <n v="0.12"/>
    <n v="0.63"/>
    <n v="0.28000000000000003"/>
    <n v="0.85"/>
    <n v="0.93"/>
    <n v="1"/>
    <n v="0.8"/>
    <n v="0.75"/>
    <n v="0.22"/>
    <x v="2"/>
    <s v="Low Exposure"/>
  </r>
  <r>
    <x v="14"/>
    <x v="260"/>
    <n v="14"/>
    <x v="0"/>
    <n v="0.47"/>
    <n v="1.27"/>
    <x v="17"/>
    <x v="0"/>
    <n v="0.19"/>
    <n v="0.92"/>
    <n v="0.7"/>
    <n v="0.61"/>
    <n v="0.2"/>
    <n v="0.06"/>
    <n v="0.56999999999999995"/>
    <n v="0.65"/>
    <n v="0.21"/>
    <n v="0.56000000000000005"/>
    <x v="2"/>
    <s v="Medium Exposure"/>
  </r>
  <r>
    <x v="13"/>
    <x v="261"/>
    <n v="20"/>
    <x v="3"/>
    <n v="0.84"/>
    <n v="1.43"/>
    <x v="84"/>
    <x v="2"/>
    <n v="0.32"/>
    <n v="0.75"/>
    <n v="0.43"/>
    <n v="0.09"/>
    <n v="0.28000000000000003"/>
    <n v="0.42"/>
    <n v="0.28999999999999998"/>
    <n v="0.33"/>
    <n v="0.28999999999999998"/>
    <n v="0.04"/>
    <x v="0"/>
    <s v="High Exposure"/>
  </r>
  <r>
    <x v="10"/>
    <x v="262"/>
    <n v="27"/>
    <x v="0"/>
    <n v="0.6"/>
    <n v="1.1499999999999999"/>
    <x v="48"/>
    <x v="2"/>
    <n v="0.3"/>
    <n v="0.62"/>
    <n v="0.6"/>
    <n v="0.51"/>
    <n v="0.35"/>
    <n v="0.91"/>
    <n v="0.34"/>
    <n v="0.46"/>
    <n v="0.68"/>
    <n v="0.54"/>
    <x v="0"/>
    <s v="Medium Exposure"/>
  </r>
  <r>
    <x v="3"/>
    <x v="263"/>
    <n v="22"/>
    <x v="2"/>
    <n v="0.44"/>
    <n v="1.29"/>
    <x v="6"/>
    <x v="2"/>
    <n v="0.14000000000000001"/>
    <n v="0.31"/>
    <n v="0.85"/>
    <n v="0.09"/>
    <n v="0.99"/>
    <n v="0.54"/>
    <n v="0.98"/>
    <n v="0.94"/>
    <n v="0.45"/>
    <n v="0.2"/>
    <x v="0"/>
    <s v="Medium Exposure"/>
  </r>
  <r>
    <x v="8"/>
    <x v="264"/>
    <n v="14"/>
    <x v="1"/>
    <n v="0.16"/>
    <n v="1.1000000000000001"/>
    <x v="46"/>
    <x v="2"/>
    <n v="0.97"/>
    <n v="0.45"/>
    <n v="0.5"/>
    <n v="0.25"/>
    <n v="0.47"/>
    <n v="0.66"/>
    <n v="0.75"/>
    <n v="0.75"/>
    <n v="0.57999999999999996"/>
    <n v="0.9"/>
    <x v="2"/>
    <s v="Low Exposure"/>
  </r>
  <r>
    <x v="12"/>
    <x v="265"/>
    <n v="2"/>
    <x v="1"/>
    <n v="0.76"/>
    <n v="0.56000000000000005"/>
    <x v="85"/>
    <x v="1"/>
    <n v="0.21"/>
    <n v="0.66"/>
    <n v="0.41"/>
    <n v="0.4"/>
    <n v="0.88"/>
    <n v="0.9"/>
    <n v="0.91"/>
    <n v="0.31"/>
    <n v="0.69"/>
    <n v="0.27"/>
    <x v="1"/>
    <s v="High Exposure"/>
  </r>
  <r>
    <x v="14"/>
    <x v="266"/>
    <n v="1"/>
    <x v="2"/>
    <n v="0.18"/>
    <n v="0.84"/>
    <x v="2"/>
    <x v="0"/>
    <n v="0.83"/>
    <n v="0.12"/>
    <n v="0.73"/>
    <n v="0.53"/>
    <n v="0.28999999999999998"/>
    <n v="0.49"/>
    <n v="0.3"/>
    <n v="0.6"/>
    <n v="0.43"/>
    <n v="0.16"/>
    <x v="1"/>
    <s v="Low Exposure"/>
  </r>
  <r>
    <x v="1"/>
    <x v="267"/>
    <n v="25"/>
    <x v="1"/>
    <n v="0.55000000000000004"/>
    <n v="1.4"/>
    <x v="41"/>
    <x v="1"/>
    <n v="0.73"/>
    <n v="0.66"/>
    <n v="0.93"/>
    <n v="0.82"/>
    <n v="0.56999999999999995"/>
    <n v="0.66"/>
    <n v="0.9"/>
    <n v="0.4"/>
    <n v="0.33"/>
    <n v="0.01"/>
    <x v="0"/>
    <s v="Medium Exposure"/>
  </r>
  <r>
    <x v="12"/>
    <x v="268"/>
    <n v="10"/>
    <x v="2"/>
    <n v="0.8"/>
    <n v="0.6"/>
    <x v="68"/>
    <x v="2"/>
    <n v="0.46"/>
    <n v="0.12"/>
    <n v="0.98"/>
    <n v="0.21"/>
    <n v="7.0000000000000007E-2"/>
    <n v="0.59"/>
    <n v="0.74"/>
    <n v="0.03"/>
    <n v="0.66"/>
    <n v="0.53"/>
    <x v="2"/>
    <s v="High Exposure"/>
  </r>
  <r>
    <x v="1"/>
    <x v="269"/>
    <n v="6"/>
    <x v="0"/>
    <n v="0.17"/>
    <n v="1.07"/>
    <x v="54"/>
    <x v="1"/>
    <n v="0.94"/>
    <n v="0.82"/>
    <n v="0.98"/>
    <n v="0.26"/>
    <n v="0.97"/>
    <n v="0.43"/>
    <n v="0.35"/>
    <n v="0.05"/>
    <n v="0.05"/>
    <n v="0.69"/>
    <x v="2"/>
    <s v="Low Exposure"/>
  </r>
  <r>
    <x v="5"/>
    <x v="270"/>
    <n v="21"/>
    <x v="3"/>
    <n v="0.23"/>
    <n v="1.1100000000000001"/>
    <x v="37"/>
    <x v="1"/>
    <n v="0.57999999999999996"/>
    <n v="0.36"/>
    <n v="0.82"/>
    <n v="0.82"/>
    <n v="0.48"/>
    <n v="0.35"/>
    <n v="0.36"/>
    <n v="0.81"/>
    <n v="0.33"/>
    <n v="0.21"/>
    <x v="0"/>
    <s v="Low Exposure"/>
  </r>
  <r>
    <x v="10"/>
    <x v="271"/>
    <n v="5"/>
    <x v="1"/>
    <n v="0.47"/>
    <n v="0.98"/>
    <x v="4"/>
    <x v="2"/>
    <n v="0.22"/>
    <n v="0.38"/>
    <n v="0.81"/>
    <n v="0.82"/>
    <n v="0.38"/>
    <n v="0.46"/>
    <n v="0.3"/>
    <n v="0.93"/>
    <n v="0.12"/>
    <n v="0.93"/>
    <x v="1"/>
    <s v="Medium Exposure"/>
  </r>
  <r>
    <x v="7"/>
    <x v="272"/>
    <n v="24"/>
    <x v="0"/>
    <n v="0.6"/>
    <n v="1.44"/>
    <x v="61"/>
    <x v="1"/>
    <n v="0.25"/>
    <n v="0.65"/>
    <n v="0.62"/>
    <n v="0.33"/>
    <n v="0.93"/>
    <n v="0.84"/>
    <n v="0.22"/>
    <n v="0.24"/>
    <n v="0.51"/>
    <n v="0.77"/>
    <x v="0"/>
    <s v="Medium Exposure"/>
  </r>
  <r>
    <x v="13"/>
    <x v="273"/>
    <n v="11"/>
    <x v="2"/>
    <n v="0.69"/>
    <n v="1.1499999999999999"/>
    <x v="65"/>
    <x v="2"/>
    <n v="0.68"/>
    <n v="0.94"/>
    <n v="0.05"/>
    <n v="0.32"/>
    <n v="0.44"/>
    <n v="0.9"/>
    <n v="0.96"/>
    <n v="0.44"/>
    <n v="0.75"/>
    <n v="0.53"/>
    <x v="2"/>
    <s v="Medium Exposure"/>
  </r>
  <r>
    <x v="15"/>
    <x v="274"/>
    <n v="13"/>
    <x v="1"/>
    <n v="0.28000000000000003"/>
    <n v="0.72"/>
    <x v="54"/>
    <x v="1"/>
    <n v="0.56000000000000005"/>
    <n v="0.03"/>
    <n v="0.91"/>
    <n v="0.16"/>
    <n v="0.22"/>
    <n v="0.52"/>
    <n v="0.71"/>
    <n v="0.1"/>
    <n v="0.32"/>
    <n v="0.97"/>
    <x v="2"/>
    <s v="Low Exposure"/>
  </r>
  <r>
    <x v="19"/>
    <x v="275"/>
    <n v="8"/>
    <x v="3"/>
    <n v="0.31"/>
    <n v="1.34"/>
    <x v="86"/>
    <x v="2"/>
    <n v="0.46"/>
    <n v="0.38"/>
    <n v="0.32"/>
    <n v="0.28999999999999998"/>
    <n v="0.09"/>
    <n v="0.31"/>
    <n v="0.04"/>
    <n v="0.78"/>
    <n v="0.4"/>
    <n v="0.44"/>
    <x v="2"/>
    <s v="Medium Exposure"/>
  </r>
  <r>
    <x v="13"/>
    <x v="276"/>
    <n v="12"/>
    <x v="2"/>
    <n v="0.66"/>
    <n v="0.51"/>
    <x v="26"/>
    <x v="2"/>
    <n v="0.24"/>
    <n v="0.11"/>
    <n v="0.77"/>
    <n v="0.5"/>
    <n v="0.43"/>
    <n v="0.25"/>
    <n v="0.55000000000000004"/>
    <n v="0.27"/>
    <n v="0.9"/>
    <n v="0.22"/>
    <x v="2"/>
    <s v="Medium Exposure"/>
  </r>
  <r>
    <x v="4"/>
    <x v="277"/>
    <n v="26"/>
    <x v="3"/>
    <n v="0.56000000000000005"/>
    <n v="1.33"/>
    <x v="31"/>
    <x v="2"/>
    <n v="0.7"/>
    <n v="0.32"/>
    <n v="0.23"/>
    <n v="0.21"/>
    <n v="0.86"/>
    <n v="0.82"/>
    <n v="0.44"/>
    <n v="0.13"/>
    <n v="0.38"/>
    <n v="0.62"/>
    <x v="0"/>
    <s v="Medium Exposure"/>
  </r>
  <r>
    <x v="12"/>
    <x v="278"/>
    <n v="26"/>
    <x v="2"/>
    <n v="0.78"/>
    <n v="1.5"/>
    <x v="48"/>
    <x v="2"/>
    <n v="0.46"/>
    <n v="0.43"/>
    <n v="0.3"/>
    <n v="0.2"/>
    <n v="7.0000000000000007E-2"/>
    <n v="0.89"/>
    <n v="0.42"/>
    <n v="0.5"/>
    <n v="0.92"/>
    <n v="0.78"/>
    <x v="0"/>
    <s v="High Exposure"/>
  </r>
  <r>
    <x v="12"/>
    <x v="279"/>
    <n v="12"/>
    <x v="2"/>
    <n v="0.56999999999999995"/>
    <n v="0.94"/>
    <x v="69"/>
    <x v="2"/>
    <n v="0.72"/>
    <n v="0.69"/>
    <n v="0.34"/>
    <n v="0.8"/>
    <n v="0.05"/>
    <n v="0.16"/>
    <n v="0.34"/>
    <n v="0.08"/>
    <n v="0.23"/>
    <n v="0.83"/>
    <x v="2"/>
    <s v="Medium Exposure"/>
  </r>
  <r>
    <x v="13"/>
    <x v="280"/>
    <n v="12"/>
    <x v="0"/>
    <n v="0.3"/>
    <n v="0.76"/>
    <x v="6"/>
    <x v="2"/>
    <n v="0.28000000000000003"/>
    <n v="0.04"/>
    <n v="0.93"/>
    <n v="0.21"/>
    <n v="0.42"/>
    <n v="0.01"/>
    <n v="0.86"/>
    <n v="0.73"/>
    <n v="0.95"/>
    <n v="0.78"/>
    <x v="2"/>
    <s v="Medium Exposure"/>
  </r>
  <r>
    <x v="6"/>
    <x v="281"/>
    <n v="14"/>
    <x v="1"/>
    <n v="0.25"/>
    <n v="1.2"/>
    <x v="84"/>
    <x v="2"/>
    <n v="0.56999999999999995"/>
    <n v="0.01"/>
    <n v="0.06"/>
    <n v="0.54"/>
    <n v="0.56999999999999995"/>
    <n v="0.75"/>
    <n v="0.13"/>
    <n v="0.51"/>
    <n v="0.19"/>
    <n v="0.09"/>
    <x v="2"/>
    <s v="Low Exposure"/>
  </r>
  <r>
    <x v="8"/>
    <x v="282"/>
    <n v="29"/>
    <x v="2"/>
    <n v="0.16"/>
    <n v="0.72"/>
    <x v="87"/>
    <x v="2"/>
    <n v="0.26"/>
    <n v="0.09"/>
    <n v="0.09"/>
    <n v="0.19"/>
    <n v="0.05"/>
    <n v="0.63"/>
    <n v="0.28999999999999998"/>
    <n v="0.28000000000000003"/>
    <n v="0.33"/>
    <n v="0.66"/>
    <x v="0"/>
    <s v="Low Exposure"/>
  </r>
  <r>
    <x v="6"/>
    <x v="283"/>
    <n v="28"/>
    <x v="0"/>
    <n v="0.44"/>
    <n v="0.83"/>
    <x v="36"/>
    <x v="2"/>
    <n v="0.53"/>
    <n v="0.16"/>
    <n v="0.56999999999999995"/>
    <n v="0.81"/>
    <n v="0.76"/>
    <n v="0.15"/>
    <n v="0.15"/>
    <n v="0.27"/>
    <n v="0.36"/>
    <n v="0.41"/>
    <x v="0"/>
    <s v="Medium Exposure"/>
  </r>
  <r>
    <x v="1"/>
    <x v="284"/>
    <n v="17"/>
    <x v="1"/>
    <n v="0.06"/>
    <n v="0.53"/>
    <x v="18"/>
    <x v="1"/>
    <n v="0.7"/>
    <n v="0.19"/>
    <n v="0.64"/>
    <n v="0.26"/>
    <n v="0.89"/>
    <n v="0.9"/>
    <n v="0.3"/>
    <n v="0.23"/>
    <n v="0.41"/>
    <n v="0.24"/>
    <x v="0"/>
    <s v="Low Exposure"/>
  </r>
  <r>
    <x v="8"/>
    <x v="285"/>
    <n v="14"/>
    <x v="2"/>
    <n v="0.83"/>
    <n v="1.17"/>
    <x v="12"/>
    <x v="2"/>
    <n v="0.4"/>
    <n v="0.16"/>
    <n v="0.74"/>
    <n v="0.36"/>
    <n v="0.67"/>
    <n v="0.27"/>
    <n v="0.08"/>
    <n v="0.99"/>
    <n v="0.16"/>
    <n v="0.99"/>
    <x v="2"/>
    <s v="High Exposure"/>
  </r>
  <r>
    <x v="4"/>
    <x v="286"/>
    <n v="9"/>
    <x v="1"/>
    <n v="0.79"/>
    <n v="1.1599999999999999"/>
    <x v="68"/>
    <x v="2"/>
    <n v="0.87"/>
    <n v="0.28999999999999998"/>
    <n v="0.47"/>
    <n v="0.62"/>
    <n v="0.41"/>
    <n v="0.43"/>
    <n v="0.33"/>
    <n v="0.56000000000000005"/>
    <n v="0.85"/>
    <n v="0.2"/>
    <x v="2"/>
    <s v="High Exposure"/>
  </r>
  <r>
    <x v="13"/>
    <x v="287"/>
    <n v="10"/>
    <x v="0"/>
    <n v="0.28000000000000003"/>
    <n v="0.63"/>
    <x v="55"/>
    <x v="2"/>
    <n v="0.6"/>
    <n v="0.52"/>
    <n v="0.25"/>
    <n v="0.47"/>
    <n v="0.49"/>
    <n v="0.2"/>
    <n v="0.65"/>
    <n v="0.78"/>
    <n v="0.79"/>
    <n v="0.6"/>
    <x v="2"/>
    <s v="Low Exposure"/>
  </r>
  <r>
    <x v="3"/>
    <x v="288"/>
    <n v="11"/>
    <x v="0"/>
    <n v="0.06"/>
    <n v="0.79"/>
    <x v="55"/>
    <x v="2"/>
    <n v="0.96"/>
    <n v="0.14000000000000001"/>
    <n v="0.15"/>
    <n v="0.89"/>
    <n v="0.94"/>
    <n v="0.77"/>
    <n v="0.01"/>
    <n v="0"/>
    <n v="0.38"/>
    <n v="0.14000000000000001"/>
    <x v="2"/>
    <s v="Low Exposure"/>
  </r>
  <r>
    <x v="17"/>
    <x v="289"/>
    <n v="28"/>
    <x v="2"/>
    <n v="0.46"/>
    <n v="1.44"/>
    <x v="87"/>
    <x v="2"/>
    <n v="0.66"/>
    <n v="0.65"/>
    <n v="0.25"/>
    <n v="0.65"/>
    <n v="0.21"/>
    <n v="0.12"/>
    <n v="0.7"/>
    <n v="0.11"/>
    <n v="1"/>
    <n v="0.18"/>
    <x v="0"/>
    <s v="Medium Exposure"/>
  </r>
  <r>
    <x v="0"/>
    <x v="290"/>
    <n v="1"/>
    <x v="1"/>
    <n v="0.41"/>
    <n v="0.63"/>
    <x v="76"/>
    <x v="0"/>
    <n v="0.62"/>
    <n v="0.81"/>
    <n v="0.84"/>
    <n v="0.48"/>
    <n v="0.78"/>
    <n v="0.67"/>
    <n v="0.72"/>
    <n v="0.49"/>
    <n v="0.63"/>
    <n v="0.81"/>
    <x v="1"/>
    <s v="Medium Exposure"/>
  </r>
  <r>
    <x v="3"/>
    <x v="291"/>
    <n v="28"/>
    <x v="2"/>
    <n v="0.81"/>
    <n v="1.0900000000000001"/>
    <x v="49"/>
    <x v="2"/>
    <n v="0.02"/>
    <n v="0.36"/>
    <n v="0.55000000000000004"/>
    <n v="0.84"/>
    <n v="0.13"/>
    <n v="0.8"/>
    <n v="0.86"/>
    <n v="0.15"/>
    <n v="0.85"/>
    <n v="0.99"/>
    <x v="0"/>
    <s v="High Exposure"/>
  </r>
  <r>
    <x v="9"/>
    <x v="292"/>
    <n v="13"/>
    <x v="2"/>
    <n v="0.78"/>
    <n v="1.49"/>
    <x v="0"/>
    <x v="0"/>
    <n v="0.31"/>
    <n v="0.84"/>
    <n v="0.61"/>
    <n v="0.57999999999999996"/>
    <n v="0.25"/>
    <n v="0.76"/>
    <n v="0.08"/>
    <n v="0.92"/>
    <n v="0.33"/>
    <n v="0.13"/>
    <x v="2"/>
    <s v="High Exposure"/>
  </r>
  <r>
    <x v="6"/>
    <x v="293"/>
    <n v="13"/>
    <x v="2"/>
    <n v="0.73"/>
    <n v="0.82"/>
    <x v="64"/>
    <x v="2"/>
    <n v="0.56000000000000005"/>
    <n v="0.34"/>
    <n v="0.13"/>
    <n v="0.09"/>
    <n v="0.83"/>
    <n v="0.92"/>
    <n v="0.65"/>
    <n v="0.1"/>
    <n v="0.4"/>
    <n v="0.73"/>
    <x v="2"/>
    <s v="High Exposure"/>
  </r>
  <r>
    <x v="2"/>
    <x v="294"/>
    <n v="13"/>
    <x v="1"/>
    <n v="0.12"/>
    <n v="0.5"/>
    <x v="51"/>
    <x v="0"/>
    <n v="0.36"/>
    <n v="0.25"/>
    <n v="0.01"/>
    <n v="0.54"/>
    <n v="0.85"/>
    <n v="0.96"/>
    <n v="0.56999999999999995"/>
    <n v="0.51"/>
    <n v="0.09"/>
    <n v="0.55000000000000004"/>
    <x v="2"/>
    <s v="Low Exposure"/>
  </r>
  <r>
    <x v="18"/>
    <x v="295"/>
    <n v="1"/>
    <x v="3"/>
    <n v="0.61"/>
    <n v="0.89"/>
    <x v="37"/>
    <x v="1"/>
    <n v="0.09"/>
    <n v="0.31"/>
    <n v="0.1"/>
    <n v="0.18"/>
    <n v="0.99"/>
    <n v="0.44"/>
    <n v="0.53"/>
    <n v="0.87"/>
    <n v="1"/>
    <n v="0.57999999999999996"/>
    <x v="1"/>
    <s v="Medium Exposure"/>
  </r>
  <r>
    <x v="13"/>
    <x v="296"/>
    <n v="25"/>
    <x v="2"/>
    <n v="0.48"/>
    <n v="0.82"/>
    <x v="11"/>
    <x v="2"/>
    <n v="0.86"/>
    <n v="0.59"/>
    <n v="0.69"/>
    <n v="0.36"/>
    <n v="0.74"/>
    <n v="0.67"/>
    <n v="0.12"/>
    <n v="0.56999999999999995"/>
    <n v="0.26"/>
    <n v="0.8"/>
    <x v="0"/>
    <s v="Medium Exposure"/>
  </r>
  <r>
    <x v="5"/>
    <x v="297"/>
    <n v="21"/>
    <x v="1"/>
    <n v="0.99"/>
    <n v="0.59"/>
    <x v="88"/>
    <x v="1"/>
    <n v="0.67"/>
    <n v="0.77"/>
    <n v="0.31"/>
    <n v="0.49"/>
    <n v="0.8"/>
    <n v="0.23"/>
    <n v="0.23"/>
    <n v="0.55000000000000004"/>
    <n v="0.52"/>
    <n v="0.28000000000000003"/>
    <x v="0"/>
    <s v="High Exposure"/>
  </r>
  <r>
    <x v="7"/>
    <x v="298"/>
    <n v="10"/>
    <x v="3"/>
    <n v="0.28000000000000003"/>
    <n v="1.27"/>
    <x v="13"/>
    <x v="1"/>
    <n v="0.83"/>
    <n v="0.98"/>
    <n v="0.47"/>
    <n v="7.0000000000000007E-2"/>
    <n v="0.05"/>
    <n v="0.3"/>
    <n v="0.93"/>
    <n v="0.52"/>
    <n v="0.27"/>
    <n v="0.4"/>
    <x v="2"/>
    <s v="Low Exposure"/>
  </r>
  <r>
    <x v="2"/>
    <x v="299"/>
    <n v="5"/>
    <x v="3"/>
    <n v="0.65"/>
    <n v="0.65"/>
    <x v="89"/>
    <x v="0"/>
    <n v="0.54"/>
    <n v="0.14000000000000001"/>
    <n v="0.89"/>
    <n v="7.0000000000000007E-2"/>
    <n v="0.91"/>
    <n v="1"/>
    <n v="0.7"/>
    <n v="0.77"/>
    <n v="0.34"/>
    <n v="0.94"/>
    <x v="1"/>
    <s v="Medium Exposure"/>
  </r>
  <r>
    <x v="17"/>
    <x v="300"/>
    <n v="13"/>
    <x v="2"/>
    <n v="0.73"/>
    <n v="1.42"/>
    <x v="66"/>
    <x v="2"/>
    <n v="0.83"/>
    <n v="0.3"/>
    <n v="0.97"/>
    <n v="0.63"/>
    <n v="0.93"/>
    <n v="0.68"/>
    <n v="0.31"/>
    <n v="0.37"/>
    <n v="0.55000000000000004"/>
    <n v="0.79"/>
    <x v="2"/>
    <s v="High Exposure"/>
  </r>
  <r>
    <x v="16"/>
    <x v="301"/>
    <n v="27"/>
    <x v="0"/>
    <n v="0.57999999999999996"/>
    <n v="0.85"/>
    <x v="40"/>
    <x v="0"/>
    <n v="0.47"/>
    <n v="0.08"/>
    <n v="0.17"/>
    <n v="0.06"/>
    <n v="0.5"/>
    <n v="0.11"/>
    <n v="0.11"/>
    <n v="0.94"/>
    <n v="0.87"/>
    <n v="0.45"/>
    <x v="0"/>
    <s v="Medium Exposure"/>
  </r>
  <r>
    <x v="3"/>
    <x v="302"/>
    <n v="18"/>
    <x v="0"/>
    <n v="0"/>
    <n v="1.1100000000000001"/>
    <x v="33"/>
    <x v="2"/>
    <n v="0.46"/>
    <n v="0.4"/>
    <n v="0.46"/>
    <n v="0.41"/>
    <n v="0.73"/>
    <n v="0.14000000000000001"/>
    <n v="0.2"/>
    <n v="0.18"/>
    <n v="0.26"/>
    <n v="0.53"/>
    <x v="0"/>
    <s v="Low Exposure"/>
  </r>
  <r>
    <x v="0"/>
    <x v="303"/>
    <n v="5"/>
    <x v="2"/>
    <n v="0.87"/>
    <n v="0.8"/>
    <x v="44"/>
    <x v="0"/>
    <n v="0.68"/>
    <n v="0.04"/>
    <n v="0.62"/>
    <n v="0.7"/>
    <n v="0.21"/>
    <n v="0.04"/>
    <n v="0.36"/>
    <n v="0.1"/>
    <n v="0.12"/>
    <n v="0.25"/>
    <x v="1"/>
    <s v="High Exposure"/>
  </r>
  <r>
    <x v="10"/>
    <x v="304"/>
    <n v="17"/>
    <x v="3"/>
    <n v="0.53"/>
    <n v="1.18"/>
    <x v="22"/>
    <x v="2"/>
    <n v="0.15"/>
    <n v="0.17"/>
    <n v="0.88"/>
    <n v="0.56000000000000005"/>
    <n v="0.87"/>
    <n v="0.37"/>
    <n v="0.61"/>
    <n v="0.52"/>
    <n v="0.32"/>
    <n v="0.47"/>
    <x v="0"/>
    <s v="Medium Exposure"/>
  </r>
  <r>
    <x v="9"/>
    <x v="305"/>
    <n v="3"/>
    <x v="0"/>
    <n v="0.2"/>
    <n v="0.82"/>
    <x v="40"/>
    <x v="0"/>
    <n v="0.92"/>
    <n v="0.36"/>
    <n v="0.31"/>
    <n v="0.2"/>
    <n v="0.68"/>
    <n v="0.32"/>
    <n v="0.99"/>
    <n v="0.33"/>
    <n v="0.39"/>
    <n v="0.6"/>
    <x v="1"/>
    <s v="Low Exposure"/>
  </r>
  <r>
    <x v="13"/>
    <x v="306"/>
    <n v="21"/>
    <x v="1"/>
    <n v="0.47"/>
    <n v="0.92"/>
    <x v="58"/>
    <x v="2"/>
    <n v="0.01"/>
    <n v="0.9"/>
    <n v="0.15"/>
    <n v="0.79"/>
    <n v="0.62"/>
    <n v="0.34"/>
    <n v="0.87"/>
    <n v="0.01"/>
    <n v="0.23"/>
    <n v="0.56999999999999995"/>
    <x v="0"/>
    <s v="Medium Exposure"/>
  </r>
  <r>
    <x v="6"/>
    <x v="307"/>
    <n v="14"/>
    <x v="1"/>
    <n v="0.61"/>
    <n v="0.52"/>
    <x v="53"/>
    <x v="2"/>
    <n v="0.13"/>
    <n v="0.19"/>
    <n v="0.46"/>
    <n v="0.75"/>
    <n v="0.91"/>
    <n v="0.84"/>
    <n v="0.2"/>
    <n v="0.44"/>
    <n v="0.2"/>
    <n v="0.26"/>
    <x v="2"/>
    <s v="Medium Exposure"/>
  </r>
  <r>
    <x v="14"/>
    <x v="308"/>
    <n v="28"/>
    <x v="1"/>
    <n v="7.0000000000000007E-2"/>
    <n v="0.72"/>
    <x v="17"/>
    <x v="0"/>
    <n v="0.47"/>
    <n v="0.45"/>
    <n v="0.01"/>
    <n v="0.25"/>
    <n v="0.87"/>
    <n v="0.16"/>
    <n v="0.42"/>
    <n v="0.01"/>
    <n v="0.48"/>
    <n v="0.02"/>
    <x v="0"/>
    <s v="Low Exposure"/>
  </r>
  <r>
    <x v="19"/>
    <x v="309"/>
    <n v="4"/>
    <x v="0"/>
    <n v="0.6"/>
    <n v="1.26"/>
    <x v="50"/>
    <x v="2"/>
    <n v="0.23"/>
    <n v="0.67"/>
    <n v="0.08"/>
    <n v="0.44"/>
    <n v="0.16"/>
    <n v="0.18"/>
    <n v="0.2"/>
    <n v="0.39"/>
    <n v="0.05"/>
    <n v="0.4"/>
    <x v="1"/>
    <s v="Medium Exposure"/>
  </r>
  <r>
    <x v="15"/>
    <x v="310"/>
    <n v="28"/>
    <x v="0"/>
    <n v="0.48"/>
    <n v="0.88"/>
    <x v="75"/>
    <x v="1"/>
    <n v="0.15"/>
    <n v="0.51"/>
    <n v="0.06"/>
    <n v="7.0000000000000007E-2"/>
    <n v="0.56999999999999995"/>
    <n v="0.56999999999999995"/>
    <n v="0.88"/>
    <n v="0.56000000000000005"/>
    <n v="0.96"/>
    <n v="0.05"/>
    <x v="0"/>
    <s v="Medium Exposure"/>
  </r>
  <r>
    <x v="3"/>
    <x v="311"/>
    <n v="6"/>
    <x v="2"/>
    <n v="0.04"/>
    <n v="0.69"/>
    <x v="43"/>
    <x v="2"/>
    <n v="0.65"/>
    <n v="0.05"/>
    <n v="0.95"/>
    <n v="0.84"/>
    <n v="0.3"/>
    <n v="0.08"/>
    <n v="0.17"/>
    <n v="0.13"/>
    <n v="0.12"/>
    <n v="0.52"/>
    <x v="2"/>
    <s v="Low Exposure"/>
  </r>
  <r>
    <x v="8"/>
    <x v="312"/>
    <n v="22"/>
    <x v="3"/>
    <n v="0.99"/>
    <n v="1.18"/>
    <x v="26"/>
    <x v="2"/>
    <n v="0.14000000000000001"/>
    <n v="0.38"/>
    <n v="0.55000000000000004"/>
    <n v="0.08"/>
    <n v="0"/>
    <n v="0.67"/>
    <n v="0.64"/>
    <n v="0.41"/>
    <n v="0.49"/>
    <n v="0.42"/>
    <x v="0"/>
    <s v="High Exposure"/>
  </r>
  <r>
    <x v="4"/>
    <x v="313"/>
    <n v="27"/>
    <x v="1"/>
    <n v="0.34"/>
    <n v="0.68"/>
    <x v="55"/>
    <x v="2"/>
    <n v="0.96"/>
    <n v="0.6"/>
    <n v="0.73"/>
    <n v="0.32"/>
    <n v="0.39"/>
    <n v="0.24"/>
    <n v="0.1"/>
    <n v="0.18"/>
    <n v="0.8"/>
    <n v="0.68"/>
    <x v="0"/>
    <s v="Medium Exposure"/>
  </r>
  <r>
    <x v="8"/>
    <x v="314"/>
    <n v="12"/>
    <x v="3"/>
    <n v="0.48"/>
    <n v="1.42"/>
    <x v="20"/>
    <x v="2"/>
    <n v="0.28000000000000003"/>
    <n v="0.35"/>
    <n v="0.78"/>
    <n v="0.99"/>
    <n v="0.24"/>
    <n v="0.87"/>
    <n v="0.83"/>
    <n v="0.22"/>
    <n v="0.4"/>
    <n v="0.41"/>
    <x v="2"/>
    <s v="Medium Exposure"/>
  </r>
  <r>
    <x v="7"/>
    <x v="315"/>
    <n v="21"/>
    <x v="3"/>
    <n v="0.18"/>
    <n v="1.3"/>
    <x v="61"/>
    <x v="1"/>
    <n v="0.73"/>
    <n v="0.42"/>
    <n v="0.57999999999999996"/>
    <n v="0.83"/>
    <n v="0.8"/>
    <n v="0.87"/>
    <n v="0.06"/>
    <n v="0.69"/>
    <n v="0.14000000000000001"/>
    <n v="0.42"/>
    <x v="0"/>
    <s v="Low Exposure"/>
  </r>
  <r>
    <x v="17"/>
    <x v="316"/>
    <n v="5"/>
    <x v="0"/>
    <n v="0.4"/>
    <n v="1.02"/>
    <x v="58"/>
    <x v="2"/>
    <n v="0.14000000000000001"/>
    <n v="0.68"/>
    <n v="0.4"/>
    <n v="0.13"/>
    <n v="0.16"/>
    <n v="0.95"/>
    <n v="0.88"/>
    <n v="0.91"/>
    <n v="0.99"/>
    <n v="0.21"/>
    <x v="1"/>
    <s v="Medium Exposure"/>
  </r>
  <r>
    <x v="5"/>
    <x v="317"/>
    <n v="18"/>
    <x v="1"/>
    <n v="0.67"/>
    <n v="0.98"/>
    <x v="18"/>
    <x v="1"/>
    <n v="0.36"/>
    <n v="0.59"/>
    <n v="0.57999999999999996"/>
    <n v="0.16"/>
    <n v="0.47"/>
    <n v="0.55000000000000004"/>
    <n v="0.56999999999999995"/>
    <n v="0.21"/>
    <n v="0.74"/>
    <n v="0.03"/>
    <x v="0"/>
    <s v="Medium Exposure"/>
  </r>
  <r>
    <x v="9"/>
    <x v="318"/>
    <n v="6"/>
    <x v="3"/>
    <n v="0.78"/>
    <n v="1.06"/>
    <x v="62"/>
    <x v="0"/>
    <n v="0.69"/>
    <n v="0.56999999999999995"/>
    <n v="0.8"/>
    <n v="0.74"/>
    <n v="0.61"/>
    <n v="0.49"/>
    <n v="0.13"/>
    <n v="0.26"/>
    <n v="0.42"/>
    <n v="0.6"/>
    <x v="2"/>
    <s v="High Exposure"/>
  </r>
  <r>
    <x v="1"/>
    <x v="319"/>
    <n v="1"/>
    <x v="1"/>
    <n v="0.28999999999999998"/>
    <n v="0.51"/>
    <x v="7"/>
    <x v="1"/>
    <n v="0.28999999999999998"/>
    <n v="0.73"/>
    <n v="0.02"/>
    <n v="0.57999999999999996"/>
    <n v="0.94"/>
    <n v="0.17"/>
    <n v="0.47"/>
    <n v="0.09"/>
    <n v="0.63"/>
    <n v="0.55000000000000004"/>
    <x v="1"/>
    <s v="Low Exposure"/>
  </r>
  <r>
    <x v="10"/>
    <x v="320"/>
    <n v="23"/>
    <x v="2"/>
    <n v="0.52"/>
    <n v="1.4"/>
    <x v="48"/>
    <x v="2"/>
    <n v="0.02"/>
    <n v="0.86"/>
    <n v="0.57999999999999996"/>
    <n v="0.89"/>
    <n v="0.6"/>
    <n v="0.81"/>
    <n v="0.43"/>
    <n v="0.75"/>
    <n v="0.91"/>
    <n v="0.56999999999999995"/>
    <x v="0"/>
    <s v="Medium Exposure"/>
  </r>
  <r>
    <x v="2"/>
    <x v="321"/>
    <n v="1"/>
    <x v="2"/>
    <n v="0.18"/>
    <n v="1.29"/>
    <x v="9"/>
    <x v="0"/>
    <n v="0.44"/>
    <n v="0.59"/>
    <n v="0.59"/>
    <n v="7.0000000000000007E-2"/>
    <n v="0.83"/>
    <n v="0.18"/>
    <n v="0.72"/>
    <n v="0.77"/>
    <n v="0.71"/>
    <n v="0.57999999999999996"/>
    <x v="1"/>
    <s v="Low Exposure"/>
  </r>
  <r>
    <x v="16"/>
    <x v="322"/>
    <n v="19"/>
    <x v="1"/>
    <n v="0.36"/>
    <n v="1.1000000000000001"/>
    <x v="9"/>
    <x v="0"/>
    <n v="0.86"/>
    <n v="0.31"/>
    <n v="0.28999999999999998"/>
    <n v="0.27"/>
    <n v="0.33"/>
    <n v="0.56000000000000005"/>
    <n v="0.71"/>
    <n v="0.66"/>
    <n v="0.81"/>
    <n v="0.89"/>
    <x v="0"/>
    <s v="Medium Exposure"/>
  </r>
  <r>
    <x v="9"/>
    <x v="323"/>
    <n v="12"/>
    <x v="0"/>
    <n v="0.02"/>
    <n v="1.24"/>
    <x v="73"/>
    <x v="0"/>
    <n v="0.13"/>
    <n v="0.64"/>
    <n v="0.32"/>
    <n v="0.06"/>
    <n v="0.14000000000000001"/>
    <n v="0"/>
    <n v="0.9"/>
    <n v="0.02"/>
    <n v="0.21"/>
    <n v="0.42"/>
    <x v="2"/>
    <s v="Low Exposure"/>
  </r>
  <r>
    <x v="3"/>
    <x v="324"/>
    <n v="9"/>
    <x v="1"/>
    <n v="0.91"/>
    <n v="0.54"/>
    <x v="11"/>
    <x v="2"/>
    <n v="0.68"/>
    <n v="0.93"/>
    <n v="0.62"/>
    <n v="0.8"/>
    <n v="0.08"/>
    <n v="0.39"/>
    <n v="0.37"/>
    <n v="0.89"/>
    <n v="0.15"/>
    <n v="0.15"/>
    <x v="2"/>
    <s v="High Exposure"/>
  </r>
  <r>
    <x v="1"/>
    <x v="325"/>
    <n v="11"/>
    <x v="3"/>
    <n v="0.05"/>
    <n v="0.68"/>
    <x v="21"/>
    <x v="1"/>
    <n v="0.43"/>
    <n v="0.63"/>
    <n v="0.73"/>
    <n v="0.37"/>
    <n v="0.15"/>
    <n v="0.21"/>
    <n v="0.31"/>
    <n v="0.64"/>
    <n v="0.4"/>
    <n v="0.01"/>
    <x v="2"/>
    <s v="Low Exposure"/>
  </r>
  <r>
    <x v="15"/>
    <x v="326"/>
    <n v="14"/>
    <x v="1"/>
    <n v="0.92"/>
    <n v="1.31"/>
    <x v="75"/>
    <x v="1"/>
    <n v="0.8"/>
    <n v="0.32"/>
    <n v="0.77"/>
    <n v="0.14000000000000001"/>
    <n v="0.66"/>
    <n v="0.64"/>
    <n v="0.03"/>
    <n v="0.79"/>
    <n v="0.9"/>
    <n v="0.27"/>
    <x v="2"/>
    <s v="High Exposure"/>
  </r>
  <r>
    <x v="13"/>
    <x v="327"/>
    <n v="7"/>
    <x v="2"/>
    <n v="0.08"/>
    <n v="1.1000000000000001"/>
    <x v="78"/>
    <x v="2"/>
    <n v="0.55000000000000004"/>
    <n v="0.93"/>
    <n v="0.87"/>
    <n v="0.79"/>
    <n v="0.27"/>
    <n v="0.91"/>
    <n v="0.1"/>
    <n v="0.85"/>
    <n v="0.33"/>
    <n v="0.05"/>
    <x v="2"/>
    <s v="Low Exposure"/>
  </r>
  <r>
    <x v="6"/>
    <x v="328"/>
    <n v="23"/>
    <x v="3"/>
    <n v="0.23"/>
    <n v="0.74"/>
    <x v="71"/>
    <x v="2"/>
    <n v="0.06"/>
    <n v="0.18"/>
    <n v="0.01"/>
    <n v="0.45"/>
    <n v="0.08"/>
    <n v="0.68"/>
    <n v="0.24"/>
    <n v="0.94"/>
    <n v="0.87"/>
    <n v="0.28999999999999998"/>
    <x v="0"/>
    <s v="Low Exposure"/>
  </r>
  <r>
    <x v="1"/>
    <x v="329"/>
    <n v="26"/>
    <x v="3"/>
    <n v="0.8"/>
    <n v="1.49"/>
    <x v="42"/>
    <x v="1"/>
    <n v="0.08"/>
    <n v="0.65"/>
    <n v="0.62"/>
    <n v="0.64"/>
    <n v="0.31"/>
    <n v="0.86"/>
    <n v="0.96"/>
    <n v="0.22"/>
    <n v="0.09"/>
    <n v="0.19"/>
    <x v="0"/>
    <s v="High Exposure"/>
  </r>
  <r>
    <x v="2"/>
    <x v="330"/>
    <n v="10"/>
    <x v="0"/>
    <n v="0.68"/>
    <n v="1.1399999999999999"/>
    <x v="9"/>
    <x v="0"/>
    <n v="0.57999999999999996"/>
    <n v="0.31"/>
    <n v="0.48"/>
    <n v="0.79"/>
    <n v="0.98"/>
    <n v="0.93"/>
    <n v="0.93"/>
    <n v="0.4"/>
    <n v="0.47"/>
    <n v="0.71"/>
    <x v="2"/>
    <s v="Medium Exposure"/>
  </r>
  <r>
    <x v="1"/>
    <x v="331"/>
    <n v="16"/>
    <x v="2"/>
    <n v="0.3"/>
    <n v="0.64"/>
    <x v="42"/>
    <x v="1"/>
    <n v="0.31"/>
    <n v="0.33"/>
    <n v="7.0000000000000007E-2"/>
    <n v="0.35"/>
    <n v="0.86"/>
    <n v="0.23"/>
    <n v="0.7"/>
    <n v="0.63"/>
    <n v="0.86"/>
    <n v="0.13"/>
    <x v="0"/>
    <s v="Medium Exposure"/>
  </r>
  <r>
    <x v="6"/>
    <x v="332"/>
    <n v="28"/>
    <x v="1"/>
    <n v="0.14000000000000001"/>
    <n v="0.51"/>
    <x v="43"/>
    <x v="2"/>
    <n v="0.98"/>
    <n v="0.37"/>
    <n v="0.36"/>
    <n v="0.34"/>
    <n v="0.52"/>
    <n v="0.44"/>
    <n v="0.88"/>
    <n v="0.51"/>
    <n v="0.51"/>
    <n v="0.14000000000000001"/>
    <x v="0"/>
    <s v="Low Exposure"/>
  </r>
  <r>
    <x v="7"/>
    <x v="333"/>
    <n v="26"/>
    <x v="3"/>
    <n v="0.25"/>
    <n v="0.56999999999999995"/>
    <x v="29"/>
    <x v="1"/>
    <n v="0.6"/>
    <n v="0.42"/>
    <n v="0.42"/>
    <n v="0.79"/>
    <n v="0.2"/>
    <n v="0.82"/>
    <n v="0.65"/>
    <n v="0.42"/>
    <n v="0.46"/>
    <n v="0.26"/>
    <x v="0"/>
    <s v="Low Exposure"/>
  </r>
  <r>
    <x v="12"/>
    <x v="334"/>
    <n v="3"/>
    <x v="2"/>
    <n v="0.51"/>
    <n v="0.82"/>
    <x v="22"/>
    <x v="2"/>
    <n v="1"/>
    <n v="0.44"/>
    <n v="0.92"/>
    <n v="0.35"/>
    <n v="0.05"/>
    <n v="0.2"/>
    <n v="0.42"/>
    <n v="0.22"/>
    <n v="0"/>
    <n v="0.92"/>
    <x v="1"/>
    <s v="Medium Exposure"/>
  </r>
  <r>
    <x v="0"/>
    <x v="335"/>
    <n v="21"/>
    <x v="3"/>
    <n v="0.74"/>
    <n v="0.67"/>
    <x v="67"/>
    <x v="0"/>
    <n v="7.0000000000000007E-2"/>
    <n v="0.72"/>
    <n v="0.93"/>
    <n v="0.43"/>
    <n v="0.12"/>
    <n v="0.51"/>
    <n v="0.35"/>
    <n v="0.37"/>
    <n v="0.62"/>
    <n v="0.72"/>
    <x v="0"/>
    <s v="High Exposure"/>
  </r>
  <r>
    <x v="1"/>
    <x v="336"/>
    <n v="22"/>
    <x v="3"/>
    <n v="0.04"/>
    <n v="1.49"/>
    <x v="37"/>
    <x v="1"/>
    <n v="0.05"/>
    <n v="0.19"/>
    <n v="0.04"/>
    <n v="0.39"/>
    <n v="0.8"/>
    <n v="0.34"/>
    <n v="0.44"/>
    <n v="0.68"/>
    <n v="0.51"/>
    <n v="0.86"/>
    <x v="0"/>
    <s v="Low Exposure"/>
  </r>
  <r>
    <x v="9"/>
    <x v="337"/>
    <n v="21"/>
    <x v="2"/>
    <n v="0.01"/>
    <n v="1.28"/>
    <x v="90"/>
    <x v="0"/>
    <n v="0.99"/>
    <n v="0.48"/>
    <n v="0.99"/>
    <n v="0.75"/>
    <n v="0.25"/>
    <n v="0.54"/>
    <n v="0.99"/>
    <n v="0.86"/>
    <n v="0.1"/>
    <n v="0.71"/>
    <x v="0"/>
    <s v="Low Exposure"/>
  </r>
  <r>
    <x v="17"/>
    <x v="338"/>
    <n v="26"/>
    <x v="3"/>
    <n v="0.33"/>
    <n v="1.45"/>
    <x v="53"/>
    <x v="2"/>
    <n v="0.02"/>
    <n v="0.9"/>
    <n v="7.0000000000000007E-2"/>
    <n v="0.99"/>
    <n v="0.95"/>
    <n v="0.14000000000000001"/>
    <n v="0.54"/>
    <n v="0.18"/>
    <n v="0.43"/>
    <n v="0.06"/>
    <x v="0"/>
    <s v="Medium Exposure"/>
  </r>
  <r>
    <x v="2"/>
    <x v="339"/>
    <n v="2"/>
    <x v="0"/>
    <n v="0.36"/>
    <n v="0.94"/>
    <x v="89"/>
    <x v="0"/>
    <n v="0.81"/>
    <n v="0.74"/>
    <n v="0.54"/>
    <n v="0.84"/>
    <n v="0.34"/>
    <n v="0.71"/>
    <n v="0.99"/>
    <n v="0.31"/>
    <n v="0.67"/>
    <n v="0.84"/>
    <x v="1"/>
    <s v="Medium Exposure"/>
  </r>
  <r>
    <x v="11"/>
    <x v="340"/>
    <n v="21"/>
    <x v="1"/>
    <n v="0.72"/>
    <n v="0.78"/>
    <x v="87"/>
    <x v="2"/>
    <n v="0.02"/>
    <n v="0.76"/>
    <n v="0.04"/>
    <n v="0.86"/>
    <n v="0.12"/>
    <n v="0.17"/>
    <n v="0.48"/>
    <n v="0.74"/>
    <n v="0.14000000000000001"/>
    <n v="0.44"/>
    <x v="0"/>
    <s v="High Exposure"/>
  </r>
  <r>
    <x v="11"/>
    <x v="341"/>
    <n v="7"/>
    <x v="2"/>
    <n v="0.21"/>
    <n v="0.62"/>
    <x v="12"/>
    <x v="2"/>
    <n v="0.5"/>
    <n v="0.01"/>
    <n v="0.8"/>
    <n v="0.98"/>
    <n v="0.61"/>
    <n v="0.5"/>
    <n v="0.88"/>
    <n v="0.95"/>
    <n v="0.75"/>
    <n v="0.45"/>
    <x v="2"/>
    <s v="Low Exposure"/>
  </r>
  <r>
    <x v="4"/>
    <x v="342"/>
    <n v="18"/>
    <x v="3"/>
    <n v="0.7"/>
    <n v="0.69"/>
    <x v="8"/>
    <x v="2"/>
    <n v="0.83"/>
    <n v="0.65"/>
    <n v="0.41"/>
    <n v="0.66"/>
    <n v="0.12"/>
    <n v="0.4"/>
    <n v="0.79"/>
    <n v="0.22"/>
    <n v="0.19"/>
    <n v="0.95"/>
    <x v="0"/>
    <s v="High Exposure"/>
  </r>
  <r>
    <x v="5"/>
    <x v="343"/>
    <n v="14"/>
    <x v="0"/>
    <n v="0.95"/>
    <n v="0.85"/>
    <x v="19"/>
    <x v="1"/>
    <n v="0.18"/>
    <n v="0.39"/>
    <n v="0.95"/>
    <n v="0.14000000000000001"/>
    <n v="0.76"/>
    <n v="0.11"/>
    <n v="0.98"/>
    <n v="0.38"/>
    <n v="0.78"/>
    <n v="0.34"/>
    <x v="2"/>
    <s v="High Exposure"/>
  </r>
  <r>
    <x v="14"/>
    <x v="344"/>
    <n v="2"/>
    <x v="1"/>
    <n v="0.19"/>
    <n v="0.65"/>
    <x v="17"/>
    <x v="0"/>
    <n v="0.92"/>
    <n v="0.89"/>
    <n v="0.63"/>
    <n v="0.81"/>
    <n v="7.0000000000000007E-2"/>
    <n v="0.33"/>
    <n v="0.31"/>
    <n v="0.64"/>
    <n v="0.36"/>
    <n v="0.15"/>
    <x v="1"/>
    <s v="Low Exposure"/>
  </r>
  <r>
    <x v="14"/>
    <x v="345"/>
    <n v="29"/>
    <x v="3"/>
    <n v="0.81"/>
    <n v="0.88"/>
    <x v="67"/>
    <x v="0"/>
    <n v="0.2"/>
    <n v="0.24"/>
    <n v="0.3"/>
    <n v="0.64"/>
    <n v="0.6"/>
    <n v="0.7"/>
    <n v="0.36"/>
    <n v="0.82"/>
    <n v="0.2"/>
    <n v="0.47"/>
    <x v="0"/>
    <s v="High Exposure"/>
  </r>
  <r>
    <x v="13"/>
    <x v="346"/>
    <n v="25"/>
    <x v="1"/>
    <n v="0.18"/>
    <n v="0.61"/>
    <x v="38"/>
    <x v="2"/>
    <n v="0.34"/>
    <n v="0.68"/>
    <n v="0.03"/>
    <n v="0.69"/>
    <n v="0.32"/>
    <n v="0.06"/>
    <n v="0.61"/>
    <n v="0.24"/>
    <n v="0.39"/>
    <n v="0.08"/>
    <x v="0"/>
    <s v="Low Exposure"/>
  </r>
  <r>
    <x v="16"/>
    <x v="347"/>
    <n v="13"/>
    <x v="2"/>
    <n v="0.3"/>
    <n v="0.59"/>
    <x v="17"/>
    <x v="0"/>
    <n v="0.01"/>
    <n v="0.48"/>
    <n v="0.12"/>
    <n v="0.31"/>
    <n v="0.93"/>
    <n v="0.16"/>
    <n v="0.97"/>
    <n v="0.21"/>
    <n v="0.74"/>
    <n v="0.55000000000000004"/>
    <x v="2"/>
    <s v="Medium Exposure"/>
  </r>
  <r>
    <x v="9"/>
    <x v="348"/>
    <n v="28"/>
    <x v="1"/>
    <n v="0.55000000000000004"/>
    <n v="1.03"/>
    <x v="73"/>
    <x v="0"/>
    <n v="0.17"/>
    <n v="0.92"/>
    <n v="0.33"/>
    <n v="0.37"/>
    <n v="0.76"/>
    <n v="0.34"/>
    <n v="0.95"/>
    <n v="0.74"/>
    <n v="0.6"/>
    <n v="0.88"/>
    <x v="0"/>
    <s v="Medium Exposure"/>
  </r>
  <r>
    <x v="10"/>
    <x v="349"/>
    <n v="12"/>
    <x v="3"/>
    <n v="0.26"/>
    <n v="0.97"/>
    <x v="65"/>
    <x v="2"/>
    <n v="0.74"/>
    <n v="0.92"/>
    <n v="0.42"/>
    <n v="0.34"/>
    <n v="0.96"/>
    <n v="0.44"/>
    <n v="0.49"/>
    <n v="0.35"/>
    <n v="0.91"/>
    <n v="0.56999999999999995"/>
    <x v="2"/>
    <s v="Low Exposure"/>
  </r>
  <r>
    <x v="0"/>
    <x v="350"/>
    <n v="16"/>
    <x v="3"/>
    <n v="0.31"/>
    <n v="1.23"/>
    <x v="40"/>
    <x v="0"/>
    <n v="0.83"/>
    <n v="0.99"/>
    <n v="0.79"/>
    <n v="0.6"/>
    <n v="0.34"/>
    <n v="0.54"/>
    <n v="0.04"/>
    <n v="0.74"/>
    <n v="0.45"/>
    <n v="0.02"/>
    <x v="0"/>
    <s v="Medium Exposure"/>
  </r>
  <r>
    <x v="15"/>
    <x v="351"/>
    <n v="15"/>
    <x v="3"/>
    <n v="0.39"/>
    <n v="1.08"/>
    <x v="7"/>
    <x v="1"/>
    <n v="0.62"/>
    <n v="0.48"/>
    <n v="0.66"/>
    <n v="0.22"/>
    <n v="0.11"/>
    <n v="0.6"/>
    <n v="0.48"/>
    <n v="0.03"/>
    <n v="0.38"/>
    <n v="0.11"/>
    <x v="2"/>
    <s v="Medium Exposure"/>
  </r>
  <r>
    <x v="13"/>
    <x v="352"/>
    <n v="28"/>
    <x v="0"/>
    <n v="0.4"/>
    <n v="1.1100000000000001"/>
    <x v="69"/>
    <x v="2"/>
    <n v="0.3"/>
    <n v="0.96"/>
    <n v="0.54"/>
    <n v="0.62"/>
    <n v="0.68"/>
    <n v="0.67"/>
    <n v="0.51"/>
    <n v="0.43"/>
    <n v="0.05"/>
    <n v="0.02"/>
    <x v="0"/>
    <s v="Medium Exposure"/>
  </r>
  <r>
    <x v="13"/>
    <x v="353"/>
    <n v="14"/>
    <x v="0"/>
    <n v="0.33"/>
    <n v="0.89"/>
    <x v="46"/>
    <x v="2"/>
    <n v="0.74"/>
    <n v="0.86"/>
    <n v="0.94"/>
    <n v="0.49"/>
    <n v="0.7"/>
    <n v="0.86"/>
    <n v="0.42"/>
    <n v="0.31"/>
    <n v="0.94"/>
    <n v="0.52"/>
    <x v="2"/>
    <s v="Medium Exposure"/>
  </r>
  <r>
    <x v="16"/>
    <x v="354"/>
    <n v="3"/>
    <x v="3"/>
    <n v="0.12"/>
    <n v="0.83"/>
    <x v="40"/>
    <x v="0"/>
    <n v="0.6"/>
    <n v="0.39"/>
    <n v="0.47"/>
    <n v="0.85"/>
    <n v="0.34"/>
    <n v="0.87"/>
    <n v="0.09"/>
    <n v="0.78"/>
    <n v="0.85"/>
    <n v="0.18"/>
    <x v="1"/>
    <s v="Low Exposure"/>
  </r>
  <r>
    <x v="2"/>
    <x v="355"/>
    <n v="2"/>
    <x v="3"/>
    <n v="0.17"/>
    <n v="1.21"/>
    <x v="35"/>
    <x v="0"/>
    <n v="0.64"/>
    <n v="0.2"/>
    <n v="0.21"/>
    <n v="0.04"/>
    <n v="0.32"/>
    <n v="0.56000000000000005"/>
    <n v="0.86"/>
    <n v="0.67"/>
    <n v="0.44"/>
    <n v="0.95"/>
    <x v="1"/>
    <s v="Low Exposure"/>
  </r>
  <r>
    <x v="17"/>
    <x v="356"/>
    <n v="9"/>
    <x v="3"/>
    <n v="0.93"/>
    <n v="1.03"/>
    <x v="10"/>
    <x v="2"/>
    <n v="0.05"/>
    <n v="0.73"/>
    <n v="0.12"/>
    <n v="0.3"/>
    <n v="0.53"/>
    <n v="0.56000000000000005"/>
    <n v="0.6"/>
    <n v="0.17"/>
    <n v="0.38"/>
    <n v="0.62"/>
    <x v="2"/>
    <s v="High Exposure"/>
  </r>
  <r>
    <x v="3"/>
    <x v="357"/>
    <n v="17"/>
    <x v="2"/>
    <n v="0.73"/>
    <n v="1.42"/>
    <x v="3"/>
    <x v="2"/>
    <n v="0.59"/>
    <n v="0.19"/>
    <n v="0.67"/>
    <n v="0.62"/>
    <n v="0.6"/>
    <n v="0.49"/>
    <n v="0.53"/>
    <n v="0.33"/>
    <n v="0.52"/>
    <n v="0.2"/>
    <x v="0"/>
    <s v="High Exposure"/>
  </r>
  <r>
    <x v="19"/>
    <x v="358"/>
    <n v="7"/>
    <x v="1"/>
    <n v="0.77"/>
    <n v="0.89"/>
    <x v="11"/>
    <x v="2"/>
    <n v="0.86"/>
    <n v="0.75"/>
    <n v="0.81"/>
    <n v="0.14000000000000001"/>
    <n v="7.0000000000000007E-2"/>
    <n v="0.89"/>
    <n v="0.39"/>
    <n v="0.28999999999999998"/>
    <n v="0.72"/>
    <n v="0.84"/>
    <x v="2"/>
    <s v="High Exposure"/>
  </r>
  <r>
    <x v="2"/>
    <x v="359"/>
    <n v="11"/>
    <x v="2"/>
    <n v="0.32"/>
    <n v="1.35"/>
    <x v="76"/>
    <x v="0"/>
    <n v="0.05"/>
    <n v="0.62"/>
    <n v="0.06"/>
    <n v="0.32"/>
    <n v="0.67"/>
    <n v="0.34"/>
    <n v="0.18"/>
    <n v="0.28000000000000003"/>
    <n v="0.46"/>
    <n v="0.48"/>
    <x v="2"/>
    <s v="Medium Exposure"/>
  </r>
  <r>
    <x v="10"/>
    <x v="360"/>
    <n v="23"/>
    <x v="2"/>
    <n v="0.75"/>
    <n v="0.96"/>
    <x v="4"/>
    <x v="2"/>
    <n v="0.11"/>
    <n v="0.26"/>
    <n v="0.83"/>
    <n v="0.38"/>
    <n v="0.98"/>
    <n v="0.47"/>
    <n v="0.79"/>
    <n v="0.4"/>
    <n v="0.42"/>
    <n v="0.38"/>
    <x v="0"/>
    <s v="High Exposure"/>
  </r>
  <r>
    <x v="11"/>
    <x v="361"/>
    <n v="6"/>
    <x v="2"/>
    <n v="0.44"/>
    <n v="1.34"/>
    <x v="10"/>
    <x v="2"/>
    <n v="0.42"/>
    <n v="0.04"/>
    <n v="0.45"/>
    <n v="0.57999999999999996"/>
    <n v="0.56999999999999995"/>
    <n v="0.33"/>
    <n v="0.32"/>
    <n v="0.11"/>
    <n v="0.37"/>
    <n v="0.1"/>
    <x v="2"/>
    <s v="Medium Exposure"/>
  </r>
  <r>
    <x v="11"/>
    <x v="362"/>
    <n v="16"/>
    <x v="0"/>
    <n v="0.97"/>
    <n v="1.47"/>
    <x v="38"/>
    <x v="2"/>
    <n v="0.6"/>
    <n v="0.7"/>
    <n v="0.28999999999999998"/>
    <n v="0.63"/>
    <n v="0.46"/>
    <n v="0.48"/>
    <n v="0.76"/>
    <n v="0.28000000000000003"/>
    <n v="0.32"/>
    <n v="0.92"/>
    <x v="0"/>
    <s v="High Exposure"/>
  </r>
  <r>
    <x v="8"/>
    <x v="363"/>
    <n v="24"/>
    <x v="3"/>
    <n v="0.49"/>
    <n v="1.41"/>
    <x v="22"/>
    <x v="2"/>
    <n v="0.55000000000000004"/>
    <n v="0.25"/>
    <n v="0.34"/>
    <n v="0.85"/>
    <n v="0.56000000000000005"/>
    <n v="0.51"/>
    <n v="0.1"/>
    <n v="0.02"/>
    <n v="0.96"/>
    <n v="0.38"/>
    <x v="0"/>
    <s v="Medium Exposure"/>
  </r>
  <r>
    <x v="6"/>
    <x v="364"/>
    <n v="11"/>
    <x v="1"/>
    <n v="0.08"/>
    <n v="1.18"/>
    <x v="79"/>
    <x v="2"/>
    <n v="0.57999999999999996"/>
    <n v="0.13"/>
    <n v="0.57999999999999996"/>
    <n v="0.77"/>
    <n v="0.41"/>
    <n v="0.88"/>
    <n v="0.65"/>
    <n v="0.9"/>
    <n v="0.62"/>
    <n v="0.13"/>
    <x v="2"/>
    <s v="Low Exposure"/>
  </r>
  <r>
    <x v="0"/>
    <x v="365"/>
    <n v="9"/>
    <x v="2"/>
    <n v="0.48"/>
    <n v="1.17"/>
    <x v="9"/>
    <x v="0"/>
    <n v="0.3"/>
    <n v="0.63"/>
    <n v="0.15"/>
    <n v="0.37"/>
    <n v="0.21"/>
    <n v="0.7"/>
    <n v="0.94"/>
    <n v="1"/>
    <n v="0.45"/>
    <n v="0.25"/>
    <x v="2"/>
    <s v="Medium Exposure"/>
  </r>
  <r>
    <x v="13"/>
    <x v="366"/>
    <n v="26"/>
    <x v="2"/>
    <n v="0.85"/>
    <n v="0.71"/>
    <x v="26"/>
    <x v="2"/>
    <n v="0.34"/>
    <n v="0.99"/>
    <n v="0.84"/>
    <n v="0.81"/>
    <n v="0.32"/>
    <n v="0.01"/>
    <n v="0.38"/>
    <n v="0.3"/>
    <n v="0.04"/>
    <n v="0.51"/>
    <x v="0"/>
    <s v="High Exposure"/>
  </r>
  <r>
    <x v="7"/>
    <x v="367"/>
    <n v="21"/>
    <x v="2"/>
    <n v="0.63"/>
    <n v="1.1200000000000001"/>
    <x v="47"/>
    <x v="1"/>
    <n v="0.98"/>
    <n v="0.19"/>
    <n v="0.45"/>
    <n v="0.49"/>
    <n v="0.81"/>
    <n v="0.1"/>
    <n v="0.43"/>
    <n v="0.63"/>
    <n v="0.22"/>
    <n v="0.63"/>
    <x v="0"/>
    <s v="Medium Exposure"/>
  </r>
  <r>
    <x v="1"/>
    <x v="368"/>
    <n v="18"/>
    <x v="3"/>
    <n v="0.2"/>
    <n v="1.3"/>
    <x v="70"/>
    <x v="1"/>
    <n v="0.06"/>
    <n v="0.39"/>
    <n v="0.28000000000000003"/>
    <n v="0.3"/>
    <n v="0.98"/>
    <n v="0.64"/>
    <n v="0.72"/>
    <n v="0.98"/>
    <n v="0.38"/>
    <n v="0.8"/>
    <x v="0"/>
    <s v="Low Exposure"/>
  </r>
  <r>
    <x v="4"/>
    <x v="369"/>
    <n v="8"/>
    <x v="3"/>
    <n v="0.87"/>
    <n v="0.68"/>
    <x v="26"/>
    <x v="2"/>
    <n v="0.22"/>
    <n v="0.33"/>
    <n v="0.76"/>
    <n v="0.39"/>
    <n v="0.61"/>
    <n v="0.44"/>
    <n v="0.74"/>
    <n v="0.23"/>
    <n v="0.06"/>
    <n v="0.3"/>
    <x v="2"/>
    <s v="High Exposure"/>
  </r>
  <r>
    <x v="5"/>
    <x v="370"/>
    <n v="0"/>
    <x v="0"/>
    <n v="0.17"/>
    <n v="0.85"/>
    <x v="18"/>
    <x v="1"/>
    <n v="0.06"/>
    <n v="0.57999999999999996"/>
    <n v="0.88"/>
    <n v="0.15"/>
    <n v="0.6"/>
    <n v="0.66"/>
    <n v="0.42"/>
    <n v="0.7"/>
    <n v="0.41"/>
    <n v="0.5"/>
    <x v="1"/>
    <s v="Low Exposure"/>
  </r>
  <r>
    <x v="1"/>
    <x v="371"/>
    <n v="23"/>
    <x v="0"/>
    <n v="0.13"/>
    <n v="1.3"/>
    <x v="82"/>
    <x v="1"/>
    <n v="0.75"/>
    <n v="0.31"/>
    <n v="0.51"/>
    <n v="0.86"/>
    <n v="0.47"/>
    <n v="0.36"/>
    <n v="0.54"/>
    <n v="0.72"/>
    <n v="0.44"/>
    <n v="0.94"/>
    <x v="0"/>
    <s v="Low Exposure"/>
  </r>
  <r>
    <x v="6"/>
    <x v="372"/>
    <n v="11"/>
    <x v="0"/>
    <n v="0.48"/>
    <n v="1.26"/>
    <x v="14"/>
    <x v="2"/>
    <n v="0.86"/>
    <n v="1"/>
    <n v="0.43"/>
    <n v="0.11"/>
    <n v="0.03"/>
    <n v="0.73"/>
    <n v="0.87"/>
    <n v="0.22"/>
    <n v="0.16"/>
    <n v="0.06"/>
    <x v="2"/>
    <s v="Medium Exposure"/>
  </r>
  <r>
    <x v="8"/>
    <x v="373"/>
    <n v="27"/>
    <x v="2"/>
    <n v="0.31"/>
    <n v="0.9"/>
    <x v="11"/>
    <x v="2"/>
    <n v="0.84"/>
    <n v="0.65"/>
    <n v="0.62"/>
    <n v="0.18"/>
    <n v="0.51"/>
    <n v="0.72"/>
    <n v="0.97"/>
    <n v="0.2"/>
    <n v="0.01"/>
    <n v="0.08"/>
    <x v="0"/>
    <s v="Medium Exposure"/>
  </r>
  <r>
    <x v="1"/>
    <x v="374"/>
    <n v="1"/>
    <x v="1"/>
    <n v="0.34"/>
    <n v="1.49"/>
    <x v="7"/>
    <x v="1"/>
    <n v="0.18"/>
    <n v="0.89"/>
    <n v="0.46"/>
    <n v="0.71"/>
    <n v="0.98"/>
    <n v="0.05"/>
    <n v="0.1"/>
    <n v="0.72"/>
    <n v="0.28000000000000003"/>
    <n v="0.18"/>
    <x v="1"/>
    <s v="Medium Exposure"/>
  </r>
  <r>
    <x v="14"/>
    <x v="375"/>
    <n v="16"/>
    <x v="0"/>
    <n v="0.02"/>
    <n v="1.27"/>
    <x v="67"/>
    <x v="0"/>
    <n v="0.47"/>
    <n v="0.61"/>
    <n v="0.43"/>
    <n v="0.03"/>
    <n v="0.78"/>
    <n v="0.01"/>
    <n v="0.76"/>
    <n v="0.89"/>
    <n v="0.43"/>
    <n v="0.54"/>
    <x v="0"/>
    <s v="Low Exposure"/>
  </r>
  <r>
    <x v="4"/>
    <x v="376"/>
    <n v="11"/>
    <x v="3"/>
    <n v="0.39"/>
    <n v="1.39"/>
    <x v="72"/>
    <x v="2"/>
    <n v="0.34"/>
    <n v="0.62"/>
    <n v="0.93"/>
    <n v="0.96"/>
    <n v="0.51"/>
    <n v="0.45"/>
    <n v="0.28000000000000003"/>
    <n v="0.96"/>
    <n v="0.14000000000000001"/>
    <n v="0.57999999999999996"/>
    <x v="2"/>
    <s v="Medium Exposure"/>
  </r>
  <r>
    <x v="0"/>
    <x v="377"/>
    <n v="24"/>
    <x v="3"/>
    <n v="0.28000000000000003"/>
    <n v="0.9"/>
    <x v="60"/>
    <x v="0"/>
    <n v="0.05"/>
    <n v="0.57999999999999996"/>
    <n v="0.08"/>
    <n v="0.15"/>
    <n v="0.44"/>
    <n v="0.51"/>
    <n v="0.26"/>
    <n v="0.32"/>
    <n v="0.09"/>
    <n v="0.3"/>
    <x v="0"/>
    <s v="Low Exposure"/>
  </r>
  <r>
    <x v="7"/>
    <x v="378"/>
    <n v="15"/>
    <x v="1"/>
    <n v="0.94"/>
    <n v="0.83"/>
    <x v="27"/>
    <x v="1"/>
    <n v="0.91"/>
    <n v="0.01"/>
    <n v="0.81"/>
    <n v="0.95"/>
    <n v="0.09"/>
    <n v="0.16"/>
    <n v="0.96"/>
    <n v="0.54"/>
    <n v="0.01"/>
    <n v="0.26"/>
    <x v="2"/>
    <s v="High Exposure"/>
  </r>
  <r>
    <x v="13"/>
    <x v="379"/>
    <n v="29"/>
    <x v="1"/>
    <n v="0.69"/>
    <n v="1.23"/>
    <x v="58"/>
    <x v="2"/>
    <n v="0.28999999999999998"/>
    <n v="0.54"/>
    <n v="0.53"/>
    <n v="0.41"/>
    <n v="0.17"/>
    <n v="0.98"/>
    <n v="0.85"/>
    <n v="0.5"/>
    <n v="0.6"/>
    <n v="0.23"/>
    <x v="0"/>
    <s v="Medium Exposure"/>
  </r>
  <r>
    <x v="5"/>
    <x v="380"/>
    <n v="23"/>
    <x v="3"/>
    <n v="0.69"/>
    <n v="1.02"/>
    <x v="85"/>
    <x v="1"/>
    <n v="0.61"/>
    <n v="0.37"/>
    <n v="0.77"/>
    <n v="0.17"/>
    <n v="0.38"/>
    <n v="0.35"/>
    <n v="0.43"/>
    <n v="0.78"/>
    <n v="0.48"/>
    <n v="0.79"/>
    <x v="0"/>
    <s v="Medium Exposure"/>
  </r>
  <r>
    <x v="5"/>
    <x v="381"/>
    <n v="26"/>
    <x v="0"/>
    <n v="0.34"/>
    <n v="1.31"/>
    <x v="37"/>
    <x v="1"/>
    <n v="0.22"/>
    <n v="0.5"/>
    <n v="0.26"/>
    <n v="0.01"/>
    <n v="0.65"/>
    <n v="0.51"/>
    <n v="0.45"/>
    <n v="0.97"/>
    <n v="0.56999999999999995"/>
    <n v="0.86"/>
    <x v="0"/>
    <s v="Medium Exposure"/>
  </r>
  <r>
    <x v="19"/>
    <x v="382"/>
    <n v="16"/>
    <x v="1"/>
    <n v="0.56999999999999995"/>
    <n v="1.37"/>
    <x v="68"/>
    <x v="2"/>
    <n v="0.72"/>
    <n v="0.37"/>
    <n v="0.09"/>
    <n v="0.46"/>
    <n v="0.39"/>
    <n v="0.87"/>
    <n v="0.24"/>
    <n v="0.97"/>
    <n v="0.96"/>
    <n v="0.25"/>
    <x v="0"/>
    <s v="Medium Exposure"/>
  </r>
  <r>
    <x v="4"/>
    <x v="383"/>
    <n v="6"/>
    <x v="1"/>
    <n v="0.97"/>
    <n v="0.94"/>
    <x v="87"/>
    <x v="2"/>
    <n v="0.53"/>
    <n v="0.69"/>
    <n v="0.27"/>
    <n v="0.74"/>
    <n v="0.05"/>
    <n v="0.05"/>
    <n v="0.39"/>
    <n v="0.35"/>
    <n v="0.32"/>
    <n v="0.49"/>
    <x v="2"/>
    <s v="High Exposure"/>
  </r>
  <r>
    <x v="6"/>
    <x v="384"/>
    <n v="11"/>
    <x v="0"/>
    <n v="0.19"/>
    <n v="0.81"/>
    <x v="66"/>
    <x v="2"/>
    <n v="0.41"/>
    <n v="0.44"/>
    <n v="0.57999999999999996"/>
    <n v="0.98"/>
    <n v="0.24"/>
    <n v="0.68"/>
    <n v="0.72"/>
    <n v="0.61"/>
    <n v="0.09"/>
    <n v="0.68"/>
    <x v="2"/>
    <s v="Low Exposure"/>
  </r>
  <r>
    <x v="6"/>
    <x v="385"/>
    <n v="17"/>
    <x v="1"/>
    <n v="0.6"/>
    <n v="1.24"/>
    <x v="48"/>
    <x v="2"/>
    <n v="0.84"/>
    <n v="0.03"/>
    <n v="0.84"/>
    <n v="0.46"/>
    <n v="0.22"/>
    <n v="0.13"/>
    <n v="0.95"/>
    <n v="7.0000000000000007E-2"/>
    <n v="0.2"/>
    <n v="0.35"/>
    <x v="0"/>
    <s v="Medium Exposure"/>
  </r>
  <r>
    <x v="3"/>
    <x v="386"/>
    <n v="12"/>
    <x v="1"/>
    <n v="0.54"/>
    <n v="0.63"/>
    <x v="71"/>
    <x v="2"/>
    <n v="0.24"/>
    <n v="0.21"/>
    <n v="0.41"/>
    <n v="0.7"/>
    <n v="0.22"/>
    <n v="0.37"/>
    <n v="0.39"/>
    <n v="0.98"/>
    <n v="0.95"/>
    <n v="0.8"/>
    <x v="2"/>
    <s v="Medium Exposure"/>
  </r>
  <r>
    <x v="15"/>
    <x v="387"/>
    <n v="4"/>
    <x v="0"/>
    <n v="7.0000000000000007E-2"/>
    <n v="0.82"/>
    <x v="54"/>
    <x v="1"/>
    <n v="0.51"/>
    <n v="0.78"/>
    <n v="0.86"/>
    <n v="0.84"/>
    <n v="0.36"/>
    <n v="0.69"/>
    <n v="0.31"/>
    <n v="0.06"/>
    <n v="0.7"/>
    <n v="0.01"/>
    <x v="1"/>
    <s v="Low Exposure"/>
  </r>
  <r>
    <x v="9"/>
    <x v="388"/>
    <n v="1"/>
    <x v="0"/>
    <n v="0.33"/>
    <n v="1.19"/>
    <x v="81"/>
    <x v="0"/>
    <n v="0.3"/>
    <n v="0.81"/>
    <n v="0.28999999999999998"/>
    <n v="0.45"/>
    <n v="0.73"/>
    <n v="0.69"/>
    <n v="0.99"/>
    <n v="0.23"/>
    <n v="0.66"/>
    <n v="0.61"/>
    <x v="1"/>
    <s v="Medium Exposure"/>
  </r>
  <r>
    <x v="12"/>
    <x v="389"/>
    <n v="0"/>
    <x v="3"/>
    <n v="0.4"/>
    <n v="0.93"/>
    <x v="68"/>
    <x v="2"/>
    <n v="0"/>
    <n v="0.26"/>
    <n v="0.52"/>
    <n v="0.72"/>
    <n v="0.17"/>
    <n v="0.55000000000000004"/>
    <n v="0.71"/>
    <n v="0.44"/>
    <n v="0.03"/>
    <n v="0.45"/>
    <x v="1"/>
    <s v="Medium Exposure"/>
  </r>
  <r>
    <x v="9"/>
    <x v="390"/>
    <n v="1"/>
    <x v="2"/>
    <n v="0.93"/>
    <n v="0.62"/>
    <x v="83"/>
    <x v="0"/>
    <n v="0.05"/>
    <n v="0.45"/>
    <n v="0.55000000000000004"/>
    <n v="0.3"/>
    <n v="0.46"/>
    <n v="0.16"/>
    <n v="0.3"/>
    <n v="0.62"/>
    <n v="0.3"/>
    <n v="0.9"/>
    <x v="1"/>
    <s v="High Exposure"/>
  </r>
  <r>
    <x v="18"/>
    <x v="391"/>
    <n v="24"/>
    <x v="1"/>
    <n v="0.44"/>
    <n v="0.54"/>
    <x v="7"/>
    <x v="1"/>
    <n v="0.76"/>
    <n v="0.27"/>
    <n v="0.81"/>
    <n v="0.25"/>
    <n v="0.82"/>
    <n v="0.09"/>
    <n v="0.87"/>
    <n v="0.5"/>
    <n v="0.3"/>
    <n v="0.27"/>
    <x v="0"/>
    <s v="Medium Exposure"/>
  </r>
  <r>
    <x v="17"/>
    <x v="392"/>
    <n v="15"/>
    <x v="0"/>
    <n v="1"/>
    <n v="0.72"/>
    <x v="55"/>
    <x v="2"/>
    <n v="0.59"/>
    <n v="0.49"/>
    <n v="0.52"/>
    <n v="0.67"/>
    <n v="0.27"/>
    <n v="0.91"/>
    <n v="0.44"/>
    <n v="0.13"/>
    <n v="0.74"/>
    <n v="0.64"/>
    <x v="2"/>
    <s v="High Exposure"/>
  </r>
  <r>
    <x v="5"/>
    <x v="393"/>
    <n v="25"/>
    <x v="2"/>
    <n v="0.62"/>
    <n v="0.72"/>
    <x v="74"/>
    <x v="1"/>
    <n v="0.9"/>
    <n v="0.13"/>
    <n v="0.39"/>
    <n v="0.82"/>
    <n v="0.97"/>
    <n v="0.45"/>
    <n v="0.51"/>
    <n v="0.56999999999999995"/>
    <n v="0.93"/>
    <n v="0.86"/>
    <x v="0"/>
    <s v="Medium Exposure"/>
  </r>
  <r>
    <x v="7"/>
    <x v="394"/>
    <n v="18"/>
    <x v="1"/>
    <n v="0.44"/>
    <n v="0.96"/>
    <x v="88"/>
    <x v="1"/>
    <n v="0.6"/>
    <n v="0.65"/>
    <n v="1"/>
    <n v="7.0000000000000007E-2"/>
    <n v="0.22"/>
    <n v="0.41"/>
    <n v="0.35"/>
    <n v="0.02"/>
    <n v="0.09"/>
    <n v="0.68"/>
    <x v="0"/>
    <s v="Medium Exposure"/>
  </r>
  <r>
    <x v="11"/>
    <x v="395"/>
    <n v="0"/>
    <x v="2"/>
    <n v="0.51"/>
    <n v="1.04"/>
    <x v="10"/>
    <x v="2"/>
    <n v="0.77"/>
    <n v="0.75"/>
    <n v="0.59"/>
    <n v="0.21"/>
    <n v="0.1"/>
    <n v="0.06"/>
    <n v="0.59"/>
    <n v="0.83"/>
    <n v="0.86"/>
    <n v="0.46"/>
    <x v="1"/>
    <s v="Medium Exposure"/>
  </r>
  <r>
    <x v="8"/>
    <x v="396"/>
    <n v="28"/>
    <x v="0"/>
    <n v="0.95"/>
    <n v="0.78"/>
    <x v="36"/>
    <x v="2"/>
    <n v="0.93"/>
    <n v="0.34"/>
    <n v="0.91"/>
    <n v="0.98"/>
    <n v="0.66"/>
    <n v="0.82"/>
    <n v="0.75"/>
    <n v="0.7"/>
    <n v="0.31"/>
    <n v="0.06"/>
    <x v="0"/>
    <s v="High Exposure"/>
  </r>
  <r>
    <x v="18"/>
    <x v="397"/>
    <n v="29"/>
    <x v="2"/>
    <n v="0.67"/>
    <n v="0.6"/>
    <x v="1"/>
    <x v="1"/>
    <n v="0.14000000000000001"/>
    <n v="0.72"/>
    <n v="0.97"/>
    <n v="0.98"/>
    <n v="0.49"/>
    <n v="0.87"/>
    <n v="0.74"/>
    <n v="0.5"/>
    <n v="0.56999999999999995"/>
    <n v="0.14000000000000001"/>
    <x v="0"/>
    <s v="Medium Exposure"/>
  </r>
  <r>
    <x v="15"/>
    <x v="398"/>
    <n v="10"/>
    <x v="2"/>
    <n v="0.35"/>
    <n v="0.95"/>
    <x v="29"/>
    <x v="1"/>
    <n v="0.33"/>
    <n v="0.25"/>
    <n v="0.63"/>
    <n v="0.02"/>
    <n v="0.72"/>
    <n v="0.51"/>
    <n v="0.61"/>
    <n v="0.63"/>
    <n v="0.53"/>
    <n v="0.57999999999999996"/>
    <x v="2"/>
    <s v="Medium Exposure"/>
  </r>
  <r>
    <x v="12"/>
    <x v="399"/>
    <n v="25"/>
    <x v="3"/>
    <n v="0.75"/>
    <n v="1.23"/>
    <x v="38"/>
    <x v="2"/>
    <n v="0.19"/>
    <n v="0.4"/>
    <n v="0.95"/>
    <n v="0.4"/>
    <n v="0.12"/>
    <n v="0.53"/>
    <n v="0.11"/>
    <n v="0.2"/>
    <n v="1"/>
    <n v="0.54"/>
    <x v="0"/>
    <s v="High Exposure"/>
  </r>
  <r>
    <x v="12"/>
    <x v="400"/>
    <n v="26"/>
    <x v="1"/>
    <n v="0.27"/>
    <n v="0.53"/>
    <x v="31"/>
    <x v="2"/>
    <n v="0.63"/>
    <n v="0.57999999999999996"/>
    <n v="0.74"/>
    <n v="0.68"/>
    <n v="0.21"/>
    <n v="0.35"/>
    <n v="0.13"/>
    <n v="0.13"/>
    <n v="0.68"/>
    <n v="0.86"/>
    <x v="0"/>
    <s v="Low Exposure"/>
  </r>
  <r>
    <x v="12"/>
    <x v="401"/>
    <n v="22"/>
    <x v="1"/>
    <n v="0.63"/>
    <n v="0.68"/>
    <x v="55"/>
    <x v="2"/>
    <n v="0.81"/>
    <n v="0.57999999999999996"/>
    <n v="0.62"/>
    <n v="0.78"/>
    <n v="0.7"/>
    <n v="0.83"/>
    <n v="0.06"/>
    <n v="0.75"/>
    <n v="0.85"/>
    <n v="0.28999999999999998"/>
    <x v="0"/>
    <s v="Medium Exposure"/>
  </r>
  <r>
    <x v="17"/>
    <x v="402"/>
    <n v="0"/>
    <x v="0"/>
    <n v="0.31"/>
    <n v="1.46"/>
    <x v="57"/>
    <x v="2"/>
    <n v="0.57999999999999996"/>
    <n v="0.17"/>
    <n v="0.71"/>
    <n v="0.18"/>
    <n v="0.24"/>
    <n v="0.49"/>
    <n v="0.91"/>
    <n v="0.21"/>
    <n v="0.14000000000000001"/>
    <n v="0.76"/>
    <x v="1"/>
    <s v="Medium Exposure"/>
  </r>
  <r>
    <x v="14"/>
    <x v="403"/>
    <n v="3"/>
    <x v="3"/>
    <n v="0.91"/>
    <n v="0.65"/>
    <x v="83"/>
    <x v="0"/>
    <n v="0.23"/>
    <n v="0.16"/>
    <n v="0.68"/>
    <n v="0.59"/>
    <n v="0.75"/>
    <n v="0.31"/>
    <n v="0.45"/>
    <n v="0.41"/>
    <n v="0.98"/>
    <n v="0.28999999999999998"/>
    <x v="1"/>
    <s v="High Exposure"/>
  </r>
  <r>
    <x v="4"/>
    <x v="404"/>
    <n v="8"/>
    <x v="0"/>
    <n v="0.35"/>
    <n v="1.06"/>
    <x v="10"/>
    <x v="2"/>
    <n v="0.92"/>
    <n v="0.27"/>
    <n v="0.9"/>
    <n v="0.1"/>
    <n v="0.66"/>
    <n v="0.91"/>
    <n v="0.17"/>
    <n v="0.97"/>
    <n v="0.45"/>
    <n v="0.95"/>
    <x v="2"/>
    <s v="Medium Exposure"/>
  </r>
  <r>
    <x v="19"/>
    <x v="405"/>
    <n v="12"/>
    <x v="2"/>
    <n v="0.3"/>
    <n v="0.69"/>
    <x v="71"/>
    <x v="2"/>
    <n v="0.09"/>
    <n v="0.14000000000000001"/>
    <n v="0.1"/>
    <n v="0.42"/>
    <n v="0.8"/>
    <n v="0.14000000000000001"/>
    <n v="0.13"/>
    <n v="0.64"/>
    <n v="0.2"/>
    <n v="0.1"/>
    <x v="2"/>
    <s v="Medium Exposure"/>
  </r>
  <r>
    <x v="13"/>
    <x v="406"/>
    <n v="3"/>
    <x v="0"/>
    <n v="0.92"/>
    <n v="1.32"/>
    <x v="30"/>
    <x v="2"/>
    <n v="0.66"/>
    <n v="0.54"/>
    <n v="0.68"/>
    <n v="0.68"/>
    <n v="0.63"/>
    <n v="0.27"/>
    <n v="0.04"/>
    <n v="0.46"/>
    <n v="0.89"/>
    <n v="0.56999999999999995"/>
    <x v="1"/>
    <s v="High Exposure"/>
  </r>
  <r>
    <x v="5"/>
    <x v="407"/>
    <n v="13"/>
    <x v="2"/>
    <n v="0.34"/>
    <n v="0.68"/>
    <x v="1"/>
    <x v="1"/>
    <n v="0.47"/>
    <n v="0.69"/>
    <n v="0.23"/>
    <n v="0.13"/>
    <n v="0.89"/>
    <n v="0.28000000000000003"/>
    <n v="0.22"/>
    <n v="0.86"/>
    <n v="0.82"/>
    <n v="0.45"/>
    <x v="2"/>
    <s v="Medium Exposure"/>
  </r>
  <r>
    <x v="0"/>
    <x v="408"/>
    <n v="6"/>
    <x v="3"/>
    <n v="0.22"/>
    <n v="0.57999999999999996"/>
    <x v="56"/>
    <x v="0"/>
    <n v="0.1"/>
    <n v="0.45"/>
    <n v="0.94"/>
    <n v="0.95"/>
    <n v="0.24"/>
    <n v="0.62"/>
    <n v="0.47"/>
    <n v="0.88"/>
    <n v="0.27"/>
    <n v="0"/>
    <x v="2"/>
    <s v="Low Exposure"/>
  </r>
  <r>
    <x v="18"/>
    <x v="409"/>
    <n v="13"/>
    <x v="2"/>
    <n v="0.35"/>
    <n v="0.82"/>
    <x v="88"/>
    <x v="1"/>
    <n v="0.68"/>
    <n v="0.3"/>
    <n v="0.46"/>
    <n v="0.1"/>
    <n v="0.9"/>
    <n v="0.94"/>
    <n v="0.98"/>
    <n v="0.87"/>
    <n v="0.17"/>
    <n v="0.05"/>
    <x v="2"/>
    <s v="Medium Exposure"/>
  </r>
  <r>
    <x v="19"/>
    <x v="410"/>
    <n v="17"/>
    <x v="3"/>
    <n v="0.91"/>
    <n v="0.68"/>
    <x v="85"/>
    <x v="1"/>
    <n v="0.81"/>
    <n v="0.08"/>
    <n v="0.41"/>
    <n v="0.68"/>
    <n v="0.24"/>
    <n v="0.08"/>
    <n v="0.77"/>
    <n v="0.63"/>
    <n v="0.99"/>
    <n v="0.34"/>
    <x v="0"/>
    <s v="High Exposure"/>
  </r>
  <r>
    <x v="12"/>
    <x v="411"/>
    <n v="0"/>
    <x v="1"/>
    <n v="0.3"/>
    <n v="0.6"/>
    <x v="6"/>
    <x v="2"/>
    <n v="0.82"/>
    <n v="0.38"/>
    <n v="0.09"/>
    <n v="0.34"/>
    <n v="0.98"/>
    <n v="0.63"/>
    <n v="0.42"/>
    <n v="0.17"/>
    <n v="0.99"/>
    <n v="0.82"/>
    <x v="1"/>
    <s v="Medium Exposure"/>
  </r>
  <r>
    <x v="17"/>
    <x v="412"/>
    <n v="1"/>
    <x v="2"/>
    <n v="7.0000000000000007E-2"/>
    <n v="0.56000000000000005"/>
    <x v="53"/>
    <x v="2"/>
    <n v="0.57999999999999996"/>
    <n v="0.93"/>
    <n v="0.5"/>
    <n v="0.84"/>
    <n v="0.45"/>
    <n v="0.71"/>
    <n v="0.73"/>
    <n v="0.17"/>
    <n v="0.36"/>
    <n v="0.64"/>
    <x v="1"/>
    <s v="Low Exposure"/>
  </r>
  <r>
    <x v="17"/>
    <x v="413"/>
    <n v="5"/>
    <x v="3"/>
    <n v="0.57999999999999996"/>
    <n v="0.8"/>
    <x v="57"/>
    <x v="2"/>
    <n v="0.63"/>
    <n v="0.86"/>
    <n v="0.34"/>
    <n v="0.39"/>
    <n v="0.89"/>
    <n v="0.81"/>
    <n v="0.71"/>
    <n v="0.25"/>
    <n v="0.91"/>
    <n v="0.15"/>
    <x v="1"/>
    <s v="Medium Exposure"/>
  </r>
  <r>
    <x v="1"/>
    <x v="414"/>
    <n v="7"/>
    <x v="3"/>
    <n v="0.03"/>
    <n v="1.1399999999999999"/>
    <x v="54"/>
    <x v="1"/>
    <n v="0.45"/>
    <n v="0.35"/>
    <n v="0.17"/>
    <n v="0.62"/>
    <n v="0.88"/>
    <n v="0.96"/>
    <n v="0.19"/>
    <n v="0.72"/>
    <n v="0.66"/>
    <n v="0.34"/>
    <x v="2"/>
    <s v="Low Exposure"/>
  </r>
  <r>
    <x v="3"/>
    <x v="415"/>
    <n v="7"/>
    <x v="0"/>
    <n v="0.69"/>
    <n v="1.45"/>
    <x v="33"/>
    <x v="2"/>
    <n v="0.44"/>
    <n v="0.53"/>
    <n v="0.2"/>
    <n v="0.75"/>
    <n v="0.75"/>
    <n v="0.15"/>
    <n v="0.88"/>
    <n v="0.27"/>
    <n v="0.98"/>
    <n v="0.38"/>
    <x v="2"/>
    <s v="Medium Exposure"/>
  </r>
  <r>
    <x v="16"/>
    <x v="416"/>
    <n v="11"/>
    <x v="3"/>
    <n v="0.35"/>
    <n v="0.94"/>
    <x v="28"/>
    <x v="0"/>
    <n v="0.57999999999999996"/>
    <n v="0.6"/>
    <n v="0.74"/>
    <n v="0.03"/>
    <n v="0.54"/>
    <n v="0.05"/>
    <n v="0.7"/>
    <n v="0.06"/>
    <n v="0.91"/>
    <n v="0.7"/>
    <x v="2"/>
    <s v="Medium Exposure"/>
  </r>
  <r>
    <x v="1"/>
    <x v="417"/>
    <n v="25"/>
    <x v="3"/>
    <n v="0.44"/>
    <n v="0.63"/>
    <x v="54"/>
    <x v="1"/>
    <n v="0.87"/>
    <n v="0.9"/>
    <n v="0"/>
    <n v="0.59"/>
    <n v="0.72"/>
    <n v="0.62"/>
    <n v="0.08"/>
    <n v="0.22"/>
    <n v="0.25"/>
    <n v="0.83"/>
    <x v="0"/>
    <s v="Medium Exposure"/>
  </r>
  <r>
    <x v="10"/>
    <x v="418"/>
    <n v="5"/>
    <x v="0"/>
    <n v="0.49"/>
    <n v="1.43"/>
    <x v="33"/>
    <x v="2"/>
    <n v="0.9"/>
    <n v="0.46"/>
    <n v="0.15"/>
    <n v="0.93"/>
    <n v="0.46"/>
    <n v="0.18"/>
    <n v="0.3"/>
    <n v="0.05"/>
    <n v="0.47"/>
    <n v="0.85"/>
    <x v="1"/>
    <s v="Medium Exposure"/>
  </r>
  <r>
    <x v="10"/>
    <x v="419"/>
    <n v="18"/>
    <x v="0"/>
    <n v="0.93"/>
    <n v="0.63"/>
    <x v="84"/>
    <x v="2"/>
    <n v="0.03"/>
    <n v="0.86"/>
    <n v="0.36"/>
    <n v="0.63"/>
    <n v="0.71"/>
    <n v="0.43"/>
    <n v="0.31"/>
    <n v="0.96"/>
    <n v="0.96"/>
    <n v="0.28999999999999998"/>
    <x v="0"/>
    <s v="High Exposure"/>
  </r>
  <r>
    <x v="19"/>
    <x v="420"/>
    <n v="4"/>
    <x v="2"/>
    <n v="0.97"/>
    <n v="0.5"/>
    <x v="25"/>
    <x v="2"/>
    <n v="0.1"/>
    <n v="0.51"/>
    <n v="0.02"/>
    <n v="0.41"/>
    <n v="0.22"/>
    <n v="0.53"/>
    <n v="1"/>
    <n v="0.8"/>
    <n v="0.85"/>
    <n v="0.64"/>
    <x v="1"/>
    <s v="High Exposure"/>
  </r>
  <r>
    <x v="2"/>
    <x v="421"/>
    <n v="27"/>
    <x v="1"/>
    <n v="0.21"/>
    <n v="1.43"/>
    <x v="77"/>
    <x v="0"/>
    <n v="0.1"/>
    <n v="0.7"/>
    <n v="0.3"/>
    <n v="0.27"/>
    <n v="1"/>
    <n v="0.86"/>
    <n v="0.41"/>
    <n v="0.98"/>
    <n v="0.65"/>
    <n v="0.74"/>
    <x v="0"/>
    <s v="Low Exposure"/>
  </r>
  <r>
    <x v="4"/>
    <x v="422"/>
    <n v="0"/>
    <x v="3"/>
    <n v="0.12"/>
    <n v="1.1299999999999999"/>
    <x v="72"/>
    <x v="2"/>
    <n v="0.62"/>
    <n v="0.13"/>
    <n v="0.12"/>
    <n v="0.84"/>
    <n v="0.14000000000000001"/>
    <n v="0.52"/>
    <n v="0.04"/>
    <n v="0.08"/>
    <n v="0.67"/>
    <n v="0.69"/>
    <x v="1"/>
    <s v="Low Exposure"/>
  </r>
  <r>
    <x v="10"/>
    <x v="423"/>
    <n v="19"/>
    <x v="1"/>
    <n v="0.22"/>
    <n v="1.31"/>
    <x v="65"/>
    <x v="2"/>
    <n v="0.54"/>
    <n v="0.97"/>
    <n v="0.15"/>
    <n v="0.94"/>
    <n v="0.18"/>
    <n v="0.56999999999999995"/>
    <n v="0.38"/>
    <n v="0.96"/>
    <n v="0.27"/>
    <n v="0.4"/>
    <x v="0"/>
    <s v="Low Exposure"/>
  </r>
  <r>
    <x v="11"/>
    <x v="424"/>
    <n v="27"/>
    <x v="2"/>
    <n v="0.54"/>
    <n v="1"/>
    <x v="10"/>
    <x v="2"/>
    <n v="0.7"/>
    <n v="0.01"/>
    <n v="0.05"/>
    <n v="0.6"/>
    <n v="0.34"/>
    <n v="0.95"/>
    <n v="0.9"/>
    <n v="0.71"/>
    <n v="0.82"/>
    <n v="0.67"/>
    <x v="0"/>
    <s v="Medium Exposure"/>
  </r>
  <r>
    <x v="12"/>
    <x v="425"/>
    <n v="1"/>
    <x v="2"/>
    <n v="0.77"/>
    <n v="0.71"/>
    <x v="87"/>
    <x v="2"/>
    <n v="0.82"/>
    <n v="0.54"/>
    <n v="0.86"/>
    <n v="0.21"/>
    <n v="0.61"/>
    <n v="0.08"/>
    <n v="0.64"/>
    <n v="0.76"/>
    <n v="0.57999999999999996"/>
    <n v="0.27"/>
    <x v="1"/>
    <s v="High Exposure"/>
  </r>
  <r>
    <x v="5"/>
    <x v="426"/>
    <n v="14"/>
    <x v="3"/>
    <n v="0.12"/>
    <n v="1.1200000000000001"/>
    <x v="16"/>
    <x v="1"/>
    <n v="0.21"/>
    <n v="0.74"/>
    <n v="0.87"/>
    <n v="0.52"/>
    <n v="0.67"/>
    <n v="0.82"/>
    <n v="0.26"/>
    <n v="0.3"/>
    <n v="0"/>
    <n v="0.96"/>
    <x v="2"/>
    <s v="Low Exposure"/>
  </r>
  <r>
    <x v="12"/>
    <x v="427"/>
    <n v="29"/>
    <x v="0"/>
    <n v="0.26"/>
    <n v="1.37"/>
    <x v="53"/>
    <x v="2"/>
    <n v="0.72"/>
    <n v="0.1"/>
    <n v="0.62"/>
    <n v="0.36"/>
    <n v="0.79"/>
    <n v="0.23"/>
    <n v="0.64"/>
    <n v="0.24"/>
    <n v="0.71"/>
    <n v="0.87"/>
    <x v="0"/>
    <s v="Low Exposure"/>
  </r>
  <r>
    <x v="12"/>
    <x v="428"/>
    <n v="17"/>
    <x v="2"/>
    <n v="0.87"/>
    <n v="1.0900000000000001"/>
    <x v="53"/>
    <x v="2"/>
    <n v="0.43"/>
    <n v="0.16"/>
    <n v="0.7"/>
    <n v="0.76"/>
    <n v="0.11"/>
    <n v="0.51"/>
    <n v="0.81"/>
    <n v="0.94"/>
    <n v="0.51"/>
    <n v="0.95"/>
    <x v="0"/>
    <s v="High Exposure"/>
  </r>
  <r>
    <x v="12"/>
    <x v="429"/>
    <n v="28"/>
    <x v="3"/>
    <n v="0.39"/>
    <n v="1.35"/>
    <x v="11"/>
    <x v="2"/>
    <n v="0.47"/>
    <n v="0.49"/>
    <n v="0.85"/>
    <n v="0.83"/>
    <n v="0.4"/>
    <n v="0.33"/>
    <n v="0.49"/>
    <n v="0.56999999999999995"/>
    <n v="0.24"/>
    <n v="0.79"/>
    <x v="0"/>
    <s v="Medium Exposure"/>
  </r>
  <r>
    <x v="0"/>
    <x v="430"/>
    <n v="1"/>
    <x v="2"/>
    <n v="0.33"/>
    <n v="0.61"/>
    <x v="39"/>
    <x v="0"/>
    <n v="0.95"/>
    <n v="0.31"/>
    <n v="0.17"/>
    <n v="0.46"/>
    <n v="0.31"/>
    <n v="0.04"/>
    <n v="0.32"/>
    <n v="0.54"/>
    <n v="0.55000000000000004"/>
    <n v="0.36"/>
    <x v="1"/>
    <s v="Medium Exposure"/>
  </r>
  <r>
    <x v="19"/>
    <x v="431"/>
    <n v="20"/>
    <x v="1"/>
    <n v="0.97"/>
    <n v="0.88"/>
    <x v="10"/>
    <x v="2"/>
    <n v="0.24"/>
    <n v="0.46"/>
    <n v="0.76"/>
    <n v="0.21"/>
    <n v="0.71"/>
    <n v="0.02"/>
    <n v="0.42"/>
    <n v="0.78"/>
    <n v="0.34"/>
    <n v="0.56000000000000005"/>
    <x v="0"/>
    <s v="High Exposure"/>
  </r>
  <r>
    <x v="13"/>
    <x v="432"/>
    <n v="12"/>
    <x v="1"/>
    <n v="0.74"/>
    <n v="0.55000000000000004"/>
    <x v="4"/>
    <x v="2"/>
    <n v="0.2"/>
    <n v="0.87"/>
    <n v="0.35"/>
    <n v="0.72"/>
    <n v="0.32"/>
    <n v="0.91"/>
    <n v="0.13"/>
    <n v="0.18"/>
    <n v="0.49"/>
    <n v="0.08"/>
    <x v="2"/>
    <s v="High Exposure"/>
  </r>
  <r>
    <x v="7"/>
    <x v="433"/>
    <n v="23"/>
    <x v="0"/>
    <n v="0.94"/>
    <n v="1.48"/>
    <x v="41"/>
    <x v="1"/>
    <n v="0.92"/>
    <n v="0.54"/>
    <n v="0.27"/>
    <n v="0.7"/>
    <n v="0.66"/>
    <n v="0.99"/>
    <n v="0.27"/>
    <n v="0.67"/>
    <n v="0.05"/>
    <n v="0.11"/>
    <x v="0"/>
    <s v="High Exposure"/>
  </r>
  <r>
    <x v="17"/>
    <x v="434"/>
    <n v="10"/>
    <x v="3"/>
    <n v="1"/>
    <n v="1.3"/>
    <x v="45"/>
    <x v="2"/>
    <n v="0.51"/>
    <n v="0.3"/>
    <n v="0.15"/>
    <n v="0.28000000000000003"/>
    <n v="0.38"/>
    <n v="0.76"/>
    <n v="0.54"/>
    <n v="0.08"/>
    <n v="0.02"/>
    <n v="0.1"/>
    <x v="2"/>
    <s v="High Exposure"/>
  </r>
  <r>
    <x v="13"/>
    <x v="435"/>
    <n v="21"/>
    <x v="0"/>
    <n v="0.93"/>
    <n v="1.1399999999999999"/>
    <x v="69"/>
    <x v="2"/>
    <n v="0.47"/>
    <n v="0.36"/>
    <n v="0.11"/>
    <n v="0.88"/>
    <n v="0.78"/>
    <n v="0.17"/>
    <n v="0.51"/>
    <n v="0.49"/>
    <n v="0.63"/>
    <n v="0.95"/>
    <x v="0"/>
    <s v="High Exposure"/>
  </r>
  <r>
    <x v="1"/>
    <x v="436"/>
    <n v="11"/>
    <x v="3"/>
    <n v="0.17"/>
    <n v="1.22"/>
    <x v="82"/>
    <x v="1"/>
    <n v="0.68"/>
    <n v="0.2"/>
    <n v="0.75"/>
    <n v="1"/>
    <n v="0.67"/>
    <n v="0.49"/>
    <n v="0.92"/>
    <n v="0.02"/>
    <n v="0.73"/>
    <n v="0.89"/>
    <x v="2"/>
    <s v="Low Exposure"/>
  </r>
  <r>
    <x v="4"/>
    <x v="437"/>
    <n v="8"/>
    <x v="0"/>
    <n v="0.2"/>
    <n v="1.07"/>
    <x v="23"/>
    <x v="2"/>
    <n v="0.3"/>
    <n v="0.46"/>
    <n v="0.28000000000000003"/>
    <n v="0.37"/>
    <n v="0.16"/>
    <n v="0.89"/>
    <n v="0.01"/>
    <n v="0.88"/>
    <n v="0.56999999999999995"/>
    <n v="0.33"/>
    <x v="2"/>
    <s v="Low Exposure"/>
  </r>
  <r>
    <x v="7"/>
    <x v="438"/>
    <n v="22"/>
    <x v="0"/>
    <n v="0.51"/>
    <n v="1"/>
    <x v="47"/>
    <x v="1"/>
    <n v="0.39"/>
    <n v="0.24"/>
    <n v="0.02"/>
    <n v="0.36"/>
    <n v="0.09"/>
    <n v="0.26"/>
    <n v="0.09"/>
    <n v="0.1"/>
    <n v="0.2"/>
    <n v="1"/>
    <x v="0"/>
    <s v="Medium Exposure"/>
  </r>
  <r>
    <x v="10"/>
    <x v="439"/>
    <n v="10"/>
    <x v="1"/>
    <n v="0.64"/>
    <n v="0.64"/>
    <x v="79"/>
    <x v="2"/>
    <n v="0.09"/>
    <n v="0.96"/>
    <n v="0.61"/>
    <n v="0"/>
    <n v="0.89"/>
    <n v="0.52"/>
    <n v="0.26"/>
    <n v="0.77"/>
    <n v="0.93"/>
    <n v="0.48"/>
    <x v="2"/>
    <s v="Medium Exposure"/>
  </r>
  <r>
    <x v="7"/>
    <x v="440"/>
    <n v="17"/>
    <x v="3"/>
    <n v="0.79"/>
    <n v="1.18"/>
    <x v="15"/>
    <x v="1"/>
    <n v="0.69"/>
    <n v="0.24"/>
    <n v="0.93"/>
    <n v="0.1"/>
    <n v="0.27"/>
    <n v="0.52"/>
    <n v="0.56999999999999995"/>
    <n v="0.02"/>
    <n v="0.78"/>
    <n v="0.36"/>
    <x v="0"/>
    <s v="High Exposure"/>
  </r>
  <r>
    <x v="13"/>
    <x v="441"/>
    <n v="27"/>
    <x v="1"/>
    <n v="0.81"/>
    <n v="0.88"/>
    <x v="86"/>
    <x v="2"/>
    <n v="0.18"/>
    <n v="0.96"/>
    <n v="7.0000000000000007E-2"/>
    <n v="0.35"/>
    <n v="0.5"/>
    <n v="0.49"/>
    <n v="0"/>
    <n v="0.5"/>
    <n v="0.38"/>
    <n v="0.97"/>
    <x v="0"/>
    <s v="High Exposure"/>
  </r>
  <r>
    <x v="14"/>
    <x v="442"/>
    <n v="15"/>
    <x v="1"/>
    <n v="0.35"/>
    <n v="0.92"/>
    <x v="9"/>
    <x v="0"/>
    <n v="0.67"/>
    <n v="0.22"/>
    <n v="0.22"/>
    <n v="0.73"/>
    <n v="0.5"/>
    <n v="0.42"/>
    <n v="0.17"/>
    <n v="0.19"/>
    <n v="0.01"/>
    <n v="0.09"/>
    <x v="2"/>
    <s v="Medium Exposure"/>
  </r>
  <r>
    <x v="0"/>
    <x v="443"/>
    <n v="18"/>
    <x v="3"/>
    <n v="0.89"/>
    <n v="0.79"/>
    <x v="80"/>
    <x v="0"/>
    <n v="0.12"/>
    <n v="0.39"/>
    <n v="0.04"/>
    <n v="0.92"/>
    <n v="0.67"/>
    <n v="0.99"/>
    <n v="0.88"/>
    <n v="0.47"/>
    <n v="0.52"/>
    <n v="0.19"/>
    <x v="0"/>
    <s v="High Exposure"/>
  </r>
  <r>
    <x v="11"/>
    <x v="444"/>
    <n v="10"/>
    <x v="2"/>
    <n v="0.9"/>
    <n v="0.55000000000000004"/>
    <x v="38"/>
    <x v="2"/>
    <n v="0.34"/>
    <n v="0.9"/>
    <n v="0.94"/>
    <n v="0.67"/>
    <n v="0.66"/>
    <n v="0.45"/>
    <n v="0.84"/>
    <n v="0.96"/>
    <n v="0.78"/>
    <n v="0.62"/>
    <x v="2"/>
    <s v="High Exposure"/>
  </r>
  <r>
    <x v="18"/>
    <x v="445"/>
    <n v="14"/>
    <x v="0"/>
    <n v="0.85"/>
    <n v="1.04"/>
    <x v="88"/>
    <x v="1"/>
    <n v="0.51"/>
    <n v="0.06"/>
    <n v="0.38"/>
    <n v="0.44"/>
    <n v="0.14000000000000001"/>
    <n v="0.1"/>
    <n v="0.54"/>
    <n v="0.09"/>
    <n v="0.3"/>
    <n v="0.74"/>
    <x v="2"/>
    <s v="High Exposure"/>
  </r>
  <r>
    <x v="17"/>
    <x v="446"/>
    <n v="6"/>
    <x v="1"/>
    <n v="0.72"/>
    <n v="1.49"/>
    <x v="14"/>
    <x v="2"/>
    <n v="0.28999999999999998"/>
    <n v="0.67"/>
    <n v="0.7"/>
    <n v="0.37"/>
    <n v="0.02"/>
    <n v="0.7"/>
    <n v="0.02"/>
    <n v="0.63"/>
    <n v="0.16"/>
    <n v="0.56999999999999995"/>
    <x v="2"/>
    <s v="High Exposure"/>
  </r>
  <r>
    <x v="6"/>
    <x v="447"/>
    <n v="26"/>
    <x v="3"/>
    <n v="0.01"/>
    <n v="0.86"/>
    <x v="22"/>
    <x v="2"/>
    <n v="0.85"/>
    <n v="0.89"/>
    <n v="0.48"/>
    <n v="0.73"/>
    <n v="0.32"/>
    <n v="0.34"/>
    <n v="0.19"/>
    <n v="0.56000000000000005"/>
    <n v="0.31"/>
    <n v="0.08"/>
    <x v="0"/>
    <s v="Low Exposure"/>
  </r>
  <r>
    <x v="10"/>
    <x v="448"/>
    <n v="23"/>
    <x v="0"/>
    <n v="0.71"/>
    <n v="0.86"/>
    <x v="20"/>
    <x v="2"/>
    <n v="0.43"/>
    <n v="0.44"/>
    <n v="0.67"/>
    <n v="0.32"/>
    <n v="0.68"/>
    <n v="0.87"/>
    <n v="0.24"/>
    <n v="0.98"/>
    <n v="0.39"/>
    <n v="0.27"/>
    <x v="0"/>
    <s v="High Exposure"/>
  </r>
  <r>
    <x v="1"/>
    <x v="449"/>
    <n v="25"/>
    <x v="1"/>
    <n v="0.09"/>
    <n v="0.63"/>
    <x v="18"/>
    <x v="1"/>
    <n v="0.76"/>
    <n v="0.9"/>
    <n v="0.66"/>
    <n v="0.11"/>
    <n v="0.67"/>
    <n v="0.64"/>
    <n v="0.81"/>
    <n v="0.83"/>
    <n v="0.87"/>
    <n v="0.41"/>
    <x v="0"/>
    <s v="Low Exposure"/>
  </r>
  <r>
    <x v="18"/>
    <x v="450"/>
    <n v="0"/>
    <x v="0"/>
    <n v="0.27"/>
    <n v="1.5"/>
    <x v="63"/>
    <x v="1"/>
    <n v="0.01"/>
    <n v="0.15"/>
    <n v="0.78"/>
    <n v="0.45"/>
    <n v="0.45"/>
    <n v="0.96"/>
    <n v="0.92"/>
    <n v="0.31"/>
    <n v="0.21"/>
    <n v="0.85"/>
    <x v="1"/>
    <s v="Low Exposure"/>
  </r>
  <r>
    <x v="1"/>
    <x v="451"/>
    <n v="16"/>
    <x v="0"/>
    <n v="0.54"/>
    <n v="1.1299999999999999"/>
    <x v="37"/>
    <x v="1"/>
    <n v="0.8"/>
    <n v="0.63"/>
    <n v="0.5"/>
    <n v="0.06"/>
    <n v="0.92"/>
    <n v="0.62"/>
    <n v="0.19"/>
    <n v="0.61"/>
    <n v="0.68"/>
    <n v="0.53"/>
    <x v="0"/>
    <s v="Medium Exposure"/>
  </r>
  <r>
    <x v="17"/>
    <x v="452"/>
    <n v="20"/>
    <x v="0"/>
    <n v="0.57999999999999996"/>
    <n v="1.45"/>
    <x v="86"/>
    <x v="2"/>
    <n v="0.11"/>
    <n v="0.17"/>
    <n v="0.69"/>
    <n v="0.65"/>
    <n v="0.89"/>
    <n v="0.73"/>
    <n v="0.51"/>
    <n v="0.99"/>
    <n v="0.27"/>
    <n v="0.83"/>
    <x v="0"/>
    <s v="Medium Exposure"/>
  </r>
  <r>
    <x v="18"/>
    <x v="453"/>
    <n v="29"/>
    <x v="3"/>
    <n v="0.65"/>
    <n v="1.23"/>
    <x v="13"/>
    <x v="1"/>
    <n v="0.14000000000000001"/>
    <n v="0.44"/>
    <n v="0.56000000000000005"/>
    <n v="0.85"/>
    <n v="0.44"/>
    <n v="0.92"/>
    <n v="0.44"/>
    <n v="0.55000000000000004"/>
    <n v="0.8"/>
    <n v="0.57999999999999996"/>
    <x v="0"/>
    <s v="Medium Exposure"/>
  </r>
  <r>
    <x v="10"/>
    <x v="454"/>
    <n v="16"/>
    <x v="2"/>
    <n v="0.66"/>
    <n v="1.02"/>
    <x v="57"/>
    <x v="2"/>
    <n v="0.41"/>
    <n v="0.3"/>
    <n v="0.75"/>
    <n v="0.21"/>
    <n v="0.21"/>
    <n v="0.19"/>
    <n v="0.13"/>
    <n v="0.31"/>
    <n v="0.89"/>
    <n v="0.77"/>
    <x v="0"/>
    <s v="Medium Exposure"/>
  </r>
  <r>
    <x v="5"/>
    <x v="455"/>
    <n v="17"/>
    <x v="2"/>
    <n v="0.8"/>
    <n v="0.77"/>
    <x v="15"/>
    <x v="1"/>
    <n v="0.14000000000000001"/>
    <n v="0.34"/>
    <n v="0.59"/>
    <n v="0.1"/>
    <n v="0.73"/>
    <n v="0.39"/>
    <n v="0.78"/>
    <n v="0.49"/>
    <n v="0.18"/>
    <n v="0.73"/>
    <x v="0"/>
    <s v="High Exposure"/>
  </r>
  <r>
    <x v="4"/>
    <x v="456"/>
    <n v="23"/>
    <x v="3"/>
    <n v="0.49"/>
    <n v="0.57999999999999996"/>
    <x v="33"/>
    <x v="2"/>
    <n v="0.67"/>
    <n v="0.38"/>
    <n v="0.95"/>
    <n v="0.87"/>
    <n v="0.71"/>
    <n v="0.71"/>
    <n v="0.25"/>
    <n v="0.66"/>
    <n v="0.2"/>
    <n v="0.14000000000000001"/>
    <x v="0"/>
    <s v="Medium Exposure"/>
  </r>
  <r>
    <x v="12"/>
    <x v="457"/>
    <n v="10"/>
    <x v="3"/>
    <n v="0.62"/>
    <n v="0.93"/>
    <x v="71"/>
    <x v="2"/>
    <n v="0.6"/>
    <n v="0.05"/>
    <n v="0.09"/>
    <n v="0.03"/>
    <n v="0.5"/>
    <n v="0.6"/>
    <n v="0.06"/>
    <n v="0.72"/>
    <n v="0.23"/>
    <n v="0.69"/>
    <x v="2"/>
    <s v="Medium Exposure"/>
  </r>
  <r>
    <x v="18"/>
    <x v="458"/>
    <n v="11"/>
    <x v="1"/>
    <n v="0.69"/>
    <n v="1.38"/>
    <x v="21"/>
    <x v="1"/>
    <n v="0.49"/>
    <n v="0.7"/>
    <n v="0.85"/>
    <n v="0.36"/>
    <n v="0.26"/>
    <n v="0.95"/>
    <n v="0.73"/>
    <n v="0.22"/>
    <n v="0.45"/>
    <n v="0.8"/>
    <x v="2"/>
    <s v="Medium Exposure"/>
  </r>
  <r>
    <x v="3"/>
    <x v="459"/>
    <n v="29"/>
    <x v="2"/>
    <n v="0.65"/>
    <n v="1.25"/>
    <x v="33"/>
    <x v="2"/>
    <n v="0.54"/>
    <n v="0.75"/>
    <n v="0.73"/>
    <n v="0.63"/>
    <n v="0.36"/>
    <n v="0.41"/>
    <n v="0.97"/>
    <n v="0.11"/>
    <n v="0.27"/>
    <n v="0.49"/>
    <x v="0"/>
    <s v="Medium Exposure"/>
  </r>
  <r>
    <x v="6"/>
    <x v="460"/>
    <n v="16"/>
    <x v="0"/>
    <n v="0.28000000000000003"/>
    <n v="0.56999999999999995"/>
    <x v="14"/>
    <x v="2"/>
    <n v="0.24"/>
    <n v="0.39"/>
    <n v="0.44"/>
    <n v="0.89"/>
    <n v="0.41"/>
    <n v="0.15"/>
    <n v="0.52"/>
    <n v="0.96"/>
    <n v="0.61"/>
    <n v="0.98"/>
    <x v="0"/>
    <s v="Low Exposure"/>
  </r>
  <r>
    <x v="6"/>
    <x v="461"/>
    <n v="10"/>
    <x v="2"/>
    <n v="0.04"/>
    <n v="1.1599999999999999"/>
    <x v="6"/>
    <x v="2"/>
    <n v="0.56000000000000005"/>
    <n v="0.28000000000000003"/>
    <n v="0.35"/>
    <n v="0.92"/>
    <n v="0.21"/>
    <n v="0.87"/>
    <n v="0.03"/>
    <n v="0.09"/>
    <n v="0.85"/>
    <n v="0.63"/>
    <x v="2"/>
    <s v="Low Exposure"/>
  </r>
  <r>
    <x v="12"/>
    <x v="462"/>
    <n v="1"/>
    <x v="3"/>
    <n v="0.21"/>
    <n v="1.04"/>
    <x v="31"/>
    <x v="2"/>
    <n v="0.63"/>
    <n v="0.47"/>
    <n v="0.96"/>
    <n v="0.68"/>
    <n v="0.91"/>
    <n v="0.73"/>
    <n v="0.74"/>
    <n v="0.08"/>
    <n v="0.36"/>
    <n v="0.86"/>
    <x v="1"/>
    <s v="Low Exposure"/>
  </r>
  <r>
    <x v="18"/>
    <x v="463"/>
    <n v="10"/>
    <x v="0"/>
    <n v="0.93"/>
    <n v="0.51"/>
    <x v="34"/>
    <x v="1"/>
    <n v="0.25"/>
    <n v="0.67"/>
    <n v="0.89"/>
    <n v="0.46"/>
    <n v="0.61"/>
    <n v="0.19"/>
    <n v="0.8"/>
    <n v="0.97"/>
    <n v="0.27"/>
    <n v="0.49"/>
    <x v="2"/>
    <s v="High Exposure"/>
  </r>
  <r>
    <x v="6"/>
    <x v="464"/>
    <n v="0"/>
    <x v="0"/>
    <n v="0.56000000000000005"/>
    <n v="1"/>
    <x v="46"/>
    <x v="2"/>
    <n v="0.44"/>
    <n v="0.33"/>
    <n v="0.52"/>
    <n v="0.59"/>
    <n v="0.01"/>
    <n v="0.76"/>
    <n v="0.71"/>
    <n v="0.37"/>
    <n v="0.05"/>
    <n v="0.75"/>
    <x v="1"/>
    <s v="Medium Exposure"/>
  </r>
  <r>
    <x v="16"/>
    <x v="38"/>
    <n v="25"/>
    <x v="1"/>
    <n v="0.24"/>
    <n v="0.82"/>
    <x v="73"/>
    <x v="0"/>
    <n v="0.57999999999999996"/>
    <n v="0.15"/>
    <n v="0.36"/>
    <n v="0.7"/>
    <n v="0.56000000000000005"/>
    <n v="0.39"/>
    <n v="0.42"/>
    <n v="0.56000000000000005"/>
    <n v="0.01"/>
    <n v="0.08"/>
    <x v="0"/>
    <s v="Low Exposure"/>
  </r>
  <r>
    <x v="15"/>
    <x v="465"/>
    <n v="16"/>
    <x v="2"/>
    <n v="0.08"/>
    <n v="1.21"/>
    <x v="16"/>
    <x v="1"/>
    <n v="0.27"/>
    <n v="0.37"/>
    <n v="0.56999999999999995"/>
    <n v="0.88"/>
    <n v="0.94"/>
    <n v="0.74"/>
    <n v="0.09"/>
    <n v="0.67"/>
    <n v="0.41"/>
    <n v="0.47"/>
    <x v="0"/>
    <s v="Low Exposure"/>
  </r>
  <r>
    <x v="13"/>
    <x v="466"/>
    <n v="4"/>
    <x v="1"/>
    <n v="0.19"/>
    <n v="1.29"/>
    <x v="8"/>
    <x v="2"/>
    <n v="0.3"/>
    <n v="0.38"/>
    <n v="0.85"/>
    <n v="0.75"/>
    <n v="0.27"/>
    <n v="0.12"/>
    <n v="0.25"/>
    <n v="0.92"/>
    <n v="0.57999999999999996"/>
    <n v="0.53"/>
    <x v="1"/>
    <s v="Low Exposure"/>
  </r>
  <r>
    <x v="11"/>
    <x v="467"/>
    <n v="22"/>
    <x v="2"/>
    <n v="0.37"/>
    <n v="1.31"/>
    <x v="50"/>
    <x v="2"/>
    <n v="0.12"/>
    <n v="0.13"/>
    <n v="0.54"/>
    <n v="0.94"/>
    <n v="0.31"/>
    <n v="0.87"/>
    <n v="0.76"/>
    <n v="0.25"/>
    <n v="0.04"/>
    <n v="0.1"/>
    <x v="0"/>
    <s v="Medium Exposure"/>
  </r>
  <r>
    <x v="2"/>
    <x v="468"/>
    <n v="8"/>
    <x v="2"/>
    <n v="0.2"/>
    <n v="0.87"/>
    <x v="35"/>
    <x v="0"/>
    <n v="0.73"/>
    <n v="0.11"/>
    <n v="0.41"/>
    <n v="0.49"/>
    <n v="0.54"/>
    <n v="0.82"/>
    <n v="0.17"/>
    <n v="0.81"/>
    <n v="0.69"/>
    <n v="0.56000000000000005"/>
    <x v="2"/>
    <s v="Low Exposure"/>
  </r>
  <r>
    <x v="5"/>
    <x v="469"/>
    <n v="6"/>
    <x v="3"/>
    <n v="0.41"/>
    <n v="0.64"/>
    <x v="29"/>
    <x v="1"/>
    <n v="0.52"/>
    <n v="0.64"/>
    <n v="0.34"/>
    <n v="0.91"/>
    <n v="0.59"/>
    <n v="0.09"/>
    <n v="0.45"/>
    <n v="0.76"/>
    <n v="0.79"/>
    <n v="0.49"/>
    <x v="2"/>
    <s v="Medium Exposure"/>
  </r>
  <r>
    <x v="4"/>
    <x v="470"/>
    <n v="23"/>
    <x v="3"/>
    <n v="0.27"/>
    <n v="0.91"/>
    <x v="72"/>
    <x v="2"/>
    <n v="0.9"/>
    <n v="0.69"/>
    <n v="0.86"/>
    <n v="0.09"/>
    <n v="0.86"/>
    <n v="0.32"/>
    <n v="0.18"/>
    <n v="0.24"/>
    <n v="0.42"/>
    <n v="0.25"/>
    <x v="0"/>
    <s v="Low Exposure"/>
  </r>
  <r>
    <x v="4"/>
    <x v="471"/>
    <n v="29"/>
    <x v="0"/>
    <n v="0.13"/>
    <n v="0.8"/>
    <x v="68"/>
    <x v="2"/>
    <n v="0.44"/>
    <n v="0.35"/>
    <n v="0.75"/>
    <n v="0.89"/>
    <n v="0.76"/>
    <n v="0.33"/>
    <n v="0.74"/>
    <n v="0.15"/>
    <n v="0.13"/>
    <n v="0.35"/>
    <x v="0"/>
    <s v="Low Exposure"/>
  </r>
  <r>
    <x v="10"/>
    <x v="472"/>
    <n v="3"/>
    <x v="2"/>
    <n v="0.25"/>
    <n v="0.56000000000000005"/>
    <x v="53"/>
    <x v="2"/>
    <n v="0.86"/>
    <n v="0.63"/>
    <n v="0.25"/>
    <n v="0.56000000000000005"/>
    <n v="0.53"/>
    <n v="0.66"/>
    <n v="0.23"/>
    <n v="0.86"/>
    <n v="0.31"/>
    <n v="0.69"/>
    <x v="1"/>
    <s v="Low Exposure"/>
  </r>
  <r>
    <x v="1"/>
    <x v="473"/>
    <n v="21"/>
    <x v="3"/>
    <n v="0.37"/>
    <n v="0.85"/>
    <x v="27"/>
    <x v="1"/>
    <n v="7.0000000000000007E-2"/>
    <n v="0.79"/>
    <n v="0.22"/>
    <n v="0.68"/>
    <n v="0.8"/>
    <n v="0.56000000000000005"/>
    <n v="0.74"/>
    <n v="0.66"/>
    <n v="0.36"/>
    <n v="0.81"/>
    <x v="0"/>
    <s v="Medium Exposure"/>
  </r>
  <r>
    <x v="3"/>
    <x v="474"/>
    <n v="16"/>
    <x v="3"/>
    <n v="0.56999999999999995"/>
    <n v="1.25"/>
    <x v="84"/>
    <x v="2"/>
    <n v="0.3"/>
    <n v="0.46"/>
    <n v="0.82"/>
    <n v="0.93"/>
    <n v="0.55000000000000004"/>
    <n v="0.66"/>
    <n v="0.9"/>
    <n v="0.1"/>
    <n v="0.23"/>
    <n v="0.71"/>
    <x v="0"/>
    <s v="Medium Exposure"/>
  </r>
  <r>
    <x v="16"/>
    <x v="475"/>
    <n v="9"/>
    <x v="3"/>
    <n v="0.86"/>
    <n v="0.92"/>
    <x v="28"/>
    <x v="0"/>
    <n v="0.44"/>
    <n v="0.23"/>
    <n v="0.28999999999999998"/>
    <n v="0.77"/>
    <n v="0.08"/>
    <n v="0.83"/>
    <n v="0.43"/>
    <n v="0.6"/>
    <n v="0.09"/>
    <n v="0.34"/>
    <x v="2"/>
    <s v="High Exposure"/>
  </r>
  <r>
    <x v="8"/>
    <x v="476"/>
    <n v="28"/>
    <x v="1"/>
    <n v="0.96"/>
    <n v="1.31"/>
    <x v="8"/>
    <x v="2"/>
    <n v="0.22"/>
    <n v="0.93"/>
    <n v="0.34"/>
    <n v="0.16"/>
    <n v="0.56000000000000005"/>
    <n v="0.94"/>
    <n v="0"/>
    <n v="0.24"/>
    <n v="0.94"/>
    <n v="0.17"/>
    <x v="0"/>
    <s v="High Exposure"/>
  </r>
  <r>
    <x v="14"/>
    <x v="477"/>
    <n v="8"/>
    <x v="3"/>
    <n v="0.56999999999999995"/>
    <n v="1.36"/>
    <x v="90"/>
    <x v="0"/>
    <n v="0.99"/>
    <n v="0.68"/>
    <n v="7.0000000000000007E-2"/>
    <n v="0.99"/>
    <n v="0.41"/>
    <n v="0.28999999999999998"/>
    <n v="0.56000000000000005"/>
    <n v="0.3"/>
    <n v="0.09"/>
    <n v="0"/>
    <x v="2"/>
    <s v="Medium Exposure"/>
  </r>
  <r>
    <x v="1"/>
    <x v="478"/>
    <n v="8"/>
    <x v="1"/>
    <n v="0.18"/>
    <n v="1.42"/>
    <x v="7"/>
    <x v="1"/>
    <n v="0.06"/>
    <n v="0.6"/>
    <n v="0.6"/>
    <n v="0.06"/>
    <n v="0.97"/>
    <n v="0.54"/>
    <n v="0.56000000000000005"/>
    <n v="0.52"/>
    <n v="0.61"/>
    <n v="0.26"/>
    <x v="2"/>
    <s v="Low Exposure"/>
  </r>
  <r>
    <x v="17"/>
    <x v="479"/>
    <n v="15"/>
    <x v="3"/>
    <n v="0.51"/>
    <n v="1.31"/>
    <x v="86"/>
    <x v="2"/>
    <n v="0.6"/>
    <n v="0.81"/>
    <n v="0.16"/>
    <n v="0.02"/>
    <n v="0.31"/>
    <n v="0.59"/>
    <n v="0.14000000000000001"/>
    <n v="0.43"/>
    <n v="0.55000000000000004"/>
    <n v="0.6"/>
    <x v="2"/>
    <s v="Medium Exposure"/>
  </r>
  <r>
    <x v="2"/>
    <x v="480"/>
    <n v="19"/>
    <x v="1"/>
    <n v="0.87"/>
    <n v="1.44"/>
    <x v="40"/>
    <x v="0"/>
    <n v="0.85"/>
    <n v="0.55000000000000004"/>
    <n v="0.83"/>
    <n v="0.3"/>
    <n v="0.4"/>
    <n v="0.32"/>
    <n v="0.47"/>
    <n v="0.28999999999999998"/>
    <n v="0.96"/>
    <n v="0.31"/>
    <x v="0"/>
    <s v="High Exposure"/>
  </r>
  <r>
    <x v="14"/>
    <x v="481"/>
    <n v="16"/>
    <x v="2"/>
    <n v="0.53"/>
    <n v="0.56000000000000005"/>
    <x v="67"/>
    <x v="0"/>
    <n v="0.22"/>
    <n v="0.46"/>
    <n v="0.43"/>
    <n v="0.8"/>
    <n v="0.74"/>
    <n v="0.43"/>
    <n v="0.33"/>
    <n v="0.32"/>
    <n v="0.77"/>
    <n v="0.05"/>
    <x v="0"/>
    <s v="Medium Exposure"/>
  </r>
  <r>
    <x v="7"/>
    <x v="482"/>
    <n v="10"/>
    <x v="2"/>
    <n v="0.8"/>
    <n v="0.98"/>
    <x v="47"/>
    <x v="1"/>
    <n v="0.24"/>
    <n v="0.93"/>
    <n v="0.86"/>
    <n v="0.71"/>
    <n v="0.48"/>
    <n v="0.52"/>
    <n v="0.98"/>
    <n v="0.97"/>
    <n v="0.22"/>
    <n v="0.81"/>
    <x v="2"/>
    <s v="High Exposure"/>
  </r>
  <r>
    <x v="4"/>
    <x v="483"/>
    <n v="9"/>
    <x v="0"/>
    <n v="0.12"/>
    <n v="1.46"/>
    <x v="71"/>
    <x v="2"/>
    <n v="0.85"/>
    <n v="0.39"/>
    <n v="0.32"/>
    <n v="0.94"/>
    <n v="0.36"/>
    <n v="0.39"/>
    <n v="0.11"/>
    <n v="0.67"/>
    <n v="0.28999999999999998"/>
    <n v="0.59"/>
    <x v="2"/>
    <s v="Low Exposure"/>
  </r>
  <r>
    <x v="0"/>
    <x v="484"/>
    <n v="24"/>
    <x v="0"/>
    <n v="0.72"/>
    <n v="1.25"/>
    <x v="35"/>
    <x v="0"/>
    <n v="0.33"/>
    <n v="0.84"/>
    <n v="0.31"/>
    <n v="0.51"/>
    <n v="0.4"/>
    <n v="0.86"/>
    <n v="0.43"/>
    <n v="0.39"/>
    <n v="0.69"/>
    <n v="0.6"/>
    <x v="0"/>
    <s v="High Exposure"/>
  </r>
  <r>
    <x v="2"/>
    <x v="485"/>
    <n v="28"/>
    <x v="0"/>
    <n v="0.63"/>
    <n v="0.78"/>
    <x v="17"/>
    <x v="0"/>
    <n v="0.63"/>
    <n v="7.0000000000000007E-2"/>
    <n v="0.91"/>
    <n v="0.96"/>
    <n v="0.08"/>
    <n v="0.53"/>
    <n v="0.3"/>
    <n v="0.39"/>
    <n v="0.18"/>
    <n v="0.57999999999999996"/>
    <x v="0"/>
    <s v="Medium Exposure"/>
  </r>
  <r>
    <x v="17"/>
    <x v="486"/>
    <n v="12"/>
    <x v="2"/>
    <n v="0.5"/>
    <n v="0.57999999999999996"/>
    <x v="33"/>
    <x v="2"/>
    <n v="0.34"/>
    <n v="0.86"/>
    <n v="0.43"/>
    <n v="0.19"/>
    <n v="0.19"/>
    <n v="0.77"/>
    <n v="0.27"/>
    <n v="0.77"/>
    <n v="0.21"/>
    <n v="0.32"/>
    <x v="2"/>
    <s v="Medium Exposure"/>
  </r>
  <r>
    <x v="17"/>
    <x v="487"/>
    <n v="29"/>
    <x v="0"/>
    <n v="0.94"/>
    <n v="1.43"/>
    <x v="48"/>
    <x v="2"/>
    <n v="0.36"/>
    <n v="0.15"/>
    <n v="0.51"/>
    <n v="0.46"/>
    <n v="0.9"/>
    <n v="0.93"/>
    <n v="0.38"/>
    <n v="0.49"/>
    <n v="0.9"/>
    <n v="0.81"/>
    <x v="0"/>
    <s v="High Exposure"/>
  </r>
  <r>
    <x v="10"/>
    <x v="488"/>
    <n v="25"/>
    <x v="0"/>
    <n v="0.32"/>
    <n v="0.92"/>
    <x v="65"/>
    <x v="2"/>
    <n v="0.2"/>
    <n v="0.04"/>
    <n v="0.64"/>
    <n v="0.26"/>
    <n v="0.05"/>
    <n v="0.23"/>
    <n v="0.8"/>
    <n v="0.85"/>
    <n v="0.48"/>
    <n v="0.42"/>
    <x v="0"/>
    <s v="Medium Exposure"/>
  </r>
  <r>
    <x v="2"/>
    <x v="489"/>
    <n v="10"/>
    <x v="0"/>
    <n v="0.93"/>
    <n v="1.1499999999999999"/>
    <x v="77"/>
    <x v="0"/>
    <n v="0.76"/>
    <n v="0.67"/>
    <n v="0.53"/>
    <n v="0.1"/>
    <n v="0.81"/>
    <n v="0.87"/>
    <n v="0.17"/>
    <n v="0.85"/>
    <n v="0.88"/>
    <n v="0.55000000000000004"/>
    <x v="2"/>
    <s v="High Exposure"/>
  </r>
  <r>
    <x v="3"/>
    <x v="490"/>
    <n v="8"/>
    <x v="0"/>
    <n v="0.38"/>
    <n v="0.78"/>
    <x v="31"/>
    <x v="2"/>
    <n v="0.86"/>
    <n v="0.65"/>
    <n v="0.51"/>
    <n v="0.16"/>
    <n v="0.05"/>
    <n v="0.45"/>
    <n v="0.05"/>
    <n v="0.56999999999999995"/>
    <n v="0.38"/>
    <n v="0.76"/>
    <x v="2"/>
    <s v="Medium Exposure"/>
  </r>
  <r>
    <x v="1"/>
    <x v="491"/>
    <n v="25"/>
    <x v="3"/>
    <n v="0.59"/>
    <n v="1.04"/>
    <x v="1"/>
    <x v="1"/>
    <n v="7.0000000000000007E-2"/>
    <n v="0.28999999999999998"/>
    <n v="0.88"/>
    <n v="0.15"/>
    <n v="0.71"/>
    <n v="0.97"/>
    <n v="0.79"/>
    <n v="0.24"/>
    <n v="0.91"/>
    <n v="0.09"/>
    <x v="0"/>
    <s v="Medium Exposure"/>
  </r>
  <r>
    <x v="15"/>
    <x v="492"/>
    <n v="11"/>
    <x v="2"/>
    <n v="0.89"/>
    <n v="1.1399999999999999"/>
    <x v="18"/>
    <x v="1"/>
    <n v="0.28999999999999998"/>
    <n v="0.38"/>
    <n v="0.51"/>
    <n v="0.32"/>
    <n v="0.97"/>
    <n v="0.93"/>
    <n v="0.87"/>
    <n v="0.42"/>
    <n v="0.69"/>
    <n v="0.9"/>
    <x v="2"/>
    <s v="High Exposure"/>
  </r>
  <r>
    <x v="18"/>
    <x v="493"/>
    <n v="29"/>
    <x v="2"/>
    <n v="0.41"/>
    <n v="0.61"/>
    <x v="34"/>
    <x v="1"/>
    <n v="0.57999999999999996"/>
    <n v="0.64"/>
    <n v="0.85"/>
    <n v="0.28999999999999998"/>
    <n v="0.17"/>
    <n v="0.38"/>
    <n v="0.35"/>
    <n v="0.13"/>
    <n v="0.67"/>
    <n v="0.51"/>
    <x v="0"/>
    <s v="Medium Exposure"/>
  </r>
  <r>
    <x v="3"/>
    <x v="494"/>
    <n v="7"/>
    <x v="2"/>
    <n v="0.35"/>
    <n v="0.83"/>
    <x v="78"/>
    <x v="2"/>
    <n v="0.88"/>
    <n v="0.04"/>
    <n v="0.8"/>
    <n v="0.37"/>
    <n v="0.85"/>
    <n v="0.8"/>
    <n v="0.35"/>
    <n v="0.69"/>
    <n v="0.16"/>
    <n v="0.9"/>
    <x v="2"/>
    <s v="Medium Exposure"/>
  </r>
  <r>
    <x v="8"/>
    <x v="495"/>
    <n v="8"/>
    <x v="3"/>
    <n v="0.46"/>
    <n v="1.21"/>
    <x v="12"/>
    <x v="2"/>
    <n v="0.24"/>
    <n v="0.66"/>
    <n v="0.39"/>
    <n v="0.37"/>
    <n v="0.69"/>
    <n v="0.39"/>
    <n v="0.35"/>
    <n v="0.84"/>
    <n v="0.1"/>
    <n v="0.68"/>
    <x v="2"/>
    <s v="Medium Exposure"/>
  </r>
  <r>
    <x v="1"/>
    <x v="496"/>
    <n v="2"/>
    <x v="2"/>
    <n v="0.02"/>
    <n v="0.67"/>
    <x v="42"/>
    <x v="1"/>
    <n v="0.71"/>
    <n v="0.02"/>
    <n v="0.04"/>
    <n v="0.9"/>
    <n v="7.0000000000000007E-2"/>
    <n v="0.89"/>
    <n v="0.23"/>
    <n v="0.74"/>
    <n v="0.31"/>
    <n v="0.86"/>
    <x v="1"/>
    <s v="Low Exposure"/>
  </r>
  <r>
    <x v="12"/>
    <x v="497"/>
    <n v="7"/>
    <x v="2"/>
    <n v="0.4"/>
    <n v="0.57999999999999996"/>
    <x v="31"/>
    <x v="2"/>
    <n v="0.62"/>
    <n v="0"/>
    <n v="0.01"/>
    <n v="0.81"/>
    <n v="0.26"/>
    <n v="0.64"/>
    <n v="0.45"/>
    <n v="0.86"/>
    <n v="0.92"/>
    <n v="1"/>
    <x v="2"/>
    <s v="Medium Exposure"/>
  </r>
  <r>
    <x v="19"/>
    <x v="498"/>
    <n v="19"/>
    <x v="2"/>
    <n v="0.27"/>
    <n v="1.0900000000000001"/>
    <x v="11"/>
    <x v="2"/>
    <n v="0.02"/>
    <n v="0.93"/>
    <n v="0.08"/>
    <n v="0.69"/>
    <n v="0.79"/>
    <n v="0.8"/>
    <n v="0.14000000000000001"/>
    <n v="0.45"/>
    <n v="0.83"/>
    <n v="0.3"/>
    <x v="0"/>
    <s v="Low Exposure"/>
  </r>
  <r>
    <x v="5"/>
    <x v="499"/>
    <n v="22"/>
    <x v="2"/>
    <n v="0.27"/>
    <n v="0.96"/>
    <x v="15"/>
    <x v="1"/>
    <n v="0.46"/>
    <n v="0.56000000000000005"/>
    <n v="0.4"/>
    <n v="0.46"/>
    <n v="0.02"/>
    <n v="0.28000000000000003"/>
    <n v="0.44"/>
    <n v="0.63"/>
    <n v="0.45"/>
    <n v="0.34"/>
    <x v="0"/>
    <s v="Low Exposure"/>
  </r>
  <r>
    <x v="11"/>
    <x v="500"/>
    <n v="1"/>
    <x v="1"/>
    <n v="0.24"/>
    <n v="1.42"/>
    <x v="50"/>
    <x v="2"/>
    <n v="0.01"/>
    <n v="0.02"/>
    <n v="0.97"/>
    <n v="0.22"/>
    <n v="0.81"/>
    <n v="0.06"/>
    <n v="0.92"/>
    <n v="0.87"/>
    <n v="0.56999999999999995"/>
    <n v="0.01"/>
    <x v="1"/>
    <s v="Low Exposure"/>
  </r>
  <r>
    <x v="15"/>
    <x v="501"/>
    <n v="19"/>
    <x v="1"/>
    <n v="0.43"/>
    <n v="0.98"/>
    <x v="13"/>
    <x v="1"/>
    <n v="0.02"/>
    <n v="0.65"/>
    <n v="0.62"/>
    <n v="0.31"/>
    <n v="0.09"/>
    <n v="0.09"/>
    <n v="0.92"/>
    <n v="0.69"/>
    <n v="0.13"/>
    <n v="0.36"/>
    <x v="0"/>
    <s v="Medium Exposure"/>
  </r>
  <r>
    <x v="9"/>
    <x v="502"/>
    <n v="4"/>
    <x v="1"/>
    <n v="0.84"/>
    <n v="0.54"/>
    <x v="39"/>
    <x v="0"/>
    <n v="0.89"/>
    <n v="0.01"/>
    <n v="0.2"/>
    <n v="0.96"/>
    <n v="0.61"/>
    <n v="0.26"/>
    <n v="7.0000000000000007E-2"/>
    <n v="0.03"/>
    <n v="0.24"/>
    <n v="0.88"/>
    <x v="1"/>
    <s v="High Exposure"/>
  </r>
  <r>
    <x v="1"/>
    <x v="503"/>
    <n v="27"/>
    <x v="2"/>
    <n v="0.72"/>
    <n v="1.42"/>
    <x v="18"/>
    <x v="1"/>
    <n v="0.19"/>
    <n v="0.52"/>
    <n v="0.91"/>
    <n v="0.8"/>
    <n v="7.0000000000000007E-2"/>
    <n v="0.69"/>
    <n v="0.56999999999999995"/>
    <n v="0.91"/>
    <n v="0.12"/>
    <n v="0.53"/>
    <x v="0"/>
    <s v="High Exposure"/>
  </r>
  <r>
    <x v="18"/>
    <x v="504"/>
    <n v="18"/>
    <x v="0"/>
    <n v="0.41"/>
    <n v="0.98"/>
    <x v="34"/>
    <x v="1"/>
    <n v="0.28000000000000003"/>
    <n v="0.32"/>
    <n v="0.95"/>
    <n v="0.28000000000000003"/>
    <n v="0.46"/>
    <n v="0.67"/>
    <n v="0.16"/>
    <n v="0.49"/>
    <n v="0.74"/>
    <n v="0.87"/>
    <x v="0"/>
    <s v="Medium Exposure"/>
  </r>
  <r>
    <x v="12"/>
    <x v="505"/>
    <n v="6"/>
    <x v="2"/>
    <n v="0.74"/>
    <n v="1.27"/>
    <x v="23"/>
    <x v="2"/>
    <n v="0.47"/>
    <n v="0.56999999999999995"/>
    <n v="0.05"/>
    <n v="0.62"/>
    <n v="0.63"/>
    <n v="0.89"/>
    <n v="0.51"/>
    <n v="0.08"/>
    <n v="0.31"/>
    <n v="0.66"/>
    <x v="2"/>
    <s v="High Exposure"/>
  </r>
  <r>
    <x v="1"/>
    <x v="506"/>
    <n v="20"/>
    <x v="3"/>
    <n v="0.89"/>
    <n v="0.77"/>
    <x v="75"/>
    <x v="1"/>
    <n v="0.52"/>
    <n v="0.46"/>
    <n v="0.31"/>
    <n v="0.57999999999999996"/>
    <n v="0.73"/>
    <n v="0.41"/>
    <n v="0.63"/>
    <n v="0.7"/>
    <n v="0.71"/>
    <n v="0.05"/>
    <x v="0"/>
    <s v="High Exposure"/>
  </r>
  <r>
    <x v="18"/>
    <x v="507"/>
    <n v="26"/>
    <x v="1"/>
    <n v="0.46"/>
    <n v="0.76"/>
    <x v="37"/>
    <x v="1"/>
    <n v="0.48"/>
    <n v="0.89"/>
    <n v="0.38"/>
    <n v="0.75"/>
    <n v="0.1"/>
    <n v="0.48"/>
    <n v="0.99"/>
    <n v="0.77"/>
    <n v="0.21"/>
    <n v="0.5"/>
    <x v="0"/>
    <s v="Medium Exposure"/>
  </r>
  <r>
    <x v="1"/>
    <x v="508"/>
    <n v="3"/>
    <x v="2"/>
    <n v="0.41"/>
    <n v="1.28"/>
    <x v="52"/>
    <x v="1"/>
    <n v="0.23"/>
    <n v="0.92"/>
    <n v="0.59"/>
    <n v="0.38"/>
    <n v="0.5"/>
    <n v="0.61"/>
    <n v="0.56000000000000005"/>
    <n v="0.49"/>
    <n v="0.5"/>
    <n v="0.18"/>
    <x v="1"/>
    <s v="Medium Exposure"/>
  </r>
  <r>
    <x v="18"/>
    <x v="509"/>
    <n v="2"/>
    <x v="0"/>
    <n v="0.54"/>
    <n v="0.63"/>
    <x v="52"/>
    <x v="1"/>
    <n v="0.93"/>
    <n v="0.95"/>
    <n v="0.37"/>
    <n v="0.14000000000000001"/>
    <n v="0.52"/>
    <n v="0.11"/>
    <n v="0.93"/>
    <n v="0.18"/>
    <n v="0.25"/>
    <n v="0.41"/>
    <x v="1"/>
    <s v="Medium Exposure"/>
  </r>
  <r>
    <x v="17"/>
    <x v="510"/>
    <n v="19"/>
    <x v="3"/>
    <n v="0.79"/>
    <n v="0.96"/>
    <x v="49"/>
    <x v="2"/>
    <n v="0.27"/>
    <n v="0.51"/>
    <n v="0.15"/>
    <n v="0.61"/>
    <n v="0.56999999999999995"/>
    <n v="0.71"/>
    <n v="0.94"/>
    <n v="0.91"/>
    <n v="0.95"/>
    <n v="0.24"/>
    <x v="0"/>
    <s v="High Exposure"/>
  </r>
  <r>
    <x v="9"/>
    <x v="511"/>
    <n v="27"/>
    <x v="2"/>
    <n v="0.3"/>
    <n v="1.4"/>
    <x v="89"/>
    <x v="0"/>
    <n v="0.86"/>
    <n v="0.11"/>
    <n v="0.95"/>
    <n v="0.42"/>
    <n v="0.01"/>
    <n v="0.44"/>
    <n v="0.05"/>
    <n v="0.54"/>
    <n v="0.34"/>
    <n v="0.47"/>
    <x v="0"/>
    <s v="Medium Exposure"/>
  </r>
  <r>
    <x v="17"/>
    <x v="512"/>
    <n v="21"/>
    <x v="3"/>
    <n v="0.87"/>
    <n v="1.1599999999999999"/>
    <x v="25"/>
    <x v="2"/>
    <n v="0.82"/>
    <n v="0.91"/>
    <n v="0.12"/>
    <n v="0.53"/>
    <n v="0.28000000000000003"/>
    <n v="0.05"/>
    <n v="0.67"/>
    <n v="0.86"/>
    <n v="0.16"/>
    <n v="0.81"/>
    <x v="0"/>
    <s v="High Exposure"/>
  </r>
  <r>
    <x v="10"/>
    <x v="513"/>
    <n v="24"/>
    <x v="3"/>
    <n v="0.91"/>
    <n v="0.77"/>
    <x v="72"/>
    <x v="2"/>
    <n v="0.32"/>
    <n v="0.55000000000000004"/>
    <n v="0.05"/>
    <n v="0.04"/>
    <n v="0.72"/>
    <n v="0.44"/>
    <n v="0.26"/>
    <n v="0.19"/>
    <n v="0.67"/>
    <n v="0"/>
    <x v="0"/>
    <s v="High Exposure"/>
  </r>
  <r>
    <x v="15"/>
    <x v="514"/>
    <n v="21"/>
    <x v="3"/>
    <n v="0.08"/>
    <n v="0.55000000000000004"/>
    <x v="74"/>
    <x v="1"/>
    <n v="0.45"/>
    <n v="0.9"/>
    <n v="0.13"/>
    <n v="0.12"/>
    <n v="0.15"/>
    <n v="0.03"/>
    <n v="7.0000000000000007E-2"/>
    <n v="0.66"/>
    <n v="0.43"/>
    <n v="0.76"/>
    <x v="0"/>
    <s v="Low Exposure"/>
  </r>
  <r>
    <x v="7"/>
    <x v="515"/>
    <n v="14"/>
    <x v="3"/>
    <n v="0.66"/>
    <n v="0.55000000000000004"/>
    <x v="47"/>
    <x v="1"/>
    <n v="0.88"/>
    <n v="0.53"/>
    <n v="0.82"/>
    <n v="0.86"/>
    <n v="0.93"/>
    <n v="0.95"/>
    <n v="0.55000000000000004"/>
    <n v="0.34"/>
    <n v="0.96"/>
    <n v="0.55000000000000004"/>
    <x v="2"/>
    <s v="Medium Exposure"/>
  </r>
  <r>
    <x v="15"/>
    <x v="516"/>
    <n v="24"/>
    <x v="1"/>
    <n v="0.64"/>
    <n v="1.0900000000000001"/>
    <x v="15"/>
    <x v="1"/>
    <n v="0.65"/>
    <n v="0.35"/>
    <n v="0.97"/>
    <n v="0.8"/>
    <n v="0.63"/>
    <n v="0.28999999999999998"/>
    <n v="0.37"/>
    <n v="0.67"/>
    <n v="7.0000000000000007E-2"/>
    <n v="0.26"/>
    <x v="0"/>
    <s v="Medium Exposure"/>
  </r>
  <r>
    <x v="0"/>
    <x v="517"/>
    <n v="24"/>
    <x v="0"/>
    <n v="0.48"/>
    <n v="0.9"/>
    <x v="44"/>
    <x v="0"/>
    <n v="0.44"/>
    <n v="0.77"/>
    <n v="0.26"/>
    <n v="0.01"/>
    <n v="0.67"/>
    <n v="0.97"/>
    <n v="0.61"/>
    <n v="0.12"/>
    <n v="0.32"/>
    <n v="0.87"/>
    <x v="0"/>
    <s v="Medium Exposure"/>
  </r>
  <r>
    <x v="0"/>
    <x v="518"/>
    <n v="16"/>
    <x v="3"/>
    <n v="0.61"/>
    <n v="0.9"/>
    <x v="73"/>
    <x v="0"/>
    <n v="0.81"/>
    <n v="0.74"/>
    <n v="0.66"/>
    <n v="0.24"/>
    <n v="0.1"/>
    <n v="0.57999999999999996"/>
    <n v="0.55000000000000004"/>
    <n v="0.19"/>
    <n v="0.06"/>
    <n v="0.08"/>
    <x v="0"/>
    <s v="Medium Exposure"/>
  </r>
  <r>
    <x v="0"/>
    <x v="519"/>
    <n v="9"/>
    <x v="0"/>
    <n v="0.78"/>
    <n v="1.42"/>
    <x v="73"/>
    <x v="0"/>
    <n v="0.96"/>
    <n v="0.14000000000000001"/>
    <n v="0.51"/>
    <n v="0.83"/>
    <n v="0.35"/>
    <n v="0.42"/>
    <n v="0.13"/>
    <n v="0.12"/>
    <n v="0.62"/>
    <n v="0.68"/>
    <x v="2"/>
    <s v="High Exposure"/>
  </r>
  <r>
    <x v="1"/>
    <x v="520"/>
    <n v="18"/>
    <x v="1"/>
    <n v="0.56000000000000005"/>
    <n v="1.1499999999999999"/>
    <x v="1"/>
    <x v="1"/>
    <n v="0.16"/>
    <n v="0.98"/>
    <n v="0.08"/>
    <n v="0.68"/>
    <n v="0.18"/>
    <n v="0.72"/>
    <n v="0.71"/>
    <n v="0.23"/>
    <n v="0.27"/>
    <n v="0.65"/>
    <x v="0"/>
    <s v="Medium Exposure"/>
  </r>
  <r>
    <x v="3"/>
    <x v="521"/>
    <n v="4"/>
    <x v="1"/>
    <n v="0.19"/>
    <n v="1.23"/>
    <x v="46"/>
    <x v="2"/>
    <n v="0.86"/>
    <n v="0.51"/>
    <n v="0.11"/>
    <n v="0.69"/>
    <n v="0.52"/>
    <n v="0.3"/>
    <n v="0.42"/>
    <n v="0.3"/>
    <n v="0.26"/>
    <n v="0.16"/>
    <x v="1"/>
    <s v="Low Exposure"/>
  </r>
  <r>
    <x v="18"/>
    <x v="522"/>
    <n v="19"/>
    <x v="1"/>
    <n v="0.25"/>
    <n v="1.18"/>
    <x v="29"/>
    <x v="1"/>
    <n v="0.5"/>
    <n v="0.78"/>
    <n v="0.84"/>
    <n v="0.57999999999999996"/>
    <n v="0.62"/>
    <n v="0.28000000000000003"/>
    <n v="0.89"/>
    <n v="0.02"/>
    <n v="0.35"/>
    <n v="0.72"/>
    <x v="0"/>
    <s v="Low Exposure"/>
  </r>
  <r>
    <x v="6"/>
    <x v="523"/>
    <n v="28"/>
    <x v="2"/>
    <n v="0.18"/>
    <n v="1.0900000000000001"/>
    <x v="43"/>
    <x v="2"/>
    <n v="0.74"/>
    <n v="0.81"/>
    <n v="0.13"/>
    <n v="0.02"/>
    <n v="0.69"/>
    <n v="0.3"/>
    <n v="0.63"/>
    <n v="0.15"/>
    <n v="0.47"/>
    <n v="0.5"/>
    <x v="0"/>
    <s v="Low Exposure"/>
  </r>
  <r>
    <x v="13"/>
    <x v="524"/>
    <n v="3"/>
    <x v="0"/>
    <n v="0.51"/>
    <n v="1"/>
    <x v="87"/>
    <x v="2"/>
    <n v="7.0000000000000007E-2"/>
    <n v="0.09"/>
    <n v="0.43"/>
    <n v="0.36"/>
    <n v="0.52"/>
    <n v="0.3"/>
    <n v="0.69"/>
    <n v="0.86"/>
    <n v="0.3"/>
    <n v="0.19"/>
    <x v="1"/>
    <s v="Medium Exposure"/>
  </r>
  <r>
    <x v="14"/>
    <x v="525"/>
    <n v="9"/>
    <x v="2"/>
    <n v="0.62"/>
    <n v="0.94"/>
    <x v="73"/>
    <x v="0"/>
    <n v="0.65"/>
    <n v="0.15"/>
    <n v="0.55000000000000004"/>
    <n v="0.53"/>
    <n v="0.73"/>
    <n v="0.06"/>
    <n v="0.89"/>
    <n v="0.7"/>
    <n v="0.22"/>
    <n v="0.18"/>
    <x v="2"/>
    <s v="Medium Exposure"/>
  </r>
  <r>
    <x v="8"/>
    <x v="526"/>
    <n v="26"/>
    <x v="0"/>
    <n v="0.02"/>
    <n v="1.4"/>
    <x v="48"/>
    <x v="2"/>
    <n v="0.23"/>
    <n v="0.28000000000000003"/>
    <n v="0.13"/>
    <n v="0.64"/>
    <n v="0.08"/>
    <n v="0.13"/>
    <n v="0.64"/>
    <n v="0.34"/>
    <n v="0.71"/>
    <n v="0.56000000000000005"/>
    <x v="0"/>
    <s v="Low Exposure"/>
  </r>
  <r>
    <x v="17"/>
    <x v="527"/>
    <n v="3"/>
    <x v="1"/>
    <n v="0.65"/>
    <n v="0.62"/>
    <x v="50"/>
    <x v="2"/>
    <n v="0.44"/>
    <n v="0.27"/>
    <n v="0.6"/>
    <n v="0.87"/>
    <n v="1"/>
    <n v="0.61"/>
    <n v="0.4"/>
    <n v="0.23"/>
    <n v="0.26"/>
    <n v="0.48"/>
    <x v="1"/>
    <s v="Medium Exposure"/>
  </r>
  <r>
    <x v="8"/>
    <x v="528"/>
    <n v="26"/>
    <x v="3"/>
    <n v="0.37"/>
    <n v="0.87"/>
    <x v="84"/>
    <x v="2"/>
    <n v="0.84"/>
    <n v="0.65"/>
    <n v="0.61"/>
    <n v="0.33"/>
    <n v="0.82"/>
    <n v="0.04"/>
    <n v="0.87"/>
    <n v="0.51"/>
    <n v="0.4"/>
    <n v="0.5"/>
    <x v="0"/>
    <s v="Medium Exposure"/>
  </r>
  <r>
    <x v="2"/>
    <x v="529"/>
    <n v="23"/>
    <x v="1"/>
    <n v="0.01"/>
    <n v="1.37"/>
    <x v="2"/>
    <x v="0"/>
    <n v="0.34"/>
    <n v="0.14000000000000001"/>
    <n v="0.44"/>
    <n v="0.5"/>
    <n v="0.4"/>
    <n v="0.68"/>
    <n v="0.42"/>
    <n v="0.96"/>
    <n v="0.6"/>
    <n v="0.81"/>
    <x v="0"/>
    <s v="Low Exposure"/>
  </r>
  <r>
    <x v="5"/>
    <x v="530"/>
    <n v="21"/>
    <x v="1"/>
    <n v="0.69"/>
    <n v="0.67"/>
    <x v="54"/>
    <x v="1"/>
    <n v="0.21"/>
    <n v="0.6"/>
    <n v="0.5"/>
    <n v="0.87"/>
    <n v="0.95"/>
    <n v="0.4"/>
    <n v="0.51"/>
    <n v="0.97"/>
    <n v="0.28000000000000003"/>
    <n v="0.79"/>
    <x v="0"/>
    <s v="Medium Exposure"/>
  </r>
  <r>
    <x v="14"/>
    <x v="531"/>
    <n v="25"/>
    <x v="2"/>
    <n v="0.68"/>
    <n v="0.75"/>
    <x v="24"/>
    <x v="0"/>
    <n v="0.56000000000000005"/>
    <n v="0.19"/>
    <n v="0.22"/>
    <n v="0.49"/>
    <n v="0.96"/>
    <n v="0.77"/>
    <n v="0.49"/>
    <n v="0.34"/>
    <n v="0.55000000000000004"/>
    <n v="0.75"/>
    <x v="0"/>
    <s v="Medium Exposure"/>
  </r>
  <r>
    <x v="8"/>
    <x v="532"/>
    <n v="2"/>
    <x v="1"/>
    <n v="0.32"/>
    <n v="1.22"/>
    <x v="23"/>
    <x v="2"/>
    <n v="0.96"/>
    <n v="0.93"/>
    <n v="0.79"/>
    <n v="0.72"/>
    <n v="0.27"/>
    <n v="0.85"/>
    <n v="0.43"/>
    <n v="0.27"/>
    <n v="0.38"/>
    <n v="0.84"/>
    <x v="1"/>
    <s v="Medium Exposure"/>
  </r>
  <r>
    <x v="8"/>
    <x v="533"/>
    <n v="10"/>
    <x v="1"/>
    <n v="0.46"/>
    <n v="0.99"/>
    <x v="57"/>
    <x v="2"/>
    <n v="0.2"/>
    <n v="0.83"/>
    <n v="0.83"/>
    <n v="0.28999999999999998"/>
    <n v="0.87"/>
    <n v="0.77"/>
    <n v="0.42"/>
    <n v="0.75"/>
    <n v="0.96"/>
    <n v="0.46"/>
    <x v="2"/>
    <s v="Medium Exposure"/>
  </r>
  <r>
    <x v="4"/>
    <x v="534"/>
    <n v="5"/>
    <x v="3"/>
    <n v="0.94"/>
    <n v="1.1000000000000001"/>
    <x v="55"/>
    <x v="2"/>
    <n v="0.56999999999999995"/>
    <n v="0.5"/>
    <n v="0.86"/>
    <n v="0.53"/>
    <n v="0.26"/>
    <n v="0.68"/>
    <n v="0.54"/>
    <n v="0.23"/>
    <n v="0.56999999999999995"/>
    <n v="0.82"/>
    <x v="1"/>
    <s v="High Exposure"/>
  </r>
  <r>
    <x v="16"/>
    <x v="535"/>
    <n v="2"/>
    <x v="2"/>
    <n v="0.63"/>
    <n v="0.85"/>
    <x v="62"/>
    <x v="0"/>
    <n v="0.39"/>
    <n v="0.34"/>
    <n v="0.83"/>
    <n v="0.27"/>
    <n v="0.73"/>
    <n v="0.09"/>
    <n v="0.95"/>
    <n v="0.62"/>
    <n v="0.71"/>
    <n v="0.3"/>
    <x v="1"/>
    <s v="Medium Exposure"/>
  </r>
  <r>
    <x v="19"/>
    <x v="536"/>
    <n v="29"/>
    <x v="1"/>
    <n v="0.22"/>
    <n v="1.43"/>
    <x v="11"/>
    <x v="2"/>
    <n v="0.63"/>
    <n v="0.73"/>
    <n v="0.37"/>
    <n v="0.72"/>
    <n v="0.68"/>
    <n v="0.71"/>
    <n v="0.49"/>
    <n v="0.38"/>
    <n v="0.22"/>
    <n v="0.82"/>
    <x v="0"/>
    <s v="Low Exposure"/>
  </r>
  <r>
    <x v="18"/>
    <x v="537"/>
    <n v="0"/>
    <x v="3"/>
    <n v="0.44"/>
    <n v="1.44"/>
    <x v="19"/>
    <x v="1"/>
    <n v="0.85"/>
    <n v="1"/>
    <n v="0.89"/>
    <n v="0.81"/>
    <n v="0.37"/>
    <n v="0.23"/>
    <n v="0.73"/>
    <n v="0.3"/>
    <n v="0.18"/>
    <n v="0.79"/>
    <x v="1"/>
    <s v="Medium Exposure"/>
  </r>
  <r>
    <x v="18"/>
    <x v="538"/>
    <n v="0"/>
    <x v="1"/>
    <n v="0.91"/>
    <n v="1.34"/>
    <x v="75"/>
    <x v="1"/>
    <n v="0.77"/>
    <n v="0.88"/>
    <n v="0.81"/>
    <n v="0.6"/>
    <n v="0.3"/>
    <n v="0.89"/>
    <n v="0.84"/>
    <n v="0.47"/>
    <n v="0.04"/>
    <n v="0.64"/>
    <x v="1"/>
    <s v="High Exposure"/>
  </r>
  <r>
    <x v="12"/>
    <x v="539"/>
    <n v="4"/>
    <x v="3"/>
    <n v="0.97"/>
    <n v="0.94"/>
    <x v="4"/>
    <x v="2"/>
    <n v="0.56999999999999995"/>
    <n v="0.16"/>
    <n v="0.69"/>
    <n v="0.51"/>
    <n v="0.65"/>
    <n v="0.89"/>
    <n v="0.44"/>
    <n v="0.9"/>
    <n v="0.75"/>
    <n v="0.49"/>
    <x v="1"/>
    <s v="High Exposure"/>
  </r>
  <r>
    <x v="12"/>
    <x v="540"/>
    <n v="23"/>
    <x v="3"/>
    <n v="0.33"/>
    <n v="1.48"/>
    <x v="64"/>
    <x v="2"/>
    <n v="0.04"/>
    <n v="0.33"/>
    <n v="0.62"/>
    <n v="0.06"/>
    <n v="0.02"/>
    <n v="0.45"/>
    <n v="0.33"/>
    <n v="0.44"/>
    <n v="0.26"/>
    <n v="0.16"/>
    <x v="0"/>
    <s v="Medium Exposure"/>
  </r>
  <r>
    <x v="4"/>
    <x v="541"/>
    <n v="16"/>
    <x v="0"/>
    <n v="0.51"/>
    <n v="0.7"/>
    <x v="87"/>
    <x v="2"/>
    <n v="0.59"/>
    <n v="7.0000000000000007E-2"/>
    <n v="0.15"/>
    <n v="7.0000000000000007E-2"/>
    <n v="0.81"/>
    <n v="0.75"/>
    <n v="0.75"/>
    <n v="0.72"/>
    <n v="0.67"/>
    <n v="0.48"/>
    <x v="0"/>
    <s v="Medium Exposure"/>
  </r>
  <r>
    <x v="2"/>
    <x v="294"/>
    <n v="29"/>
    <x v="0"/>
    <n v="0.04"/>
    <n v="1.1200000000000001"/>
    <x v="81"/>
    <x v="0"/>
    <n v="0.5"/>
    <n v="0.36"/>
    <n v="0.28000000000000003"/>
    <n v="0.64"/>
    <n v="0.69"/>
    <n v="0.87"/>
    <n v="0.34"/>
    <n v="0.77"/>
    <n v="0.56000000000000005"/>
    <n v="0.88"/>
    <x v="0"/>
    <s v="Low Exposure"/>
  </r>
  <r>
    <x v="14"/>
    <x v="542"/>
    <n v="17"/>
    <x v="1"/>
    <n v="0.52"/>
    <n v="1.08"/>
    <x v="81"/>
    <x v="0"/>
    <n v="0.96"/>
    <n v="7.0000000000000007E-2"/>
    <n v="0.05"/>
    <n v="0.94"/>
    <n v="0.53"/>
    <n v="0.61"/>
    <n v="0.48"/>
    <n v="0.09"/>
    <n v="0.77"/>
    <n v="0.75"/>
    <x v="0"/>
    <s v="Medium Exposure"/>
  </r>
  <r>
    <x v="16"/>
    <x v="543"/>
    <n v="27"/>
    <x v="2"/>
    <n v="0.31"/>
    <n v="1.34"/>
    <x v="28"/>
    <x v="0"/>
    <n v="0.88"/>
    <n v="0.26"/>
    <n v="0.59"/>
    <n v="0.94"/>
    <n v="0.68"/>
    <n v="0.41"/>
    <n v="0.69"/>
    <n v="0.34"/>
    <n v="0.28000000000000003"/>
    <n v="1"/>
    <x v="0"/>
    <s v="Medium Exposure"/>
  </r>
  <r>
    <x v="10"/>
    <x v="544"/>
    <n v="13"/>
    <x v="1"/>
    <n v="0.64"/>
    <n v="0.86"/>
    <x v="86"/>
    <x v="2"/>
    <n v="0.03"/>
    <n v="0.55000000000000004"/>
    <n v="0.76"/>
    <n v="0.54"/>
    <n v="0.84"/>
    <n v="0.03"/>
    <n v="0.37"/>
    <n v="0.24"/>
    <n v="0.45"/>
    <n v="7.0000000000000007E-2"/>
    <x v="2"/>
    <s v="Medium Exposure"/>
  </r>
  <r>
    <x v="17"/>
    <x v="545"/>
    <n v="26"/>
    <x v="3"/>
    <n v="0.7"/>
    <n v="0.64"/>
    <x v="23"/>
    <x v="2"/>
    <n v="0.05"/>
    <n v="0.41"/>
    <n v="0.18"/>
    <n v="0.11"/>
    <n v="0.56999999999999995"/>
    <n v="0.93"/>
    <n v="0.05"/>
    <n v="0.42"/>
    <n v="0.71"/>
    <n v="0.46"/>
    <x v="0"/>
    <s v="High Exposure"/>
  </r>
  <r>
    <x v="17"/>
    <x v="546"/>
    <n v="7"/>
    <x v="3"/>
    <n v="0.18"/>
    <n v="1.46"/>
    <x v="84"/>
    <x v="2"/>
    <n v="0.34"/>
    <n v="0.87"/>
    <n v="0.56000000000000005"/>
    <n v="0.52"/>
    <n v="0.73"/>
    <n v="0.57999999999999996"/>
    <n v="0.16"/>
    <n v="0.67"/>
    <n v="0.13"/>
    <n v="0.81"/>
    <x v="2"/>
    <s v="Low Exposure"/>
  </r>
  <r>
    <x v="2"/>
    <x v="547"/>
    <n v="17"/>
    <x v="2"/>
    <n v="0.6"/>
    <n v="0.67"/>
    <x v="81"/>
    <x v="0"/>
    <n v="0.3"/>
    <n v="0.66"/>
    <n v="0.16"/>
    <n v="0.69"/>
    <n v="0.13"/>
    <n v="0.43"/>
    <n v="0.25"/>
    <n v="0.75"/>
    <n v="0.26"/>
    <n v="0.88"/>
    <x v="0"/>
    <s v="Medium Exposure"/>
  </r>
  <r>
    <x v="1"/>
    <x v="548"/>
    <n v="17"/>
    <x v="1"/>
    <n v="0.2"/>
    <n v="1.1100000000000001"/>
    <x v="34"/>
    <x v="1"/>
    <n v="0.39"/>
    <n v="0.71"/>
    <n v="0.66"/>
    <n v="0.62"/>
    <n v="0.28000000000000003"/>
    <n v="0.38"/>
    <n v="0.1"/>
    <n v="0.72"/>
    <n v="0.5"/>
    <n v="0.71"/>
    <x v="0"/>
    <s v="Low Exposure"/>
  </r>
  <r>
    <x v="7"/>
    <x v="549"/>
    <n v="28"/>
    <x v="2"/>
    <n v="0.32"/>
    <n v="0.83"/>
    <x v="19"/>
    <x v="1"/>
    <n v="0.34"/>
    <n v="0.8"/>
    <n v="0.9"/>
    <n v="0.52"/>
    <n v="0.46"/>
    <n v="0.03"/>
    <n v="0.88"/>
    <n v="0.01"/>
    <n v="0.94"/>
    <n v="0.49"/>
    <x v="0"/>
    <s v="Medium Exposure"/>
  </r>
  <r>
    <x v="13"/>
    <x v="550"/>
    <n v="13"/>
    <x v="3"/>
    <n v="0.92"/>
    <n v="0.52"/>
    <x v="68"/>
    <x v="2"/>
    <n v="0.55000000000000004"/>
    <n v="0.22"/>
    <n v="0.43"/>
    <n v="0.65"/>
    <n v="0.73"/>
    <n v="0"/>
    <n v="0.94"/>
    <n v="0.16"/>
    <n v="0.23"/>
    <n v="0.26"/>
    <x v="2"/>
    <s v="High Exposure"/>
  </r>
  <r>
    <x v="6"/>
    <x v="551"/>
    <n v="23"/>
    <x v="1"/>
    <n v="0.45"/>
    <n v="1.17"/>
    <x v="87"/>
    <x v="2"/>
    <n v="0.38"/>
    <n v="0.99"/>
    <n v="0.25"/>
    <n v="0.51"/>
    <n v="0.84"/>
    <n v="0.24"/>
    <n v="0.42"/>
    <n v="0.62"/>
    <n v="0.48"/>
    <n v="0.46"/>
    <x v="0"/>
    <s v="Medium Exposure"/>
  </r>
  <r>
    <x v="0"/>
    <x v="552"/>
    <n v="4"/>
    <x v="1"/>
    <n v="0.59"/>
    <n v="1.1200000000000001"/>
    <x v="83"/>
    <x v="0"/>
    <n v="7.0000000000000007E-2"/>
    <n v="0.63"/>
    <n v="0.95"/>
    <n v="0.54"/>
    <n v="0.72"/>
    <n v="0.56000000000000005"/>
    <n v="0.85"/>
    <n v="0.93"/>
    <n v="0.18"/>
    <n v="0.44"/>
    <x v="1"/>
    <s v="Medium Exposure"/>
  </r>
  <r>
    <x v="12"/>
    <x v="553"/>
    <n v="24"/>
    <x v="1"/>
    <n v="0.41"/>
    <n v="0.63"/>
    <x v="12"/>
    <x v="2"/>
    <n v="0.04"/>
    <n v="0.53"/>
    <n v="0.66"/>
    <n v="0.21"/>
    <n v="0.91"/>
    <n v="0.84"/>
    <n v="0.47"/>
    <n v="0.41"/>
    <n v="0.24"/>
    <n v="0.73"/>
    <x v="0"/>
    <s v="Medium Exposure"/>
  </r>
  <r>
    <x v="5"/>
    <x v="554"/>
    <n v="14"/>
    <x v="2"/>
    <n v="0.84"/>
    <n v="0.73"/>
    <x v="15"/>
    <x v="1"/>
    <n v="0.03"/>
    <n v="0.91"/>
    <n v="0.12"/>
    <n v="0.65"/>
    <n v="0.25"/>
    <n v="0.84"/>
    <n v="0.51"/>
    <n v="0.14000000000000001"/>
    <n v="0.56999999999999995"/>
    <n v="0.41"/>
    <x v="2"/>
    <s v="High Exposure"/>
  </r>
  <r>
    <x v="6"/>
    <x v="555"/>
    <n v="8"/>
    <x v="1"/>
    <n v="0.88"/>
    <n v="0.91"/>
    <x v="71"/>
    <x v="2"/>
    <n v="0.01"/>
    <n v="0.56999999999999995"/>
    <n v="0.4"/>
    <n v="0.37"/>
    <n v="0.18"/>
    <n v="0.43"/>
    <n v="0.98"/>
    <n v="0.3"/>
    <n v="0.6"/>
    <n v="0.78"/>
    <x v="2"/>
    <s v="High Exposure"/>
  </r>
  <r>
    <x v="19"/>
    <x v="556"/>
    <n v="8"/>
    <x v="0"/>
    <n v="0.33"/>
    <n v="1.1100000000000001"/>
    <x v="38"/>
    <x v="2"/>
    <n v="0.02"/>
    <n v="0.44"/>
    <n v="0.22"/>
    <n v="0.39"/>
    <n v="0.42"/>
    <n v="0.75"/>
    <n v="0.09"/>
    <n v="0.51"/>
    <n v="0.56000000000000005"/>
    <n v="0.49"/>
    <x v="2"/>
    <s v="Medium Exposure"/>
  </r>
  <r>
    <x v="19"/>
    <x v="557"/>
    <n v="15"/>
    <x v="0"/>
    <n v="0.38"/>
    <n v="1.44"/>
    <x v="78"/>
    <x v="2"/>
    <n v="0.56999999999999995"/>
    <n v="0.83"/>
    <n v="0.28000000000000003"/>
    <n v="0.08"/>
    <n v="0.71"/>
    <n v="0.48"/>
    <n v="0.9"/>
    <n v="0.98"/>
    <n v="0.4"/>
    <n v="0.42"/>
    <x v="2"/>
    <s v="Medium Exposure"/>
  </r>
  <r>
    <x v="19"/>
    <x v="558"/>
    <n v="9"/>
    <x v="0"/>
    <n v="0.32"/>
    <n v="1.28"/>
    <x v="3"/>
    <x v="2"/>
    <n v="0.48"/>
    <n v="0.04"/>
    <n v="0.31"/>
    <n v="0.28999999999999998"/>
    <n v="0.81"/>
    <n v="0.09"/>
    <n v="0.81"/>
    <n v="0.67"/>
    <n v="0.73"/>
    <n v="0.43"/>
    <x v="2"/>
    <s v="Medium Exposure"/>
  </r>
  <r>
    <x v="3"/>
    <x v="559"/>
    <n v="0"/>
    <x v="2"/>
    <n v="0.61"/>
    <n v="1.27"/>
    <x v="8"/>
    <x v="2"/>
    <n v="0.47"/>
    <n v="0.64"/>
    <n v="0.11"/>
    <n v="0.44"/>
    <n v="0.97"/>
    <n v="0.04"/>
    <n v="0.32"/>
    <n v="0.31"/>
    <n v="0.63"/>
    <n v="0.11"/>
    <x v="1"/>
    <s v="Medium Exposure"/>
  </r>
  <r>
    <x v="1"/>
    <x v="560"/>
    <n v="14"/>
    <x v="3"/>
    <n v="0.1"/>
    <n v="0.59"/>
    <x v="70"/>
    <x v="1"/>
    <n v="0.32"/>
    <n v="0.98"/>
    <n v="0.04"/>
    <n v="0.45"/>
    <n v="0.11"/>
    <n v="0.35"/>
    <n v="1"/>
    <n v="0.89"/>
    <n v="0.05"/>
    <n v="0.56000000000000005"/>
    <x v="2"/>
    <s v="Low Exposure"/>
  </r>
  <r>
    <x v="1"/>
    <x v="561"/>
    <n v="8"/>
    <x v="2"/>
    <n v="0.21"/>
    <n v="0.65"/>
    <x v="16"/>
    <x v="1"/>
    <n v="0.97"/>
    <n v="0.99"/>
    <n v="0.79"/>
    <n v="0.66"/>
    <n v="0.35"/>
    <n v="0.17"/>
    <n v="0.08"/>
    <n v="0.69"/>
    <n v="0.78"/>
    <n v="0.83"/>
    <x v="2"/>
    <s v="Low Exposure"/>
  </r>
  <r>
    <x v="15"/>
    <x v="562"/>
    <n v="1"/>
    <x v="0"/>
    <n v="0.88"/>
    <n v="1.5"/>
    <x v="37"/>
    <x v="1"/>
    <n v="0.76"/>
    <n v="0.59"/>
    <n v="0.26"/>
    <n v="0.98"/>
    <n v="0.9"/>
    <n v="0.13"/>
    <n v="0.03"/>
    <n v="0.69"/>
    <n v="0.6"/>
    <n v="0.94"/>
    <x v="1"/>
    <s v="High Exposure"/>
  </r>
  <r>
    <x v="5"/>
    <x v="563"/>
    <n v="26"/>
    <x v="1"/>
    <n v="0.08"/>
    <n v="0.76"/>
    <x v="1"/>
    <x v="1"/>
    <n v="0.04"/>
    <n v="0.91"/>
    <n v="0.35"/>
    <n v="0.41"/>
    <n v="0.02"/>
    <n v="0.27"/>
    <n v="0.8"/>
    <n v="0.62"/>
    <n v="0.75"/>
    <n v="0.45"/>
    <x v="0"/>
    <s v="Low Exposure"/>
  </r>
  <r>
    <x v="13"/>
    <x v="564"/>
    <n v="19"/>
    <x v="2"/>
    <n v="0.48"/>
    <n v="0.82"/>
    <x v="4"/>
    <x v="2"/>
    <n v="0.3"/>
    <n v="0.66"/>
    <n v="0.14000000000000001"/>
    <n v="0.69"/>
    <n v="0.91"/>
    <n v="0.61"/>
    <n v="0.56000000000000005"/>
    <n v="0.96"/>
    <n v="0.63"/>
    <n v="0.26"/>
    <x v="0"/>
    <s v="Medium Exposure"/>
  </r>
  <r>
    <x v="17"/>
    <x v="565"/>
    <n v="24"/>
    <x v="2"/>
    <n v="0.71"/>
    <n v="1.24"/>
    <x v="71"/>
    <x v="2"/>
    <n v="0.35"/>
    <n v="0.99"/>
    <n v="0.1"/>
    <n v="0.4"/>
    <n v="0.06"/>
    <n v="0.82"/>
    <n v="0.09"/>
    <n v="0.67"/>
    <n v="0.06"/>
    <n v="0.67"/>
    <x v="0"/>
    <s v="High Exposure"/>
  </r>
  <r>
    <x v="15"/>
    <x v="566"/>
    <n v="12"/>
    <x v="2"/>
    <n v="0.4"/>
    <n v="1.02"/>
    <x v="18"/>
    <x v="1"/>
    <n v="0.3"/>
    <n v="0.8"/>
    <n v="0.27"/>
    <n v="0.72"/>
    <n v="0.21"/>
    <n v="0.25"/>
    <n v="0.34"/>
    <n v="0.59"/>
    <n v="0.45"/>
    <n v="0.75"/>
    <x v="2"/>
    <s v="Medium Exposure"/>
  </r>
  <r>
    <x v="12"/>
    <x v="567"/>
    <n v="4"/>
    <x v="2"/>
    <n v="0.01"/>
    <n v="1.28"/>
    <x v="12"/>
    <x v="2"/>
    <n v="0.06"/>
    <n v="0.61"/>
    <n v="0.38"/>
    <n v="0.79"/>
    <n v="0.87"/>
    <n v="0.85"/>
    <n v="0.78"/>
    <n v="0.27"/>
    <n v="0.81"/>
    <n v="0.53"/>
    <x v="1"/>
    <s v="Low Exposure"/>
  </r>
  <r>
    <x v="16"/>
    <x v="568"/>
    <n v="16"/>
    <x v="0"/>
    <n v="0.46"/>
    <n v="1.44"/>
    <x v="24"/>
    <x v="0"/>
    <n v="0.1"/>
    <n v="0.74"/>
    <n v="0.81"/>
    <n v="0.27"/>
    <n v="0.47"/>
    <n v="0.71"/>
    <n v="0.44"/>
    <n v="0.11"/>
    <n v="0.71"/>
    <n v="0.91"/>
    <x v="0"/>
    <s v="Medium Exposure"/>
  </r>
  <r>
    <x v="15"/>
    <x v="569"/>
    <n v="12"/>
    <x v="3"/>
    <n v="0.77"/>
    <n v="0.86"/>
    <x v="5"/>
    <x v="1"/>
    <n v="0.64"/>
    <n v="0.33"/>
    <n v="0.86"/>
    <n v="0.12"/>
    <n v="0.43"/>
    <n v="0.4"/>
    <n v="0.94"/>
    <n v="0.15"/>
    <n v="0.01"/>
    <n v="0.24"/>
    <x v="2"/>
    <s v="High Exposure"/>
  </r>
  <r>
    <x v="2"/>
    <x v="570"/>
    <n v="16"/>
    <x v="1"/>
    <n v="0.21"/>
    <n v="0.74"/>
    <x v="67"/>
    <x v="0"/>
    <n v="0.72"/>
    <n v="7.0000000000000007E-2"/>
    <n v="0.33"/>
    <n v="0.28000000000000003"/>
    <n v="0.56000000000000005"/>
    <n v="0.73"/>
    <n v="0.53"/>
    <n v="0.93"/>
    <n v="0.95"/>
    <n v="0.36"/>
    <x v="0"/>
    <s v="Low Exposure"/>
  </r>
  <r>
    <x v="12"/>
    <x v="571"/>
    <n v="8"/>
    <x v="3"/>
    <n v="0.74"/>
    <n v="1.39"/>
    <x v="8"/>
    <x v="2"/>
    <n v="0.53"/>
    <n v="0.42"/>
    <n v="0.85"/>
    <n v="0.23"/>
    <n v="0.24"/>
    <n v="0.37"/>
    <n v="0.23"/>
    <n v="0.56000000000000005"/>
    <n v="0.13"/>
    <n v="0.32"/>
    <x v="2"/>
    <s v="High Exposure"/>
  </r>
  <r>
    <x v="8"/>
    <x v="572"/>
    <n v="19"/>
    <x v="3"/>
    <n v="0.41"/>
    <n v="1.25"/>
    <x v="53"/>
    <x v="2"/>
    <n v="0.25"/>
    <n v="0.81"/>
    <n v="0.76"/>
    <n v="0.39"/>
    <n v="0.95"/>
    <n v="0.91"/>
    <n v="0.96"/>
    <n v="0.43"/>
    <n v="0.2"/>
    <n v="0.63"/>
    <x v="0"/>
    <s v="Medium Exposure"/>
  </r>
  <r>
    <x v="12"/>
    <x v="573"/>
    <n v="13"/>
    <x v="2"/>
    <n v="0.13"/>
    <n v="1.29"/>
    <x v="57"/>
    <x v="2"/>
    <n v="0.48"/>
    <n v="0.33"/>
    <n v="0.74"/>
    <n v="0.31"/>
    <n v="0.83"/>
    <n v="0.59"/>
    <n v="0.79"/>
    <n v="0.99"/>
    <n v="0.68"/>
    <n v="0.98"/>
    <x v="2"/>
    <s v="Low Exposure"/>
  </r>
  <r>
    <x v="2"/>
    <x v="574"/>
    <n v="24"/>
    <x v="0"/>
    <n v="0.34"/>
    <n v="0.61"/>
    <x v="62"/>
    <x v="0"/>
    <n v="0.84"/>
    <n v="0.03"/>
    <n v="0.52"/>
    <n v="0.56999999999999995"/>
    <n v="0.56000000000000005"/>
    <n v="0.48"/>
    <n v="0.79"/>
    <n v="0.13"/>
    <n v="0.31"/>
    <n v="0.62"/>
    <x v="0"/>
    <s v="Medium Exposure"/>
  </r>
  <r>
    <x v="6"/>
    <x v="575"/>
    <n v="21"/>
    <x v="1"/>
    <n v="0.4"/>
    <n v="1.38"/>
    <x v="25"/>
    <x v="2"/>
    <n v="0.4"/>
    <n v="0.04"/>
    <n v="0.55000000000000004"/>
    <n v="0.71"/>
    <n v="0.11"/>
    <n v="0.31"/>
    <n v="0.78"/>
    <n v="0.37"/>
    <n v="0.24"/>
    <n v="0.67"/>
    <x v="0"/>
    <s v="Medium Exposure"/>
  </r>
  <r>
    <x v="15"/>
    <x v="576"/>
    <n v="7"/>
    <x v="2"/>
    <n v="0.9"/>
    <n v="0.61"/>
    <x v="70"/>
    <x v="1"/>
    <n v="0.5"/>
    <n v="0.87"/>
    <n v="0.13"/>
    <n v="0.68"/>
    <n v="0.56999999999999995"/>
    <n v="0.48"/>
    <n v="0.49"/>
    <n v="0.72"/>
    <n v="0.94"/>
    <n v="0.09"/>
    <x v="2"/>
    <s v="High Exposure"/>
  </r>
  <r>
    <x v="7"/>
    <x v="577"/>
    <n v="22"/>
    <x v="0"/>
    <n v="0.81"/>
    <n v="0.61"/>
    <x v="85"/>
    <x v="1"/>
    <n v="0.62"/>
    <n v="0.65"/>
    <n v="0.2"/>
    <n v="0.24"/>
    <n v="0.66"/>
    <n v="0.91"/>
    <n v="0.98"/>
    <n v="0.2"/>
    <n v="0.13"/>
    <n v="0.06"/>
    <x v="0"/>
    <s v="High Exposure"/>
  </r>
  <r>
    <x v="10"/>
    <x v="578"/>
    <n v="22"/>
    <x v="1"/>
    <n v="0.28999999999999998"/>
    <n v="0.5"/>
    <x v="65"/>
    <x v="2"/>
    <n v="0.34"/>
    <n v="0.99"/>
    <n v="0.52"/>
    <n v="0.2"/>
    <n v="0.33"/>
    <n v="0.33"/>
    <n v="0.02"/>
    <n v="0.14000000000000001"/>
    <n v="0.7"/>
    <n v="0.12"/>
    <x v="0"/>
    <s v="Low Exposure"/>
  </r>
  <r>
    <x v="17"/>
    <x v="579"/>
    <n v="16"/>
    <x v="1"/>
    <n v="0.35"/>
    <n v="1.26"/>
    <x v="68"/>
    <x v="2"/>
    <n v="0.69"/>
    <n v="0.56999999999999995"/>
    <n v="0.68"/>
    <n v="0"/>
    <n v="0.93"/>
    <n v="0.11"/>
    <n v="0.41"/>
    <n v="0.77"/>
    <n v="0.44"/>
    <n v="0.95"/>
    <x v="0"/>
    <s v="Medium Exposure"/>
  </r>
  <r>
    <x v="7"/>
    <x v="580"/>
    <n v="6"/>
    <x v="1"/>
    <n v="0.16"/>
    <n v="0.67"/>
    <x v="52"/>
    <x v="1"/>
    <n v="0.02"/>
    <n v="0.56000000000000005"/>
    <n v="0.38"/>
    <n v="0.51"/>
    <n v="0.56000000000000005"/>
    <n v="0.31"/>
    <n v="0.3"/>
    <n v="0.73"/>
    <n v="0.87"/>
    <n v="0.19"/>
    <x v="2"/>
    <s v="Low Exposure"/>
  </r>
  <r>
    <x v="16"/>
    <x v="581"/>
    <n v="12"/>
    <x v="3"/>
    <n v="0.9"/>
    <n v="0.85"/>
    <x v="56"/>
    <x v="0"/>
    <n v="0.36"/>
    <n v="0.13"/>
    <n v="0.59"/>
    <n v="0.53"/>
    <n v="0.2"/>
    <n v="0.45"/>
    <n v="0.8"/>
    <n v="0.59"/>
    <n v="0.1"/>
    <n v="0.55000000000000004"/>
    <x v="2"/>
    <s v="High Exposure"/>
  </r>
  <r>
    <x v="2"/>
    <x v="582"/>
    <n v="29"/>
    <x v="0"/>
    <n v="0.79"/>
    <n v="1.1299999999999999"/>
    <x v="44"/>
    <x v="0"/>
    <n v="0.71"/>
    <n v="0.68"/>
    <n v="0.02"/>
    <n v="0.41"/>
    <n v="0.33"/>
    <n v="0.67"/>
    <n v="0.22"/>
    <n v="0.59"/>
    <n v="0.91"/>
    <n v="0.8"/>
    <x v="0"/>
    <s v="High Exposure"/>
  </r>
  <r>
    <x v="15"/>
    <x v="583"/>
    <n v="27"/>
    <x v="0"/>
    <n v="0.98"/>
    <n v="0.51"/>
    <x v="13"/>
    <x v="1"/>
    <n v="0.41"/>
    <n v="0.86"/>
    <n v="0.25"/>
    <n v="0.98"/>
    <n v="0.61"/>
    <n v="0.79"/>
    <n v="0.09"/>
    <n v="0.18"/>
    <n v="0.76"/>
    <n v="0.02"/>
    <x v="0"/>
    <s v="High Exposure"/>
  </r>
  <r>
    <x v="0"/>
    <x v="584"/>
    <n v="18"/>
    <x v="2"/>
    <n v="0.01"/>
    <n v="1.1599999999999999"/>
    <x v="77"/>
    <x v="0"/>
    <n v="0.61"/>
    <n v="0.7"/>
    <n v="0.34"/>
    <n v="0.11"/>
    <n v="7.0000000000000007E-2"/>
    <n v="0.59"/>
    <n v="0.52"/>
    <n v="0.74"/>
    <n v="0.51"/>
    <n v="0.42"/>
    <x v="0"/>
    <s v="Low Exposure"/>
  </r>
  <r>
    <x v="3"/>
    <x v="585"/>
    <n v="12"/>
    <x v="1"/>
    <n v="0.03"/>
    <n v="0.84"/>
    <x v="66"/>
    <x v="2"/>
    <n v="0.87"/>
    <n v="0.33"/>
    <n v="0.59"/>
    <n v="0.85"/>
    <n v="0.44"/>
    <n v="0.02"/>
    <n v="7.0000000000000007E-2"/>
    <n v="0.51"/>
    <n v="0.97"/>
    <n v="0.69"/>
    <x v="2"/>
    <s v="Low Exposure"/>
  </r>
  <r>
    <x v="17"/>
    <x v="586"/>
    <n v="23"/>
    <x v="0"/>
    <n v="0.19"/>
    <n v="1.27"/>
    <x v="4"/>
    <x v="2"/>
    <n v="0.62"/>
    <n v="0.64"/>
    <n v="0.03"/>
    <n v="0.83"/>
    <n v="0.79"/>
    <n v="0.26"/>
    <n v="0.71"/>
    <n v="0.21"/>
    <n v="0.04"/>
    <n v="0.2"/>
    <x v="0"/>
    <s v="Low Exposure"/>
  </r>
  <r>
    <x v="12"/>
    <x v="587"/>
    <n v="18"/>
    <x v="2"/>
    <n v="0.34"/>
    <n v="0.92"/>
    <x v="11"/>
    <x v="2"/>
    <n v="0.48"/>
    <n v="0.27"/>
    <n v="0.03"/>
    <n v="0.61"/>
    <n v="0.4"/>
    <n v="0.3"/>
    <n v="0.87"/>
    <n v="0.75"/>
    <n v="0.86"/>
    <n v="0.49"/>
    <x v="0"/>
    <s v="Medium Exposure"/>
  </r>
  <r>
    <x v="16"/>
    <x v="588"/>
    <n v="24"/>
    <x v="2"/>
    <n v="0.7"/>
    <n v="0.71"/>
    <x v="2"/>
    <x v="0"/>
    <n v="7.0000000000000007E-2"/>
    <n v="0.83"/>
    <n v="0.13"/>
    <n v="0.9"/>
    <n v="0.86"/>
    <n v="0.46"/>
    <n v="0.74"/>
    <n v="0.62"/>
    <n v="0.8"/>
    <n v="0.43"/>
    <x v="0"/>
    <s v="High Exposure"/>
  </r>
  <r>
    <x v="5"/>
    <x v="589"/>
    <n v="28"/>
    <x v="2"/>
    <n v="0.46"/>
    <n v="1.44"/>
    <x v="7"/>
    <x v="1"/>
    <n v="0.46"/>
    <n v="0.79"/>
    <n v="0.82"/>
    <n v="0.55000000000000004"/>
    <n v="0.18"/>
    <n v="0.47"/>
    <n v="0.97"/>
    <n v="0.75"/>
    <n v="0.81"/>
    <n v="0.03"/>
    <x v="0"/>
    <s v="Medium Exposure"/>
  </r>
  <r>
    <x v="3"/>
    <x v="590"/>
    <n v="1"/>
    <x v="0"/>
    <n v="0.65"/>
    <n v="1.33"/>
    <x v="86"/>
    <x v="2"/>
    <n v="0.85"/>
    <n v="0.55000000000000004"/>
    <n v="0.2"/>
    <n v="0.32"/>
    <n v="0.28000000000000003"/>
    <n v="0.53"/>
    <n v="0.05"/>
    <n v="0.16"/>
    <n v="0.81"/>
    <n v="0.13"/>
    <x v="1"/>
    <s v="Medium Exposure"/>
  </r>
  <r>
    <x v="4"/>
    <x v="591"/>
    <n v="5"/>
    <x v="0"/>
    <n v="0.63"/>
    <n v="1.2"/>
    <x v="23"/>
    <x v="2"/>
    <n v="0.97"/>
    <n v="0.86"/>
    <n v="0.45"/>
    <n v="0.06"/>
    <n v="0.48"/>
    <n v="0.69"/>
    <n v="0.61"/>
    <n v="0.54"/>
    <n v="0.47"/>
    <n v="0.28999999999999998"/>
    <x v="1"/>
    <s v="Medium Exposure"/>
  </r>
  <r>
    <x v="14"/>
    <x v="592"/>
    <n v="26"/>
    <x v="3"/>
    <n v="0.5"/>
    <n v="0.66"/>
    <x v="77"/>
    <x v="0"/>
    <n v="0.32"/>
    <n v="0.59"/>
    <n v="7.0000000000000007E-2"/>
    <n v="0.83"/>
    <n v="0.56000000000000005"/>
    <n v="0.67"/>
    <n v="0.7"/>
    <n v="0.28999999999999998"/>
    <n v="0.47"/>
    <n v="0.96"/>
    <x v="0"/>
    <s v="Medium Exposure"/>
  </r>
  <r>
    <x v="2"/>
    <x v="593"/>
    <n v="5"/>
    <x v="0"/>
    <n v="0.97"/>
    <n v="1.25"/>
    <x v="44"/>
    <x v="0"/>
    <n v="0.06"/>
    <n v="0.57999999999999996"/>
    <n v="0.36"/>
    <n v="0.28000000000000003"/>
    <n v="0.81"/>
    <n v="0.37"/>
    <n v="0.32"/>
    <n v="0.85"/>
    <n v="0.85"/>
    <n v="0.36"/>
    <x v="1"/>
    <s v="High Exposure"/>
  </r>
  <r>
    <x v="18"/>
    <x v="594"/>
    <n v="19"/>
    <x v="1"/>
    <n v="0.85"/>
    <n v="0.92"/>
    <x v="34"/>
    <x v="1"/>
    <n v="0"/>
    <n v="0.52"/>
    <n v="0.34"/>
    <n v="1"/>
    <n v="0.77"/>
    <n v="0.76"/>
    <n v="0.96"/>
    <n v="0.89"/>
    <n v="0.32"/>
    <n v="0.17"/>
    <x v="0"/>
    <s v="High Exposure"/>
  </r>
  <r>
    <x v="16"/>
    <x v="595"/>
    <n v="2"/>
    <x v="0"/>
    <n v="0.38"/>
    <n v="0.97"/>
    <x v="83"/>
    <x v="0"/>
    <n v="0.91"/>
    <n v="0.42"/>
    <n v="0.78"/>
    <n v="0.27"/>
    <n v="0.7"/>
    <n v="0"/>
    <n v="0.87"/>
    <n v="0.03"/>
    <n v="0.71"/>
    <n v="0.05"/>
    <x v="1"/>
    <s v="Medium Exposure"/>
  </r>
  <r>
    <x v="19"/>
    <x v="596"/>
    <n v="7"/>
    <x v="1"/>
    <n v="0.5"/>
    <n v="0.92"/>
    <x v="48"/>
    <x v="2"/>
    <n v="0.33"/>
    <n v="0.73"/>
    <n v="0.67"/>
    <n v="7.0000000000000007E-2"/>
    <n v="0.75"/>
    <n v="0.05"/>
    <n v="0.54"/>
    <n v="0.26"/>
    <n v="0.59"/>
    <n v="0.26"/>
    <x v="2"/>
    <s v="Medium Exposure"/>
  </r>
  <r>
    <x v="15"/>
    <x v="597"/>
    <n v="7"/>
    <x v="1"/>
    <n v="0.31"/>
    <n v="0.74"/>
    <x v="54"/>
    <x v="1"/>
    <n v="0.9"/>
    <n v="0.64"/>
    <n v="0.73"/>
    <n v="0.92"/>
    <n v="0.91"/>
    <n v="0.74"/>
    <n v="0.2"/>
    <n v="0.84"/>
    <n v="0.2"/>
    <n v="0.74"/>
    <x v="2"/>
    <s v="Medium Exposure"/>
  </r>
  <r>
    <x v="17"/>
    <x v="598"/>
    <n v="7"/>
    <x v="0"/>
    <n v="0.27"/>
    <n v="1.3"/>
    <x v="58"/>
    <x v="2"/>
    <n v="0.25"/>
    <n v="0.44"/>
    <n v="0.52"/>
    <n v="0.28999999999999998"/>
    <n v="0.02"/>
    <n v="0.22"/>
    <n v="0.28000000000000003"/>
    <n v="0.44"/>
    <n v="0.17"/>
    <n v="0.87"/>
    <x v="2"/>
    <s v="Low Exposure"/>
  </r>
  <r>
    <x v="4"/>
    <x v="599"/>
    <n v="29"/>
    <x v="2"/>
    <n v="0.09"/>
    <n v="1.1499999999999999"/>
    <x v="23"/>
    <x v="2"/>
    <n v="0.96"/>
    <n v="0"/>
    <n v="0.25"/>
    <n v="0.93"/>
    <n v="0.93"/>
    <n v="0.72"/>
    <n v="0.77"/>
    <n v="0.09"/>
    <n v="0.51"/>
    <n v="0.23"/>
    <x v="0"/>
    <s v="Low Exposure"/>
  </r>
  <r>
    <x v="13"/>
    <x v="600"/>
    <n v="3"/>
    <x v="0"/>
    <n v="0.81"/>
    <n v="0.64"/>
    <x v="78"/>
    <x v="2"/>
    <n v="0.94"/>
    <n v="0.19"/>
    <n v="0.98"/>
    <n v="0.99"/>
    <n v="0.56000000000000005"/>
    <n v="0.17"/>
    <n v="0.32"/>
    <n v="0.42"/>
    <n v="0.31"/>
    <n v="0.28000000000000003"/>
    <x v="1"/>
    <s v="High Exposure"/>
  </r>
  <r>
    <x v="4"/>
    <x v="601"/>
    <n v="21"/>
    <x v="0"/>
    <n v="0.15"/>
    <n v="1.23"/>
    <x v="85"/>
    <x v="1"/>
    <n v="0.6"/>
    <n v="0.92"/>
    <n v="0.28999999999999998"/>
    <n v="0.19"/>
    <n v="0.65"/>
    <n v="0.71"/>
    <n v="0.69"/>
    <n v="0.32"/>
    <n v="0.25"/>
    <n v="0.96"/>
    <x v="0"/>
    <s v="Low Exposure"/>
  </r>
  <r>
    <x v="7"/>
    <x v="602"/>
    <n v="2"/>
    <x v="0"/>
    <n v="0.46"/>
    <n v="1.35"/>
    <x v="74"/>
    <x v="1"/>
    <n v="0.42"/>
    <n v="0.16"/>
    <n v="0.43"/>
    <n v="0.54"/>
    <n v="0.02"/>
    <n v="0.44"/>
    <n v="0.78"/>
    <n v="0.68"/>
    <n v="0.64"/>
    <n v="0.91"/>
    <x v="1"/>
    <s v="Medium Exposure"/>
  </r>
  <r>
    <x v="9"/>
    <x v="603"/>
    <n v="2"/>
    <x v="0"/>
    <n v="0.56000000000000005"/>
    <n v="1.29"/>
    <x v="56"/>
    <x v="0"/>
    <n v="0.32"/>
    <n v="0.14000000000000001"/>
    <n v="0.89"/>
    <n v="0.47"/>
    <n v="0.88"/>
    <n v="0.59"/>
    <n v="0.67"/>
    <n v="0.8"/>
    <n v="0.66"/>
    <n v="0.4"/>
    <x v="1"/>
    <s v="Medium Exposure"/>
  </r>
  <r>
    <x v="9"/>
    <x v="604"/>
    <n v="15"/>
    <x v="3"/>
    <n v="0.8"/>
    <n v="0.87"/>
    <x v="9"/>
    <x v="0"/>
    <n v="0.1"/>
    <n v="0.91"/>
    <n v="0.09"/>
    <n v="0.65"/>
    <n v="0.41"/>
    <n v="0.41"/>
    <n v="0.68"/>
    <n v="7.0000000000000007E-2"/>
    <n v="0.59"/>
    <n v="0.77"/>
    <x v="2"/>
    <s v="High Exposure"/>
  </r>
  <r>
    <x v="17"/>
    <x v="605"/>
    <n v="8"/>
    <x v="3"/>
    <n v="0.17"/>
    <n v="1.4"/>
    <x v="23"/>
    <x v="2"/>
    <n v="0.88"/>
    <n v="0.49"/>
    <n v="0.54"/>
    <n v="0.92"/>
    <n v="0.9"/>
    <n v="0.45"/>
    <n v="0.27"/>
    <n v="0.39"/>
    <n v="0.39"/>
    <n v="0.28999999999999998"/>
    <x v="2"/>
    <s v="Low Exposure"/>
  </r>
  <r>
    <x v="17"/>
    <x v="606"/>
    <n v="13"/>
    <x v="3"/>
    <n v="0.86"/>
    <n v="0.56999999999999995"/>
    <x v="64"/>
    <x v="2"/>
    <n v="0.17"/>
    <n v="0.34"/>
    <n v="0.06"/>
    <n v="0.27"/>
    <n v="0.77"/>
    <n v="0.89"/>
    <n v="0.22"/>
    <n v="0.46"/>
    <n v="0.47"/>
    <n v="0.87"/>
    <x v="2"/>
    <s v="High Exposure"/>
  </r>
  <r>
    <x v="5"/>
    <x v="607"/>
    <n v="8"/>
    <x v="3"/>
    <n v="0.51"/>
    <n v="1.17"/>
    <x v="75"/>
    <x v="1"/>
    <n v="0.01"/>
    <n v="0.4"/>
    <n v="0.91"/>
    <n v="0.74"/>
    <n v="0.54"/>
    <n v="0.53"/>
    <n v="0.35"/>
    <n v="0.52"/>
    <n v="0.66"/>
    <n v="0.42"/>
    <x v="2"/>
    <s v="Medium Exposure"/>
  </r>
  <r>
    <x v="3"/>
    <x v="608"/>
    <n v="25"/>
    <x v="0"/>
    <n v="0.86"/>
    <n v="0.65"/>
    <x v="8"/>
    <x v="2"/>
    <n v="0.41"/>
    <n v="0.69"/>
    <n v="0.25"/>
    <n v="0.64"/>
    <n v="0.88"/>
    <n v="0.42"/>
    <n v="0.91"/>
    <n v="0.99"/>
    <n v="0.11"/>
    <n v="0.23"/>
    <x v="0"/>
    <s v="High Exposure"/>
  </r>
  <r>
    <x v="10"/>
    <x v="609"/>
    <n v="5"/>
    <x v="1"/>
    <n v="0.96"/>
    <n v="0.6"/>
    <x v="57"/>
    <x v="2"/>
    <n v="0.16"/>
    <n v="1"/>
    <n v="0.18"/>
    <n v="0.5"/>
    <n v="0.85"/>
    <n v="0.02"/>
    <n v="0.6"/>
    <n v="0.28000000000000003"/>
    <n v="0.86"/>
    <n v="0.28000000000000003"/>
    <x v="1"/>
    <s v="High Exposure"/>
  </r>
  <r>
    <x v="12"/>
    <x v="610"/>
    <n v="21"/>
    <x v="1"/>
    <n v="0.67"/>
    <n v="0.72"/>
    <x v="57"/>
    <x v="2"/>
    <n v="0.41"/>
    <n v="0.28999999999999998"/>
    <n v="0.81"/>
    <n v="0.8"/>
    <n v="0.46"/>
    <n v="0.61"/>
    <n v="0.6"/>
    <n v="0.83"/>
    <n v="0.43"/>
    <n v="0.28000000000000003"/>
    <x v="0"/>
    <s v="Medium Exposure"/>
  </r>
  <r>
    <x v="3"/>
    <x v="611"/>
    <n v="8"/>
    <x v="1"/>
    <n v="0.54"/>
    <n v="0.95"/>
    <x v="8"/>
    <x v="2"/>
    <n v="0.09"/>
    <n v="0.72"/>
    <n v="0.21"/>
    <n v="0.2"/>
    <n v="0.41"/>
    <n v="0.23"/>
    <n v="0.57999999999999996"/>
    <n v="0.37"/>
    <n v="0.45"/>
    <n v="0.54"/>
    <x v="2"/>
    <s v="Medium Exposure"/>
  </r>
  <r>
    <x v="7"/>
    <x v="612"/>
    <n v="25"/>
    <x v="1"/>
    <n v="0.16"/>
    <n v="1.38"/>
    <x v="74"/>
    <x v="1"/>
    <n v="0.41"/>
    <n v="0.04"/>
    <n v="0.5"/>
    <n v="0.55000000000000004"/>
    <n v="0.56000000000000005"/>
    <n v="0.71"/>
    <n v="0.18"/>
    <n v="0.25"/>
    <n v="0.81"/>
    <n v="0.95"/>
    <x v="0"/>
    <s v="Low Exposure"/>
  </r>
  <r>
    <x v="6"/>
    <x v="613"/>
    <n v="14"/>
    <x v="1"/>
    <n v="0.5"/>
    <n v="0.71"/>
    <x v="86"/>
    <x v="2"/>
    <n v="0.33"/>
    <n v="0.14000000000000001"/>
    <n v="0.71"/>
    <n v="0.53"/>
    <n v="0.14000000000000001"/>
    <n v="0.01"/>
    <n v="0.81"/>
    <n v="0.18"/>
    <n v="0.61"/>
    <n v="0.34"/>
    <x v="2"/>
    <s v="Medium Exposure"/>
  </r>
  <r>
    <x v="8"/>
    <x v="614"/>
    <n v="18"/>
    <x v="3"/>
    <n v="0.32"/>
    <n v="0.59"/>
    <x v="65"/>
    <x v="2"/>
    <n v="0.19"/>
    <n v="0.43"/>
    <n v="0.66"/>
    <n v="0.26"/>
    <n v="0.01"/>
    <n v="0.52"/>
    <n v="0.61"/>
    <n v="0.96"/>
    <n v="0.59"/>
    <n v="0.47"/>
    <x v="0"/>
    <s v="Medium Exposure"/>
  </r>
  <r>
    <x v="13"/>
    <x v="615"/>
    <n v="16"/>
    <x v="1"/>
    <n v="0.93"/>
    <n v="1.33"/>
    <x v="87"/>
    <x v="2"/>
    <n v="0.24"/>
    <n v="0.26"/>
    <n v="0.5"/>
    <n v="0.74"/>
    <n v="0.5"/>
    <n v="7.0000000000000007E-2"/>
    <n v="0.72"/>
    <n v="0.81"/>
    <n v="0.28999999999999998"/>
    <n v="0.66"/>
    <x v="0"/>
    <s v="High Exposure"/>
  </r>
  <r>
    <x v="18"/>
    <x v="616"/>
    <n v="2"/>
    <x v="0"/>
    <n v="0.89"/>
    <n v="1.35"/>
    <x v="82"/>
    <x v="1"/>
    <n v="0.69"/>
    <n v="0.88"/>
    <n v="0.5"/>
    <n v="0.31"/>
    <n v="0.75"/>
    <n v="0.22"/>
    <n v="0.39"/>
    <n v="0.87"/>
    <n v="0.72"/>
    <n v="0.4"/>
    <x v="1"/>
    <s v="High Exposure"/>
  </r>
  <r>
    <x v="14"/>
    <x v="617"/>
    <n v="23"/>
    <x v="0"/>
    <n v="0.36"/>
    <n v="0.78"/>
    <x v="44"/>
    <x v="0"/>
    <n v="0.74"/>
    <n v="0.25"/>
    <n v="0.45"/>
    <n v="0.39"/>
    <n v="0.98"/>
    <n v="0.39"/>
    <n v="0.08"/>
    <n v="0.09"/>
    <n v="0.59"/>
    <n v="0.6"/>
    <x v="0"/>
    <s v="Medium Exposure"/>
  </r>
  <r>
    <x v="16"/>
    <x v="618"/>
    <n v="13"/>
    <x v="3"/>
    <n v="0.43"/>
    <n v="0.55000000000000004"/>
    <x v="35"/>
    <x v="0"/>
    <n v="0.5"/>
    <n v="0.15"/>
    <n v="0.1"/>
    <n v="0.12"/>
    <n v="0.1"/>
    <n v="0.61"/>
    <n v="0.2"/>
    <n v="0.25"/>
    <n v="0.17"/>
    <n v="0.96"/>
    <x v="2"/>
    <s v="Medium Exposure"/>
  </r>
  <r>
    <x v="18"/>
    <x v="619"/>
    <n v="2"/>
    <x v="3"/>
    <n v="0.23"/>
    <n v="0.83"/>
    <x v="5"/>
    <x v="1"/>
    <n v="0.49"/>
    <n v="0.02"/>
    <n v="0.67"/>
    <n v="0.52"/>
    <n v="0.9"/>
    <n v="0.16"/>
    <n v="0.8"/>
    <n v="0.79"/>
    <n v="0.13"/>
    <n v="0.4"/>
    <x v="1"/>
    <s v="Low Exposure"/>
  </r>
  <r>
    <x v="4"/>
    <x v="620"/>
    <n v="14"/>
    <x v="3"/>
    <n v="0.25"/>
    <n v="0.76"/>
    <x v="43"/>
    <x v="2"/>
    <n v="0.41"/>
    <n v="0.95"/>
    <n v="0.13"/>
    <n v="0.97"/>
    <n v="0.23"/>
    <n v="0.77"/>
    <n v="0.34"/>
    <n v="0.14000000000000001"/>
    <n v="0.86"/>
    <n v="0.31"/>
    <x v="2"/>
    <s v="Low Exposure"/>
  </r>
  <r>
    <x v="2"/>
    <x v="621"/>
    <n v="28"/>
    <x v="0"/>
    <n v="0.56999999999999995"/>
    <n v="0.97"/>
    <x v="90"/>
    <x v="0"/>
    <n v="0.73"/>
    <n v="0.09"/>
    <n v="0.67"/>
    <n v="0.9"/>
    <n v="0.06"/>
    <n v="0.14000000000000001"/>
    <n v="0.72"/>
    <n v="0.44"/>
    <n v="0.4"/>
    <n v="0.14000000000000001"/>
    <x v="0"/>
    <s v="Medium Exposure"/>
  </r>
  <r>
    <x v="13"/>
    <x v="622"/>
    <n v="17"/>
    <x v="0"/>
    <n v="0.13"/>
    <n v="0.98"/>
    <x v="45"/>
    <x v="2"/>
    <n v="0.26"/>
    <n v="0.48"/>
    <n v="0.99"/>
    <n v="0.69"/>
    <n v="0.84"/>
    <n v="0.41"/>
    <n v="0.77"/>
    <n v="0.04"/>
    <n v="0.12"/>
    <n v="0.2"/>
    <x v="0"/>
    <s v="Low Exposure"/>
  </r>
  <r>
    <x v="16"/>
    <x v="623"/>
    <n v="6"/>
    <x v="1"/>
    <n v="0.85"/>
    <n v="0.85"/>
    <x v="83"/>
    <x v="0"/>
    <n v="0.71"/>
    <n v="0.59"/>
    <n v="0.36"/>
    <n v="0.57999999999999996"/>
    <n v="0.34"/>
    <n v="0.08"/>
    <n v="0.99"/>
    <n v="0.13"/>
    <n v="7.0000000000000007E-2"/>
    <n v="0.88"/>
    <x v="2"/>
    <s v="High Exposure"/>
  </r>
  <r>
    <x v="19"/>
    <x v="624"/>
    <n v="15"/>
    <x v="2"/>
    <n v="0.65"/>
    <n v="0.83"/>
    <x v="36"/>
    <x v="2"/>
    <n v="0.26"/>
    <n v="0.34"/>
    <n v="0.41"/>
    <n v="0.72"/>
    <n v="0.51"/>
    <n v="0.94"/>
    <n v="0.04"/>
    <n v="0.5"/>
    <n v="0.57999999999999996"/>
    <n v="0.92"/>
    <x v="2"/>
    <s v="Medium Exposure"/>
  </r>
  <r>
    <x v="11"/>
    <x v="625"/>
    <n v="8"/>
    <x v="3"/>
    <n v="0.56999999999999995"/>
    <n v="1.35"/>
    <x v="10"/>
    <x v="2"/>
    <n v="0.88"/>
    <n v="0.02"/>
    <n v="0.73"/>
    <n v="0.93"/>
    <n v="0.66"/>
    <n v="0.44"/>
    <n v="0.04"/>
    <n v="0.92"/>
    <n v="0.47"/>
    <n v="0.03"/>
    <x v="2"/>
    <s v="Medium Exposure"/>
  </r>
  <r>
    <x v="15"/>
    <x v="626"/>
    <n v="23"/>
    <x v="2"/>
    <n v="0.48"/>
    <n v="0.62"/>
    <x v="5"/>
    <x v="1"/>
    <n v="0.06"/>
    <n v="0.56999999999999995"/>
    <n v="0.62"/>
    <n v="0.51"/>
    <n v="0.82"/>
    <n v="0.86"/>
    <n v="0.62"/>
    <n v="0.01"/>
    <n v="0.7"/>
    <n v="0.42"/>
    <x v="0"/>
    <s v="Medium Exposure"/>
  </r>
  <r>
    <x v="11"/>
    <x v="627"/>
    <n v="27"/>
    <x v="2"/>
    <n v="0.65"/>
    <n v="0.85"/>
    <x v="79"/>
    <x v="2"/>
    <n v="0.13"/>
    <n v="0.67"/>
    <n v="0"/>
    <n v="0.92"/>
    <n v="0.11"/>
    <n v="0.09"/>
    <n v="0.33"/>
    <n v="0.37"/>
    <n v="0.21"/>
    <n v="0.59"/>
    <x v="0"/>
    <s v="Medium Exposure"/>
  </r>
  <r>
    <x v="4"/>
    <x v="628"/>
    <n v="24"/>
    <x v="2"/>
    <n v="0.03"/>
    <n v="0.82"/>
    <x v="69"/>
    <x v="2"/>
    <n v="0.69"/>
    <n v="0.72"/>
    <n v="0.7"/>
    <n v="0.31"/>
    <n v="0.1"/>
    <n v="0.27"/>
    <n v="0.83"/>
    <n v="0.98"/>
    <n v="0.49"/>
    <n v="0.01"/>
    <x v="0"/>
    <s v="Low Exposure"/>
  </r>
  <r>
    <x v="3"/>
    <x v="629"/>
    <n v="8"/>
    <x v="2"/>
    <n v="0.05"/>
    <n v="1.44"/>
    <x v="50"/>
    <x v="2"/>
    <n v="0.33"/>
    <n v="0.16"/>
    <n v="0.34"/>
    <n v="0.02"/>
    <n v="0.36"/>
    <n v="0.53"/>
    <n v="0.87"/>
    <n v="0.69"/>
    <n v="0.11"/>
    <n v="0.15"/>
    <x v="2"/>
    <s v="Low Exposure"/>
  </r>
  <r>
    <x v="10"/>
    <x v="630"/>
    <n v="1"/>
    <x v="1"/>
    <n v="0.2"/>
    <n v="0.53"/>
    <x v="69"/>
    <x v="2"/>
    <n v="0.02"/>
    <n v="0.83"/>
    <n v="0.14000000000000001"/>
    <n v="0.97"/>
    <n v="0.6"/>
    <n v="0.73"/>
    <n v="0.11"/>
    <n v="0.86"/>
    <n v="0.84"/>
    <n v="0.65"/>
    <x v="1"/>
    <s v="Low Exposure"/>
  </r>
  <r>
    <x v="1"/>
    <x v="631"/>
    <n v="5"/>
    <x v="2"/>
    <n v="0.72"/>
    <n v="0.51"/>
    <x v="42"/>
    <x v="1"/>
    <n v="0.85"/>
    <n v="0.36"/>
    <n v="0.11"/>
    <n v="0.42"/>
    <n v="0.73"/>
    <n v="0.11"/>
    <n v="0.21"/>
    <n v="0.15"/>
    <n v="0.8"/>
    <n v="0.06"/>
    <x v="1"/>
    <s v="High Exposure"/>
  </r>
  <r>
    <x v="19"/>
    <x v="632"/>
    <n v="7"/>
    <x v="3"/>
    <n v="0.37"/>
    <n v="1.26"/>
    <x v="66"/>
    <x v="2"/>
    <n v="0.11"/>
    <n v="0.31"/>
    <n v="0.81"/>
    <n v="0.27"/>
    <n v="0.22"/>
    <n v="0.83"/>
    <n v="0.99"/>
    <n v="0.56000000000000005"/>
    <n v="0.28000000000000003"/>
    <n v="0.4"/>
    <x v="2"/>
    <s v="Medium Exposure"/>
  </r>
  <r>
    <x v="13"/>
    <x v="633"/>
    <n v="23"/>
    <x v="0"/>
    <n v="0.76"/>
    <n v="1.27"/>
    <x v="38"/>
    <x v="2"/>
    <n v="0.03"/>
    <n v="0.56000000000000005"/>
    <n v="0.21"/>
    <n v="0.34"/>
    <n v="0.78"/>
    <n v="0.19"/>
    <n v="0.64"/>
    <n v="0.65"/>
    <n v="0.95"/>
    <n v="0.78"/>
    <x v="0"/>
    <s v="High Exposure"/>
  </r>
  <r>
    <x v="1"/>
    <x v="634"/>
    <n v="20"/>
    <x v="2"/>
    <n v="0.53"/>
    <n v="0.69"/>
    <x v="74"/>
    <x v="1"/>
    <n v="0.55000000000000004"/>
    <n v="0.68"/>
    <n v="0.61"/>
    <n v="0.39"/>
    <n v="0.27"/>
    <n v="0.17"/>
    <n v="0.69"/>
    <n v="0.65"/>
    <n v="0.69"/>
    <n v="0.37"/>
    <x v="0"/>
    <s v="Medium Exposure"/>
  </r>
  <r>
    <x v="16"/>
    <x v="635"/>
    <n v="10"/>
    <x v="2"/>
    <n v="0.76"/>
    <n v="1.27"/>
    <x v="2"/>
    <x v="0"/>
    <n v="0.61"/>
    <n v="0.37"/>
    <n v="0.7"/>
    <n v="0.84"/>
    <n v="0.69"/>
    <n v="0.51"/>
    <n v="0.46"/>
    <n v="0.64"/>
    <n v="0.68"/>
    <n v="0.56000000000000005"/>
    <x v="2"/>
    <s v="High Exposure"/>
  </r>
  <r>
    <x v="11"/>
    <x v="636"/>
    <n v="15"/>
    <x v="1"/>
    <n v="0.1"/>
    <n v="1.45"/>
    <x v="69"/>
    <x v="2"/>
    <n v="0.37"/>
    <n v="0.56000000000000005"/>
    <n v="0.05"/>
    <n v="0.04"/>
    <n v="0.25"/>
    <n v="0.69"/>
    <n v="0.85"/>
    <n v="0.56000000000000005"/>
    <n v="0.53"/>
    <n v="0.4"/>
    <x v="2"/>
    <s v="Low Exposure"/>
  </r>
  <r>
    <x v="16"/>
    <x v="637"/>
    <n v="26"/>
    <x v="2"/>
    <n v="0.12"/>
    <n v="1.26"/>
    <x v="17"/>
    <x v="0"/>
    <n v="0.46"/>
    <n v="0.66"/>
    <n v="0.91"/>
    <n v="0.09"/>
    <n v="0.77"/>
    <n v="0.62"/>
    <n v="0.6"/>
    <n v="0.28999999999999998"/>
    <n v="0.68"/>
    <n v="0.79"/>
    <x v="0"/>
    <s v="Low Exposure"/>
  </r>
  <r>
    <x v="0"/>
    <x v="638"/>
    <n v="22"/>
    <x v="2"/>
    <n v="0.53"/>
    <n v="0.6"/>
    <x v="24"/>
    <x v="0"/>
    <n v="0.51"/>
    <n v="0.81"/>
    <n v="0.37"/>
    <n v="0.13"/>
    <n v="0.04"/>
    <n v="0.28000000000000003"/>
    <n v="0.24"/>
    <n v="0.56000000000000005"/>
    <n v="0.02"/>
    <n v="0.52"/>
    <x v="0"/>
    <s v="Medium Exposure"/>
  </r>
  <r>
    <x v="9"/>
    <x v="639"/>
    <n v="15"/>
    <x v="1"/>
    <n v="0.57999999999999996"/>
    <n v="1.2"/>
    <x v="83"/>
    <x v="0"/>
    <n v="0.98"/>
    <n v="0.14000000000000001"/>
    <n v="0.43"/>
    <n v="0.42"/>
    <n v="0.42"/>
    <n v="0.66"/>
    <n v="0.49"/>
    <n v="0.52"/>
    <n v="0.43"/>
    <n v="0.99"/>
    <x v="2"/>
    <s v="Medium Exposure"/>
  </r>
  <r>
    <x v="3"/>
    <x v="640"/>
    <n v="9"/>
    <x v="3"/>
    <n v="0.31"/>
    <n v="0.61"/>
    <x v="4"/>
    <x v="2"/>
    <n v="1"/>
    <n v="0.28999999999999998"/>
    <n v="0.36"/>
    <n v="0.94"/>
    <n v="0.71"/>
    <n v="0.3"/>
    <n v="0.57999999999999996"/>
    <n v="0.94"/>
    <n v="0.81"/>
    <n v="0.74"/>
    <x v="2"/>
    <s v="Medium Exposure"/>
  </r>
  <r>
    <x v="7"/>
    <x v="641"/>
    <n v="15"/>
    <x v="3"/>
    <n v="0.18"/>
    <n v="1.32"/>
    <x v="54"/>
    <x v="1"/>
    <n v="0.93"/>
    <n v="0.36"/>
    <n v="0.86"/>
    <n v="0.27"/>
    <n v="0.51"/>
    <n v="0.11"/>
    <n v="0.66"/>
    <n v="0.84"/>
    <n v="0.72"/>
    <n v="0.52"/>
    <x v="2"/>
    <s v="Low Exposure"/>
  </r>
  <r>
    <x v="0"/>
    <x v="642"/>
    <n v="0"/>
    <x v="0"/>
    <n v="0.2"/>
    <n v="0.84"/>
    <x v="90"/>
    <x v="0"/>
    <n v="0.33"/>
    <n v="0.75"/>
    <n v="0.33"/>
    <n v="0.14000000000000001"/>
    <n v="0.4"/>
    <n v="0.98"/>
    <n v="0.23"/>
    <n v="0.61"/>
    <n v="0.43"/>
    <n v="7.0000000000000007E-2"/>
    <x v="1"/>
    <s v="Low Exposure"/>
  </r>
  <r>
    <x v="15"/>
    <x v="643"/>
    <n v="9"/>
    <x v="0"/>
    <n v="0.7"/>
    <n v="1.01"/>
    <x v="15"/>
    <x v="1"/>
    <n v="0.28999999999999998"/>
    <n v="0.09"/>
    <n v="0.94"/>
    <n v="0.38"/>
    <n v="0.57999999999999996"/>
    <n v="0.79"/>
    <n v="0.32"/>
    <n v="0.72"/>
    <n v="0.14000000000000001"/>
    <n v="0.28999999999999998"/>
    <x v="2"/>
    <s v="High Exposure"/>
  </r>
  <r>
    <x v="2"/>
    <x v="644"/>
    <n v="12"/>
    <x v="0"/>
    <n v="0.81"/>
    <n v="0.72"/>
    <x v="51"/>
    <x v="0"/>
    <n v="0.94"/>
    <n v="0.53"/>
    <n v="0.54"/>
    <n v="0.46"/>
    <n v="0.33"/>
    <n v="0.48"/>
    <n v="0.6"/>
    <n v="0.99"/>
    <n v="0.94"/>
    <n v="0.86"/>
    <x v="2"/>
    <s v="High Exposure"/>
  </r>
  <r>
    <x v="12"/>
    <x v="645"/>
    <n v="28"/>
    <x v="2"/>
    <n v="0.47"/>
    <n v="1.1599999999999999"/>
    <x v="72"/>
    <x v="2"/>
    <n v="0.39"/>
    <n v="0.96"/>
    <n v="0.42"/>
    <n v="0.6"/>
    <n v="0.71"/>
    <n v="0.95"/>
    <n v="0.24"/>
    <n v="0.75"/>
    <n v="0.52"/>
    <n v="0.27"/>
    <x v="0"/>
    <s v="Medium Exposure"/>
  </r>
  <r>
    <x v="12"/>
    <x v="646"/>
    <n v="27"/>
    <x v="3"/>
    <n v="0.55000000000000004"/>
    <n v="1.1599999999999999"/>
    <x v="87"/>
    <x v="2"/>
    <n v="0.48"/>
    <n v="0.62"/>
    <n v="0.4"/>
    <n v="0.2"/>
    <n v="0.96"/>
    <n v="0.51"/>
    <n v="0.73"/>
    <n v="0.41"/>
    <n v="0.36"/>
    <n v="0.41"/>
    <x v="0"/>
    <s v="Medium Exposure"/>
  </r>
  <r>
    <x v="7"/>
    <x v="647"/>
    <n v="1"/>
    <x v="3"/>
    <n v="0.54"/>
    <n v="1.04"/>
    <x v="7"/>
    <x v="1"/>
    <n v="0.13"/>
    <n v="0.5"/>
    <n v="0.17"/>
    <n v="0.13"/>
    <n v="0.93"/>
    <n v="0.6"/>
    <n v="0.66"/>
    <n v="0.4"/>
    <n v="0.91"/>
    <n v="0.64"/>
    <x v="1"/>
    <s v="Medium Exposure"/>
  </r>
  <r>
    <x v="10"/>
    <x v="648"/>
    <n v="13"/>
    <x v="2"/>
    <n v="0.37"/>
    <n v="1.46"/>
    <x v="12"/>
    <x v="2"/>
    <n v="0.85"/>
    <n v="0.17"/>
    <n v="0.27"/>
    <n v="0.28999999999999998"/>
    <n v="0.27"/>
    <n v="0.86"/>
    <n v="0.03"/>
    <n v="0.08"/>
    <n v="0.27"/>
    <n v="0.2"/>
    <x v="2"/>
    <s v="Medium Exposure"/>
  </r>
  <r>
    <x v="2"/>
    <x v="649"/>
    <n v="14"/>
    <x v="2"/>
    <n v="0.8"/>
    <n v="1.06"/>
    <x v="58"/>
    <x v="2"/>
    <n v="0.43"/>
    <n v="0.41"/>
    <n v="0.11"/>
    <n v="0.68"/>
    <n v="0.7"/>
    <n v="0.72"/>
    <n v="0.73"/>
    <n v="0"/>
    <n v="0.95"/>
    <n v="0.81"/>
    <x v="2"/>
    <s v="High Exposure"/>
  </r>
  <r>
    <x v="10"/>
    <x v="650"/>
    <n v="3"/>
    <x v="0"/>
    <n v="0.02"/>
    <n v="1.43"/>
    <x v="69"/>
    <x v="2"/>
    <n v="0.84"/>
    <n v="0.09"/>
    <n v="0.74"/>
    <n v="0.96"/>
    <n v="0.68"/>
    <n v="0.56999999999999995"/>
    <n v="0.95"/>
    <n v="0.44"/>
    <n v="0.6"/>
    <n v="0.48"/>
    <x v="1"/>
    <s v="Low Exposure"/>
  </r>
  <r>
    <x v="6"/>
    <x v="651"/>
    <n v="16"/>
    <x v="2"/>
    <n v="0.08"/>
    <n v="1"/>
    <x v="64"/>
    <x v="2"/>
    <n v="0.79"/>
    <n v="0.57999999999999996"/>
    <n v="0.91"/>
    <n v="0.94"/>
    <n v="0.06"/>
    <n v="0.4"/>
    <n v="0.02"/>
    <n v="0.33"/>
    <n v="0.54"/>
    <n v="0.91"/>
    <x v="0"/>
    <s v="Low Exposure"/>
  </r>
  <r>
    <x v="8"/>
    <x v="652"/>
    <n v="21"/>
    <x v="1"/>
    <n v="0.13"/>
    <n v="0.59"/>
    <x v="22"/>
    <x v="2"/>
    <n v="0.53"/>
    <n v="0.27"/>
    <n v="0.9"/>
    <n v="0.93"/>
    <n v="0.4"/>
    <n v="0.89"/>
    <n v="0.38"/>
    <n v="0.74"/>
    <n v="0.48"/>
    <n v="0.12"/>
    <x v="0"/>
    <s v="Low Exposure"/>
  </r>
  <r>
    <x v="17"/>
    <x v="653"/>
    <n v="22"/>
    <x v="0"/>
    <n v="0.45"/>
    <n v="1.23"/>
    <x v="84"/>
    <x v="2"/>
    <n v="0.02"/>
    <n v="0.1"/>
    <n v="0.5"/>
    <n v="0.69"/>
    <n v="0.33"/>
    <n v="0.7"/>
    <n v="0.7"/>
    <n v="0.7"/>
    <n v="0.49"/>
    <n v="0.91"/>
    <x v="0"/>
    <s v="Medium Exposure"/>
  </r>
  <r>
    <x v="10"/>
    <x v="654"/>
    <n v="13"/>
    <x v="1"/>
    <n v="0.27"/>
    <n v="1.03"/>
    <x v="12"/>
    <x v="2"/>
    <n v="0.4"/>
    <n v="0.72"/>
    <n v="0.88"/>
    <n v="0.22"/>
    <n v="0.81"/>
    <n v="0.76"/>
    <n v="0.36"/>
    <n v="0.99"/>
    <n v="0.26"/>
    <n v="0.25"/>
    <x v="2"/>
    <s v="Low Exposure"/>
  </r>
  <r>
    <x v="15"/>
    <x v="655"/>
    <n v="14"/>
    <x v="2"/>
    <n v="0.43"/>
    <n v="0.83"/>
    <x v="63"/>
    <x v="1"/>
    <n v="0.77"/>
    <n v="0.79"/>
    <n v="0.56999999999999995"/>
    <n v="0.96"/>
    <n v="0.32"/>
    <n v="0.22"/>
    <n v="0.68"/>
    <n v="0.76"/>
    <n v="0.22"/>
    <n v="0.08"/>
    <x v="2"/>
    <s v="Medium Exposure"/>
  </r>
  <r>
    <x v="8"/>
    <x v="656"/>
    <n v="8"/>
    <x v="3"/>
    <n v="0.98"/>
    <n v="1.1399999999999999"/>
    <x v="6"/>
    <x v="2"/>
    <n v="1"/>
    <n v="0.89"/>
    <n v="0.51"/>
    <n v="0.83"/>
    <n v="0.82"/>
    <n v="0.93"/>
    <n v="0.84"/>
    <n v="0.64"/>
    <n v="0.61"/>
    <n v="0.47"/>
    <x v="2"/>
    <s v="High Exposure"/>
  </r>
  <r>
    <x v="16"/>
    <x v="657"/>
    <n v="3"/>
    <x v="2"/>
    <n v="0.8"/>
    <n v="1.47"/>
    <x v="90"/>
    <x v="0"/>
    <n v="0.56999999999999995"/>
    <n v="0.44"/>
    <n v="0.67"/>
    <n v="0.63"/>
    <n v="0.02"/>
    <n v="0.54"/>
    <n v="0.09"/>
    <n v="0.03"/>
    <n v="0.79"/>
    <n v="0.26"/>
    <x v="1"/>
    <s v="High Exposure"/>
  </r>
  <r>
    <x v="9"/>
    <x v="658"/>
    <n v="7"/>
    <x v="3"/>
    <n v="0.06"/>
    <n v="0.68"/>
    <x v="81"/>
    <x v="0"/>
    <n v="0.49"/>
    <n v="0.88"/>
    <n v="0.4"/>
    <n v="0.27"/>
    <n v="0.35"/>
    <n v="0.71"/>
    <n v="0.56000000000000005"/>
    <n v="0.9"/>
    <n v="0.6"/>
    <n v="0.49"/>
    <x v="2"/>
    <s v="Low Exposure"/>
  </r>
  <r>
    <x v="19"/>
    <x v="659"/>
    <n v="16"/>
    <x v="1"/>
    <n v="0.95"/>
    <n v="0.86"/>
    <x v="10"/>
    <x v="2"/>
    <n v="0.62"/>
    <n v="0.5"/>
    <n v="0.99"/>
    <n v="0.46"/>
    <n v="7.0000000000000007E-2"/>
    <n v="0.98"/>
    <n v="0.84"/>
    <n v="0.18"/>
    <n v="0.9"/>
    <n v="0.34"/>
    <x v="0"/>
    <s v="High Exposure"/>
  </r>
  <r>
    <x v="6"/>
    <x v="660"/>
    <n v="15"/>
    <x v="0"/>
    <n v="0.91"/>
    <n v="1.03"/>
    <x v="46"/>
    <x v="2"/>
    <n v="0.37"/>
    <n v="0.72"/>
    <n v="0.17"/>
    <n v="0.59"/>
    <n v="0.7"/>
    <n v="0.34"/>
    <n v="0.69"/>
    <n v="0.88"/>
    <n v="0.47"/>
    <n v="0.38"/>
    <x v="2"/>
    <s v="High Exposure"/>
  </r>
  <r>
    <x v="1"/>
    <x v="661"/>
    <n v="26"/>
    <x v="1"/>
    <n v="0.75"/>
    <n v="1.36"/>
    <x v="13"/>
    <x v="1"/>
    <n v="0.86"/>
    <n v="0.11"/>
    <n v="0.35"/>
    <n v="0.88"/>
    <n v="0.2"/>
    <n v="0.08"/>
    <n v="0.79"/>
    <n v="0.84"/>
    <n v="0.16"/>
    <n v="0.85"/>
    <x v="0"/>
    <s v="High Exposure"/>
  </r>
  <r>
    <x v="4"/>
    <x v="662"/>
    <n v="9"/>
    <x v="2"/>
    <n v="0.52"/>
    <n v="1.33"/>
    <x v="25"/>
    <x v="2"/>
    <n v="0.19"/>
    <n v="0.28000000000000003"/>
    <n v="0.51"/>
    <n v="0.53"/>
    <n v="0.81"/>
    <n v="0.79"/>
    <n v="0.57999999999999996"/>
    <n v="0.78"/>
    <n v="0.19"/>
    <n v="0.05"/>
    <x v="2"/>
    <s v="Medium Exposure"/>
  </r>
  <r>
    <x v="8"/>
    <x v="663"/>
    <n v="11"/>
    <x v="0"/>
    <n v="0.08"/>
    <n v="0.75"/>
    <x v="14"/>
    <x v="2"/>
    <n v="0.41"/>
    <n v="0.88"/>
    <n v="0.3"/>
    <n v="0.01"/>
    <n v="0.3"/>
    <n v="0.57999999999999996"/>
    <n v="0.38"/>
    <n v="0.53"/>
    <n v="0.88"/>
    <n v="0.91"/>
    <x v="2"/>
    <s v="Low Exposure"/>
  </r>
  <r>
    <x v="12"/>
    <x v="664"/>
    <n v="12"/>
    <x v="3"/>
    <n v="0.46"/>
    <n v="1.05"/>
    <x v="26"/>
    <x v="2"/>
    <n v="1"/>
    <n v="0.24"/>
    <n v="0.73"/>
    <n v="0.38"/>
    <n v="0.01"/>
    <n v="0.01"/>
    <n v="0.46"/>
    <n v="0.49"/>
    <n v="0.02"/>
    <n v="0.69"/>
    <x v="2"/>
    <s v="Medium Exposure"/>
  </r>
  <r>
    <x v="12"/>
    <x v="665"/>
    <n v="2"/>
    <x v="0"/>
    <n v="0.56000000000000005"/>
    <n v="0.8"/>
    <x v="49"/>
    <x v="2"/>
    <n v="0.41"/>
    <n v="0.23"/>
    <n v="0.53"/>
    <n v="0.2"/>
    <n v="0.51"/>
    <n v="0.16"/>
    <n v="0.67"/>
    <n v="0.75"/>
    <n v="0.11"/>
    <n v="0.47"/>
    <x v="1"/>
    <s v="Medium Exposure"/>
  </r>
  <r>
    <x v="3"/>
    <x v="666"/>
    <n v="12"/>
    <x v="0"/>
    <n v="0.6"/>
    <n v="0.76"/>
    <x v="50"/>
    <x v="2"/>
    <n v="0.52"/>
    <n v="0.92"/>
    <n v="0.55000000000000004"/>
    <n v="0.57999999999999996"/>
    <n v="0.4"/>
    <n v="0.95"/>
    <n v="0.78"/>
    <n v="0.28999999999999998"/>
    <n v="0.84"/>
    <n v="0.43"/>
    <x v="2"/>
    <s v="Medium Exposure"/>
  </r>
  <r>
    <x v="17"/>
    <x v="667"/>
    <n v="4"/>
    <x v="0"/>
    <n v="0.82"/>
    <n v="0.69"/>
    <x v="14"/>
    <x v="2"/>
    <n v="0.28999999999999998"/>
    <n v="0.3"/>
    <n v="0.3"/>
    <n v="0.73"/>
    <n v="0.23"/>
    <n v="0"/>
    <n v="0.72"/>
    <n v="0.17"/>
    <n v="0.1"/>
    <n v="0.24"/>
    <x v="1"/>
    <s v="High Exposure"/>
  </r>
  <r>
    <x v="16"/>
    <x v="668"/>
    <n v="29"/>
    <x v="2"/>
    <n v="0.48"/>
    <n v="0.54"/>
    <x v="89"/>
    <x v="0"/>
    <n v="0.72"/>
    <n v="0.32"/>
    <n v="0.32"/>
    <n v="0.45"/>
    <n v="0.63"/>
    <n v="0.15"/>
    <n v="0.19"/>
    <n v="0.86"/>
    <n v="0.26"/>
    <n v="0.38"/>
    <x v="0"/>
    <s v="Medium Exposure"/>
  </r>
  <r>
    <x v="7"/>
    <x v="669"/>
    <n v="26"/>
    <x v="1"/>
    <n v="0.66"/>
    <n v="0.84"/>
    <x v="29"/>
    <x v="1"/>
    <n v="0.02"/>
    <n v="0.74"/>
    <n v="0.49"/>
    <n v="0.81"/>
    <n v="0.95"/>
    <n v="0.93"/>
    <n v="0.91"/>
    <n v="0.51"/>
    <n v="0.36"/>
    <n v="0.47"/>
    <x v="0"/>
    <s v="Medium Exposure"/>
  </r>
  <r>
    <x v="8"/>
    <x v="670"/>
    <n v="15"/>
    <x v="3"/>
    <n v="0.88"/>
    <n v="0.71"/>
    <x v="79"/>
    <x v="2"/>
    <n v="0.82"/>
    <n v="0.98"/>
    <n v="0.88"/>
    <n v="0.28000000000000003"/>
    <n v="0.11"/>
    <n v="0.11"/>
    <n v="0.28999999999999998"/>
    <n v="0.61"/>
    <n v="0.8"/>
    <n v="0.9"/>
    <x v="2"/>
    <s v="High Exposure"/>
  </r>
  <r>
    <x v="6"/>
    <x v="671"/>
    <n v="14"/>
    <x v="1"/>
    <n v="0.01"/>
    <n v="0.69"/>
    <x v="55"/>
    <x v="2"/>
    <n v="0.36"/>
    <n v="0.5"/>
    <n v="0.04"/>
    <n v="0.35"/>
    <n v="0.18"/>
    <n v="0.65"/>
    <n v="0.46"/>
    <n v="0.5"/>
    <n v="0.43"/>
    <n v="0.96"/>
    <x v="2"/>
    <s v="Low Exposure"/>
  </r>
  <r>
    <x v="15"/>
    <x v="672"/>
    <n v="7"/>
    <x v="1"/>
    <n v="0.52"/>
    <n v="1.24"/>
    <x v="27"/>
    <x v="1"/>
    <n v="0.93"/>
    <n v="0.38"/>
    <n v="0.46"/>
    <n v="0.09"/>
    <n v="0.61"/>
    <n v="0.28999999999999998"/>
    <n v="0.16"/>
    <n v="0.54"/>
    <n v="0.53"/>
    <n v="0.08"/>
    <x v="2"/>
    <s v="Medium Exposure"/>
  </r>
  <r>
    <x v="14"/>
    <x v="673"/>
    <n v="16"/>
    <x v="2"/>
    <n v="0.62"/>
    <n v="0.69"/>
    <x v="90"/>
    <x v="0"/>
    <n v="0.72"/>
    <n v="0.53"/>
    <n v="0.4"/>
    <n v="0.32"/>
    <n v="0.61"/>
    <n v="0.94"/>
    <n v="0.67"/>
    <n v="7.0000000000000007E-2"/>
    <n v="0.46"/>
    <n v="0.89"/>
    <x v="0"/>
    <s v="Medium Exposure"/>
  </r>
  <r>
    <x v="17"/>
    <x v="674"/>
    <n v="1"/>
    <x v="3"/>
    <n v="0.99"/>
    <n v="1.45"/>
    <x v="20"/>
    <x v="2"/>
    <n v="0.93"/>
    <n v="0.36"/>
    <n v="0.84"/>
    <n v="0.42"/>
    <n v="0.44"/>
    <n v="0.63"/>
    <n v="0.77"/>
    <n v="0.03"/>
    <n v="0.59"/>
    <n v="0.19"/>
    <x v="1"/>
    <s v="High Exposure"/>
  </r>
  <r>
    <x v="8"/>
    <x v="675"/>
    <n v="6"/>
    <x v="1"/>
    <n v="0.35"/>
    <n v="0.97"/>
    <x v="87"/>
    <x v="2"/>
    <n v="0.11"/>
    <n v="0.15"/>
    <n v="0.03"/>
    <n v="0.47"/>
    <n v="0.95"/>
    <n v="0.12"/>
    <n v="0.95"/>
    <n v="0.73"/>
    <n v="0.64"/>
    <n v="0.65"/>
    <x v="2"/>
    <s v="Medium Exposure"/>
  </r>
  <r>
    <x v="6"/>
    <x v="676"/>
    <n v="0"/>
    <x v="3"/>
    <n v="0.11"/>
    <n v="1"/>
    <x v="14"/>
    <x v="2"/>
    <n v="0.59"/>
    <n v="0.83"/>
    <n v="7.0000000000000007E-2"/>
    <n v="0.69"/>
    <n v="0.53"/>
    <n v="0.38"/>
    <n v="0.34"/>
    <n v="0.62"/>
    <n v="0.89"/>
    <n v="0.5"/>
    <x v="1"/>
    <s v="Low Exposure"/>
  </r>
  <r>
    <x v="0"/>
    <x v="677"/>
    <n v="14"/>
    <x v="3"/>
    <n v="0.4"/>
    <n v="0.6"/>
    <x v="28"/>
    <x v="0"/>
    <n v="0.05"/>
    <n v="0.38"/>
    <n v="0.34"/>
    <n v="0.72"/>
    <n v="0.74"/>
    <n v="0.05"/>
    <n v="0.22"/>
    <n v="0.27"/>
    <n v="0.55000000000000004"/>
    <n v="0.14000000000000001"/>
    <x v="2"/>
    <s v="Medium Exposure"/>
  </r>
  <r>
    <x v="10"/>
    <x v="678"/>
    <n v="17"/>
    <x v="2"/>
    <n v="0.42"/>
    <n v="0.56999999999999995"/>
    <x v="11"/>
    <x v="2"/>
    <n v="0.46"/>
    <n v="0.77"/>
    <n v="0.66"/>
    <n v="0.45"/>
    <n v="0.22"/>
    <n v="0.73"/>
    <n v="0.71"/>
    <n v="0.15"/>
    <n v="0.91"/>
    <n v="0.06"/>
    <x v="0"/>
    <s v="Medium Exposure"/>
  </r>
  <r>
    <x v="10"/>
    <x v="679"/>
    <n v="23"/>
    <x v="3"/>
    <n v="0.19"/>
    <n v="1.41"/>
    <x v="50"/>
    <x v="2"/>
    <n v="0.79"/>
    <n v="0.23"/>
    <n v="0.49"/>
    <n v="0.36"/>
    <n v="0.83"/>
    <n v="0.02"/>
    <n v="0.24"/>
    <n v="0.15"/>
    <n v="0.86"/>
    <n v="0.47"/>
    <x v="0"/>
    <s v="Low Exposure"/>
  </r>
  <r>
    <x v="7"/>
    <x v="680"/>
    <n v="27"/>
    <x v="0"/>
    <n v="0.45"/>
    <n v="1.47"/>
    <x v="75"/>
    <x v="1"/>
    <n v="0.71"/>
    <n v="0.28999999999999998"/>
    <n v="0.17"/>
    <n v="0.92"/>
    <n v="0.42"/>
    <n v="0.28000000000000003"/>
    <n v="0.47"/>
    <n v="0.92"/>
    <n v="0.39"/>
    <n v="0.56000000000000005"/>
    <x v="0"/>
    <s v="Medium Exposure"/>
  </r>
  <r>
    <x v="11"/>
    <x v="681"/>
    <n v="13"/>
    <x v="0"/>
    <n v="0.43"/>
    <n v="0.73"/>
    <x v="58"/>
    <x v="2"/>
    <n v="0.96"/>
    <n v="0.84"/>
    <n v="0.69"/>
    <n v="0.28999999999999998"/>
    <n v="0.91"/>
    <n v="0.28000000000000003"/>
    <n v="0.8"/>
    <n v="0.92"/>
    <n v="0.6"/>
    <n v="0.8"/>
    <x v="2"/>
    <s v="Medium Exposure"/>
  </r>
  <r>
    <x v="4"/>
    <x v="682"/>
    <n v="23"/>
    <x v="3"/>
    <n v="0.19"/>
    <n v="1.17"/>
    <x v="55"/>
    <x v="2"/>
    <n v="0.51"/>
    <n v="0.16"/>
    <n v="0.42"/>
    <n v="0.83"/>
    <n v="0.99"/>
    <n v="0.32"/>
    <n v="0.53"/>
    <n v="0.51"/>
    <n v="0.95"/>
    <n v="0.48"/>
    <x v="0"/>
    <s v="Low Exposure"/>
  </r>
  <r>
    <x v="0"/>
    <x v="683"/>
    <n v="20"/>
    <x v="1"/>
    <n v="0.92"/>
    <n v="0.87"/>
    <x v="17"/>
    <x v="0"/>
    <n v="0.92"/>
    <n v="0.93"/>
    <n v="0.27"/>
    <n v="0.4"/>
    <n v="0.87"/>
    <n v="0.36"/>
    <n v="0.6"/>
    <n v="0.12"/>
    <n v="0.06"/>
    <n v="0.41"/>
    <x v="0"/>
    <s v="High Exposure"/>
  </r>
  <r>
    <x v="5"/>
    <x v="684"/>
    <n v="21"/>
    <x v="3"/>
    <n v="0.78"/>
    <n v="0.96"/>
    <x v="29"/>
    <x v="1"/>
    <n v="0.39"/>
    <n v="0.16"/>
    <n v="0.4"/>
    <n v="0.57999999999999996"/>
    <n v="0.95"/>
    <n v="7.0000000000000007E-2"/>
    <n v="0.51"/>
    <n v="0.33"/>
    <n v="0.51"/>
    <n v="0.02"/>
    <x v="0"/>
    <s v="High Exposure"/>
  </r>
  <r>
    <x v="19"/>
    <x v="685"/>
    <n v="13"/>
    <x v="0"/>
    <n v="0.82"/>
    <n v="1.05"/>
    <x v="8"/>
    <x v="2"/>
    <n v="0.28999999999999998"/>
    <n v="0.3"/>
    <n v="0.38"/>
    <n v="0.84"/>
    <n v="0.97"/>
    <n v="0.44"/>
    <n v="0.39"/>
    <n v="0.85"/>
    <n v="0.43"/>
    <n v="0.55000000000000004"/>
    <x v="2"/>
    <s v="High Exposure"/>
  </r>
  <r>
    <x v="11"/>
    <x v="686"/>
    <n v="3"/>
    <x v="1"/>
    <n v="0.74"/>
    <n v="1.03"/>
    <x v="69"/>
    <x v="2"/>
    <n v="0.78"/>
    <n v="0.22"/>
    <n v="0.72"/>
    <n v="0.8"/>
    <n v="0.35"/>
    <n v="0.17"/>
    <n v="0"/>
    <n v="0.45"/>
    <n v="0.35"/>
    <n v="0.55000000000000004"/>
    <x v="1"/>
    <s v="High Exposure"/>
  </r>
  <r>
    <x v="14"/>
    <x v="687"/>
    <n v="21"/>
    <x v="1"/>
    <n v="0.86"/>
    <n v="0.76"/>
    <x v="39"/>
    <x v="0"/>
    <n v="0.48"/>
    <n v="0.5"/>
    <n v="0.22"/>
    <n v="0.27"/>
    <n v="0.17"/>
    <n v="0.72"/>
    <n v="0.77"/>
    <n v="0.46"/>
    <n v="0.71"/>
    <n v="0.74"/>
    <x v="0"/>
    <s v="High Exposure"/>
  </r>
  <r>
    <x v="13"/>
    <x v="688"/>
    <n v="4"/>
    <x v="2"/>
    <n v="0.97"/>
    <n v="1.32"/>
    <x v="48"/>
    <x v="2"/>
    <n v="0.19"/>
    <n v="0.13"/>
    <n v="0.14000000000000001"/>
    <n v="0.75"/>
    <n v="0.47"/>
    <n v="0.78"/>
    <n v="0.75"/>
    <n v="0.6"/>
    <n v="0.69"/>
    <n v="0.02"/>
    <x v="1"/>
    <s v="High Exposure"/>
  </r>
  <r>
    <x v="9"/>
    <x v="689"/>
    <n v="2"/>
    <x v="1"/>
    <n v="0.64"/>
    <n v="0.51"/>
    <x v="76"/>
    <x v="0"/>
    <n v="0.85"/>
    <n v="0.68"/>
    <n v="0.27"/>
    <n v="0.69"/>
    <n v="0.79"/>
    <n v="0.31"/>
    <n v="0.04"/>
    <n v="0.93"/>
    <n v="0.35"/>
    <n v="0.11"/>
    <x v="1"/>
    <s v="Medium Exposure"/>
  </r>
  <r>
    <x v="14"/>
    <x v="690"/>
    <n v="25"/>
    <x v="2"/>
    <n v="0.77"/>
    <n v="0.72"/>
    <x v="62"/>
    <x v="0"/>
    <n v="0.24"/>
    <n v="0.99"/>
    <n v="0.2"/>
    <n v="0.57999999999999996"/>
    <n v="0.93"/>
    <n v="0.15"/>
    <n v="0.97"/>
    <n v="0.95"/>
    <n v="0.88"/>
    <n v="0.21"/>
    <x v="0"/>
    <s v="High Exposure"/>
  </r>
  <r>
    <x v="0"/>
    <x v="691"/>
    <n v="5"/>
    <x v="3"/>
    <n v="0.76"/>
    <n v="0.77"/>
    <x v="90"/>
    <x v="0"/>
    <n v="0.82"/>
    <n v="0.27"/>
    <n v="0.19"/>
    <n v="0.68"/>
    <n v="0.53"/>
    <n v="0.51"/>
    <n v="0.26"/>
    <n v="0.03"/>
    <n v="0.41"/>
    <n v="0.11"/>
    <x v="1"/>
    <s v="High Exposure"/>
  </r>
  <r>
    <x v="3"/>
    <x v="692"/>
    <n v="11"/>
    <x v="2"/>
    <n v="0.04"/>
    <n v="0.93"/>
    <x v="86"/>
    <x v="2"/>
    <n v="0.1"/>
    <n v="0.66"/>
    <n v="0.65"/>
    <n v="0.03"/>
    <n v="0"/>
    <n v="0.08"/>
    <n v="0.76"/>
    <n v="0.57999999999999996"/>
    <n v="0.04"/>
    <n v="0.49"/>
    <x v="2"/>
    <s v="Low Exposure"/>
  </r>
  <r>
    <x v="12"/>
    <x v="199"/>
    <n v="5"/>
    <x v="3"/>
    <n v="0.87"/>
    <n v="1.43"/>
    <x v="87"/>
    <x v="2"/>
    <n v="0.14000000000000001"/>
    <n v="0.24"/>
    <n v="0.78"/>
    <n v="0.97"/>
    <n v="0.47"/>
    <n v="0.31"/>
    <n v="0.43"/>
    <n v="0.3"/>
    <n v="0.26"/>
    <n v="0.59"/>
    <x v="1"/>
    <s v="High Exposure"/>
  </r>
  <r>
    <x v="8"/>
    <x v="693"/>
    <n v="10"/>
    <x v="3"/>
    <n v="0.26"/>
    <n v="1.1599999999999999"/>
    <x v="57"/>
    <x v="2"/>
    <n v="0.08"/>
    <n v="0.28999999999999998"/>
    <n v="0.88"/>
    <n v="0.76"/>
    <n v="0.02"/>
    <n v="0.5"/>
    <n v="0.27"/>
    <n v="0.65"/>
    <n v="0.72"/>
    <n v="0.86"/>
    <x v="2"/>
    <s v="Low Exposure"/>
  </r>
  <r>
    <x v="9"/>
    <x v="694"/>
    <n v="15"/>
    <x v="3"/>
    <n v="0.99"/>
    <n v="1.48"/>
    <x v="24"/>
    <x v="0"/>
    <n v="0.56999999999999995"/>
    <n v="0.4"/>
    <n v="0.36"/>
    <n v="0.01"/>
    <n v="0.25"/>
    <n v="0.72"/>
    <n v="0.6"/>
    <n v="0.92"/>
    <n v="0.05"/>
    <n v="0.16"/>
    <x v="2"/>
    <s v="High Exposure"/>
  </r>
  <r>
    <x v="13"/>
    <x v="695"/>
    <n v="8"/>
    <x v="2"/>
    <n v="0.73"/>
    <n v="1.31"/>
    <x v="4"/>
    <x v="2"/>
    <n v="0.99"/>
    <n v="0.28999999999999998"/>
    <n v="0.71"/>
    <n v="0.12"/>
    <n v="0.41"/>
    <n v="0.85"/>
    <n v="0.37"/>
    <n v="0.59"/>
    <n v="0.5"/>
    <n v="0.65"/>
    <x v="2"/>
    <s v="High Exposure"/>
  </r>
  <r>
    <x v="14"/>
    <x v="696"/>
    <n v="25"/>
    <x v="0"/>
    <n v="0.06"/>
    <n v="1.07"/>
    <x v="24"/>
    <x v="0"/>
    <n v="0.48"/>
    <n v="0.08"/>
    <n v="0.56000000000000005"/>
    <n v="0.33"/>
    <n v="0.15"/>
    <n v="0.85"/>
    <n v="0.52"/>
    <n v="0.93"/>
    <n v="0.81"/>
    <n v="0.69"/>
    <x v="0"/>
    <s v="Low Exposure"/>
  </r>
  <r>
    <x v="11"/>
    <x v="697"/>
    <n v="4"/>
    <x v="0"/>
    <n v="0.43"/>
    <n v="0.7"/>
    <x v="72"/>
    <x v="2"/>
    <n v="0.17"/>
    <n v="0.28999999999999998"/>
    <n v="0.52"/>
    <n v="0.26"/>
    <n v="0.21"/>
    <n v="0.6"/>
    <n v="0.09"/>
    <n v="0.06"/>
    <n v="0.37"/>
    <n v="0.72"/>
    <x v="1"/>
    <s v="Medium Exposure"/>
  </r>
  <r>
    <x v="19"/>
    <x v="698"/>
    <n v="29"/>
    <x v="1"/>
    <n v="0.42"/>
    <n v="1.07"/>
    <x v="84"/>
    <x v="2"/>
    <n v="0.94"/>
    <n v="0.05"/>
    <n v="0.67"/>
    <n v="0.89"/>
    <n v="0.8"/>
    <n v="0.18"/>
    <n v="0.3"/>
    <n v="0.72"/>
    <n v="0.08"/>
    <n v="0.81"/>
    <x v="0"/>
    <s v="Medium Exposure"/>
  </r>
  <r>
    <x v="10"/>
    <x v="699"/>
    <n v="17"/>
    <x v="0"/>
    <n v="0.73"/>
    <n v="0.6"/>
    <x v="31"/>
    <x v="2"/>
    <n v="0.68"/>
    <n v="0.83"/>
    <n v="0.04"/>
    <n v="0.02"/>
    <n v="0.37"/>
    <n v="0.15"/>
    <n v="0.56000000000000005"/>
    <n v="0.92"/>
    <n v="0.39"/>
    <n v="0.84"/>
    <x v="0"/>
    <s v="High Exposure"/>
  </r>
  <r>
    <x v="8"/>
    <x v="700"/>
    <n v="19"/>
    <x v="1"/>
    <n v="0.17"/>
    <n v="0.53"/>
    <x v="87"/>
    <x v="2"/>
    <n v="0.91"/>
    <n v="0.1"/>
    <n v="0.61"/>
    <n v="0.45"/>
    <n v="0.94"/>
    <n v="0.12"/>
    <n v="0.21"/>
    <n v="0.03"/>
    <n v="0.43"/>
    <n v="0.28000000000000003"/>
    <x v="0"/>
    <s v="Low Exposure"/>
  </r>
  <r>
    <x v="3"/>
    <x v="701"/>
    <n v="16"/>
    <x v="2"/>
    <n v="0.6"/>
    <n v="1.1100000000000001"/>
    <x v="50"/>
    <x v="2"/>
    <n v="0.09"/>
    <n v="0.45"/>
    <n v="1"/>
    <n v="0.84"/>
    <n v="0.89"/>
    <n v="0.82"/>
    <n v="0.1"/>
    <n v="0.23"/>
    <n v="0"/>
    <n v="0.3"/>
    <x v="0"/>
    <s v="Medium Exposure"/>
  </r>
  <r>
    <x v="16"/>
    <x v="702"/>
    <n v="25"/>
    <x v="1"/>
    <n v="0.47"/>
    <n v="1.18"/>
    <x v="24"/>
    <x v="0"/>
    <n v="0.75"/>
    <n v="0.94"/>
    <n v="0.05"/>
    <n v="0.01"/>
    <n v="0.66"/>
    <n v="0.28999999999999998"/>
    <n v="0.25"/>
    <n v="0.33"/>
    <n v="0.27"/>
    <n v="0.51"/>
    <x v="0"/>
    <s v="Medium Exposure"/>
  </r>
  <r>
    <x v="9"/>
    <x v="703"/>
    <n v="24"/>
    <x v="1"/>
    <n v="0.51"/>
    <n v="1.17"/>
    <x v="9"/>
    <x v="0"/>
    <n v="0.25"/>
    <n v="0.17"/>
    <n v="0.35"/>
    <n v="0.74"/>
    <n v="0.76"/>
    <n v="0.67"/>
    <n v="0.23"/>
    <n v="0.59"/>
    <n v="0.56999999999999995"/>
    <n v="0.48"/>
    <x v="0"/>
    <s v="Medium Exposure"/>
  </r>
  <r>
    <x v="10"/>
    <x v="704"/>
    <n v="23"/>
    <x v="0"/>
    <n v="0.49"/>
    <n v="1.07"/>
    <x v="31"/>
    <x v="2"/>
    <n v="0.11"/>
    <n v="0.75"/>
    <n v="0.14000000000000001"/>
    <n v="7.0000000000000007E-2"/>
    <n v="0.98"/>
    <n v="0.96"/>
    <n v="0.06"/>
    <n v="0.44"/>
    <n v="0.19"/>
    <n v="0.49"/>
    <x v="0"/>
    <s v="Medium Exposure"/>
  </r>
  <r>
    <x v="1"/>
    <x v="705"/>
    <n v="21"/>
    <x v="3"/>
    <n v="0.95"/>
    <n v="1.1299999999999999"/>
    <x v="41"/>
    <x v="1"/>
    <n v="0.6"/>
    <n v="0.31"/>
    <n v="0.91"/>
    <n v="0.87"/>
    <n v="0.56000000000000005"/>
    <n v="0.32"/>
    <n v="0.28999999999999998"/>
    <n v="0.03"/>
    <n v="0.82"/>
    <n v="0.45"/>
    <x v="0"/>
    <s v="High Exposure"/>
  </r>
  <r>
    <x v="9"/>
    <x v="706"/>
    <n v="9"/>
    <x v="3"/>
    <n v="0.49"/>
    <n v="1.41"/>
    <x v="32"/>
    <x v="0"/>
    <n v="0.15"/>
    <n v="0.71"/>
    <n v="0.44"/>
    <n v="0.25"/>
    <n v="0.69"/>
    <n v="0.74"/>
    <n v="0.18"/>
    <n v="0.91"/>
    <n v="0.75"/>
    <n v="0.93"/>
    <x v="2"/>
    <s v="Medium Exposure"/>
  </r>
  <r>
    <x v="5"/>
    <x v="707"/>
    <n v="8"/>
    <x v="3"/>
    <n v="0.94"/>
    <n v="0.87"/>
    <x v="19"/>
    <x v="1"/>
    <n v="0.76"/>
    <n v="0.7"/>
    <n v="0.6"/>
    <n v="0.49"/>
    <n v="0.03"/>
    <n v="0.62"/>
    <n v="0.42"/>
    <n v="0.56000000000000005"/>
    <n v="0.43"/>
    <n v="0.97"/>
    <x v="2"/>
    <s v="High Exposure"/>
  </r>
  <r>
    <x v="10"/>
    <x v="708"/>
    <n v="25"/>
    <x v="0"/>
    <n v="0.75"/>
    <n v="1.44"/>
    <x v="22"/>
    <x v="2"/>
    <n v="0.01"/>
    <n v="0.03"/>
    <n v="0.7"/>
    <n v="0.28000000000000003"/>
    <n v="0.57999999999999996"/>
    <n v="0.2"/>
    <n v="0.27"/>
    <n v="0.5"/>
    <n v="0.98"/>
    <n v="0.62"/>
    <x v="0"/>
    <s v="High Exposure"/>
  </r>
  <r>
    <x v="7"/>
    <x v="709"/>
    <n v="0"/>
    <x v="0"/>
    <n v="0.96"/>
    <n v="0.71"/>
    <x v="61"/>
    <x v="1"/>
    <n v="0.77"/>
    <n v="0.87"/>
    <n v="0.52"/>
    <n v="0.99"/>
    <n v="0.01"/>
    <n v="0.3"/>
    <n v="0.62"/>
    <n v="0.47"/>
    <n v="0.12"/>
    <n v="0.37"/>
    <x v="1"/>
    <s v="High Exposure"/>
  </r>
  <r>
    <x v="5"/>
    <x v="710"/>
    <n v="27"/>
    <x v="2"/>
    <n v="0.64"/>
    <n v="1.39"/>
    <x v="15"/>
    <x v="1"/>
    <n v="0.7"/>
    <n v="0.47"/>
    <n v="0.51"/>
    <n v="0.14000000000000001"/>
    <n v="0.34"/>
    <n v="0.19"/>
    <n v="0.82"/>
    <n v="0.91"/>
    <n v="0.54"/>
    <n v="0.73"/>
    <x v="0"/>
    <s v="Medium Exposure"/>
  </r>
  <r>
    <x v="10"/>
    <x v="711"/>
    <n v="20"/>
    <x v="2"/>
    <n v="0.61"/>
    <n v="1.2"/>
    <x v="8"/>
    <x v="2"/>
    <n v="0.24"/>
    <n v="0.88"/>
    <n v="0.74"/>
    <n v="0.9"/>
    <n v="0.82"/>
    <n v="0.99"/>
    <n v="0.19"/>
    <n v="0.09"/>
    <n v="0.34"/>
    <n v="0.13"/>
    <x v="0"/>
    <s v="Medium Exposure"/>
  </r>
  <r>
    <x v="3"/>
    <x v="712"/>
    <n v="1"/>
    <x v="3"/>
    <n v="0.44"/>
    <n v="0.56000000000000005"/>
    <x v="66"/>
    <x v="2"/>
    <n v="0.59"/>
    <n v="0.56000000000000005"/>
    <n v="0.66"/>
    <n v="0.5"/>
    <n v="0.03"/>
    <n v="0.61"/>
    <n v="0.72"/>
    <n v="0.42"/>
    <n v="0.76"/>
    <n v="0.23"/>
    <x v="1"/>
    <s v="Medium Exposure"/>
  </r>
  <r>
    <x v="12"/>
    <x v="713"/>
    <n v="6"/>
    <x v="2"/>
    <n v="0.16"/>
    <n v="0.87"/>
    <x v="4"/>
    <x v="2"/>
    <n v="0.83"/>
    <n v="0.38"/>
    <n v="0.59"/>
    <n v="0.72"/>
    <n v="0.24"/>
    <n v="0.17"/>
    <n v="0.97"/>
    <n v="0.62"/>
    <n v="0.98"/>
    <n v="0.34"/>
    <x v="2"/>
    <s v="Low Exposure"/>
  </r>
  <r>
    <x v="8"/>
    <x v="714"/>
    <n v="21"/>
    <x v="3"/>
    <n v="0.34"/>
    <n v="1.04"/>
    <x v="64"/>
    <x v="2"/>
    <n v="0.63"/>
    <n v="0.46"/>
    <n v="0.56000000000000005"/>
    <n v="0.28000000000000003"/>
    <n v="0.02"/>
    <n v="0.63"/>
    <n v="0.25"/>
    <n v="0.67"/>
    <n v="0.75"/>
    <n v="0.92"/>
    <x v="0"/>
    <s v="Medium Exposure"/>
  </r>
  <r>
    <x v="17"/>
    <x v="715"/>
    <n v="7"/>
    <x v="1"/>
    <n v="0.01"/>
    <n v="1.49"/>
    <x v="64"/>
    <x v="2"/>
    <n v="0.64"/>
    <n v="0.02"/>
    <n v="0.86"/>
    <n v="0.15"/>
    <n v="0.84"/>
    <n v="0.02"/>
    <n v="0.65"/>
    <n v="0.43"/>
    <n v="0.2"/>
    <n v="0.11"/>
    <x v="2"/>
    <s v="Low Exposure"/>
  </r>
  <r>
    <x v="7"/>
    <x v="716"/>
    <n v="3"/>
    <x v="2"/>
    <n v="0.12"/>
    <n v="0.99"/>
    <x v="13"/>
    <x v="1"/>
    <n v="0.83"/>
    <n v="0.68"/>
    <n v="7.0000000000000007E-2"/>
    <n v="0.31"/>
    <n v="0.28999999999999998"/>
    <n v="0.92"/>
    <n v="0.87"/>
    <n v="0.37"/>
    <n v="7.0000000000000007E-2"/>
    <n v="0.89"/>
    <x v="1"/>
    <s v="Low Exposure"/>
  </r>
  <r>
    <x v="1"/>
    <x v="717"/>
    <n v="26"/>
    <x v="1"/>
    <n v="0.85"/>
    <n v="1.35"/>
    <x v="7"/>
    <x v="1"/>
    <n v="0.18"/>
    <n v="0.48"/>
    <n v="0.49"/>
    <n v="0.49"/>
    <n v="0.54"/>
    <n v="0.26"/>
    <n v="0.37"/>
    <n v="0.43"/>
    <n v="0.13"/>
    <n v="0.46"/>
    <x v="0"/>
    <s v="High Exposure"/>
  </r>
  <r>
    <x v="10"/>
    <x v="718"/>
    <n v="6"/>
    <x v="0"/>
    <n v="0.83"/>
    <n v="0.91"/>
    <x v="50"/>
    <x v="2"/>
    <n v="0.03"/>
    <n v="0.67"/>
    <n v="0.4"/>
    <n v="0.45"/>
    <n v="0.87"/>
    <n v="0.46"/>
    <n v="0.02"/>
    <n v="0.23"/>
    <n v="0.48"/>
    <n v="0.42"/>
    <x v="2"/>
    <s v="High Exposure"/>
  </r>
  <r>
    <x v="4"/>
    <x v="719"/>
    <n v="20"/>
    <x v="3"/>
    <n v="0.54"/>
    <n v="1.19"/>
    <x v="78"/>
    <x v="2"/>
    <n v="0.44"/>
    <n v="0.45"/>
    <n v="0.41"/>
    <n v="0.54"/>
    <n v="0.25"/>
    <n v="0.89"/>
    <n v="0.33"/>
    <n v="0.15"/>
    <n v="0.1"/>
    <n v="0.01"/>
    <x v="0"/>
    <s v="Medium Exposure"/>
  </r>
  <r>
    <x v="8"/>
    <x v="720"/>
    <n v="8"/>
    <x v="1"/>
    <n v="0.19"/>
    <n v="0.52"/>
    <x v="50"/>
    <x v="2"/>
    <n v="0.68"/>
    <n v="0.09"/>
    <n v="0.46"/>
    <n v="0.74"/>
    <n v="0.99"/>
    <n v="0.67"/>
    <n v="0.24"/>
    <n v="0.72"/>
    <n v="0.6"/>
    <n v="0.21"/>
    <x v="2"/>
    <s v="Low Exposure"/>
  </r>
  <r>
    <x v="18"/>
    <x v="721"/>
    <n v="9"/>
    <x v="2"/>
    <n v="0.43"/>
    <n v="1.46"/>
    <x v="70"/>
    <x v="1"/>
    <n v="0.64"/>
    <n v="0.73"/>
    <n v="0.48"/>
    <n v="0.51"/>
    <n v="0.85"/>
    <n v="0.68"/>
    <n v="0.9"/>
    <n v="0.89"/>
    <n v="0.98"/>
    <n v="0.7"/>
    <x v="2"/>
    <s v="Medium Exposure"/>
  </r>
  <r>
    <x v="9"/>
    <x v="722"/>
    <n v="4"/>
    <x v="3"/>
    <n v="0.17"/>
    <n v="1.21"/>
    <x v="62"/>
    <x v="0"/>
    <n v="0.28000000000000003"/>
    <n v="0.24"/>
    <n v="0.88"/>
    <n v="0.87"/>
    <n v="0.63"/>
    <n v="0.47"/>
    <n v="0.67"/>
    <n v="0.61"/>
    <n v="0.42"/>
    <n v="0.38"/>
    <x v="1"/>
    <s v="Low Exposure"/>
  </r>
  <r>
    <x v="4"/>
    <x v="723"/>
    <n v="4"/>
    <x v="3"/>
    <n v="0.59"/>
    <n v="1.1499999999999999"/>
    <x v="8"/>
    <x v="2"/>
    <n v="0.97"/>
    <n v="0.08"/>
    <n v="0.35"/>
    <n v="0.42"/>
    <n v="0.02"/>
    <n v="0.36"/>
    <n v="0.27"/>
    <n v="0.51"/>
    <n v="0.34"/>
    <n v="0.73"/>
    <x v="1"/>
    <s v="Medium Exposure"/>
  </r>
  <r>
    <x v="18"/>
    <x v="724"/>
    <n v="8"/>
    <x v="1"/>
    <n v="0.16"/>
    <n v="1.29"/>
    <x v="85"/>
    <x v="1"/>
    <n v="0.02"/>
    <n v="0.7"/>
    <n v="0.25"/>
    <n v="0.04"/>
    <n v="0.4"/>
    <n v="0.94"/>
    <n v="0.01"/>
    <n v="0.59"/>
    <n v="0.5"/>
    <n v="0.87"/>
    <x v="2"/>
    <s v="Low Exposure"/>
  </r>
  <r>
    <x v="8"/>
    <x v="725"/>
    <n v="16"/>
    <x v="0"/>
    <n v="0.68"/>
    <n v="1.18"/>
    <x v="64"/>
    <x v="2"/>
    <n v="0.94"/>
    <n v="0.82"/>
    <n v="0.04"/>
    <n v="0.47"/>
    <n v="0.4"/>
    <n v="0.31"/>
    <n v="0.45"/>
    <n v="0.38"/>
    <n v="0.43"/>
    <n v="0.98"/>
    <x v="0"/>
    <s v="Medium Exposure"/>
  </r>
  <r>
    <x v="9"/>
    <x v="726"/>
    <n v="8"/>
    <x v="0"/>
    <n v="0.92"/>
    <n v="0.98"/>
    <x v="83"/>
    <x v="0"/>
    <n v="0.83"/>
    <n v="0.36"/>
    <n v="0.43"/>
    <n v="0.41"/>
    <n v="0.37"/>
    <n v="0.93"/>
    <n v="0.83"/>
    <n v="0.11"/>
    <n v="0.11"/>
    <n v="0.43"/>
    <x v="2"/>
    <s v="High Exposure"/>
  </r>
  <r>
    <x v="1"/>
    <x v="727"/>
    <n v="19"/>
    <x v="2"/>
    <n v="0.62"/>
    <n v="0.64"/>
    <x v="82"/>
    <x v="1"/>
    <n v="0.01"/>
    <n v="0.32"/>
    <n v="0.68"/>
    <n v="0.48"/>
    <n v="0.98"/>
    <n v="0.87"/>
    <n v="0.36"/>
    <n v="0.05"/>
    <n v="0.85"/>
    <n v="0.91"/>
    <x v="0"/>
    <s v="Medium Exposure"/>
  </r>
  <r>
    <x v="6"/>
    <x v="728"/>
    <n v="2"/>
    <x v="2"/>
    <n v="0.37"/>
    <n v="0.57999999999999996"/>
    <x v="31"/>
    <x v="2"/>
    <n v="0"/>
    <n v="0.05"/>
    <n v="0"/>
    <n v="0.65"/>
    <n v="0.42"/>
    <n v="0.3"/>
    <n v="0.91"/>
    <n v="0.19"/>
    <n v="0.39"/>
    <n v="0.94"/>
    <x v="1"/>
    <s v="Medium Exposure"/>
  </r>
  <r>
    <x v="16"/>
    <x v="729"/>
    <n v="1"/>
    <x v="2"/>
    <n v="0.55000000000000004"/>
    <n v="0.57999999999999996"/>
    <x v="40"/>
    <x v="0"/>
    <n v="0.42"/>
    <n v="0.8"/>
    <n v="0.25"/>
    <n v="0.42"/>
    <n v="0.79"/>
    <n v="0.97"/>
    <n v="0.06"/>
    <n v="0.81"/>
    <n v="0.3"/>
    <n v="0.55000000000000004"/>
    <x v="1"/>
    <s v="Medium Exposure"/>
  </r>
  <r>
    <x v="18"/>
    <x v="730"/>
    <n v="29"/>
    <x v="2"/>
    <n v="0.61"/>
    <n v="0.85"/>
    <x v="61"/>
    <x v="1"/>
    <n v="0.04"/>
    <n v="0.15"/>
    <n v="0.92"/>
    <n v="1"/>
    <n v="0.78"/>
    <n v="0.28999999999999998"/>
    <n v="0.4"/>
    <n v="0.74"/>
    <n v="0.97"/>
    <n v="0.46"/>
    <x v="0"/>
    <s v="Medium Exposure"/>
  </r>
  <r>
    <x v="12"/>
    <x v="731"/>
    <n v="16"/>
    <x v="3"/>
    <n v="0.43"/>
    <n v="0.99"/>
    <x v="79"/>
    <x v="2"/>
    <n v="0.52"/>
    <n v="0.49"/>
    <n v="0.57999999999999996"/>
    <n v="0.69"/>
    <n v="0.11"/>
    <n v="0.82"/>
    <n v="0.44"/>
    <n v="7.0000000000000007E-2"/>
    <n v="0.79"/>
    <n v="0.38"/>
    <x v="0"/>
    <s v="Medium Exposure"/>
  </r>
  <r>
    <x v="0"/>
    <x v="732"/>
    <n v="5"/>
    <x v="0"/>
    <n v="0.63"/>
    <n v="1.38"/>
    <x v="24"/>
    <x v="0"/>
    <n v="0.96"/>
    <n v="0.87"/>
    <n v="0"/>
    <n v="0.38"/>
    <n v="0.82"/>
    <n v="0.37"/>
    <n v="0.6"/>
    <n v="0.61"/>
    <n v="0.37"/>
    <n v="0.9"/>
    <x v="1"/>
    <s v="Medium Exposure"/>
  </r>
  <r>
    <x v="5"/>
    <x v="733"/>
    <n v="14"/>
    <x v="3"/>
    <n v="0.13"/>
    <n v="1.0900000000000001"/>
    <x v="13"/>
    <x v="1"/>
    <n v="0.05"/>
    <n v="0.24"/>
    <n v="0.8"/>
    <n v="0.05"/>
    <n v="0.86"/>
    <n v="0.66"/>
    <n v="0.43"/>
    <n v="0.35"/>
    <n v="0.02"/>
    <n v="0.83"/>
    <x v="2"/>
    <s v="Low Exposure"/>
  </r>
  <r>
    <x v="17"/>
    <x v="734"/>
    <n v="20"/>
    <x v="1"/>
    <n v="0.31"/>
    <n v="1.07"/>
    <x v="10"/>
    <x v="2"/>
    <n v="0.5"/>
    <n v="0.81"/>
    <n v="0.47"/>
    <n v="0.95"/>
    <n v="0.85"/>
    <n v="0.33"/>
    <n v="0.4"/>
    <n v="0.42"/>
    <n v="0.63"/>
    <n v="0.28999999999999998"/>
    <x v="0"/>
    <s v="Medium Exposure"/>
  </r>
  <r>
    <x v="4"/>
    <x v="735"/>
    <n v="11"/>
    <x v="0"/>
    <n v="0.61"/>
    <n v="0.9"/>
    <x v="23"/>
    <x v="2"/>
    <n v="0.4"/>
    <n v="0.82"/>
    <n v="0.56999999999999995"/>
    <n v="0.04"/>
    <n v="0.18"/>
    <n v="0.86"/>
    <n v="0.56000000000000005"/>
    <n v="0.95"/>
    <n v="7.0000000000000007E-2"/>
    <n v="0.3"/>
    <x v="2"/>
    <s v="Medium Exposure"/>
  </r>
  <r>
    <x v="4"/>
    <x v="736"/>
    <n v="3"/>
    <x v="1"/>
    <n v="0.55000000000000004"/>
    <n v="0.88"/>
    <x v="46"/>
    <x v="2"/>
    <n v="0.64"/>
    <n v="0.54"/>
    <n v="0.27"/>
    <n v="0.48"/>
    <n v="0.75"/>
    <n v="0.21"/>
    <n v="0.28999999999999998"/>
    <n v="0.35"/>
    <n v="0.75"/>
    <n v="0.85"/>
    <x v="1"/>
    <s v="Medium Exposure"/>
  </r>
  <r>
    <x v="7"/>
    <x v="737"/>
    <n v="4"/>
    <x v="2"/>
    <n v="0.3"/>
    <n v="1.39"/>
    <x v="85"/>
    <x v="1"/>
    <n v="0.67"/>
    <n v="0.99"/>
    <n v="0.66"/>
    <n v="0.73"/>
    <n v="0.39"/>
    <n v="0.43"/>
    <n v="0.14000000000000001"/>
    <n v="0.82"/>
    <n v="0.93"/>
    <n v="0.62"/>
    <x v="1"/>
    <s v="Medium Exposure"/>
  </r>
  <r>
    <x v="18"/>
    <x v="738"/>
    <n v="1"/>
    <x v="2"/>
    <n v="0.15"/>
    <n v="0.77"/>
    <x v="37"/>
    <x v="1"/>
    <n v="0.61"/>
    <n v="0.95"/>
    <n v="0.05"/>
    <n v="0"/>
    <n v="0.6"/>
    <n v="0.28000000000000003"/>
    <n v="0.88"/>
    <n v="0.33"/>
    <n v="0.28999999999999998"/>
    <n v="0.27"/>
    <x v="1"/>
    <s v="Low Exposure"/>
  </r>
  <r>
    <x v="8"/>
    <x v="739"/>
    <n v="28"/>
    <x v="3"/>
    <n v="0.57999999999999996"/>
    <n v="0.67"/>
    <x v="25"/>
    <x v="2"/>
    <n v="0.46"/>
    <n v="0.02"/>
    <n v="0.02"/>
    <n v="0.52"/>
    <n v="0.7"/>
    <n v="0.94"/>
    <n v="0.18"/>
    <n v="0.1"/>
    <n v="0.05"/>
    <n v="0.44"/>
    <x v="0"/>
    <s v="Medium Exposure"/>
  </r>
  <r>
    <x v="18"/>
    <x v="740"/>
    <n v="14"/>
    <x v="0"/>
    <n v="0.84"/>
    <n v="1.18"/>
    <x v="5"/>
    <x v="1"/>
    <n v="0.46"/>
    <n v="0.91"/>
    <n v="0.33"/>
    <n v="0.5"/>
    <n v="0.96"/>
    <n v="0.73"/>
    <n v="0.75"/>
    <n v="0.25"/>
    <n v="0.41"/>
    <n v="0.08"/>
    <x v="2"/>
    <s v="High Exposure"/>
  </r>
  <r>
    <x v="11"/>
    <x v="741"/>
    <n v="10"/>
    <x v="3"/>
    <n v="0.1"/>
    <n v="1.34"/>
    <x v="12"/>
    <x v="2"/>
    <n v="0.53"/>
    <n v="0.14000000000000001"/>
    <n v="0.03"/>
    <n v="0.8"/>
    <n v="0.6"/>
    <n v="0.71"/>
    <n v="0.3"/>
    <n v="0.51"/>
    <n v="0.75"/>
    <n v="0.46"/>
    <x v="2"/>
    <s v="Low Exposure"/>
  </r>
  <r>
    <x v="12"/>
    <x v="742"/>
    <n v="26"/>
    <x v="3"/>
    <n v="0.79"/>
    <n v="0.72"/>
    <x v="20"/>
    <x v="2"/>
    <n v="0.53"/>
    <n v="0.06"/>
    <n v="0.77"/>
    <n v="0.72"/>
    <n v="0.88"/>
    <n v="0.64"/>
    <n v="7.0000000000000007E-2"/>
    <n v="0.25"/>
    <n v="0.81"/>
    <n v="0.17"/>
    <x v="0"/>
    <s v="High Exposure"/>
  </r>
  <r>
    <x v="6"/>
    <x v="743"/>
    <n v="8"/>
    <x v="0"/>
    <n v="0.78"/>
    <n v="0.83"/>
    <x v="87"/>
    <x v="2"/>
    <n v="0.56000000000000005"/>
    <n v="0.86"/>
    <n v="0.22"/>
    <n v="0.94"/>
    <n v="0.6"/>
    <n v="0.99"/>
    <n v="0.09"/>
    <n v="0.13"/>
    <n v="0.83"/>
    <n v="0.86"/>
    <x v="2"/>
    <s v="High Exposure"/>
  </r>
  <r>
    <x v="5"/>
    <x v="744"/>
    <n v="11"/>
    <x v="1"/>
    <n v="0.71"/>
    <n v="1.37"/>
    <x v="19"/>
    <x v="1"/>
    <n v="0.56999999999999995"/>
    <n v="0.85"/>
    <n v="0.4"/>
    <n v="0.3"/>
    <n v="0.8"/>
    <n v="0.34"/>
    <n v="0"/>
    <n v="0.96"/>
    <n v="0.59"/>
    <n v="0.82"/>
    <x v="2"/>
    <s v="High Exposure"/>
  </r>
  <r>
    <x v="8"/>
    <x v="745"/>
    <n v="10"/>
    <x v="2"/>
    <n v="7.0000000000000007E-2"/>
    <n v="0.67"/>
    <x v="71"/>
    <x v="2"/>
    <n v="0.32"/>
    <n v="0.66"/>
    <n v="0.62"/>
    <n v="0.49"/>
    <n v="0.21"/>
    <n v="0.38"/>
    <n v="0.54"/>
    <n v="0.47"/>
    <n v="0.13"/>
    <n v="0.65"/>
    <x v="2"/>
    <s v="Low Exposure"/>
  </r>
  <r>
    <x v="1"/>
    <x v="746"/>
    <n v="11"/>
    <x v="0"/>
    <n v="0.38"/>
    <n v="1.21"/>
    <x v="19"/>
    <x v="1"/>
    <n v="0.56999999999999995"/>
    <n v="0.33"/>
    <n v="0.01"/>
    <n v="0.19"/>
    <n v="0.94"/>
    <n v="0.52"/>
    <n v="1"/>
    <n v="0.52"/>
    <n v="0.54"/>
    <n v="0.39"/>
    <x v="2"/>
    <s v="Medium Exposure"/>
  </r>
  <r>
    <x v="19"/>
    <x v="747"/>
    <n v="15"/>
    <x v="3"/>
    <n v="0.25"/>
    <n v="0.84"/>
    <x v="8"/>
    <x v="2"/>
    <n v="0.19"/>
    <n v="0.22"/>
    <n v="0.27"/>
    <n v="0.45"/>
    <n v="0.65"/>
    <n v="0.86"/>
    <n v="0.28999999999999998"/>
    <n v="0.18"/>
    <n v="0.38"/>
    <n v="0.89"/>
    <x v="2"/>
    <s v="Low Exposure"/>
  </r>
  <r>
    <x v="7"/>
    <x v="748"/>
    <n v="16"/>
    <x v="2"/>
    <n v="0.68"/>
    <n v="0.98"/>
    <x v="63"/>
    <x v="1"/>
    <n v="0.32"/>
    <n v="0.22"/>
    <n v="0.88"/>
    <n v="0.48"/>
    <n v="0.56000000000000005"/>
    <n v="0.59"/>
    <n v="0.64"/>
    <n v="0.5"/>
    <n v="0.02"/>
    <n v="0.33"/>
    <x v="0"/>
    <s v="Medium Exposure"/>
  </r>
  <r>
    <x v="18"/>
    <x v="749"/>
    <n v="19"/>
    <x v="1"/>
    <n v="0.68"/>
    <n v="0.56000000000000005"/>
    <x v="27"/>
    <x v="1"/>
    <n v="0.21"/>
    <n v="0.95"/>
    <n v="0.34"/>
    <n v="0.33"/>
    <n v="0.92"/>
    <n v="0.42"/>
    <n v="0.96"/>
    <n v="0.02"/>
    <n v="0.31"/>
    <n v="0.67"/>
    <x v="0"/>
    <s v="Medium Exposure"/>
  </r>
  <r>
    <x v="14"/>
    <x v="750"/>
    <n v="18"/>
    <x v="3"/>
    <n v="0.14000000000000001"/>
    <n v="0.85"/>
    <x v="9"/>
    <x v="0"/>
    <n v="0.51"/>
    <n v="0.93"/>
    <n v="0.87"/>
    <n v="0.13"/>
    <n v="0.17"/>
    <n v="0.36"/>
    <n v="0.28999999999999998"/>
    <n v="0.61"/>
    <n v="0.9"/>
    <n v="0.96"/>
    <x v="0"/>
    <s v="Low Exposure"/>
  </r>
  <r>
    <x v="16"/>
    <x v="751"/>
    <n v="16"/>
    <x v="2"/>
    <n v="0.84"/>
    <n v="1.03"/>
    <x v="73"/>
    <x v="0"/>
    <n v="0.52"/>
    <n v="0.56000000000000005"/>
    <n v="0.74"/>
    <n v="0.22"/>
    <n v="0.37"/>
    <n v="0.36"/>
    <n v="0.96"/>
    <n v="0.44"/>
    <n v="0.76"/>
    <n v="0.75"/>
    <x v="0"/>
    <s v="High Exposure"/>
  </r>
  <r>
    <x v="8"/>
    <x v="752"/>
    <n v="10"/>
    <x v="2"/>
    <n v="0.56999999999999995"/>
    <n v="1.39"/>
    <x v="78"/>
    <x v="2"/>
    <n v="0.95"/>
    <n v="0.21"/>
    <n v="7.0000000000000007E-2"/>
    <n v="0.89"/>
    <n v="0.85"/>
    <n v="0.99"/>
    <n v="0.68"/>
    <n v="0.94"/>
    <n v="0.83"/>
    <n v="0.84"/>
    <x v="2"/>
    <s v="Medium Exposure"/>
  </r>
  <r>
    <x v="7"/>
    <x v="753"/>
    <n v="27"/>
    <x v="0"/>
    <n v="0.38"/>
    <n v="1.43"/>
    <x v="74"/>
    <x v="1"/>
    <n v="0.54"/>
    <n v="0.45"/>
    <n v="0.56000000000000005"/>
    <n v="0.47"/>
    <n v="0.05"/>
    <n v="0.88"/>
    <n v="0.44"/>
    <n v="0.59"/>
    <n v="0.14000000000000001"/>
    <n v="0"/>
    <x v="0"/>
    <s v="Medium Exposure"/>
  </r>
  <r>
    <x v="15"/>
    <x v="754"/>
    <n v="21"/>
    <x v="2"/>
    <n v="0.7"/>
    <n v="0.6"/>
    <x v="16"/>
    <x v="1"/>
    <n v="0.22"/>
    <n v="0.2"/>
    <n v="0.18"/>
    <n v="0.01"/>
    <n v="0.77"/>
    <n v="0.88"/>
    <n v="0.61"/>
    <n v="0.19"/>
    <n v="0.28999999999999998"/>
    <n v="0.48"/>
    <x v="0"/>
    <s v="High Exposure"/>
  </r>
  <r>
    <x v="18"/>
    <x v="755"/>
    <n v="12"/>
    <x v="3"/>
    <n v="0.25"/>
    <n v="1.23"/>
    <x v="74"/>
    <x v="1"/>
    <n v="0.3"/>
    <n v="0.46"/>
    <n v="7.0000000000000007E-2"/>
    <n v="0.8"/>
    <n v="0.24"/>
    <n v="0.73"/>
    <n v="7.0000000000000007E-2"/>
    <n v="0.96"/>
    <n v="0.19"/>
    <n v="0.88"/>
    <x v="2"/>
    <s v="Low Exposure"/>
  </r>
  <r>
    <x v="0"/>
    <x v="756"/>
    <n v="23"/>
    <x v="3"/>
    <n v="0.97"/>
    <n v="0.98"/>
    <x v="51"/>
    <x v="0"/>
    <n v="0.37"/>
    <n v="0.18"/>
    <n v="0.44"/>
    <n v="0.17"/>
    <n v="0.98"/>
    <n v="0.1"/>
    <n v="0.59"/>
    <n v="0.63"/>
    <n v="0.54"/>
    <n v="0.66"/>
    <x v="0"/>
    <s v="High Exposure"/>
  </r>
  <r>
    <x v="4"/>
    <x v="757"/>
    <n v="17"/>
    <x v="3"/>
    <n v="0.56000000000000005"/>
    <n v="0.79"/>
    <x v="26"/>
    <x v="2"/>
    <n v="0.76"/>
    <n v="0.97"/>
    <n v="0.04"/>
    <n v="0.28999999999999998"/>
    <n v="0.2"/>
    <n v="0.01"/>
    <n v="0.24"/>
    <n v="0.68"/>
    <n v="0.23"/>
    <n v="0.51"/>
    <x v="0"/>
    <s v="Medium Exposure"/>
  </r>
  <r>
    <x v="16"/>
    <x v="758"/>
    <n v="9"/>
    <x v="0"/>
    <n v="0.69"/>
    <n v="0.89"/>
    <x v="77"/>
    <x v="0"/>
    <n v="0.46"/>
    <n v="0.18"/>
    <n v="0.63"/>
    <n v="0.36"/>
    <n v="0.85"/>
    <n v="0.76"/>
    <n v="0.61"/>
    <n v="0.36"/>
    <n v="0.21"/>
    <n v="0.78"/>
    <x v="2"/>
    <s v="Medium Exposure"/>
  </r>
  <r>
    <x v="3"/>
    <x v="759"/>
    <n v="19"/>
    <x v="1"/>
    <n v="0.22"/>
    <n v="0.7"/>
    <x v="49"/>
    <x v="2"/>
    <n v="0.78"/>
    <n v="0.23"/>
    <n v="0.53"/>
    <n v="0.45"/>
    <n v="0.57999999999999996"/>
    <n v="0.88"/>
    <n v="0.87"/>
    <n v="0.45"/>
    <n v="0.02"/>
    <n v="0.43"/>
    <x v="0"/>
    <s v="Low Exposure"/>
  </r>
  <r>
    <x v="15"/>
    <x v="760"/>
    <n v="9"/>
    <x v="3"/>
    <n v="0.56000000000000005"/>
    <n v="1.1499999999999999"/>
    <x v="63"/>
    <x v="1"/>
    <n v="0.65"/>
    <n v="0.18"/>
    <n v="0.75"/>
    <n v="0.34"/>
    <n v="0.71"/>
    <n v="0.05"/>
    <n v="0.41"/>
    <n v="0.71"/>
    <n v="0.23"/>
    <n v="0.8"/>
    <x v="2"/>
    <s v="Medium Exposure"/>
  </r>
  <r>
    <x v="2"/>
    <x v="761"/>
    <n v="16"/>
    <x v="3"/>
    <n v="0.59"/>
    <n v="0.85"/>
    <x v="90"/>
    <x v="0"/>
    <n v="0.6"/>
    <n v="0.47"/>
    <n v="0.7"/>
    <n v="0.43"/>
    <n v="0.2"/>
    <n v="0.21"/>
    <n v="0.01"/>
    <n v="0.3"/>
    <n v="0.75"/>
    <n v="0.79"/>
    <x v="0"/>
    <s v="Medium Exposure"/>
  </r>
  <r>
    <x v="1"/>
    <x v="762"/>
    <n v="13"/>
    <x v="1"/>
    <n v="0.96"/>
    <n v="1"/>
    <x v="16"/>
    <x v="1"/>
    <n v="0.71"/>
    <n v="0.72"/>
    <n v="0.09"/>
    <n v="0.22"/>
    <n v="0.01"/>
    <n v="0.72"/>
    <n v="0.34"/>
    <n v="0.79"/>
    <n v="0.34"/>
    <n v="0.82"/>
    <x v="2"/>
    <s v="High Exposure"/>
  </r>
  <r>
    <x v="11"/>
    <x v="763"/>
    <n v="0"/>
    <x v="0"/>
    <n v="0.17"/>
    <n v="0.84"/>
    <x v="36"/>
    <x v="2"/>
    <n v="0.35"/>
    <n v="0.76"/>
    <n v="0.1"/>
    <n v="0.35"/>
    <n v="0.84"/>
    <n v="7.0000000000000007E-2"/>
    <n v="0.94"/>
    <n v="0.99"/>
    <n v="0.09"/>
    <n v="0.28999999999999998"/>
    <x v="1"/>
    <s v="Low Exposure"/>
  </r>
  <r>
    <x v="17"/>
    <x v="764"/>
    <n v="15"/>
    <x v="3"/>
    <n v="0.78"/>
    <n v="1.1000000000000001"/>
    <x v="23"/>
    <x v="2"/>
    <n v="0.76"/>
    <n v="0.12"/>
    <n v="0.83"/>
    <n v="0.71"/>
    <n v="0.57999999999999996"/>
    <n v="0.89"/>
    <n v="0.7"/>
    <n v="0.2"/>
    <n v="0.43"/>
    <n v="0.49"/>
    <x v="2"/>
    <s v="High Exposure"/>
  </r>
  <r>
    <x v="1"/>
    <x v="765"/>
    <n v="18"/>
    <x v="1"/>
    <n v="0.95"/>
    <n v="0.63"/>
    <x v="29"/>
    <x v="1"/>
    <n v="0.51"/>
    <n v="0.03"/>
    <n v="0.92"/>
    <n v="0.85"/>
    <n v="0.52"/>
    <n v="0.23"/>
    <n v="0.12"/>
    <n v="0.36"/>
    <n v="0.26"/>
    <n v="0.51"/>
    <x v="0"/>
    <s v="High Exposure"/>
  </r>
  <r>
    <x v="16"/>
    <x v="766"/>
    <n v="8"/>
    <x v="1"/>
    <n v="0.56999999999999995"/>
    <n v="1.39"/>
    <x v="83"/>
    <x v="0"/>
    <n v="0.48"/>
    <n v="0.85"/>
    <n v="0.47"/>
    <n v="0.87"/>
    <n v="0.28999999999999998"/>
    <n v="0.13"/>
    <n v="0.86"/>
    <n v="0.59"/>
    <n v="0.89"/>
    <n v="0.94"/>
    <x v="2"/>
    <s v="Medium Exposure"/>
  </r>
  <r>
    <x v="10"/>
    <x v="767"/>
    <n v="17"/>
    <x v="0"/>
    <n v="0.49"/>
    <n v="1.36"/>
    <x v="55"/>
    <x v="2"/>
    <n v="0.45"/>
    <n v="0.28999999999999998"/>
    <n v="0.1"/>
    <n v="0.76"/>
    <n v="0.51"/>
    <n v="0.56000000000000005"/>
    <n v="0.41"/>
    <n v="0.46"/>
    <n v="0.12"/>
    <n v="0.67"/>
    <x v="0"/>
    <s v="Medium Exposure"/>
  </r>
  <r>
    <x v="16"/>
    <x v="768"/>
    <n v="27"/>
    <x v="1"/>
    <n v="0.82"/>
    <n v="0.7"/>
    <x v="73"/>
    <x v="0"/>
    <n v="0.65"/>
    <n v="0.85"/>
    <n v="0.47"/>
    <n v="0.73"/>
    <n v="1"/>
    <n v="0.99"/>
    <n v="0.74"/>
    <n v="0.74"/>
    <n v="0.25"/>
    <n v="0.83"/>
    <x v="0"/>
    <s v="High Exposure"/>
  </r>
  <r>
    <x v="7"/>
    <x v="769"/>
    <n v="5"/>
    <x v="1"/>
    <n v="0.96"/>
    <n v="0.57999999999999996"/>
    <x v="74"/>
    <x v="1"/>
    <n v="0.56000000000000005"/>
    <n v="0.41"/>
    <n v="0.21"/>
    <n v="0.59"/>
    <n v="0.76"/>
    <n v="0.64"/>
    <n v="0.23"/>
    <n v="0.73"/>
    <n v="0.26"/>
    <n v="0.18"/>
    <x v="1"/>
    <s v="High Exposure"/>
  </r>
  <r>
    <x v="3"/>
    <x v="770"/>
    <n v="29"/>
    <x v="2"/>
    <n v="0.84"/>
    <n v="0.98"/>
    <x v="50"/>
    <x v="2"/>
    <n v="0.3"/>
    <n v="0.49"/>
    <n v="0.13"/>
    <n v="0.96"/>
    <n v="0.8"/>
    <n v="0.67"/>
    <n v="0.54"/>
    <n v="0.79"/>
    <n v="0.49"/>
    <n v="0.3"/>
    <x v="0"/>
    <s v="High Exposure"/>
  </r>
  <r>
    <x v="3"/>
    <x v="771"/>
    <n v="11"/>
    <x v="3"/>
    <n v="0.65"/>
    <n v="1.43"/>
    <x v="46"/>
    <x v="2"/>
    <n v="0.18"/>
    <n v="0.43"/>
    <n v="0.81"/>
    <n v="0.28999999999999998"/>
    <n v="0.25"/>
    <n v="0.62"/>
    <n v="0.54"/>
    <n v="0.06"/>
    <n v="0.08"/>
    <n v="0.64"/>
    <x v="2"/>
    <s v="Medium Exposure"/>
  </r>
  <r>
    <x v="8"/>
    <x v="772"/>
    <n v="15"/>
    <x v="2"/>
    <n v="0.97"/>
    <n v="1.18"/>
    <x v="85"/>
    <x v="1"/>
    <n v="0.48"/>
    <n v="0.41"/>
    <n v="0.11"/>
    <n v="0.92"/>
    <n v="0.81"/>
    <n v="0.23"/>
    <n v="0.26"/>
    <n v="0.03"/>
    <n v="0.3"/>
    <n v="0.57999999999999996"/>
    <x v="2"/>
    <s v="High Exposure"/>
  </r>
  <r>
    <x v="4"/>
    <x v="773"/>
    <n v="28"/>
    <x v="1"/>
    <n v="0.19"/>
    <n v="1.4"/>
    <x v="48"/>
    <x v="2"/>
    <n v="0.03"/>
    <n v="0.02"/>
    <n v="0.62"/>
    <n v="0.66"/>
    <n v="0.31"/>
    <n v="0.32"/>
    <n v="0.34"/>
    <n v="0.68"/>
    <n v="0.06"/>
    <n v="0.93"/>
    <x v="0"/>
    <s v="Low Exposure"/>
  </r>
  <r>
    <x v="19"/>
    <x v="774"/>
    <n v="10"/>
    <x v="0"/>
    <n v="1"/>
    <n v="0.67"/>
    <x v="45"/>
    <x v="2"/>
    <n v="0.22"/>
    <n v="0.08"/>
    <n v="0.87"/>
    <n v="0.86"/>
    <n v="0.4"/>
    <n v="0.7"/>
    <n v="0.56000000000000005"/>
    <n v="0.85"/>
    <n v="0.32"/>
    <n v="0.52"/>
    <x v="2"/>
    <s v="High Exposure"/>
  </r>
  <r>
    <x v="12"/>
    <x v="775"/>
    <n v="1"/>
    <x v="1"/>
    <n v="0.35"/>
    <n v="1.39"/>
    <x v="49"/>
    <x v="2"/>
    <n v="0.15"/>
    <n v="0.57999999999999996"/>
    <n v="0.66"/>
    <n v="0.19"/>
    <n v="0.39"/>
    <n v="0.95"/>
    <n v="0.25"/>
    <n v="0.67"/>
    <n v="0.74"/>
    <n v="0.45"/>
    <x v="1"/>
    <s v="Medium Exposure"/>
  </r>
  <r>
    <x v="2"/>
    <x v="776"/>
    <n v="26"/>
    <x v="3"/>
    <n v="0.74"/>
    <n v="0.96"/>
    <x v="56"/>
    <x v="0"/>
    <n v="0.69"/>
    <n v="0.59"/>
    <n v="0.88"/>
    <n v="0.36"/>
    <n v="0.3"/>
    <n v="0.21"/>
    <n v="0.04"/>
    <n v="0.04"/>
    <n v="0.87"/>
    <n v="0.68"/>
    <x v="0"/>
    <s v="High Exposure"/>
  </r>
  <r>
    <x v="19"/>
    <x v="777"/>
    <n v="18"/>
    <x v="1"/>
    <n v="0.61"/>
    <n v="1.35"/>
    <x v="78"/>
    <x v="2"/>
    <n v="0.87"/>
    <n v="0.36"/>
    <n v="0.93"/>
    <n v="0.7"/>
    <n v="0.26"/>
    <n v="0.56000000000000005"/>
    <n v="0.53"/>
    <n v="0.14000000000000001"/>
    <n v="0.59"/>
    <n v="0.31"/>
    <x v="0"/>
    <s v="Medium Exposure"/>
  </r>
  <r>
    <x v="1"/>
    <x v="778"/>
    <n v="10"/>
    <x v="2"/>
    <n v="0.95"/>
    <n v="1.1399999999999999"/>
    <x v="15"/>
    <x v="1"/>
    <n v="0.68"/>
    <n v="0.36"/>
    <n v="0.51"/>
    <n v="0.68"/>
    <n v="0.96"/>
    <n v="0.25"/>
    <n v="0.87"/>
    <n v="0.92"/>
    <n v="0.67"/>
    <n v="0.93"/>
    <x v="2"/>
    <s v="High Exposure"/>
  </r>
  <r>
    <x v="14"/>
    <x v="779"/>
    <n v="12"/>
    <x v="0"/>
    <n v="0.95"/>
    <n v="1.2"/>
    <x v="76"/>
    <x v="0"/>
    <n v="0.91"/>
    <n v="0.48"/>
    <n v="0.46"/>
    <n v="0.56999999999999995"/>
    <n v="0.15"/>
    <n v="0.47"/>
    <n v="0.83"/>
    <n v="0.02"/>
    <n v="0.27"/>
    <n v="0"/>
    <x v="2"/>
    <s v="High Exposure"/>
  </r>
  <r>
    <x v="5"/>
    <x v="780"/>
    <n v="25"/>
    <x v="2"/>
    <n v="0.73"/>
    <n v="1.3"/>
    <x v="21"/>
    <x v="1"/>
    <n v="0.61"/>
    <n v="0.25"/>
    <n v="0.92"/>
    <n v="0.78"/>
    <n v="0.56999999999999995"/>
    <n v="0.7"/>
    <n v="0.92"/>
    <n v="0.71"/>
    <n v="0.37"/>
    <n v="0.71"/>
    <x v="0"/>
    <s v="High Exposure"/>
  </r>
  <r>
    <x v="1"/>
    <x v="781"/>
    <n v="4"/>
    <x v="1"/>
    <n v="0.39"/>
    <n v="0.91"/>
    <x v="63"/>
    <x v="1"/>
    <n v="0.02"/>
    <n v="0.13"/>
    <n v="0.65"/>
    <n v="0.8"/>
    <n v="0.99"/>
    <n v="0.35"/>
    <n v="0.6"/>
    <n v="0.94"/>
    <n v="0.17"/>
    <n v="0.72"/>
    <x v="1"/>
    <s v="Medium Exposure"/>
  </r>
  <r>
    <x v="16"/>
    <x v="782"/>
    <n v="6"/>
    <x v="3"/>
    <n v="0.09"/>
    <n v="1.36"/>
    <x v="40"/>
    <x v="0"/>
    <n v="0.03"/>
    <n v="0.09"/>
    <n v="0.05"/>
    <n v="0.33"/>
    <n v="0.51"/>
    <n v="0.53"/>
    <n v="0.27"/>
    <n v="0.91"/>
    <n v="0.37"/>
    <n v="0.05"/>
    <x v="2"/>
    <s v="Low Exposure"/>
  </r>
  <r>
    <x v="14"/>
    <x v="783"/>
    <n v="14"/>
    <x v="0"/>
    <n v="0.53"/>
    <n v="0.91"/>
    <x v="62"/>
    <x v="0"/>
    <n v="0.13"/>
    <n v="0.82"/>
    <n v="1"/>
    <n v="0.33"/>
    <n v="0.38"/>
    <n v="0.62"/>
    <n v="0.72"/>
    <n v="0.39"/>
    <n v="0.9"/>
    <n v="0.56000000000000005"/>
    <x v="2"/>
    <s v="Medium Exposure"/>
  </r>
  <r>
    <x v="3"/>
    <x v="784"/>
    <n v="22"/>
    <x v="3"/>
    <n v="0.65"/>
    <n v="1.45"/>
    <x v="69"/>
    <x v="2"/>
    <n v="0.04"/>
    <n v="0.33"/>
    <n v="0.47"/>
    <n v="0.31"/>
    <n v="0.7"/>
    <n v="0.83"/>
    <n v="0.73"/>
    <n v="0.99"/>
    <n v="0.27"/>
    <n v="0.87"/>
    <x v="0"/>
    <s v="Medium Exposure"/>
  </r>
  <r>
    <x v="6"/>
    <x v="785"/>
    <n v="22"/>
    <x v="3"/>
    <n v="0.36"/>
    <n v="1.23"/>
    <x v="55"/>
    <x v="2"/>
    <n v="0.79"/>
    <n v="0.53"/>
    <n v="0.28999999999999998"/>
    <n v="0.66"/>
    <n v="0.64"/>
    <n v="0.21"/>
    <n v="0.03"/>
    <n v="0.43"/>
    <n v="0.56999999999999995"/>
    <n v="0.88"/>
    <x v="0"/>
    <s v="Medium Exposure"/>
  </r>
  <r>
    <x v="5"/>
    <x v="786"/>
    <n v="24"/>
    <x v="3"/>
    <n v="0.53"/>
    <n v="1.25"/>
    <x v="74"/>
    <x v="1"/>
    <n v="0.75"/>
    <n v="0.2"/>
    <n v="0.37"/>
    <n v="0.63"/>
    <n v="0.02"/>
    <n v="0.72"/>
    <n v="0.84"/>
    <n v="0.4"/>
    <n v="0.45"/>
    <n v="0.85"/>
    <x v="0"/>
    <s v="Medium Exposure"/>
  </r>
  <r>
    <x v="19"/>
    <x v="787"/>
    <n v="1"/>
    <x v="0"/>
    <n v="0.28999999999999998"/>
    <n v="0.82"/>
    <x v="64"/>
    <x v="2"/>
    <n v="0.56000000000000005"/>
    <n v="0.16"/>
    <n v="0.31"/>
    <n v="0.9"/>
    <n v="0.69"/>
    <n v="0.99"/>
    <n v="0.77"/>
    <n v="0.94"/>
    <n v="0.22"/>
    <n v="0.77"/>
    <x v="1"/>
    <s v="Low Exposure"/>
  </r>
  <r>
    <x v="6"/>
    <x v="788"/>
    <n v="22"/>
    <x v="0"/>
    <n v="0.67"/>
    <n v="0.97"/>
    <x v="30"/>
    <x v="2"/>
    <n v="0.86"/>
    <n v="0.85"/>
    <n v="0.02"/>
    <n v="0.61"/>
    <n v="0.37"/>
    <n v="0.42"/>
    <n v="0.83"/>
    <n v="0.31"/>
    <n v="0.94"/>
    <n v="0.18"/>
    <x v="0"/>
    <s v="Medium Exposure"/>
  </r>
  <r>
    <x v="14"/>
    <x v="789"/>
    <n v="3"/>
    <x v="0"/>
    <n v="0.67"/>
    <n v="0.75"/>
    <x v="80"/>
    <x v="0"/>
    <n v="0.83"/>
    <n v="0.76"/>
    <n v="0.33"/>
    <n v="0.53"/>
    <n v="0.06"/>
    <n v="0.21"/>
    <n v="0.49"/>
    <n v="0.09"/>
    <n v="0.84"/>
    <n v="0.72"/>
    <x v="1"/>
    <s v="Medium Exposure"/>
  </r>
  <r>
    <x v="16"/>
    <x v="790"/>
    <n v="9"/>
    <x v="2"/>
    <n v="0.56000000000000005"/>
    <n v="1.0900000000000001"/>
    <x v="77"/>
    <x v="0"/>
    <n v="0.28000000000000003"/>
    <n v="0.27"/>
    <n v="0.17"/>
    <n v="0.33"/>
    <n v="0.2"/>
    <n v="0.63"/>
    <n v="0.56999999999999995"/>
    <n v="0.38"/>
    <n v="0.33"/>
    <n v="0.24"/>
    <x v="2"/>
    <s v="Medium Exposure"/>
  </r>
  <r>
    <x v="13"/>
    <x v="791"/>
    <n v="29"/>
    <x v="0"/>
    <n v="0.92"/>
    <n v="1.19"/>
    <x v="3"/>
    <x v="2"/>
    <n v="0.83"/>
    <n v="0.35"/>
    <n v="0.06"/>
    <n v="0.62"/>
    <n v="0.19"/>
    <n v="0.56999999999999995"/>
    <n v="0.74"/>
    <n v="0.78"/>
    <n v="0.3"/>
    <n v="0.51"/>
    <x v="0"/>
    <s v="High Exposure"/>
  </r>
  <r>
    <x v="1"/>
    <x v="792"/>
    <n v="12"/>
    <x v="0"/>
    <n v="0.82"/>
    <n v="1.26"/>
    <x v="85"/>
    <x v="1"/>
    <n v="0.01"/>
    <n v="0.44"/>
    <n v="0.26"/>
    <n v="0.12"/>
    <n v="0.91"/>
    <n v="1"/>
    <n v="0.18"/>
    <n v="0.04"/>
    <n v="0.28000000000000003"/>
    <n v="0.83"/>
    <x v="2"/>
    <s v="High Exposure"/>
  </r>
  <r>
    <x v="10"/>
    <x v="793"/>
    <n v="26"/>
    <x v="0"/>
    <n v="0.06"/>
    <n v="0.55000000000000004"/>
    <x v="25"/>
    <x v="2"/>
    <n v="0.93"/>
    <n v="0.28999999999999998"/>
    <n v="0.43"/>
    <n v="0.1"/>
    <n v="0.49"/>
    <n v="0.7"/>
    <n v="0.27"/>
    <n v="0.3"/>
    <n v="0.84"/>
    <n v="0.01"/>
    <x v="0"/>
    <s v="Low Exposure"/>
  </r>
  <r>
    <x v="3"/>
    <x v="794"/>
    <n v="14"/>
    <x v="1"/>
    <n v="0.39"/>
    <n v="0.8"/>
    <x v="23"/>
    <x v="2"/>
    <n v="0.83"/>
    <n v="0.56000000000000005"/>
    <n v="0.03"/>
    <n v="0.46"/>
    <n v="0.46"/>
    <n v="0.54"/>
    <n v="0.67"/>
    <n v="0.02"/>
    <n v="0.5"/>
    <n v="0.59"/>
    <x v="2"/>
    <s v="Medium Exposure"/>
  </r>
  <r>
    <x v="18"/>
    <x v="795"/>
    <n v="18"/>
    <x v="0"/>
    <n v="0.67"/>
    <n v="0.73"/>
    <x v="61"/>
    <x v="1"/>
    <n v="0.96"/>
    <n v="0.35"/>
    <n v="0.35"/>
    <n v="0.6"/>
    <n v="0.97"/>
    <n v="0.98"/>
    <n v="0.57999999999999996"/>
    <n v="0"/>
    <n v="0.9"/>
    <n v="0.56999999999999995"/>
    <x v="0"/>
    <s v="Medium Exposure"/>
  </r>
  <r>
    <x v="3"/>
    <x v="796"/>
    <n v="26"/>
    <x v="3"/>
    <n v="0.9"/>
    <n v="0.77"/>
    <x v="6"/>
    <x v="2"/>
    <n v="0.3"/>
    <n v="0.61"/>
    <n v="0.44"/>
    <n v="0.73"/>
    <n v="0.89"/>
    <n v="0.67"/>
    <n v="0.2"/>
    <n v="0.93"/>
    <n v="0.26"/>
    <n v="0.15"/>
    <x v="0"/>
    <s v="High Exposure"/>
  </r>
  <r>
    <x v="6"/>
    <x v="797"/>
    <n v="15"/>
    <x v="2"/>
    <n v="0.56000000000000005"/>
    <n v="0.61"/>
    <x v="46"/>
    <x v="2"/>
    <n v="0.3"/>
    <n v="0.28000000000000003"/>
    <n v="0.6"/>
    <n v="0.82"/>
    <n v="0.76"/>
    <n v="0.26"/>
    <n v="0.25"/>
    <n v="0.97"/>
    <n v="0.01"/>
    <n v="0.88"/>
    <x v="2"/>
    <s v="Medium Exposure"/>
  </r>
  <r>
    <x v="11"/>
    <x v="798"/>
    <n v="25"/>
    <x v="0"/>
    <n v="0.95"/>
    <n v="0.84"/>
    <x v="8"/>
    <x v="2"/>
    <n v="0.71"/>
    <n v="0.59"/>
    <n v="0.32"/>
    <n v="0.55000000000000004"/>
    <n v="0.73"/>
    <n v="0.04"/>
    <n v="0.01"/>
    <n v="0.46"/>
    <n v="0.13"/>
    <n v="0.66"/>
    <x v="0"/>
    <s v="High Exposure"/>
  </r>
  <r>
    <x v="17"/>
    <x v="799"/>
    <n v="1"/>
    <x v="1"/>
    <n v="0.43"/>
    <n v="0.7"/>
    <x v="43"/>
    <x v="2"/>
    <n v="0.12"/>
    <n v="0.02"/>
    <n v="0.05"/>
    <n v="0.95"/>
    <n v="0.14000000000000001"/>
    <n v="0.71"/>
    <n v="7.0000000000000007E-2"/>
    <n v="0.11"/>
    <n v="0.51"/>
    <n v="0.46"/>
    <x v="1"/>
    <s v="Medium Exposure"/>
  </r>
  <r>
    <x v="2"/>
    <x v="800"/>
    <n v="26"/>
    <x v="3"/>
    <n v="0.94"/>
    <n v="1.28"/>
    <x v="0"/>
    <x v="0"/>
    <n v="0.45"/>
    <n v="0.36"/>
    <n v="0.95"/>
    <n v="0.6"/>
    <n v="0.57999999999999996"/>
    <n v="0.23"/>
    <n v="0.05"/>
    <n v="0.95"/>
    <n v="0.31"/>
    <n v="0.44"/>
    <x v="0"/>
    <s v="High Exposure"/>
  </r>
  <r>
    <x v="10"/>
    <x v="801"/>
    <n v="16"/>
    <x v="2"/>
    <n v="0.84"/>
    <n v="0.53"/>
    <x v="12"/>
    <x v="2"/>
    <n v="0.14000000000000001"/>
    <n v="0.89"/>
    <n v="0.73"/>
    <n v="0.16"/>
    <n v="0.56999999999999995"/>
    <n v="0.31"/>
    <n v="0.18"/>
    <n v="0.86"/>
    <n v="0.4"/>
    <n v="0.4"/>
    <x v="0"/>
    <s v="High Exposure"/>
  </r>
  <r>
    <x v="4"/>
    <x v="802"/>
    <n v="11"/>
    <x v="2"/>
    <n v="0.38"/>
    <n v="1.37"/>
    <x v="84"/>
    <x v="2"/>
    <n v="0.95"/>
    <n v="0.95"/>
    <n v="0.14000000000000001"/>
    <n v="0.18"/>
    <n v="0.86"/>
    <n v="0.39"/>
    <n v="0"/>
    <n v="0.27"/>
    <n v="0.6"/>
    <n v="0.8"/>
    <x v="2"/>
    <s v="Medium Exposure"/>
  </r>
  <r>
    <x v="14"/>
    <x v="803"/>
    <n v="22"/>
    <x v="0"/>
    <n v="0.11"/>
    <n v="1.42"/>
    <x v="81"/>
    <x v="0"/>
    <n v="0.59"/>
    <n v="0.77"/>
    <n v="0.43"/>
    <n v="0.76"/>
    <n v="0.37"/>
    <n v="0.24"/>
    <n v="0.73"/>
    <n v="0.42"/>
    <n v="0.98"/>
    <n v="0.35"/>
    <x v="0"/>
    <s v="Low Exposure"/>
  </r>
  <r>
    <x v="18"/>
    <x v="804"/>
    <n v="7"/>
    <x v="3"/>
    <n v="0.93"/>
    <n v="0.74"/>
    <x v="88"/>
    <x v="1"/>
    <n v="0.43"/>
    <n v="0.92"/>
    <n v="0.45"/>
    <n v="0.74"/>
    <n v="0.47"/>
    <n v="0.23"/>
    <n v="0.2"/>
    <n v="0.43"/>
    <n v="0.76"/>
    <n v="0.61"/>
    <x v="2"/>
    <s v="High Exposure"/>
  </r>
  <r>
    <x v="14"/>
    <x v="805"/>
    <n v="25"/>
    <x v="0"/>
    <n v="0.28000000000000003"/>
    <n v="0.98"/>
    <x v="76"/>
    <x v="0"/>
    <n v="0.82"/>
    <n v="0.99"/>
    <n v="0.41"/>
    <n v="0.01"/>
    <n v="0.17"/>
    <n v="0.65"/>
    <n v="0.61"/>
    <n v="0.79"/>
    <n v="0.25"/>
    <n v="0.76"/>
    <x v="0"/>
    <s v="Low Exposure"/>
  </r>
  <r>
    <x v="14"/>
    <x v="806"/>
    <n v="22"/>
    <x v="0"/>
    <n v="0.32"/>
    <n v="1.05"/>
    <x v="44"/>
    <x v="0"/>
    <n v="0.45"/>
    <n v="0.88"/>
    <n v="0.42"/>
    <n v="0.84"/>
    <n v="0.59"/>
    <n v="0.19"/>
    <n v="0.57999999999999996"/>
    <n v="0.51"/>
    <n v="0.4"/>
    <n v="0.12"/>
    <x v="0"/>
    <s v="Medium Exposure"/>
  </r>
  <r>
    <x v="19"/>
    <x v="807"/>
    <n v="5"/>
    <x v="2"/>
    <n v="7.0000000000000007E-2"/>
    <n v="0.6"/>
    <x v="25"/>
    <x v="2"/>
    <n v="0.31"/>
    <n v="0.93"/>
    <n v="0.38"/>
    <n v="0.76"/>
    <n v="0.53"/>
    <n v="0.7"/>
    <n v="0.26"/>
    <n v="0.94"/>
    <n v="0.53"/>
    <n v="0.83"/>
    <x v="1"/>
    <s v="Low Exposure"/>
  </r>
  <r>
    <x v="1"/>
    <x v="808"/>
    <n v="7"/>
    <x v="0"/>
    <n v="0.1"/>
    <n v="1.17"/>
    <x v="1"/>
    <x v="1"/>
    <n v="0.48"/>
    <n v="0.19"/>
    <n v="0.63"/>
    <n v="0.98"/>
    <n v="0.46"/>
    <n v="0.82"/>
    <n v="0.51"/>
    <n v="0.5"/>
    <n v="0.93"/>
    <n v="0.89"/>
    <x v="2"/>
    <s v="Low Exposure"/>
  </r>
  <r>
    <x v="9"/>
    <x v="809"/>
    <n v="26"/>
    <x v="3"/>
    <n v="0.12"/>
    <n v="0.8"/>
    <x v="89"/>
    <x v="0"/>
    <n v="0.63"/>
    <n v="0.55000000000000004"/>
    <n v="0.71"/>
    <n v="0.42"/>
    <n v="0.76"/>
    <n v="0.39"/>
    <n v="0.83"/>
    <n v="0.27"/>
    <n v="0.28000000000000003"/>
    <n v="0.52"/>
    <x v="0"/>
    <s v="Low Exposure"/>
  </r>
  <r>
    <x v="18"/>
    <x v="810"/>
    <n v="7"/>
    <x v="0"/>
    <n v="0.65"/>
    <n v="0.86"/>
    <x v="37"/>
    <x v="1"/>
    <n v="0.47"/>
    <n v="0.56000000000000005"/>
    <n v="0.14000000000000001"/>
    <n v="0.56000000000000005"/>
    <n v="0.32"/>
    <n v="0.39"/>
    <n v="0.28000000000000003"/>
    <n v="0.93"/>
    <n v="0.68"/>
    <n v="0.26"/>
    <x v="2"/>
    <s v="Medium Exposure"/>
  </r>
  <r>
    <x v="0"/>
    <x v="811"/>
    <n v="15"/>
    <x v="3"/>
    <n v="0.85"/>
    <n v="0.9"/>
    <x v="32"/>
    <x v="0"/>
    <n v="0.15"/>
    <n v="0.82"/>
    <n v="0.54"/>
    <n v="0.22"/>
    <n v="0.41"/>
    <n v="0.99"/>
    <n v="0.78"/>
    <n v="0.57999999999999996"/>
    <n v="0.12"/>
    <n v="0.42"/>
    <x v="2"/>
    <s v="High Exposure"/>
  </r>
  <r>
    <x v="13"/>
    <x v="812"/>
    <n v="13"/>
    <x v="1"/>
    <n v="7.0000000000000007E-2"/>
    <n v="1.04"/>
    <x v="72"/>
    <x v="2"/>
    <n v="0.68"/>
    <n v="0.25"/>
    <n v="0.56999999999999995"/>
    <n v="0.94"/>
    <n v="0.72"/>
    <n v="0.69"/>
    <n v="0.97"/>
    <n v="0.8"/>
    <n v="0.14000000000000001"/>
    <n v="0.35"/>
    <x v="2"/>
    <s v="Low Exposure"/>
  </r>
  <r>
    <x v="18"/>
    <x v="813"/>
    <n v="28"/>
    <x v="0"/>
    <n v="0.49"/>
    <n v="0.61"/>
    <x v="74"/>
    <x v="1"/>
    <n v="0.7"/>
    <n v="1"/>
    <n v="0.32"/>
    <n v="0.51"/>
    <n v="0.88"/>
    <n v="0.36"/>
    <n v="0.11"/>
    <n v="0.95"/>
    <n v="0.49"/>
    <n v="0.5"/>
    <x v="0"/>
    <s v="Medium Exposure"/>
  </r>
  <r>
    <x v="12"/>
    <x v="814"/>
    <n v="10"/>
    <x v="1"/>
    <n v="0"/>
    <n v="1.43"/>
    <x v="30"/>
    <x v="2"/>
    <n v="0.4"/>
    <n v="0.17"/>
    <n v="0.38"/>
    <n v="0.8"/>
    <n v="0.8"/>
    <n v="0.94"/>
    <n v="0.4"/>
    <n v="0.71"/>
    <n v="0.51"/>
    <n v="0.8"/>
    <x v="2"/>
    <s v="Low Exposure"/>
  </r>
  <r>
    <x v="16"/>
    <x v="639"/>
    <n v="0"/>
    <x v="3"/>
    <n v="0.37"/>
    <n v="0.84"/>
    <x v="39"/>
    <x v="0"/>
    <n v="0.57999999999999996"/>
    <n v="0.96"/>
    <n v="0.2"/>
    <n v="0.1"/>
    <n v="0.12"/>
    <n v="0.78"/>
    <n v="0.35"/>
    <n v="0.22"/>
    <n v="0.35"/>
    <n v="0.65"/>
    <x v="1"/>
    <s v="Medium Exposure"/>
  </r>
  <r>
    <x v="7"/>
    <x v="815"/>
    <n v="19"/>
    <x v="3"/>
    <n v="0.74"/>
    <n v="0.84"/>
    <x v="74"/>
    <x v="1"/>
    <n v="0.1"/>
    <n v="7.0000000000000007E-2"/>
    <n v="0.46"/>
    <n v="0.3"/>
    <n v="0.61"/>
    <n v="0.04"/>
    <n v="0.12"/>
    <n v="0.87"/>
    <n v="0.56999999999999995"/>
    <n v="0.71"/>
    <x v="0"/>
    <s v="High Exposure"/>
  </r>
  <r>
    <x v="2"/>
    <x v="816"/>
    <n v="12"/>
    <x v="2"/>
    <n v="0.46"/>
    <n v="1.26"/>
    <x v="35"/>
    <x v="0"/>
    <n v="0.22"/>
    <n v="0.34"/>
    <n v="0.49"/>
    <n v="0.32"/>
    <n v="0.34"/>
    <n v="0.34"/>
    <n v="0.12"/>
    <n v="0.08"/>
    <n v="0.05"/>
    <n v="0.11"/>
    <x v="2"/>
    <s v="Medium Exposure"/>
  </r>
  <r>
    <x v="0"/>
    <x v="817"/>
    <n v="2"/>
    <x v="0"/>
    <n v="0.59"/>
    <n v="0.69"/>
    <x v="24"/>
    <x v="0"/>
    <n v="0.81"/>
    <n v="0.52"/>
    <n v="0.72"/>
    <n v="0.37"/>
    <n v="0.04"/>
    <n v="0.9"/>
    <n v="0.13"/>
    <n v="0.95"/>
    <n v="0.56999999999999995"/>
    <n v="0.31"/>
    <x v="1"/>
    <s v="Medium Exposure"/>
  </r>
  <r>
    <x v="5"/>
    <x v="818"/>
    <n v="27"/>
    <x v="1"/>
    <n v="0.5"/>
    <n v="0.52"/>
    <x v="41"/>
    <x v="1"/>
    <n v="0.74"/>
    <n v="0.51"/>
    <n v="0.24"/>
    <n v="0.34"/>
    <n v="0.86"/>
    <n v="0.53"/>
    <n v="0.53"/>
    <n v="0.96"/>
    <n v="0.32"/>
    <n v="0.48"/>
    <x v="0"/>
    <s v="Medium Exposure"/>
  </r>
  <r>
    <x v="8"/>
    <x v="819"/>
    <n v="19"/>
    <x v="0"/>
    <n v="0.76"/>
    <n v="0.77"/>
    <x v="46"/>
    <x v="2"/>
    <n v="0.7"/>
    <n v="0.26"/>
    <n v="0.92"/>
    <n v="0.13"/>
    <n v="0.32"/>
    <n v="0.05"/>
    <n v="0.7"/>
    <n v="0.89"/>
    <n v="0.64"/>
    <n v="0.94"/>
    <x v="0"/>
    <s v="High Exposure"/>
  </r>
  <r>
    <x v="4"/>
    <x v="820"/>
    <n v="2"/>
    <x v="2"/>
    <n v="0.09"/>
    <n v="1.34"/>
    <x v="4"/>
    <x v="2"/>
    <n v="0.83"/>
    <n v="0.8"/>
    <n v="0.36"/>
    <n v="0.22"/>
    <n v="0.93"/>
    <n v="0.31"/>
    <n v="0.4"/>
    <n v="0.7"/>
    <n v="0.28999999999999998"/>
    <n v="0.82"/>
    <x v="1"/>
    <s v="Low Exposure"/>
  </r>
  <r>
    <x v="13"/>
    <x v="821"/>
    <n v="3"/>
    <x v="1"/>
    <n v="0.79"/>
    <n v="1.1000000000000001"/>
    <x v="68"/>
    <x v="2"/>
    <n v="0.46"/>
    <n v="0.28000000000000003"/>
    <n v="0.46"/>
    <n v="0.45"/>
    <n v="0.57999999999999996"/>
    <n v="0.28000000000000003"/>
    <n v="0.08"/>
    <n v="0.15"/>
    <n v="0.7"/>
    <n v="0.02"/>
    <x v="1"/>
    <s v="High Exposure"/>
  </r>
  <r>
    <x v="6"/>
    <x v="822"/>
    <n v="24"/>
    <x v="1"/>
    <n v="0.62"/>
    <n v="0.98"/>
    <x v="36"/>
    <x v="2"/>
    <n v="0.99"/>
    <n v="0.82"/>
    <n v="0.43"/>
    <n v="0.73"/>
    <n v="0.27"/>
    <n v="0.1"/>
    <n v="0.35"/>
    <n v="0.4"/>
    <n v="0.02"/>
    <n v="0.81"/>
    <x v="0"/>
    <s v="Medium Exposure"/>
  </r>
  <r>
    <x v="5"/>
    <x v="823"/>
    <n v="18"/>
    <x v="3"/>
    <n v="0.57999999999999996"/>
    <n v="0.56999999999999995"/>
    <x v="63"/>
    <x v="1"/>
    <n v="0.89"/>
    <n v="0.61"/>
    <n v="0.95"/>
    <n v="1"/>
    <n v="0.37"/>
    <n v="0.3"/>
    <n v="0.86"/>
    <n v="1"/>
    <n v="0.63"/>
    <n v="0.8"/>
    <x v="0"/>
    <s v="Medium Exposure"/>
  </r>
  <r>
    <x v="14"/>
    <x v="824"/>
    <n v="27"/>
    <x v="0"/>
    <n v="0.36"/>
    <n v="1.07"/>
    <x v="32"/>
    <x v="0"/>
    <n v="0.69"/>
    <n v="0.02"/>
    <n v="0.34"/>
    <n v="0.14000000000000001"/>
    <n v="0.23"/>
    <n v="0.91"/>
    <n v="0.04"/>
    <n v="0.22"/>
    <n v="0.31"/>
    <n v="0.62"/>
    <x v="0"/>
    <s v="Medium Exposure"/>
  </r>
  <r>
    <x v="1"/>
    <x v="825"/>
    <n v="7"/>
    <x v="3"/>
    <n v="0.22"/>
    <n v="0.66"/>
    <x v="37"/>
    <x v="1"/>
    <n v="0.5"/>
    <n v="0.27"/>
    <n v="0.95"/>
    <n v="0.46"/>
    <n v="0.06"/>
    <n v="0.73"/>
    <n v="0.33"/>
    <n v="0.65"/>
    <n v="0.28000000000000003"/>
    <n v="0.56999999999999995"/>
    <x v="2"/>
    <s v="Low Exposure"/>
  </r>
  <r>
    <x v="11"/>
    <x v="826"/>
    <n v="23"/>
    <x v="1"/>
    <n v="0.93"/>
    <n v="0.76"/>
    <x v="87"/>
    <x v="2"/>
    <n v="0.46"/>
    <n v="0.93"/>
    <n v="0.9"/>
    <n v="0.09"/>
    <n v="0.13"/>
    <n v="0.5"/>
    <n v="0.11"/>
    <n v="0.35"/>
    <n v="0.15"/>
    <n v="0.64"/>
    <x v="0"/>
    <s v="High Exposure"/>
  </r>
  <r>
    <x v="11"/>
    <x v="827"/>
    <n v="3"/>
    <x v="2"/>
    <n v="1"/>
    <n v="0.88"/>
    <x v="22"/>
    <x v="2"/>
    <n v="0.86"/>
    <n v="0.12"/>
    <n v="0.69"/>
    <n v="0.41"/>
    <n v="0.21"/>
    <n v="0.4"/>
    <n v="0.08"/>
    <n v="0.7"/>
    <n v="0.25"/>
    <n v="0.31"/>
    <x v="1"/>
    <s v="High Exposure"/>
  </r>
  <r>
    <x v="12"/>
    <x v="828"/>
    <n v="25"/>
    <x v="0"/>
    <n v="0.86"/>
    <n v="0.99"/>
    <x v="68"/>
    <x v="2"/>
    <n v="0.56999999999999995"/>
    <n v="0.41"/>
    <n v="0.19"/>
    <n v="0.75"/>
    <n v="0.13"/>
    <n v="0.1"/>
    <n v="0.71"/>
    <n v="0.21"/>
    <n v="0.31"/>
    <n v="0.48"/>
    <x v="0"/>
    <s v="High Exposure"/>
  </r>
  <r>
    <x v="0"/>
    <x v="829"/>
    <n v="18"/>
    <x v="1"/>
    <n v="0.71"/>
    <n v="1.1200000000000001"/>
    <x v="83"/>
    <x v="0"/>
    <n v="0.71"/>
    <n v="0.28999999999999998"/>
    <n v="0.32"/>
    <n v="0.44"/>
    <n v="0.31"/>
    <n v="0.98"/>
    <n v="0.81"/>
    <n v="0.16"/>
    <n v="0.01"/>
    <n v="0.04"/>
    <x v="0"/>
    <s v="High Exposure"/>
  </r>
  <r>
    <x v="3"/>
    <x v="830"/>
    <n v="6"/>
    <x v="3"/>
    <n v="0.11"/>
    <n v="1.03"/>
    <x v="4"/>
    <x v="2"/>
    <n v="0.74"/>
    <n v="0.22"/>
    <n v="0.4"/>
    <n v="0.51"/>
    <n v="0.81"/>
    <n v="0.84"/>
    <n v="0.91"/>
    <n v="0.51"/>
    <n v="0.69"/>
    <n v="0.11"/>
    <x v="2"/>
    <s v="Low Exposure"/>
  </r>
  <r>
    <x v="13"/>
    <x v="831"/>
    <n v="10"/>
    <x v="1"/>
    <n v="0.25"/>
    <n v="0.93"/>
    <x v="33"/>
    <x v="2"/>
    <n v="0.26"/>
    <n v="0.05"/>
    <n v="0.01"/>
    <n v="0.02"/>
    <n v="0.01"/>
    <n v="0.11"/>
    <n v="0.24"/>
    <n v="0.22"/>
    <n v="0.99"/>
    <n v="0.31"/>
    <x v="2"/>
    <s v="Low Exposure"/>
  </r>
  <r>
    <x v="1"/>
    <x v="832"/>
    <n v="19"/>
    <x v="1"/>
    <n v="0.55000000000000004"/>
    <n v="1.36"/>
    <x v="29"/>
    <x v="1"/>
    <n v="0.3"/>
    <n v="0.56000000000000005"/>
    <n v="0.71"/>
    <n v="0.73"/>
    <n v="0.67"/>
    <n v="0.87"/>
    <n v="0.87"/>
    <n v="0.57999999999999996"/>
    <n v="0.43"/>
    <n v="0.64"/>
    <x v="0"/>
    <s v="Medium Exposure"/>
  </r>
  <r>
    <x v="12"/>
    <x v="833"/>
    <n v="16"/>
    <x v="1"/>
    <n v="0.01"/>
    <n v="1.49"/>
    <x v="49"/>
    <x v="2"/>
    <n v="0.47"/>
    <n v="0.87"/>
    <n v="0.23"/>
    <n v="0.48"/>
    <n v="0.13"/>
    <n v="0.4"/>
    <n v="0.18"/>
    <n v="0.36"/>
    <n v="0.37"/>
    <n v="0.99"/>
    <x v="0"/>
    <s v="Low Exposure"/>
  </r>
  <r>
    <x v="13"/>
    <x v="834"/>
    <n v="5"/>
    <x v="3"/>
    <n v="0.11"/>
    <n v="1.23"/>
    <x v="86"/>
    <x v="2"/>
    <n v="0.03"/>
    <n v="0.11"/>
    <n v="0.97"/>
    <n v="0.94"/>
    <n v="0.19"/>
    <n v="0.16"/>
    <n v="0.24"/>
    <n v="0.52"/>
    <n v="0.56999999999999995"/>
    <n v="0.22"/>
    <x v="1"/>
    <s v="Low Exposure"/>
  </r>
  <r>
    <x v="10"/>
    <x v="835"/>
    <n v="15"/>
    <x v="0"/>
    <n v="0.31"/>
    <n v="1.42"/>
    <x v="23"/>
    <x v="2"/>
    <n v="0.44"/>
    <n v="0.79"/>
    <n v="0.82"/>
    <n v="0.28999999999999998"/>
    <n v="0.34"/>
    <n v="0.94"/>
    <n v="0.16"/>
    <n v="0.04"/>
    <n v="0.45"/>
    <n v="0.8"/>
    <x v="2"/>
    <s v="Medium Exposure"/>
  </r>
  <r>
    <x v="8"/>
    <x v="836"/>
    <n v="17"/>
    <x v="1"/>
    <n v="0.92"/>
    <n v="1.03"/>
    <x v="55"/>
    <x v="2"/>
    <n v="0.59"/>
    <n v="0.78"/>
    <n v="0.09"/>
    <n v="0.17"/>
    <n v="0.01"/>
    <n v="0.59"/>
    <n v="0.89"/>
    <n v="0.67"/>
    <n v="0.98"/>
    <n v="0.06"/>
    <x v="0"/>
    <s v="High Exposure"/>
  </r>
  <r>
    <x v="4"/>
    <x v="837"/>
    <n v="14"/>
    <x v="3"/>
    <n v="0.81"/>
    <n v="0.81"/>
    <x v="66"/>
    <x v="2"/>
    <n v="0.28999999999999998"/>
    <n v="0.89"/>
    <n v="0.88"/>
    <n v="0.76"/>
    <n v="0.56000000000000005"/>
    <n v="0.12"/>
    <n v="0.53"/>
    <n v="0.36"/>
    <n v="0.79"/>
    <n v="0.76"/>
    <x v="2"/>
    <s v="High Exposure"/>
  </r>
  <r>
    <x v="15"/>
    <x v="838"/>
    <n v="24"/>
    <x v="0"/>
    <n v="0.71"/>
    <n v="0.98"/>
    <x v="42"/>
    <x v="1"/>
    <n v="0.99"/>
    <n v="0.6"/>
    <n v="0.79"/>
    <n v="0.73"/>
    <n v="0.7"/>
    <n v="0.72"/>
    <n v="0.45"/>
    <n v="0.47"/>
    <n v="0.47"/>
    <n v="0.03"/>
    <x v="0"/>
    <s v="High Exposure"/>
  </r>
  <r>
    <x v="12"/>
    <x v="839"/>
    <n v="11"/>
    <x v="0"/>
    <n v="0.15"/>
    <n v="1.39"/>
    <x v="6"/>
    <x v="2"/>
    <n v="0.14000000000000001"/>
    <n v="0.12"/>
    <n v="0.7"/>
    <n v="0.01"/>
    <n v="0.47"/>
    <n v="0.12"/>
    <n v="0.85"/>
    <n v="0.96"/>
    <n v="0.96"/>
    <n v="0.44"/>
    <x v="2"/>
    <s v="Low Exposure"/>
  </r>
  <r>
    <x v="7"/>
    <x v="840"/>
    <n v="1"/>
    <x v="2"/>
    <n v="0.6"/>
    <n v="0.85"/>
    <x v="74"/>
    <x v="1"/>
    <n v="0.06"/>
    <n v="0.8"/>
    <n v="0.24"/>
    <n v="0.46"/>
    <n v="0.48"/>
    <n v="0.56000000000000005"/>
    <n v="0.82"/>
    <n v="0.69"/>
    <n v="0.66"/>
    <n v="0.53"/>
    <x v="1"/>
    <s v="Medium Exposure"/>
  </r>
  <r>
    <x v="3"/>
    <x v="841"/>
    <n v="11"/>
    <x v="0"/>
    <n v="0.4"/>
    <n v="1.46"/>
    <x v="58"/>
    <x v="2"/>
    <n v="0.73"/>
    <n v="0.23"/>
    <n v="0.1"/>
    <n v="0.41"/>
    <n v="0.86"/>
    <n v="0.72"/>
    <n v="0.88"/>
    <n v="0.62"/>
    <n v="0.13"/>
    <n v="0.11"/>
    <x v="2"/>
    <s v="Medium Exposure"/>
  </r>
  <r>
    <x v="3"/>
    <x v="842"/>
    <n v="11"/>
    <x v="1"/>
    <n v="0.24"/>
    <n v="1.23"/>
    <x v="64"/>
    <x v="2"/>
    <n v="0.32"/>
    <n v="0.18"/>
    <n v="0.1"/>
    <n v="0.74"/>
    <n v="0.45"/>
    <n v="0.32"/>
    <n v="0.86"/>
    <n v="0.59"/>
    <n v="0.52"/>
    <n v="0.74"/>
    <x v="2"/>
    <s v="Low Exposure"/>
  </r>
  <r>
    <x v="17"/>
    <x v="843"/>
    <n v="23"/>
    <x v="0"/>
    <n v="0.69"/>
    <n v="0.94"/>
    <x v="84"/>
    <x v="2"/>
    <n v="0.77"/>
    <n v="0.52"/>
    <n v="0.7"/>
    <n v="0.89"/>
    <n v="0.92"/>
    <n v="0.28000000000000003"/>
    <n v="0.19"/>
    <n v="0.26"/>
    <n v="0.75"/>
    <n v="0.37"/>
    <x v="0"/>
    <s v="Medium Exposure"/>
  </r>
  <r>
    <x v="19"/>
    <x v="844"/>
    <n v="7"/>
    <x v="1"/>
    <n v="0.1"/>
    <n v="0.83"/>
    <x v="53"/>
    <x v="2"/>
    <n v="0.16"/>
    <n v="0.68"/>
    <n v="0.02"/>
    <n v="0.12"/>
    <n v="0.84"/>
    <n v="0.84"/>
    <n v="0.33"/>
    <n v="0.09"/>
    <n v="0.7"/>
    <n v="0.36"/>
    <x v="2"/>
    <s v="Low Exposure"/>
  </r>
  <r>
    <x v="3"/>
    <x v="845"/>
    <n v="26"/>
    <x v="0"/>
    <n v="0.16"/>
    <n v="0.64"/>
    <x v="22"/>
    <x v="2"/>
    <n v="0.9"/>
    <n v="0.79"/>
    <n v="0.55000000000000004"/>
    <n v="0.42"/>
    <n v="0.62"/>
    <n v="0.44"/>
    <n v="0.25"/>
    <n v="0.68"/>
    <n v="0.87"/>
    <n v="0.37"/>
    <x v="0"/>
    <s v="Low Exposure"/>
  </r>
  <r>
    <x v="5"/>
    <x v="846"/>
    <n v="10"/>
    <x v="2"/>
    <n v="0.43"/>
    <n v="0.9"/>
    <x v="19"/>
    <x v="1"/>
    <n v="0.7"/>
    <n v="0.81"/>
    <n v="0.66"/>
    <n v="0.15"/>
    <n v="0.1"/>
    <n v="0.56999999999999995"/>
    <n v="0.4"/>
    <n v="0.43"/>
    <n v="0.97"/>
    <n v="0.72"/>
    <x v="2"/>
    <s v="Medium Exposure"/>
  </r>
  <r>
    <x v="10"/>
    <x v="847"/>
    <n v="6"/>
    <x v="0"/>
    <n v="0.02"/>
    <n v="0.53"/>
    <x v="64"/>
    <x v="2"/>
    <n v="0.84"/>
    <n v="0.71"/>
    <n v="0.41"/>
    <n v="0.03"/>
    <n v="0.97"/>
    <n v="0.99"/>
    <n v="0.55000000000000004"/>
    <n v="7.0000000000000007E-2"/>
    <n v="0.54"/>
    <n v="0.89"/>
    <x v="2"/>
    <s v="Low Exposure"/>
  </r>
  <r>
    <x v="5"/>
    <x v="848"/>
    <n v="4"/>
    <x v="2"/>
    <n v="0.72"/>
    <n v="0.57999999999999996"/>
    <x v="47"/>
    <x v="1"/>
    <n v="0.13"/>
    <n v="0.9"/>
    <n v="0.53"/>
    <n v="0.79"/>
    <n v="0.12"/>
    <n v="0.93"/>
    <n v="0.82"/>
    <n v="0.22"/>
    <n v="0.87"/>
    <n v="0.26"/>
    <x v="1"/>
    <s v="High Exposure"/>
  </r>
  <r>
    <x v="9"/>
    <x v="849"/>
    <n v="22"/>
    <x v="3"/>
    <n v="0.84"/>
    <n v="0.67"/>
    <x v="28"/>
    <x v="0"/>
    <n v="0.4"/>
    <n v="0.57999999999999996"/>
    <n v="0.85"/>
    <n v="0.97"/>
    <n v="0.44"/>
    <n v="0.06"/>
    <n v="0.75"/>
    <n v="0.56999999999999995"/>
    <n v="0.45"/>
    <n v="0.31"/>
    <x v="0"/>
    <s v="High Exposure"/>
  </r>
  <r>
    <x v="15"/>
    <x v="850"/>
    <n v="0"/>
    <x v="0"/>
    <n v="0.34"/>
    <n v="1.26"/>
    <x v="27"/>
    <x v="1"/>
    <n v="0.88"/>
    <n v="0.54"/>
    <n v="0.24"/>
    <n v="0.85"/>
    <n v="0.56000000000000005"/>
    <n v="0.21"/>
    <n v="0.62"/>
    <n v="0.36"/>
    <n v="0.84"/>
    <n v="0.45"/>
    <x v="1"/>
    <s v="Medium Exposure"/>
  </r>
  <r>
    <x v="19"/>
    <x v="851"/>
    <n v="13"/>
    <x v="1"/>
    <n v="0.1"/>
    <n v="0.9"/>
    <x v="66"/>
    <x v="2"/>
    <n v="0.81"/>
    <n v="0.16"/>
    <n v="0.28000000000000003"/>
    <n v="0.33"/>
    <n v="0.65"/>
    <n v="0.76"/>
    <n v="0.75"/>
    <n v="0.51"/>
    <n v="0.81"/>
    <n v="0.44"/>
    <x v="2"/>
    <s v="Low Exposure"/>
  </r>
  <r>
    <x v="16"/>
    <x v="852"/>
    <n v="26"/>
    <x v="1"/>
    <n v="0.56000000000000005"/>
    <n v="1.45"/>
    <x v="40"/>
    <x v="0"/>
    <n v="0.57999999999999996"/>
    <n v="0.65"/>
    <n v="0.93"/>
    <n v="0.43"/>
    <n v="0.33"/>
    <n v="0.98"/>
    <n v="0.86"/>
    <n v="0.32"/>
    <n v="0.46"/>
    <n v="0.42"/>
    <x v="0"/>
    <s v="Medium Exposure"/>
  </r>
  <r>
    <x v="13"/>
    <x v="853"/>
    <n v="6"/>
    <x v="0"/>
    <n v="0.96"/>
    <n v="0.9"/>
    <x v="38"/>
    <x v="2"/>
    <n v="0.19"/>
    <n v="0.55000000000000004"/>
    <n v="0.02"/>
    <n v="0.76"/>
    <n v="0.57999999999999996"/>
    <n v="0.63"/>
    <n v="0.05"/>
    <n v="0.21"/>
    <n v="7.0000000000000007E-2"/>
    <n v="0.28999999999999998"/>
    <x v="2"/>
    <s v="High Exposure"/>
  </r>
  <r>
    <x v="2"/>
    <x v="854"/>
    <n v="20"/>
    <x v="3"/>
    <n v="0.44"/>
    <n v="0.75"/>
    <x v="81"/>
    <x v="0"/>
    <n v="0.63"/>
    <n v="0.77"/>
    <n v="0.32"/>
    <n v="0.74"/>
    <n v="0.86"/>
    <n v="0.35"/>
    <n v="0.34"/>
    <n v="0.9"/>
    <n v="0.05"/>
    <n v="0.35"/>
    <x v="0"/>
    <s v="Medium Exposure"/>
  </r>
  <r>
    <x v="1"/>
    <x v="855"/>
    <n v="27"/>
    <x v="3"/>
    <n v="0.03"/>
    <n v="0.61"/>
    <x v="74"/>
    <x v="1"/>
    <n v="0.69"/>
    <n v="0.28999999999999998"/>
    <n v="0.85"/>
    <n v="0.44"/>
    <n v="0.97"/>
    <n v="0.95"/>
    <n v="0.77"/>
    <n v="0.93"/>
    <n v="0.71"/>
    <n v="0.9"/>
    <x v="0"/>
    <s v="Low Exposure"/>
  </r>
  <r>
    <x v="5"/>
    <x v="856"/>
    <n v="12"/>
    <x v="3"/>
    <n v="0.35"/>
    <n v="1.25"/>
    <x v="74"/>
    <x v="1"/>
    <n v="0.84"/>
    <n v="0.88"/>
    <n v="0.3"/>
    <n v="0.82"/>
    <n v="0.15"/>
    <n v="0.33"/>
    <n v="0.52"/>
    <n v="0.23"/>
    <n v="0.57999999999999996"/>
    <n v="0.57999999999999996"/>
    <x v="2"/>
    <s v="Medium Exposure"/>
  </r>
  <r>
    <x v="3"/>
    <x v="857"/>
    <n v="23"/>
    <x v="3"/>
    <n v="0.8"/>
    <n v="1.1299999999999999"/>
    <x v="87"/>
    <x v="2"/>
    <n v="0.23"/>
    <n v="0.88"/>
    <n v="0.84"/>
    <n v="0.23"/>
    <n v="0.04"/>
    <n v="0.8"/>
    <n v="0.62"/>
    <n v="0.1"/>
    <n v="0.59"/>
    <n v="0.45"/>
    <x v="0"/>
    <s v="High Exposure"/>
  </r>
  <r>
    <x v="5"/>
    <x v="858"/>
    <n v="20"/>
    <x v="1"/>
    <n v="0.21"/>
    <n v="0.95"/>
    <x v="63"/>
    <x v="1"/>
    <n v="0.96"/>
    <n v="0.78"/>
    <n v="0.74"/>
    <n v="0.69"/>
    <n v="0.42"/>
    <n v="0.92"/>
    <n v="7.0000000000000007E-2"/>
    <n v="0.8"/>
    <n v="0.22"/>
    <n v="0.32"/>
    <x v="0"/>
    <s v="Low Exposure"/>
  </r>
  <r>
    <x v="16"/>
    <x v="859"/>
    <n v="6"/>
    <x v="3"/>
    <n v="0.78"/>
    <n v="1.34"/>
    <x v="0"/>
    <x v="0"/>
    <n v="0.4"/>
    <n v="0.95"/>
    <n v="0.25"/>
    <n v="0.8"/>
    <n v="0.61"/>
    <n v="0.38"/>
    <n v="0"/>
    <n v="0.45"/>
    <n v="0.28000000000000003"/>
    <n v="0.1"/>
    <x v="2"/>
    <s v="High Exposure"/>
  </r>
  <r>
    <x v="7"/>
    <x v="860"/>
    <n v="23"/>
    <x v="3"/>
    <n v="0.35"/>
    <n v="1.1100000000000001"/>
    <x v="75"/>
    <x v="1"/>
    <n v="0.18"/>
    <n v="0.42"/>
    <n v="0.39"/>
    <n v="0.51"/>
    <n v="0.81"/>
    <n v="0.55000000000000004"/>
    <n v="0.85"/>
    <n v="0.52"/>
    <n v="0.6"/>
    <n v="0.44"/>
    <x v="0"/>
    <s v="Medium Exposure"/>
  </r>
  <r>
    <x v="11"/>
    <x v="861"/>
    <n v="18"/>
    <x v="3"/>
    <n v="0.92"/>
    <n v="1.1399999999999999"/>
    <x v="12"/>
    <x v="2"/>
    <n v="0.06"/>
    <n v="0.91"/>
    <n v="0.19"/>
    <n v="0.26"/>
    <n v="0.05"/>
    <n v="0.97"/>
    <n v="0.85"/>
    <n v="0.91"/>
    <n v="0.85"/>
    <n v="0.48"/>
    <x v="0"/>
    <s v="High Exposure"/>
  </r>
  <r>
    <x v="0"/>
    <x v="862"/>
    <n v="25"/>
    <x v="2"/>
    <n v="0.97"/>
    <n v="1"/>
    <x v="44"/>
    <x v="0"/>
    <n v="0.66"/>
    <n v="0.98"/>
    <n v="0.87"/>
    <n v="0.86"/>
    <n v="0.93"/>
    <n v="0.89"/>
    <n v="0.78"/>
    <n v="0.72"/>
    <n v="0.26"/>
    <n v="0.62"/>
    <x v="0"/>
    <s v="High Exposure"/>
  </r>
  <r>
    <x v="18"/>
    <x v="863"/>
    <n v="18"/>
    <x v="3"/>
    <n v="0.86"/>
    <n v="0.99"/>
    <x v="47"/>
    <x v="1"/>
    <n v="0"/>
    <n v="0.68"/>
    <n v="0.55000000000000004"/>
    <n v="0.33"/>
    <n v="0.17"/>
    <n v="0.47"/>
    <n v="0.1"/>
    <n v="0.34"/>
    <n v="0.38"/>
    <n v="0.47"/>
    <x v="0"/>
    <s v="High Exposure"/>
  </r>
  <r>
    <x v="5"/>
    <x v="864"/>
    <n v="16"/>
    <x v="0"/>
    <n v="0.26"/>
    <n v="1.35"/>
    <x v="41"/>
    <x v="1"/>
    <n v="0.23"/>
    <n v="0.18"/>
    <n v="0.32"/>
    <n v="7.0000000000000007E-2"/>
    <n v="0.03"/>
    <n v="0.61"/>
    <n v="0.62"/>
    <n v="0.53"/>
    <n v="0.76"/>
    <n v="0.04"/>
    <x v="0"/>
    <s v="Low Exposure"/>
  </r>
  <r>
    <x v="17"/>
    <x v="865"/>
    <n v="15"/>
    <x v="0"/>
    <n v="0.86"/>
    <n v="1.43"/>
    <x v="55"/>
    <x v="2"/>
    <n v="0.11"/>
    <n v="0.03"/>
    <n v="0.1"/>
    <n v="0.21"/>
    <n v="0.97"/>
    <n v="0.67"/>
    <n v="0.78"/>
    <n v="0.78"/>
    <n v="0.54"/>
    <n v="0.8"/>
    <x v="2"/>
    <s v="High Exposure"/>
  </r>
  <r>
    <x v="2"/>
    <x v="866"/>
    <n v="21"/>
    <x v="3"/>
    <n v="0.31"/>
    <n v="1.06"/>
    <x v="35"/>
    <x v="0"/>
    <n v="0.82"/>
    <n v="0.98"/>
    <n v="0.41"/>
    <n v="0.76"/>
    <n v="0.1"/>
    <n v="0.78"/>
    <n v="0.37"/>
    <n v="0.04"/>
    <n v="0.36"/>
    <n v="0.61"/>
    <x v="0"/>
    <s v="Medium Exposure"/>
  </r>
  <r>
    <x v="3"/>
    <x v="867"/>
    <n v="21"/>
    <x v="3"/>
    <n v="0.92"/>
    <n v="0.57999999999999996"/>
    <x v="79"/>
    <x v="2"/>
    <n v="0.71"/>
    <n v="0.33"/>
    <n v="0.39"/>
    <n v="0.74"/>
    <n v="0.6"/>
    <n v="0.67"/>
    <n v="0.39"/>
    <n v="0.49"/>
    <n v="0.99"/>
    <n v="0.21"/>
    <x v="0"/>
    <s v="High Exposure"/>
  </r>
  <r>
    <x v="14"/>
    <x v="868"/>
    <n v="27"/>
    <x v="2"/>
    <n v="0.28999999999999998"/>
    <n v="1.27"/>
    <x v="81"/>
    <x v="0"/>
    <n v="0.28999999999999998"/>
    <n v="0.08"/>
    <n v="0.01"/>
    <n v="0.43"/>
    <n v="0.41"/>
    <n v="0.99"/>
    <n v="0.47"/>
    <n v="0.26"/>
    <n v="0.89"/>
    <n v="0.49"/>
    <x v="0"/>
    <s v="Low Exposure"/>
  </r>
  <r>
    <x v="9"/>
    <x v="869"/>
    <n v="18"/>
    <x v="0"/>
    <n v="0.1"/>
    <n v="0.88"/>
    <x v="89"/>
    <x v="0"/>
    <n v="0.59"/>
    <n v="0.34"/>
    <n v="0.63"/>
    <n v="0.91"/>
    <n v="0.27"/>
    <n v="0.51"/>
    <n v="0.96"/>
    <n v="0.17"/>
    <n v="0.72"/>
    <n v="0.61"/>
    <x v="0"/>
    <s v="Low Exposure"/>
  </r>
  <r>
    <x v="2"/>
    <x v="870"/>
    <n v="6"/>
    <x v="0"/>
    <n v="0.35"/>
    <n v="0.81"/>
    <x v="59"/>
    <x v="0"/>
    <n v="0.22"/>
    <n v="0.42"/>
    <n v="0.19"/>
    <n v="0.01"/>
    <n v="0.97"/>
    <n v="0.43"/>
    <n v="0.97"/>
    <n v="0.14000000000000001"/>
    <n v="0.59"/>
    <n v="0.2"/>
    <x v="2"/>
    <s v="Medium Exposure"/>
  </r>
  <r>
    <x v="0"/>
    <x v="871"/>
    <n v="29"/>
    <x v="0"/>
    <n v="0.57999999999999996"/>
    <n v="1.2"/>
    <x v="83"/>
    <x v="0"/>
    <n v="0.05"/>
    <n v="0.1"/>
    <n v="0.13"/>
    <n v="0.09"/>
    <n v="0.18"/>
    <n v="0.69"/>
    <n v="0.83"/>
    <n v="0.41"/>
    <n v="0.69"/>
    <n v="0.2"/>
    <x v="0"/>
    <s v="Medium Exposure"/>
  </r>
  <r>
    <x v="2"/>
    <x v="872"/>
    <n v="24"/>
    <x v="2"/>
    <n v="0.35"/>
    <n v="1.35"/>
    <x v="89"/>
    <x v="0"/>
    <n v="0.86"/>
    <n v="7.0000000000000007E-2"/>
    <n v="0.65"/>
    <n v="0.12"/>
    <n v="0.01"/>
    <n v="0.05"/>
    <n v="0.92"/>
    <n v="0.91"/>
    <n v="0.23"/>
    <n v="0.55000000000000004"/>
    <x v="0"/>
    <s v="Medium Exposure"/>
  </r>
  <r>
    <x v="15"/>
    <x v="873"/>
    <n v="6"/>
    <x v="3"/>
    <n v="0.5"/>
    <n v="0.89"/>
    <x v="7"/>
    <x v="1"/>
    <n v="0.79"/>
    <n v="0.48"/>
    <n v="0.78"/>
    <n v="0.43"/>
    <n v="0.25"/>
    <n v="0.33"/>
    <n v="0.08"/>
    <n v="0.5"/>
    <n v="0.15"/>
    <n v="0.81"/>
    <x v="2"/>
    <s v="Medium Exposure"/>
  </r>
  <r>
    <x v="11"/>
    <x v="874"/>
    <n v="12"/>
    <x v="0"/>
    <n v="0.77"/>
    <n v="1.45"/>
    <x v="4"/>
    <x v="2"/>
    <n v="0.95"/>
    <n v="0.56999999999999995"/>
    <n v="0.17"/>
    <n v="0.94"/>
    <n v="0.87"/>
    <n v="0.86"/>
    <n v="0.69"/>
    <n v="0.62"/>
    <n v="0.01"/>
    <n v="0.75"/>
    <x v="2"/>
    <s v="High Exposure"/>
  </r>
  <r>
    <x v="11"/>
    <x v="875"/>
    <n v="27"/>
    <x v="2"/>
    <n v="0.26"/>
    <n v="1.05"/>
    <x v="8"/>
    <x v="2"/>
    <n v="0.02"/>
    <n v="0.82"/>
    <n v="0.88"/>
    <n v="0.68"/>
    <n v="0.54"/>
    <n v="0.96"/>
    <n v="0.12"/>
    <n v="0.74"/>
    <n v="0.13"/>
    <n v="0.38"/>
    <x v="0"/>
    <s v="Low Exposure"/>
  </r>
  <r>
    <x v="5"/>
    <x v="876"/>
    <n v="14"/>
    <x v="2"/>
    <n v="0.74"/>
    <n v="0.5"/>
    <x v="54"/>
    <x v="1"/>
    <n v="0.54"/>
    <n v="0.53"/>
    <n v="0.64"/>
    <n v="0.3"/>
    <n v="0.54"/>
    <n v="0.19"/>
    <n v="0.19"/>
    <n v="0.57999999999999996"/>
    <n v="0.69"/>
    <n v="0.12"/>
    <x v="2"/>
    <s v="High Exposure"/>
  </r>
  <r>
    <x v="8"/>
    <x v="877"/>
    <n v="11"/>
    <x v="3"/>
    <n v="0.56999999999999995"/>
    <n v="0.77"/>
    <x v="36"/>
    <x v="2"/>
    <n v="0.4"/>
    <n v="0.18"/>
    <n v="0"/>
    <n v="0.85"/>
    <n v="0.72"/>
    <n v="0.69"/>
    <n v="0.55000000000000004"/>
    <n v="0.7"/>
    <n v="0.94"/>
    <n v="0.67"/>
    <x v="2"/>
    <s v="Medium Exposure"/>
  </r>
  <r>
    <x v="8"/>
    <x v="878"/>
    <n v="26"/>
    <x v="2"/>
    <n v="0.56999999999999995"/>
    <n v="0.94"/>
    <x v="43"/>
    <x v="2"/>
    <n v="0.52"/>
    <n v="0.86"/>
    <n v="0.65"/>
    <n v="0.19"/>
    <n v="0.06"/>
    <n v="0.42"/>
    <n v="0.02"/>
    <n v="0.32"/>
    <n v="0.37"/>
    <n v="0.38"/>
    <x v="0"/>
    <s v="Medium Exposure"/>
  </r>
  <r>
    <x v="12"/>
    <x v="879"/>
    <n v="17"/>
    <x v="1"/>
    <n v="0.3"/>
    <n v="0.77"/>
    <x v="53"/>
    <x v="2"/>
    <n v="0.51"/>
    <n v="0.15"/>
    <n v="0.62"/>
    <n v="0.16"/>
    <n v="0.57999999999999996"/>
    <n v="0.83"/>
    <n v="0.04"/>
    <n v="0.42"/>
    <n v="0.46"/>
    <n v="0.79"/>
    <x v="0"/>
    <s v="Medium Exposure"/>
  </r>
  <r>
    <x v="15"/>
    <x v="880"/>
    <n v="21"/>
    <x v="1"/>
    <n v="0.56999999999999995"/>
    <n v="1.29"/>
    <x v="27"/>
    <x v="1"/>
    <n v="0.36"/>
    <n v="0.09"/>
    <n v="0.73"/>
    <n v="0.87"/>
    <n v="0.97"/>
    <n v="0.93"/>
    <n v="0.8"/>
    <n v="0.64"/>
    <n v="0.78"/>
    <n v="0.43"/>
    <x v="0"/>
    <s v="Medium Exposure"/>
  </r>
  <r>
    <x v="5"/>
    <x v="881"/>
    <n v="21"/>
    <x v="3"/>
    <n v="0.35"/>
    <n v="0.83"/>
    <x v="52"/>
    <x v="1"/>
    <n v="0.45"/>
    <n v="0.21"/>
    <n v="0.2"/>
    <n v="0.86"/>
    <n v="0.68"/>
    <n v="0.55000000000000004"/>
    <n v="0.4"/>
    <n v="0.43"/>
    <n v="0.06"/>
    <n v="0.45"/>
    <x v="0"/>
    <s v="Medium Exposure"/>
  </r>
  <r>
    <x v="18"/>
    <x v="882"/>
    <n v="17"/>
    <x v="3"/>
    <n v="0.39"/>
    <n v="0.88"/>
    <x v="1"/>
    <x v="1"/>
    <n v="0.46"/>
    <n v="0.03"/>
    <n v="0.56999999999999995"/>
    <n v="0.51"/>
    <n v="0.84"/>
    <n v="0.57999999999999996"/>
    <n v="0.32"/>
    <n v="0.52"/>
    <n v="0.7"/>
    <n v="0.09"/>
    <x v="0"/>
    <s v="Medium Exposure"/>
  </r>
  <r>
    <x v="12"/>
    <x v="883"/>
    <n v="22"/>
    <x v="1"/>
    <n v="0.92"/>
    <n v="0.8"/>
    <x v="33"/>
    <x v="2"/>
    <n v="0.82"/>
    <n v="0.51"/>
    <n v="0.72"/>
    <n v="0.31"/>
    <n v="0.31"/>
    <n v="0.67"/>
    <n v="0.71"/>
    <n v="0.94"/>
    <n v="0.22"/>
    <n v="0.47"/>
    <x v="0"/>
    <s v="High Exposure"/>
  </r>
  <r>
    <x v="5"/>
    <x v="884"/>
    <n v="12"/>
    <x v="3"/>
    <n v="0.08"/>
    <n v="0.9"/>
    <x v="41"/>
    <x v="1"/>
    <n v="0.27"/>
    <n v="0.3"/>
    <n v="0.36"/>
    <n v="0.99"/>
    <n v="0.78"/>
    <n v="7.0000000000000007E-2"/>
    <n v="0.87"/>
    <n v="0.63"/>
    <n v="0.89"/>
    <n v="0.34"/>
    <x v="2"/>
    <s v="Low Exposure"/>
  </r>
  <r>
    <x v="11"/>
    <x v="885"/>
    <n v="18"/>
    <x v="3"/>
    <n v="0.9"/>
    <n v="0.77"/>
    <x v="79"/>
    <x v="2"/>
    <n v="0.83"/>
    <n v="0.98"/>
    <n v="0.32"/>
    <n v="0.24"/>
    <n v="0.33"/>
    <n v="0.95"/>
    <n v="0.33"/>
    <n v="0.56999999999999995"/>
    <n v="0.4"/>
    <n v="0.4"/>
    <x v="0"/>
    <s v="High Exposure"/>
  </r>
  <r>
    <x v="5"/>
    <x v="886"/>
    <n v="20"/>
    <x v="3"/>
    <n v="0.54"/>
    <n v="1.35"/>
    <x v="19"/>
    <x v="1"/>
    <n v="0.89"/>
    <n v="0.67"/>
    <n v="0.62"/>
    <n v="0.63"/>
    <n v="0.3"/>
    <n v="0.42"/>
    <n v="0.8"/>
    <n v="0.31"/>
    <n v="0.47"/>
    <n v="0.02"/>
    <x v="0"/>
    <s v="Medium Exposure"/>
  </r>
  <r>
    <x v="5"/>
    <x v="887"/>
    <n v="7"/>
    <x v="3"/>
    <n v="0.42"/>
    <n v="1.03"/>
    <x v="47"/>
    <x v="1"/>
    <n v="0.99"/>
    <n v="0.3"/>
    <n v="0.63"/>
    <n v="0.57999999999999996"/>
    <n v="0.79"/>
    <n v="0.28999999999999998"/>
    <n v="0.76"/>
    <n v="0.38"/>
    <n v="0.41"/>
    <n v="0.67"/>
    <x v="2"/>
    <s v="Medium Exposure"/>
  </r>
  <r>
    <x v="0"/>
    <x v="888"/>
    <n v="27"/>
    <x v="2"/>
    <n v="0.67"/>
    <n v="1.4"/>
    <x v="62"/>
    <x v="0"/>
    <n v="0.9"/>
    <n v="0.13"/>
    <n v="0.66"/>
    <n v="0.55000000000000004"/>
    <n v="0.49"/>
    <n v="0.31"/>
    <n v="0.5"/>
    <n v="0.16"/>
    <n v="0.37"/>
    <n v="0.1"/>
    <x v="0"/>
    <s v="Medium Exposure"/>
  </r>
  <r>
    <x v="8"/>
    <x v="889"/>
    <n v="18"/>
    <x v="2"/>
    <n v="0.1"/>
    <n v="0.66"/>
    <x v="20"/>
    <x v="2"/>
    <n v="0.38"/>
    <n v="0.84"/>
    <n v="0.91"/>
    <n v="7.0000000000000007E-2"/>
    <n v="0.63"/>
    <n v="0.68"/>
    <n v="0.53"/>
    <n v="0.67"/>
    <n v="0.23"/>
    <n v="0.49"/>
    <x v="0"/>
    <s v="Low Exposure"/>
  </r>
  <r>
    <x v="14"/>
    <x v="890"/>
    <n v="28"/>
    <x v="1"/>
    <n v="0.09"/>
    <n v="1.1299999999999999"/>
    <x v="90"/>
    <x v="0"/>
    <n v="0.28000000000000003"/>
    <n v="0.47"/>
    <n v="0.78"/>
    <n v="0.8"/>
    <n v="0.65"/>
    <n v="0.47"/>
    <n v="0.57999999999999996"/>
    <n v="0.39"/>
    <n v="0.13"/>
    <n v="0.39"/>
    <x v="0"/>
    <s v="Low Exposure"/>
  </r>
  <r>
    <x v="5"/>
    <x v="891"/>
    <n v="16"/>
    <x v="3"/>
    <n v="0.9"/>
    <n v="1.37"/>
    <x v="15"/>
    <x v="1"/>
    <n v="0.27"/>
    <n v="0.03"/>
    <n v="0.26"/>
    <n v="0.28000000000000003"/>
    <n v="0.91"/>
    <n v="0.65"/>
    <n v="0.08"/>
    <n v="0.14000000000000001"/>
    <n v="0.16"/>
    <n v="0.63"/>
    <x v="0"/>
    <s v="High Exposure"/>
  </r>
  <r>
    <x v="7"/>
    <x v="892"/>
    <n v="21"/>
    <x v="2"/>
    <n v="0.86"/>
    <n v="1.44"/>
    <x v="5"/>
    <x v="1"/>
    <n v="0.31"/>
    <n v="0.24"/>
    <n v="0.36"/>
    <n v="0.91"/>
    <n v="0.57999999999999996"/>
    <n v="0.74"/>
    <n v="0.49"/>
    <n v="0.03"/>
    <n v="0.06"/>
    <n v="0.54"/>
    <x v="0"/>
    <s v="High Exposure"/>
  </r>
  <r>
    <x v="13"/>
    <x v="893"/>
    <n v="4"/>
    <x v="2"/>
    <n v="0.22"/>
    <n v="1.22"/>
    <x v="69"/>
    <x v="2"/>
    <n v="0.41"/>
    <n v="0.75"/>
    <n v="0.4"/>
    <n v="0.68"/>
    <n v="0.76"/>
    <n v="0.99"/>
    <n v="0.35"/>
    <n v="0.41"/>
    <n v="0.17"/>
    <n v="0.2"/>
    <x v="1"/>
    <s v="Low Exposure"/>
  </r>
  <r>
    <x v="12"/>
    <x v="894"/>
    <n v="7"/>
    <x v="3"/>
    <n v="0.57999999999999996"/>
    <n v="0.56999999999999995"/>
    <x v="86"/>
    <x v="2"/>
    <n v="0.06"/>
    <n v="0.94"/>
    <n v="0.85"/>
    <n v="0.84"/>
    <n v="0.92"/>
    <n v="0.51"/>
    <n v="0.25"/>
    <n v="0.4"/>
    <n v="0.72"/>
    <n v="0.88"/>
    <x v="2"/>
    <s v="Medium Exposure"/>
  </r>
  <r>
    <x v="14"/>
    <x v="895"/>
    <n v="10"/>
    <x v="3"/>
    <n v="0.45"/>
    <n v="0.85"/>
    <x v="32"/>
    <x v="0"/>
    <n v="0.76"/>
    <n v="0.32"/>
    <n v="0.1"/>
    <n v="7.0000000000000007E-2"/>
    <n v="0.09"/>
    <n v="0.57999999999999996"/>
    <n v="0.05"/>
    <n v="0.34"/>
    <n v="0.75"/>
    <n v="0.28999999999999998"/>
    <x v="2"/>
    <s v="Medium Exposure"/>
  </r>
  <r>
    <x v="0"/>
    <x v="896"/>
    <n v="7"/>
    <x v="2"/>
    <n v="0.75"/>
    <n v="0.75"/>
    <x v="51"/>
    <x v="0"/>
    <n v="0.75"/>
    <n v="0.4"/>
    <n v="0.21"/>
    <n v="0.52"/>
    <n v="0.92"/>
    <n v="0.64"/>
    <n v="0.17"/>
    <n v="0.68"/>
    <n v="0.43"/>
    <n v="0.59"/>
    <x v="2"/>
    <s v="High Exposure"/>
  </r>
  <r>
    <x v="12"/>
    <x v="897"/>
    <n v="9"/>
    <x v="1"/>
    <n v="0.51"/>
    <n v="1.31"/>
    <x v="31"/>
    <x v="2"/>
    <n v="0.62"/>
    <n v="0.15"/>
    <n v="0.84"/>
    <n v="0.94"/>
    <n v="0.14000000000000001"/>
    <n v="0.49"/>
    <n v="0.26"/>
    <n v="0.75"/>
    <n v="0.72"/>
    <n v="0.14000000000000001"/>
    <x v="2"/>
    <s v="Medium Exposure"/>
  </r>
  <r>
    <x v="6"/>
    <x v="898"/>
    <n v="10"/>
    <x v="3"/>
    <n v="0.18"/>
    <n v="1.3"/>
    <x v="8"/>
    <x v="2"/>
    <n v="0.33"/>
    <n v="0.16"/>
    <n v="0.17"/>
    <n v="0.66"/>
    <n v="0.55000000000000004"/>
    <n v="0.12"/>
    <n v="0.11"/>
    <n v="7.0000000000000007E-2"/>
    <n v="0.74"/>
    <n v="0.71"/>
    <x v="2"/>
    <s v="Low Exposure"/>
  </r>
  <r>
    <x v="18"/>
    <x v="899"/>
    <n v="11"/>
    <x v="2"/>
    <n v="0.56000000000000005"/>
    <n v="0.57999999999999996"/>
    <x v="16"/>
    <x v="1"/>
    <n v="0.91"/>
    <n v="0.7"/>
    <n v="0.93"/>
    <n v="0.81"/>
    <n v="0.83"/>
    <n v="0.56999999999999995"/>
    <n v="0.31"/>
    <n v="0.22"/>
    <n v="0.33"/>
    <n v="0.63"/>
    <x v="2"/>
    <s v="Medium Exposure"/>
  </r>
  <r>
    <x v="11"/>
    <x v="900"/>
    <n v="8"/>
    <x v="1"/>
    <n v="0.26"/>
    <n v="0.97"/>
    <x v="65"/>
    <x v="2"/>
    <n v="0.59"/>
    <n v="0.92"/>
    <n v="0.75"/>
    <n v="0.67"/>
    <n v="0.57999999999999996"/>
    <n v="0.49"/>
    <n v="0.19"/>
    <n v="0.89"/>
    <n v="0.25"/>
    <n v="0.09"/>
    <x v="2"/>
    <s v="Low Exposure"/>
  </r>
  <r>
    <x v="18"/>
    <x v="901"/>
    <n v="6"/>
    <x v="2"/>
    <n v="0.18"/>
    <n v="0.87"/>
    <x v="19"/>
    <x v="1"/>
    <n v="0.14000000000000001"/>
    <n v="0.17"/>
    <n v="0.05"/>
    <n v="0.66"/>
    <n v="0.84"/>
    <n v="0.37"/>
    <n v="0.87"/>
    <n v="0.21"/>
    <n v="0.33"/>
    <n v="0.15"/>
    <x v="2"/>
    <s v="Low Exposure"/>
  </r>
  <r>
    <x v="8"/>
    <x v="902"/>
    <n v="4"/>
    <x v="0"/>
    <n v="0.42"/>
    <n v="1.1100000000000001"/>
    <x v="3"/>
    <x v="2"/>
    <n v="0.55000000000000004"/>
    <n v="0.63"/>
    <n v="0.94"/>
    <n v="0.3"/>
    <n v="0.36"/>
    <n v="0.72"/>
    <n v="0.61"/>
    <n v="0.18"/>
    <n v="0.38"/>
    <n v="0.47"/>
    <x v="1"/>
    <s v="Medium Exposure"/>
  </r>
  <r>
    <x v="17"/>
    <x v="903"/>
    <n v="17"/>
    <x v="2"/>
    <n v="0.18"/>
    <n v="1.42"/>
    <x v="3"/>
    <x v="2"/>
    <n v="0.48"/>
    <n v="0.68"/>
    <n v="0.9"/>
    <n v="0.14000000000000001"/>
    <n v="0.25"/>
    <n v="0.54"/>
    <n v="0.8"/>
    <n v="0.04"/>
    <n v="0.98"/>
    <n v="0.45"/>
    <x v="0"/>
    <s v="Low Exposure"/>
  </r>
  <r>
    <x v="5"/>
    <x v="904"/>
    <n v="1"/>
    <x v="0"/>
    <n v="0.28999999999999998"/>
    <n v="0.67"/>
    <x v="88"/>
    <x v="1"/>
    <n v="0.96"/>
    <n v="0.41"/>
    <n v="0.95"/>
    <n v="0.82"/>
    <n v="0.48"/>
    <n v="0.67"/>
    <n v="0.43"/>
    <n v="0.56000000000000005"/>
    <n v="0.06"/>
    <n v="0.7"/>
    <x v="1"/>
    <s v="Low Exposure"/>
  </r>
  <r>
    <x v="6"/>
    <x v="905"/>
    <n v="23"/>
    <x v="3"/>
    <n v="0.16"/>
    <n v="1.0900000000000001"/>
    <x v="72"/>
    <x v="2"/>
    <n v="0.11"/>
    <n v="0.47"/>
    <n v="0.75"/>
    <n v="0.61"/>
    <n v="0.1"/>
    <n v="0.4"/>
    <n v="0.51"/>
    <n v="1"/>
    <n v="0.18"/>
    <n v="0.98"/>
    <x v="0"/>
    <s v="Low Exposure"/>
  </r>
  <r>
    <x v="14"/>
    <x v="906"/>
    <n v="16"/>
    <x v="2"/>
    <n v="0.2"/>
    <n v="0.91"/>
    <x v="0"/>
    <x v="0"/>
    <n v="0.21"/>
    <n v="0.28999999999999998"/>
    <n v="0.85"/>
    <n v="1"/>
    <n v="0.32"/>
    <n v="0.15"/>
    <n v="0.79"/>
    <n v="0.6"/>
    <n v="0.1"/>
    <n v="0.95"/>
    <x v="0"/>
    <s v="Low Exposure"/>
  </r>
  <r>
    <x v="3"/>
    <x v="907"/>
    <n v="21"/>
    <x v="0"/>
    <n v="0.63"/>
    <n v="0.92"/>
    <x v="43"/>
    <x v="2"/>
    <n v="0.21"/>
    <n v="0.69"/>
    <n v="0.96"/>
    <n v="0.46"/>
    <n v="0.52"/>
    <n v="0.24"/>
    <n v="0.89"/>
    <n v="0.97"/>
    <n v="0.79"/>
    <n v="0.54"/>
    <x v="0"/>
    <s v="Medium Exposure"/>
  </r>
  <r>
    <x v="8"/>
    <x v="908"/>
    <n v="0"/>
    <x v="3"/>
    <n v="0.15"/>
    <n v="0.98"/>
    <x v="43"/>
    <x v="2"/>
    <n v="0.49"/>
    <n v="0.8"/>
    <n v="0.67"/>
    <n v="0.13"/>
    <n v="0.35"/>
    <n v="0.34"/>
    <n v="0.56999999999999995"/>
    <n v="0.28999999999999998"/>
    <n v="0.12"/>
    <n v="0.65"/>
    <x v="1"/>
    <s v="Low Exposure"/>
  </r>
  <r>
    <x v="7"/>
    <x v="909"/>
    <n v="21"/>
    <x v="1"/>
    <n v="0.93"/>
    <n v="1.47"/>
    <x v="88"/>
    <x v="1"/>
    <n v="0.14000000000000001"/>
    <n v="0.85"/>
    <n v="0.4"/>
    <n v="0.73"/>
    <n v="0.53"/>
    <n v="0.83"/>
    <n v="0.43"/>
    <n v="0.06"/>
    <n v="0.56000000000000005"/>
    <n v="0.17"/>
    <x v="0"/>
    <s v="High Exposure"/>
  </r>
  <r>
    <x v="15"/>
    <x v="910"/>
    <n v="11"/>
    <x v="0"/>
    <n v="0.53"/>
    <n v="1.05"/>
    <x v="16"/>
    <x v="1"/>
    <n v="0.62"/>
    <n v="0.3"/>
    <n v="0.3"/>
    <n v="0.5"/>
    <n v="0.87"/>
    <n v="0.79"/>
    <n v="0.96"/>
    <n v="7.0000000000000007E-2"/>
    <n v="0.27"/>
    <n v="0.08"/>
    <x v="2"/>
    <s v="Medium Exposure"/>
  </r>
  <r>
    <x v="1"/>
    <x v="911"/>
    <n v="23"/>
    <x v="1"/>
    <n v="0.14000000000000001"/>
    <n v="0.6"/>
    <x v="27"/>
    <x v="1"/>
    <n v="0.41"/>
    <n v="0.72"/>
    <n v="0.49"/>
    <n v="0.43"/>
    <n v="0.43"/>
    <n v="0.87"/>
    <n v="0.4"/>
    <n v="0.33"/>
    <n v="0.34"/>
    <n v="0.2"/>
    <x v="0"/>
    <s v="Low Exposure"/>
  </r>
  <r>
    <x v="4"/>
    <x v="912"/>
    <n v="14"/>
    <x v="0"/>
    <n v="0.15"/>
    <n v="1.41"/>
    <x v="6"/>
    <x v="2"/>
    <n v="0.9"/>
    <n v="0.79"/>
    <n v="0.57999999999999996"/>
    <n v="0.67"/>
    <n v="0.33"/>
    <n v="0.56999999999999995"/>
    <n v="0.28999999999999998"/>
    <n v="0.4"/>
    <n v="0.76"/>
    <n v="0.24"/>
    <x v="2"/>
    <s v="Low Exposure"/>
  </r>
  <r>
    <x v="3"/>
    <x v="913"/>
    <n v="27"/>
    <x v="1"/>
    <n v="0.38"/>
    <n v="1.03"/>
    <x v="26"/>
    <x v="2"/>
    <n v="0.68"/>
    <n v="0.65"/>
    <n v="0.71"/>
    <n v="0.92"/>
    <n v="0.25"/>
    <n v="0.61"/>
    <n v="0.4"/>
    <n v="0.01"/>
    <n v="0.13"/>
    <n v="0.32"/>
    <x v="0"/>
    <s v="Medium Exposure"/>
  </r>
  <r>
    <x v="2"/>
    <x v="914"/>
    <n v="13"/>
    <x v="2"/>
    <n v="0.82"/>
    <n v="1.03"/>
    <x v="80"/>
    <x v="0"/>
    <n v="0.66"/>
    <n v="0.72"/>
    <n v="0.56000000000000005"/>
    <n v="0.06"/>
    <n v="0.17"/>
    <n v="0.28999999999999998"/>
    <n v="0.28000000000000003"/>
    <n v="0.67"/>
    <n v="0.02"/>
    <n v="0.76"/>
    <x v="2"/>
    <s v="High Exposure"/>
  </r>
  <r>
    <x v="7"/>
    <x v="915"/>
    <n v="11"/>
    <x v="1"/>
    <n v="0.31"/>
    <n v="1.03"/>
    <x v="5"/>
    <x v="1"/>
    <n v="0.88"/>
    <n v="0.09"/>
    <n v="0.44"/>
    <n v="0.85"/>
    <n v="0.62"/>
    <n v="0.28999999999999998"/>
    <n v="0.42"/>
    <n v="0.71"/>
    <n v="0.97"/>
    <n v="0.89"/>
    <x v="2"/>
    <s v="Medium Exposure"/>
  </r>
  <r>
    <x v="11"/>
    <x v="916"/>
    <n v="5"/>
    <x v="3"/>
    <n v="1"/>
    <n v="0.5"/>
    <x v="57"/>
    <x v="2"/>
    <n v="0.82"/>
    <n v="0.2"/>
    <n v="0.06"/>
    <n v="0.24"/>
    <n v="0.43"/>
    <n v="0.73"/>
    <n v="0.62"/>
    <n v="0.24"/>
    <n v="0.5"/>
    <n v="0.93"/>
    <x v="1"/>
    <s v="High Exposure"/>
  </r>
  <r>
    <x v="0"/>
    <x v="917"/>
    <n v="15"/>
    <x v="2"/>
    <n v="0.32"/>
    <n v="1.48"/>
    <x v="51"/>
    <x v="0"/>
    <n v="0.06"/>
    <n v="0.04"/>
    <n v="0.17"/>
    <n v="0.73"/>
    <n v="0.18"/>
    <n v="0.51"/>
    <n v="0.09"/>
    <n v="0.92"/>
    <n v="0.34"/>
    <n v="0.91"/>
    <x v="2"/>
    <s v="Medium Exposure"/>
  </r>
  <r>
    <x v="7"/>
    <x v="918"/>
    <n v="1"/>
    <x v="3"/>
    <n v="0.01"/>
    <n v="0.96"/>
    <x v="19"/>
    <x v="1"/>
    <n v="0.91"/>
    <n v="0.52"/>
    <n v="7.0000000000000007E-2"/>
    <n v="0.11"/>
    <n v="0.38"/>
    <n v="0.94"/>
    <n v="0.69"/>
    <n v="0.87"/>
    <n v="0.37"/>
    <n v="0.04"/>
    <x v="1"/>
    <s v="Low Exposure"/>
  </r>
  <r>
    <x v="7"/>
    <x v="919"/>
    <n v="15"/>
    <x v="1"/>
    <n v="0.02"/>
    <n v="1.45"/>
    <x v="41"/>
    <x v="1"/>
    <n v="0.01"/>
    <n v="0.69"/>
    <n v="0.98"/>
    <n v="0.97"/>
    <n v="0.16"/>
    <n v="0.18"/>
    <n v="0.56999999999999995"/>
    <n v="0.64"/>
    <n v="0.74"/>
    <n v="0.18"/>
    <x v="2"/>
    <s v="Low Exposure"/>
  </r>
  <r>
    <x v="12"/>
    <x v="920"/>
    <n v="8"/>
    <x v="2"/>
    <n v="0.64"/>
    <n v="1.35"/>
    <x v="43"/>
    <x v="2"/>
    <n v="0.41"/>
    <n v="0.98"/>
    <n v="0.57999999999999996"/>
    <n v="0.87"/>
    <n v="0.95"/>
    <n v="0.68"/>
    <n v="0.55000000000000004"/>
    <n v="0"/>
    <n v="0.04"/>
    <n v="0.2"/>
    <x v="2"/>
    <s v="Medium Exposure"/>
  </r>
  <r>
    <x v="1"/>
    <x v="921"/>
    <n v="22"/>
    <x v="0"/>
    <n v="0.25"/>
    <n v="0.8"/>
    <x v="41"/>
    <x v="1"/>
    <n v="0.42"/>
    <n v="0.1"/>
    <n v="0.04"/>
    <n v="0.67"/>
    <n v="0.54"/>
    <n v="0.44"/>
    <n v="0.63"/>
    <n v="0.83"/>
    <n v="0.43"/>
    <n v="0.64"/>
    <x v="0"/>
    <s v="Low Exposure"/>
  </r>
  <r>
    <x v="14"/>
    <x v="922"/>
    <n v="29"/>
    <x v="0"/>
    <n v="0.84"/>
    <n v="0.93"/>
    <x v="83"/>
    <x v="0"/>
    <n v="0.18"/>
    <n v="0.56000000000000005"/>
    <n v="0.98"/>
    <n v="0.52"/>
    <n v="0.93"/>
    <n v="0.41"/>
    <n v="1"/>
    <n v="0.57999999999999996"/>
    <n v="0.04"/>
    <n v="0.59"/>
    <x v="0"/>
    <s v="High Exposure"/>
  </r>
  <r>
    <x v="2"/>
    <x v="923"/>
    <n v="27"/>
    <x v="1"/>
    <n v="0.03"/>
    <n v="1.32"/>
    <x v="62"/>
    <x v="0"/>
    <n v="0.8"/>
    <n v="0.28999999999999998"/>
    <n v="0.19"/>
    <n v="0.97"/>
    <n v="0.36"/>
    <n v="0.6"/>
    <n v="0.61"/>
    <n v="0.56000000000000005"/>
    <n v="0.91"/>
    <n v="0.67"/>
    <x v="0"/>
    <s v="Low Exposure"/>
  </r>
  <r>
    <x v="8"/>
    <x v="924"/>
    <n v="23"/>
    <x v="3"/>
    <n v="0.86"/>
    <n v="0.68"/>
    <x v="43"/>
    <x v="2"/>
    <n v="0.95"/>
    <n v="0.63"/>
    <n v="0.82"/>
    <n v="0.65"/>
    <n v="0.84"/>
    <n v="0.94"/>
    <n v="0.27"/>
    <n v="0.17"/>
    <n v="0.48"/>
    <n v="0.7"/>
    <x v="0"/>
    <s v="High Exposure"/>
  </r>
  <r>
    <x v="2"/>
    <x v="925"/>
    <n v="28"/>
    <x v="3"/>
    <n v="0"/>
    <n v="0.84"/>
    <x v="89"/>
    <x v="0"/>
    <n v="0.69"/>
    <n v="0.4"/>
    <n v="0.19"/>
    <n v="0.36"/>
    <n v="0.17"/>
    <n v="0.11"/>
    <n v="0.91"/>
    <n v="1"/>
    <n v="0.16"/>
    <n v="0.05"/>
    <x v="0"/>
    <s v="Low Exposure"/>
  </r>
  <r>
    <x v="6"/>
    <x v="926"/>
    <n v="28"/>
    <x v="1"/>
    <n v="0.46"/>
    <n v="0.7"/>
    <x v="71"/>
    <x v="2"/>
    <n v="0.2"/>
    <n v="0.77"/>
    <n v="0.71"/>
    <n v="0.63"/>
    <n v="0.39"/>
    <n v="0.91"/>
    <n v="0.97"/>
    <n v="0.17"/>
    <n v="0.22"/>
    <n v="0.53"/>
    <x v="0"/>
    <s v="Medium Exposure"/>
  </r>
  <r>
    <x v="0"/>
    <x v="927"/>
    <n v="13"/>
    <x v="3"/>
    <n v="0.44"/>
    <n v="1.08"/>
    <x v="35"/>
    <x v="0"/>
    <n v="0.33"/>
    <n v="0.54"/>
    <n v="0.96"/>
    <n v="0.21"/>
    <n v="0.65"/>
    <n v="0.04"/>
    <n v="7.0000000000000007E-2"/>
    <n v="0.55000000000000004"/>
    <n v="0.1"/>
    <n v="0.02"/>
    <x v="2"/>
    <s v="Medium Exposure"/>
  </r>
  <r>
    <x v="11"/>
    <x v="928"/>
    <n v="14"/>
    <x v="1"/>
    <n v="0.56000000000000005"/>
    <n v="1.2"/>
    <x v="48"/>
    <x v="2"/>
    <n v="0.67"/>
    <n v="0.18"/>
    <n v="0.61"/>
    <n v="0.41"/>
    <n v="0.65"/>
    <n v="1"/>
    <n v="0.94"/>
    <n v="0"/>
    <n v="0.89"/>
    <n v="7.0000000000000007E-2"/>
    <x v="2"/>
    <s v="Medium Exposure"/>
  </r>
  <r>
    <x v="6"/>
    <x v="929"/>
    <n v="12"/>
    <x v="3"/>
    <n v="0.28000000000000003"/>
    <n v="0.88"/>
    <x v="55"/>
    <x v="2"/>
    <n v="0.11"/>
    <n v="0.73"/>
    <n v="0.94"/>
    <n v="0.61"/>
    <n v="0.72"/>
    <n v="0.76"/>
    <n v="0.26"/>
    <n v="0.05"/>
    <n v="0"/>
    <n v="0.35"/>
    <x v="2"/>
    <s v="Low Exposure"/>
  </r>
  <r>
    <x v="7"/>
    <x v="930"/>
    <n v="21"/>
    <x v="1"/>
    <n v="0.06"/>
    <n v="0.68"/>
    <x v="47"/>
    <x v="1"/>
    <n v="0.91"/>
    <n v="0.14000000000000001"/>
    <n v="0.54"/>
    <n v="0.59"/>
    <n v="0.54"/>
    <n v="0.1"/>
    <n v="0.32"/>
    <n v="0.05"/>
    <n v="0.4"/>
    <n v="0.19"/>
    <x v="0"/>
    <s v="Low Exposure"/>
  </r>
  <r>
    <x v="9"/>
    <x v="931"/>
    <n v="9"/>
    <x v="2"/>
    <n v="0.69"/>
    <n v="1.03"/>
    <x v="2"/>
    <x v="0"/>
    <n v="0.39"/>
    <n v="0.84"/>
    <n v="0.22"/>
    <n v="0.73"/>
    <n v="0.76"/>
    <n v="0.42"/>
    <n v="0.3"/>
    <n v="0.47"/>
    <n v="0.09"/>
    <n v="0.05"/>
    <x v="2"/>
    <s v="Medium Exposure"/>
  </r>
  <r>
    <x v="0"/>
    <x v="932"/>
    <n v="7"/>
    <x v="3"/>
    <n v="0.19"/>
    <n v="1"/>
    <x v="32"/>
    <x v="0"/>
    <n v="0.24"/>
    <n v="0.94"/>
    <n v="0.95"/>
    <n v="0.96"/>
    <n v="0.84"/>
    <n v="0.36"/>
    <n v="7.0000000000000007E-2"/>
    <n v="0.56999999999999995"/>
    <n v="0.56000000000000005"/>
    <n v="0.85"/>
    <x v="2"/>
    <s v="Low Exposure"/>
  </r>
  <r>
    <x v="17"/>
    <x v="933"/>
    <n v="14"/>
    <x v="3"/>
    <n v="0.51"/>
    <n v="0.85"/>
    <x v="49"/>
    <x v="2"/>
    <n v="0"/>
    <n v="0.51"/>
    <n v="0.56000000000000005"/>
    <n v="0.82"/>
    <n v="0.5"/>
    <n v="0.92"/>
    <n v="0.63"/>
    <n v="0.84"/>
    <n v="0.15"/>
    <n v="0.86"/>
    <x v="2"/>
    <s v="Medium Exposure"/>
  </r>
  <r>
    <x v="0"/>
    <x v="934"/>
    <n v="26"/>
    <x v="3"/>
    <n v="0.17"/>
    <n v="0.69"/>
    <x v="17"/>
    <x v="0"/>
    <n v="0.03"/>
    <n v="0.46"/>
    <n v="0.31"/>
    <n v="0.67"/>
    <n v="0.84"/>
    <n v="0.36"/>
    <n v="0.43"/>
    <n v="0.98"/>
    <n v="0.78"/>
    <n v="0.9"/>
    <x v="0"/>
    <s v="Low Exposure"/>
  </r>
  <r>
    <x v="14"/>
    <x v="935"/>
    <n v="23"/>
    <x v="0"/>
    <n v="0.23"/>
    <n v="0.91"/>
    <x v="51"/>
    <x v="0"/>
    <n v="0.11"/>
    <n v="0.27"/>
    <n v="0.05"/>
    <n v="0.43"/>
    <n v="0.83"/>
    <n v="0.02"/>
    <n v="0.68"/>
    <n v="0.93"/>
    <n v="0.24"/>
    <n v="0.69"/>
    <x v="0"/>
    <s v="Low Exposure"/>
  </r>
  <r>
    <x v="3"/>
    <x v="936"/>
    <n v="11"/>
    <x v="2"/>
    <n v="0.96"/>
    <n v="0.73"/>
    <x v="55"/>
    <x v="2"/>
    <n v="0.15"/>
    <n v="0.7"/>
    <n v="0.73"/>
    <n v="0.67"/>
    <n v="0.34"/>
    <n v="0.17"/>
    <n v="0.57999999999999996"/>
    <n v="0.48"/>
    <n v="0.73"/>
    <n v="0.44"/>
    <x v="2"/>
    <s v="High Exposure"/>
  </r>
  <r>
    <x v="18"/>
    <x v="937"/>
    <n v="10"/>
    <x v="2"/>
    <n v="0.28999999999999998"/>
    <n v="0.71"/>
    <x v="54"/>
    <x v="1"/>
    <n v="0.09"/>
    <n v="0.35"/>
    <n v="0.04"/>
    <n v="0.19"/>
    <n v="0.75"/>
    <n v="0.33"/>
    <n v="0.67"/>
    <n v="0.72"/>
    <n v="0.57999999999999996"/>
    <n v="0.96"/>
    <x v="2"/>
    <s v="Low Exposure"/>
  </r>
  <r>
    <x v="13"/>
    <x v="938"/>
    <n v="10"/>
    <x v="0"/>
    <n v="0.74"/>
    <n v="1.46"/>
    <x v="4"/>
    <x v="2"/>
    <n v="0.17"/>
    <n v="0.33"/>
    <n v="0.17"/>
    <n v="0.6"/>
    <n v="0.71"/>
    <n v="0.32"/>
    <n v="0.54"/>
    <n v="0.69"/>
    <n v="0.42"/>
    <n v="0.85"/>
    <x v="2"/>
    <s v="High Exposure"/>
  </r>
  <r>
    <x v="9"/>
    <x v="939"/>
    <n v="20"/>
    <x v="1"/>
    <n v="0.06"/>
    <n v="1.1200000000000001"/>
    <x v="39"/>
    <x v="0"/>
    <n v="0.56000000000000005"/>
    <n v="0.96"/>
    <n v="0.88"/>
    <n v="0.4"/>
    <n v="0.28999999999999998"/>
    <n v="0.23"/>
    <n v="0.53"/>
    <n v="0.11"/>
    <n v="0.55000000000000004"/>
    <n v="0"/>
    <x v="0"/>
    <s v="Low Exposure"/>
  </r>
  <r>
    <x v="13"/>
    <x v="940"/>
    <n v="8"/>
    <x v="3"/>
    <n v="0.22"/>
    <n v="1.47"/>
    <x v="31"/>
    <x v="2"/>
    <n v="0.35"/>
    <n v="0.09"/>
    <n v="0.52"/>
    <n v="0.21"/>
    <n v="0.54"/>
    <n v="0.84"/>
    <n v="0.62"/>
    <n v="0.63"/>
    <n v="0.54"/>
    <n v="0.93"/>
    <x v="2"/>
    <s v="Low Exposure"/>
  </r>
  <r>
    <x v="9"/>
    <x v="941"/>
    <n v="29"/>
    <x v="1"/>
    <n v="0.51"/>
    <n v="0.81"/>
    <x v="2"/>
    <x v="0"/>
    <n v="0.19"/>
    <n v="0.64"/>
    <n v="0.5"/>
    <n v="0.1"/>
    <n v="0.2"/>
    <n v="0.48"/>
    <n v="0.89"/>
    <n v="0.56999999999999995"/>
    <n v="0.68"/>
    <n v="0.34"/>
    <x v="0"/>
    <s v="Medium Exposure"/>
  </r>
  <r>
    <x v="9"/>
    <x v="942"/>
    <n v="25"/>
    <x v="2"/>
    <n v="0.45"/>
    <n v="1.1599999999999999"/>
    <x v="76"/>
    <x v="0"/>
    <n v="0.49"/>
    <n v="0.3"/>
    <n v="0.33"/>
    <n v="0.96"/>
    <n v="0.18"/>
    <n v="0.31"/>
    <n v="0.51"/>
    <n v="0.86"/>
    <n v="0.42"/>
    <n v="0.74"/>
    <x v="0"/>
    <s v="Medium Exposure"/>
  </r>
  <r>
    <x v="1"/>
    <x v="943"/>
    <n v="15"/>
    <x v="0"/>
    <n v="0.31"/>
    <n v="0.89"/>
    <x v="41"/>
    <x v="1"/>
    <n v="0.83"/>
    <n v="0.04"/>
    <n v="0.31"/>
    <n v="0.68"/>
    <n v="0.56999999999999995"/>
    <n v="0.44"/>
    <n v="0.54"/>
    <n v="0.2"/>
    <n v="0.43"/>
    <n v="0.5"/>
    <x v="2"/>
    <s v="Medium Exposure"/>
  </r>
  <r>
    <x v="5"/>
    <x v="944"/>
    <n v="1"/>
    <x v="3"/>
    <n v="0.26"/>
    <n v="1.37"/>
    <x v="13"/>
    <x v="1"/>
    <n v="0.02"/>
    <n v="0.72"/>
    <n v="0.04"/>
    <n v="1"/>
    <n v="0.87"/>
    <n v="0.3"/>
    <n v="0.26"/>
    <n v="0.38"/>
    <n v="0.36"/>
    <n v="0.37"/>
    <x v="1"/>
    <s v="Low Exposure"/>
  </r>
  <r>
    <x v="13"/>
    <x v="945"/>
    <n v="12"/>
    <x v="1"/>
    <n v="0.65"/>
    <n v="1.24"/>
    <x v="85"/>
    <x v="1"/>
    <n v="0.63"/>
    <n v="0.59"/>
    <n v="0.54"/>
    <n v="0.79"/>
    <n v="0.56000000000000005"/>
    <n v="0.86"/>
    <n v="0.23"/>
    <n v="0.81"/>
    <n v="0.18"/>
    <n v="0.81"/>
    <x v="2"/>
    <s v="Medium Exposure"/>
  </r>
  <r>
    <x v="10"/>
    <x v="946"/>
    <n v="4"/>
    <x v="3"/>
    <n v="0.34"/>
    <n v="1.03"/>
    <x v="23"/>
    <x v="2"/>
    <n v="0.08"/>
    <n v="0.49"/>
    <n v="0.36"/>
    <n v="0.87"/>
    <n v="0.88"/>
    <n v="0.7"/>
    <n v="0.66"/>
    <n v="0.73"/>
    <n v="0.37"/>
    <n v="0.4"/>
    <x v="1"/>
    <s v="Medium Exposure"/>
  </r>
  <r>
    <x v="3"/>
    <x v="947"/>
    <n v="0"/>
    <x v="2"/>
    <n v="0.94"/>
    <n v="1.22"/>
    <x v="43"/>
    <x v="2"/>
    <n v="0.77"/>
    <n v="0.37"/>
    <n v="0.73"/>
    <n v="0.41"/>
    <n v="0.28000000000000003"/>
    <n v="0.61"/>
    <n v="0.69"/>
    <n v="0.46"/>
    <n v="0.56999999999999995"/>
    <n v="0.69"/>
    <x v="1"/>
    <s v="High Exposure"/>
  </r>
  <r>
    <x v="0"/>
    <x v="948"/>
    <n v="6"/>
    <x v="2"/>
    <n v="0.9"/>
    <n v="0.85"/>
    <x v="89"/>
    <x v="0"/>
    <n v="0.64"/>
    <n v="0.79"/>
    <n v="0.7"/>
    <n v="0.21"/>
    <n v="7.0000000000000007E-2"/>
    <n v="0.73"/>
    <n v="0.51"/>
    <n v="0.7"/>
    <n v="0.48"/>
    <n v="0.31"/>
    <x v="2"/>
    <s v="High Exposure"/>
  </r>
  <r>
    <x v="9"/>
    <x v="949"/>
    <n v="11"/>
    <x v="3"/>
    <n v="0.73"/>
    <n v="0.78"/>
    <x v="51"/>
    <x v="0"/>
    <n v="0.38"/>
    <n v="0.77"/>
    <n v="0.14000000000000001"/>
    <n v="0.2"/>
    <n v="0.69"/>
    <n v="0.56000000000000005"/>
    <n v="0.2"/>
    <n v="0.9"/>
    <n v="0.28000000000000003"/>
    <n v="0.42"/>
    <x v="2"/>
    <s v="High Exposure"/>
  </r>
  <r>
    <x v="0"/>
    <x v="950"/>
    <n v="0"/>
    <x v="3"/>
    <n v="0.39"/>
    <n v="0.99"/>
    <x v="62"/>
    <x v="0"/>
    <n v="0.77"/>
    <n v="0.39"/>
    <n v="0.73"/>
    <n v="0.21"/>
    <n v="0.38"/>
    <n v="0.01"/>
    <n v="0.76"/>
    <n v="0.63"/>
    <n v="0.82"/>
    <n v="0.46"/>
    <x v="1"/>
    <s v="Medium Exposure"/>
  </r>
  <r>
    <x v="8"/>
    <x v="951"/>
    <n v="20"/>
    <x v="1"/>
    <n v="0.65"/>
    <n v="0.5"/>
    <x v="10"/>
    <x v="2"/>
    <n v="0.49"/>
    <n v="0.62"/>
    <n v="7.0000000000000007E-2"/>
    <n v="0.71"/>
    <n v="0.54"/>
    <n v="0.53"/>
    <n v="0.28999999999999998"/>
    <n v="0.59"/>
    <n v="0.03"/>
    <n v="0.06"/>
    <x v="0"/>
    <s v="Medium Exposure"/>
  </r>
  <r>
    <x v="17"/>
    <x v="952"/>
    <n v="13"/>
    <x v="2"/>
    <n v="0.32"/>
    <n v="0.85"/>
    <x v="48"/>
    <x v="2"/>
    <n v="0.45"/>
    <n v="0.05"/>
    <n v="0.3"/>
    <n v="0.53"/>
    <n v="0.47"/>
    <n v="1"/>
    <n v="0.39"/>
    <n v="0.39"/>
    <n v="0.5"/>
    <n v="0.19"/>
    <x v="2"/>
    <s v="Medium Exposure"/>
  </r>
  <r>
    <x v="6"/>
    <x v="953"/>
    <n v="3"/>
    <x v="1"/>
    <n v="0.56999999999999995"/>
    <n v="0.69"/>
    <x v="69"/>
    <x v="2"/>
    <n v="0.03"/>
    <n v="0.98"/>
    <n v="0.87"/>
    <n v="0.57999999999999996"/>
    <n v="0.11"/>
    <n v="0.22"/>
    <n v="0.28000000000000003"/>
    <n v="0.24"/>
    <n v="0.5"/>
    <n v="0.94"/>
    <x v="1"/>
    <s v="Medium Exposure"/>
  </r>
  <r>
    <x v="6"/>
    <x v="954"/>
    <n v="4"/>
    <x v="3"/>
    <n v="0.66"/>
    <n v="1.19"/>
    <x v="38"/>
    <x v="2"/>
    <n v="0.03"/>
    <n v="0.4"/>
    <n v="0.78"/>
    <n v="0.81"/>
    <n v="0.93"/>
    <n v="0.7"/>
    <n v="0.25"/>
    <n v="0.51"/>
    <n v="0.03"/>
    <n v="0.65"/>
    <x v="1"/>
    <s v="Medium Exposure"/>
  </r>
  <r>
    <x v="8"/>
    <x v="955"/>
    <n v="28"/>
    <x v="3"/>
    <n v="0.67"/>
    <n v="1.43"/>
    <x v="64"/>
    <x v="2"/>
    <n v="0.32"/>
    <n v="0.2"/>
    <n v="0.85"/>
    <n v="0.19"/>
    <n v="0.16"/>
    <n v="0.21"/>
    <n v="0.51"/>
    <n v="0.12"/>
    <n v="0.94"/>
    <n v="0.97"/>
    <x v="0"/>
    <s v="Medium Exposure"/>
  </r>
  <r>
    <x v="18"/>
    <x v="956"/>
    <n v="3"/>
    <x v="0"/>
    <n v="0.41"/>
    <n v="0.74"/>
    <x v="47"/>
    <x v="1"/>
    <n v="0.86"/>
    <n v="0.56000000000000005"/>
    <n v="0.86"/>
    <n v="0.83"/>
    <n v="0.28000000000000003"/>
    <n v="0.55000000000000004"/>
    <n v="0.08"/>
    <n v="0.92"/>
    <n v="0.4"/>
    <n v="0.39"/>
    <x v="1"/>
    <s v="Medium Exposure"/>
  </r>
  <r>
    <x v="2"/>
    <x v="957"/>
    <n v="20"/>
    <x v="3"/>
    <n v="0.46"/>
    <n v="0.75"/>
    <x v="77"/>
    <x v="0"/>
    <n v="0.8"/>
    <n v="0.83"/>
    <n v="0.3"/>
    <n v="0.47"/>
    <n v="0.87"/>
    <n v="0.05"/>
    <n v="0.89"/>
    <n v="0.22"/>
    <n v="0.68"/>
    <n v="0.57999999999999996"/>
    <x v="0"/>
    <s v="Medium Exposure"/>
  </r>
  <r>
    <x v="19"/>
    <x v="958"/>
    <n v="0"/>
    <x v="2"/>
    <n v="0.86"/>
    <n v="0.6"/>
    <x v="30"/>
    <x v="2"/>
    <n v="0.54"/>
    <n v="0.81"/>
    <n v="0.22"/>
    <n v="0.8"/>
    <n v="0.4"/>
    <n v="0.19"/>
    <n v="0.76"/>
    <n v="0.09"/>
    <n v="0.51"/>
    <n v="0.06"/>
    <x v="1"/>
    <s v="High Exposure"/>
  </r>
  <r>
    <x v="14"/>
    <x v="959"/>
    <n v="13"/>
    <x v="1"/>
    <n v="0.6"/>
    <n v="1.06"/>
    <x v="9"/>
    <x v="0"/>
    <n v="0.43"/>
    <n v="0.23"/>
    <n v="0.46"/>
    <n v="0.95"/>
    <n v="0.85"/>
    <n v="0.15"/>
    <n v="0.03"/>
    <n v="0.93"/>
    <n v="0.53"/>
    <n v="0.54"/>
    <x v="2"/>
    <s v="Medium Exposure"/>
  </r>
  <r>
    <x v="12"/>
    <x v="960"/>
    <n v="11"/>
    <x v="1"/>
    <n v="0.31"/>
    <n v="0.98"/>
    <x v="66"/>
    <x v="2"/>
    <n v="0.67"/>
    <n v="0.15"/>
    <n v="0.13"/>
    <n v="0.2"/>
    <n v="0.77"/>
    <n v="0.3"/>
    <n v="0.02"/>
    <n v="0.94"/>
    <n v="0.17"/>
    <n v="0.01"/>
    <x v="2"/>
    <s v="Medium Exposure"/>
  </r>
  <r>
    <x v="4"/>
    <x v="961"/>
    <n v="5"/>
    <x v="1"/>
    <n v="0.24"/>
    <n v="0.92"/>
    <x v="79"/>
    <x v="2"/>
    <n v="0.88"/>
    <n v="0.46"/>
    <n v="0.41"/>
    <n v="0.56000000000000005"/>
    <n v="0.24"/>
    <n v="0.05"/>
    <n v="0.94"/>
    <n v="0.19"/>
    <n v="0.2"/>
    <n v="0.47"/>
    <x v="1"/>
    <s v="Low Exposure"/>
  </r>
  <r>
    <x v="18"/>
    <x v="962"/>
    <n v="18"/>
    <x v="1"/>
    <n v="0.02"/>
    <n v="0.65"/>
    <x v="41"/>
    <x v="1"/>
    <n v="0.68"/>
    <n v="0.23"/>
    <n v="0.42"/>
    <n v="0.56000000000000005"/>
    <n v="0.89"/>
    <n v="0.33"/>
    <n v="0.13"/>
    <n v="0.49"/>
    <n v="0.75"/>
    <n v="0.11"/>
    <x v="0"/>
    <s v="Low Exposure"/>
  </r>
  <r>
    <x v="18"/>
    <x v="963"/>
    <n v="20"/>
    <x v="1"/>
    <n v="0.02"/>
    <n v="0.53"/>
    <x v="7"/>
    <x v="1"/>
    <n v="0.3"/>
    <n v="0.85"/>
    <n v="0.6"/>
    <n v="0.45"/>
    <n v="0.41"/>
    <n v="0.5"/>
    <n v="0.04"/>
    <n v="0.89"/>
    <n v="1"/>
    <n v="0.18"/>
    <x v="0"/>
    <s v="Low Exposure"/>
  </r>
  <r>
    <x v="14"/>
    <x v="964"/>
    <n v="21"/>
    <x v="3"/>
    <n v="0.14000000000000001"/>
    <n v="1.1599999999999999"/>
    <x v="59"/>
    <x v="0"/>
    <n v="0.85"/>
    <n v="0.75"/>
    <n v="0.45"/>
    <n v="0.61"/>
    <n v="0.69"/>
    <n v="0.51"/>
    <n v="0.48"/>
    <n v="0.65"/>
    <n v="0.56000000000000005"/>
    <n v="0.64"/>
    <x v="0"/>
    <s v="Low Exposure"/>
  </r>
  <r>
    <x v="8"/>
    <x v="965"/>
    <n v="29"/>
    <x v="3"/>
    <n v="0.72"/>
    <n v="1.1399999999999999"/>
    <x v="50"/>
    <x v="2"/>
    <n v="0.68"/>
    <n v="0.45"/>
    <n v="0.24"/>
    <n v="0"/>
    <n v="0.56000000000000005"/>
    <n v="0.59"/>
    <n v="0.97"/>
    <n v="0.36"/>
    <n v="0.39"/>
    <n v="0.2"/>
    <x v="0"/>
    <s v="High Exposure"/>
  </r>
  <r>
    <x v="11"/>
    <x v="966"/>
    <n v="10"/>
    <x v="1"/>
    <n v="0.22"/>
    <n v="0.68"/>
    <x v="57"/>
    <x v="2"/>
    <n v="0.21"/>
    <n v="0.52"/>
    <n v="0.54"/>
    <n v="0.25"/>
    <n v="7.0000000000000007E-2"/>
    <n v="0.74"/>
    <n v="0.76"/>
    <n v="1"/>
    <n v="0.9"/>
    <n v="0.93"/>
    <x v="2"/>
    <s v="Low Exposure"/>
  </r>
  <r>
    <x v="17"/>
    <x v="967"/>
    <n v="11"/>
    <x v="1"/>
    <n v="0.62"/>
    <n v="0.63"/>
    <x v="33"/>
    <x v="2"/>
    <n v="0.06"/>
    <n v="0.89"/>
    <n v="0.48"/>
    <n v="0.7"/>
    <n v="0.05"/>
    <n v="0.53"/>
    <n v="0.3"/>
    <n v="0.28000000000000003"/>
    <n v="0.39"/>
    <n v="0"/>
    <x v="2"/>
    <s v="Medium Exposure"/>
  </r>
  <r>
    <x v="0"/>
    <x v="968"/>
    <n v="14"/>
    <x v="3"/>
    <n v="0.49"/>
    <n v="1.36"/>
    <x v="2"/>
    <x v="0"/>
    <n v="0.36"/>
    <n v="0.99"/>
    <n v="0.56999999999999995"/>
    <n v="0.47"/>
    <n v="0.5"/>
    <n v="0.81"/>
    <n v="0.34"/>
    <n v="0.39"/>
    <n v="0.76"/>
    <n v="7.0000000000000007E-2"/>
    <x v="2"/>
    <s v="Medium Exposure"/>
  </r>
  <r>
    <x v="12"/>
    <x v="969"/>
    <n v="0"/>
    <x v="3"/>
    <n v="0.43"/>
    <n v="1.08"/>
    <x v="3"/>
    <x v="2"/>
    <n v="0.27"/>
    <n v="0.89"/>
    <n v="0.98"/>
    <n v="0.49"/>
    <n v="0.94"/>
    <n v="0"/>
    <n v="0.89"/>
    <n v="0.31"/>
    <n v="0.31"/>
    <n v="0.23"/>
    <x v="1"/>
    <s v="Medium Exposure"/>
  </r>
  <r>
    <x v="13"/>
    <x v="970"/>
    <n v="7"/>
    <x v="3"/>
    <n v="0.21"/>
    <n v="1.41"/>
    <x v="72"/>
    <x v="2"/>
    <n v="0.1"/>
    <n v="0.14000000000000001"/>
    <n v="0.86"/>
    <n v="0.4"/>
    <n v="0.17"/>
    <n v="0.51"/>
    <n v="0.42"/>
    <n v="0.22"/>
    <n v="0.72"/>
    <n v="0.63"/>
    <x v="2"/>
    <s v="Low Exposure"/>
  </r>
  <r>
    <x v="3"/>
    <x v="971"/>
    <n v="23"/>
    <x v="0"/>
    <n v="0.93"/>
    <n v="1.06"/>
    <x v="10"/>
    <x v="2"/>
    <n v="0.21"/>
    <n v="0.14000000000000001"/>
    <n v="0.42"/>
    <n v="0.14000000000000001"/>
    <n v="0.42"/>
    <n v="0.15"/>
    <n v="0.66"/>
    <n v="0.79"/>
    <n v="0.55000000000000004"/>
    <n v="0.68"/>
    <x v="0"/>
    <s v="High Exposure"/>
  </r>
  <r>
    <x v="19"/>
    <x v="972"/>
    <n v="6"/>
    <x v="0"/>
    <n v="0.32"/>
    <n v="1.49"/>
    <x v="64"/>
    <x v="2"/>
    <n v="0.73"/>
    <n v="0.21"/>
    <n v="0.08"/>
    <n v="0.28000000000000003"/>
    <n v="0.25"/>
    <n v="0.23"/>
    <n v="0.19"/>
    <n v="0.56999999999999995"/>
    <n v="0.33"/>
    <n v="0.82"/>
    <x v="2"/>
    <s v="Medium Exposure"/>
  </r>
  <r>
    <x v="13"/>
    <x v="973"/>
    <n v="25"/>
    <x v="3"/>
    <n v="0.46"/>
    <n v="0.51"/>
    <x v="78"/>
    <x v="2"/>
    <n v="0.06"/>
    <n v="0.98"/>
    <n v="0.79"/>
    <n v="0.49"/>
    <n v="0.09"/>
    <n v="0.59"/>
    <n v="0.76"/>
    <n v="0.19"/>
    <n v="0.56999999999999995"/>
    <n v="0.81"/>
    <x v="0"/>
    <s v="Medium Exposure"/>
  </r>
  <r>
    <x v="7"/>
    <x v="974"/>
    <n v="11"/>
    <x v="2"/>
    <n v="0.24"/>
    <n v="0.76"/>
    <x v="61"/>
    <x v="1"/>
    <n v="0.11"/>
    <n v="0.7"/>
    <n v="0.21"/>
    <n v="0.93"/>
    <n v="0.22"/>
    <n v="0.26"/>
    <n v="0.3"/>
    <n v="0.77"/>
    <n v="0.43"/>
    <n v="0.82"/>
    <x v="2"/>
    <s v="Low Exposure"/>
  </r>
  <r>
    <x v="12"/>
    <x v="975"/>
    <n v="4"/>
    <x v="1"/>
    <n v="0.93"/>
    <n v="1.26"/>
    <x v="86"/>
    <x v="2"/>
    <n v="0.84"/>
    <n v="0.94"/>
    <n v="0.99"/>
    <n v="0.13"/>
    <n v="0.61"/>
    <n v="0.2"/>
    <n v="0.26"/>
    <n v="0.75"/>
    <n v="0.98"/>
    <n v="0.59"/>
    <x v="1"/>
    <s v="High Exposure"/>
  </r>
  <r>
    <x v="10"/>
    <x v="976"/>
    <n v="21"/>
    <x v="2"/>
    <n v="0.04"/>
    <n v="1.1000000000000001"/>
    <x v="36"/>
    <x v="2"/>
    <n v="0.89"/>
    <n v="0.3"/>
    <n v="0.43"/>
    <n v="0.53"/>
    <n v="0.27"/>
    <n v="0.91"/>
    <n v="0.46"/>
    <n v="0.42"/>
    <n v="0.85"/>
    <n v="0.31"/>
    <x v="0"/>
    <s v="Low Exposure"/>
  </r>
  <r>
    <x v="15"/>
    <x v="977"/>
    <n v="27"/>
    <x v="1"/>
    <n v="0.12"/>
    <n v="0.68"/>
    <x v="21"/>
    <x v="1"/>
    <n v="0.84"/>
    <n v="0.39"/>
    <n v="0.64"/>
    <n v="0.94"/>
    <n v="0.21"/>
    <n v="0.06"/>
    <n v="0.54"/>
    <n v="0.14000000000000001"/>
    <n v="0.19"/>
    <n v="0.89"/>
    <x v="0"/>
    <s v="Low Exposure"/>
  </r>
  <r>
    <x v="8"/>
    <x v="978"/>
    <n v="29"/>
    <x v="2"/>
    <n v="0.82"/>
    <n v="1.02"/>
    <x v="43"/>
    <x v="2"/>
    <n v="0.67"/>
    <n v="0.43"/>
    <n v="0.12"/>
    <n v="0.1"/>
    <n v="0.75"/>
    <n v="0.22"/>
    <n v="0.03"/>
    <n v="0.98"/>
    <n v="0.98"/>
    <n v="0.38"/>
    <x v="0"/>
    <s v="High Exposure"/>
  </r>
  <r>
    <x v="2"/>
    <x v="979"/>
    <n v="18"/>
    <x v="1"/>
    <n v="0.73"/>
    <n v="1.33"/>
    <x v="67"/>
    <x v="0"/>
    <n v="0.14000000000000001"/>
    <n v="0.82"/>
    <n v="0.92"/>
    <n v="0.79"/>
    <n v="0.2"/>
    <n v="0.41"/>
    <n v="0.6"/>
    <n v="0.16"/>
    <n v="0.21"/>
    <n v="0.28000000000000003"/>
    <x v="0"/>
    <s v="High Exposure"/>
  </r>
  <r>
    <x v="2"/>
    <x v="980"/>
    <n v="29"/>
    <x v="1"/>
    <n v="0.51"/>
    <n v="1.31"/>
    <x v="81"/>
    <x v="0"/>
    <n v="0.91"/>
    <n v="0.83"/>
    <n v="0.25"/>
    <n v="0.33"/>
    <n v="0.5"/>
    <n v="0.01"/>
    <n v="0.9"/>
    <n v="0.04"/>
    <n v="0.32"/>
    <n v="0.56999999999999995"/>
    <x v="0"/>
    <s v="Medium Exposure"/>
  </r>
  <r>
    <x v="12"/>
    <x v="981"/>
    <n v="0"/>
    <x v="2"/>
    <n v="0.65"/>
    <n v="1.03"/>
    <x v="65"/>
    <x v="2"/>
    <n v="0.2"/>
    <n v="0.91"/>
    <n v="0.26"/>
    <n v="0.28000000000000003"/>
    <n v="0.41"/>
    <n v="0.14000000000000001"/>
    <n v="0.51"/>
    <n v="0.67"/>
    <n v="0.79"/>
    <n v="0.71"/>
    <x v="1"/>
    <s v="Medium Exposure"/>
  </r>
  <r>
    <x v="6"/>
    <x v="982"/>
    <n v="11"/>
    <x v="1"/>
    <n v="0.46"/>
    <n v="0.54"/>
    <x v="57"/>
    <x v="2"/>
    <n v="0.44"/>
    <n v="0.25"/>
    <n v="0.68"/>
    <n v="0.72"/>
    <n v="0.9"/>
    <n v="0.76"/>
    <n v="0.05"/>
    <n v="0.37"/>
    <n v="0.27"/>
    <n v="0.39"/>
    <x v="2"/>
    <s v="Medium Exposure"/>
  </r>
  <r>
    <x v="16"/>
    <x v="983"/>
    <n v="11"/>
    <x v="3"/>
    <n v="0.1"/>
    <n v="1.02"/>
    <x v="51"/>
    <x v="0"/>
    <n v="0.7"/>
    <n v="0.45"/>
    <n v="0.52"/>
    <n v="0.52"/>
    <n v="0.69"/>
    <n v="0.05"/>
    <n v="0.71"/>
    <n v="0.57999999999999996"/>
    <n v="0.2"/>
    <n v="0.05"/>
    <x v="2"/>
    <s v="Low Exposure"/>
  </r>
  <r>
    <x v="17"/>
    <x v="984"/>
    <n v="2"/>
    <x v="2"/>
    <n v="0.52"/>
    <n v="1.26"/>
    <x v="87"/>
    <x v="2"/>
    <n v="0.38"/>
    <n v="0.93"/>
    <n v="0.21"/>
    <n v="0.1"/>
    <n v="0.34"/>
    <n v="0.75"/>
    <n v="0.63"/>
    <n v="0.42"/>
    <n v="0.96"/>
    <n v="0.73"/>
    <x v="1"/>
    <s v="Medium Exposure"/>
  </r>
  <r>
    <x v="19"/>
    <x v="985"/>
    <n v="27"/>
    <x v="0"/>
    <n v="0.74"/>
    <n v="0.52"/>
    <x v="23"/>
    <x v="2"/>
    <n v="0.21"/>
    <n v="0.7"/>
    <n v="0.31"/>
    <n v="0.87"/>
    <n v="0.34"/>
    <n v="0.62"/>
    <n v="0.28999999999999998"/>
    <n v="0.92"/>
    <n v="0.78"/>
    <n v="0.24"/>
    <x v="0"/>
    <s v="High Exposure"/>
  </r>
  <r>
    <x v="13"/>
    <x v="986"/>
    <n v="10"/>
    <x v="2"/>
    <n v="0.36"/>
    <n v="1.1499999999999999"/>
    <x v="3"/>
    <x v="2"/>
    <n v="0.02"/>
    <n v="0.96"/>
    <n v="0.34"/>
    <n v="0.19"/>
    <n v="0.85"/>
    <n v="0.7"/>
    <n v="0.09"/>
    <n v="0.12"/>
    <n v="0.72"/>
    <n v="7.0000000000000007E-2"/>
    <x v="2"/>
    <s v="Medium Exposure"/>
  </r>
  <r>
    <x v="8"/>
    <x v="987"/>
    <n v="8"/>
    <x v="2"/>
    <n v="0.74"/>
    <n v="0.84"/>
    <x v="84"/>
    <x v="2"/>
    <n v="0.51"/>
    <n v="0.36"/>
    <n v="0.78"/>
    <n v="0.97"/>
    <n v="0.57999999999999996"/>
    <n v="0.45"/>
    <n v="0.22"/>
    <n v="0.65"/>
    <n v="0.69"/>
    <n v="0.69"/>
    <x v="2"/>
    <s v="High Exposure"/>
  </r>
  <r>
    <x v="0"/>
    <x v="988"/>
    <n v="27"/>
    <x v="0"/>
    <n v="0.9"/>
    <n v="0.84"/>
    <x v="81"/>
    <x v="0"/>
    <n v="0.76"/>
    <n v="0.65"/>
    <n v="0.39"/>
    <n v="0.61"/>
    <n v="0.04"/>
    <n v="0.76"/>
    <n v="0.1"/>
    <n v="0.4"/>
    <n v="0.1"/>
    <n v="0.84"/>
    <x v="0"/>
    <s v="High Exposure"/>
  </r>
  <r>
    <x v="15"/>
    <x v="989"/>
    <n v="1"/>
    <x v="0"/>
    <n v="0.69"/>
    <n v="1.18"/>
    <x v="75"/>
    <x v="1"/>
    <n v="0.13"/>
    <n v="0.66"/>
    <n v="0.57999999999999996"/>
    <n v="0.03"/>
    <n v="0.2"/>
    <n v="0.27"/>
    <n v="7.0000000000000007E-2"/>
    <n v="0.35"/>
    <n v="0.03"/>
    <n v="0.55000000000000004"/>
    <x v="1"/>
    <s v="Medium Exposure"/>
  </r>
  <r>
    <x v="18"/>
    <x v="990"/>
    <n v="9"/>
    <x v="0"/>
    <n v="0.28999999999999998"/>
    <n v="1.41"/>
    <x v="82"/>
    <x v="1"/>
    <n v="0.27"/>
    <n v="0.6"/>
    <n v="0.2"/>
    <n v="7.0000000000000007E-2"/>
    <n v="0.02"/>
    <n v="0.95"/>
    <n v="0.72"/>
    <n v="0.8"/>
    <n v="0.98"/>
    <n v="0.93"/>
    <x v="2"/>
    <s v="Low Exposure"/>
  </r>
  <r>
    <x v="16"/>
    <x v="991"/>
    <n v="0"/>
    <x v="0"/>
    <n v="0.69"/>
    <n v="0.84"/>
    <x v="67"/>
    <x v="0"/>
    <n v="0.56999999999999995"/>
    <n v="0.57999999999999996"/>
    <n v="0.95"/>
    <n v="0.44"/>
    <n v="0.69"/>
    <n v="0.56999999999999995"/>
    <n v="0.18"/>
    <n v="0.59"/>
    <n v="0.54"/>
    <n v="0.49"/>
    <x v="1"/>
    <s v="Medium Exposure"/>
  </r>
  <r>
    <x v="4"/>
    <x v="992"/>
    <n v="22"/>
    <x v="2"/>
    <n v="0.16"/>
    <n v="0.96"/>
    <x v="22"/>
    <x v="2"/>
    <n v="0.49"/>
    <n v="0.49"/>
    <n v="0.08"/>
    <n v="0.19"/>
    <n v="0.32"/>
    <n v="0.42"/>
    <n v="0.59"/>
    <n v="0.86"/>
    <n v="0.16"/>
    <n v="0.02"/>
    <x v="0"/>
    <s v="Low Exposure"/>
  </r>
  <r>
    <x v="1"/>
    <x v="993"/>
    <n v="24"/>
    <x v="1"/>
    <n v="0.43"/>
    <n v="1.05"/>
    <x v="75"/>
    <x v="1"/>
    <n v="0.8"/>
    <n v="0.1"/>
    <n v="0.93"/>
    <n v="0.11"/>
    <n v="0.63"/>
    <n v="0.67"/>
    <n v="0.68"/>
    <n v="0.27"/>
    <n v="0.33"/>
    <n v="0.55000000000000004"/>
    <x v="0"/>
    <s v="Medium Exposure"/>
  </r>
  <r>
    <x v="0"/>
    <x v="179"/>
    <n v="21"/>
    <x v="0"/>
    <n v="0.85"/>
    <n v="0.99"/>
    <x v="32"/>
    <x v="0"/>
    <n v="0.41"/>
    <n v="0.98"/>
    <n v="0.77"/>
    <n v="0.97"/>
    <n v="0.51"/>
    <n v="0.47"/>
    <n v="0.76"/>
    <n v="0.88"/>
    <n v="0.96"/>
    <n v="0.32"/>
    <x v="0"/>
    <s v="High Exposure"/>
  </r>
  <r>
    <x v="9"/>
    <x v="994"/>
    <n v="21"/>
    <x v="2"/>
    <n v="0.53"/>
    <n v="0.78"/>
    <x v="24"/>
    <x v="0"/>
    <n v="0.61"/>
    <n v="0"/>
    <n v="0.81"/>
    <n v="0.33"/>
    <n v="0.32"/>
    <n v="0.38"/>
    <n v="0.63"/>
    <n v="0.44"/>
    <n v="0.63"/>
    <n v="0.15"/>
    <x v="0"/>
    <s v="Medium Exposure"/>
  </r>
  <r>
    <x v="14"/>
    <x v="995"/>
    <n v="29"/>
    <x v="0"/>
    <n v="0.73"/>
    <n v="0.75"/>
    <x v="51"/>
    <x v="0"/>
    <n v="0.57999999999999996"/>
    <n v="0.11"/>
    <n v="0.18"/>
    <n v="0.04"/>
    <n v="0.81"/>
    <n v="0.55000000000000004"/>
    <n v="0.32"/>
    <n v="0.13"/>
    <n v="0.48"/>
    <n v="0.53"/>
    <x v="0"/>
    <s v="High Exposure"/>
  </r>
  <r>
    <x v="8"/>
    <x v="996"/>
    <n v="7"/>
    <x v="2"/>
    <n v="0.69"/>
    <n v="1.4"/>
    <x v="14"/>
    <x v="2"/>
    <n v="0.74"/>
    <n v="0.28999999999999998"/>
    <n v="0.3"/>
    <n v="0.78"/>
    <n v="0.3"/>
    <n v="0.56000000000000005"/>
    <n v="0.25"/>
    <n v="0.82"/>
    <n v="0.11"/>
    <n v="0.83"/>
    <x v="2"/>
    <s v="Medium Exposure"/>
  </r>
  <r>
    <x v="4"/>
    <x v="997"/>
    <n v="20"/>
    <x v="3"/>
    <n v="0.19"/>
    <n v="1.04"/>
    <x v="6"/>
    <x v="2"/>
    <n v="0.32"/>
    <n v="0.35"/>
    <n v="0.06"/>
    <n v="0.99"/>
    <n v="0.03"/>
    <n v="0.66"/>
    <n v="0.37"/>
    <n v="0.65"/>
    <n v="0.36"/>
    <n v="0.67"/>
    <x v="0"/>
    <s v="Low Exposure"/>
  </r>
  <r>
    <x v="19"/>
    <x v="998"/>
    <n v="6"/>
    <x v="3"/>
    <n v="0.69"/>
    <n v="0.61"/>
    <x v="23"/>
    <x v="2"/>
    <n v="0.28000000000000003"/>
    <n v="0.03"/>
    <n v="0.41"/>
    <n v="0.43"/>
    <n v="0.47"/>
    <n v="0.7"/>
    <n v="0.31"/>
    <n v="0.32"/>
    <n v="0.06"/>
    <n v="0.69"/>
    <x v="2"/>
    <s v="Medium Exposure"/>
  </r>
  <r>
    <x v="0"/>
    <x v="999"/>
    <n v="2"/>
    <x v="2"/>
    <n v="0.35"/>
    <n v="1.21"/>
    <x v="35"/>
    <x v="0"/>
    <n v="0.47"/>
    <n v="0.51"/>
    <n v="0.64"/>
    <n v="0.66"/>
    <n v="0.28999999999999998"/>
    <n v="0.14000000000000001"/>
    <n v="0.16"/>
    <n v="0.64"/>
    <n v="0.87"/>
    <n v="0.41"/>
    <x v="1"/>
    <s v="Medium Exposure"/>
  </r>
  <r>
    <x v="5"/>
    <x v="1000"/>
    <n v="22"/>
    <x v="3"/>
    <n v="0.76"/>
    <n v="1.33"/>
    <x v="15"/>
    <x v="1"/>
    <n v="0.61"/>
    <n v="0.86"/>
    <n v="0.02"/>
    <n v="0.11"/>
    <n v="0.09"/>
    <n v="0.71"/>
    <n v="7.0000000000000007E-2"/>
    <n v="0.5"/>
    <n v="0.47"/>
    <n v="0.31"/>
    <x v="0"/>
    <s v="High Exposure"/>
  </r>
  <r>
    <x v="2"/>
    <x v="1001"/>
    <n v="4"/>
    <x v="1"/>
    <n v="0.17"/>
    <n v="0.85"/>
    <x v="81"/>
    <x v="0"/>
    <n v="0.03"/>
    <n v="0.67"/>
    <n v="0.82"/>
    <n v="0.93"/>
    <n v="0.88"/>
    <n v="0.32"/>
    <n v="0.59"/>
    <n v="0.08"/>
    <n v="0.26"/>
    <n v="0.09"/>
    <x v="1"/>
    <s v="Low Exposure"/>
  </r>
  <r>
    <x v="14"/>
    <x v="1002"/>
    <n v="7"/>
    <x v="1"/>
    <n v="0.88"/>
    <n v="0.85"/>
    <x v="56"/>
    <x v="0"/>
    <n v="0.43"/>
    <n v="0.46"/>
    <n v="0.97"/>
    <n v="0.3"/>
    <n v="0.63"/>
    <n v="0.42"/>
    <n v="0.06"/>
    <n v="0.49"/>
    <n v="0.81"/>
    <n v="0.1"/>
    <x v="2"/>
    <s v="High Exposure"/>
  </r>
  <r>
    <x v="12"/>
    <x v="1003"/>
    <n v="11"/>
    <x v="1"/>
    <n v="0.15"/>
    <n v="1.26"/>
    <x v="31"/>
    <x v="2"/>
    <n v="0.56999999999999995"/>
    <n v="0.47"/>
    <n v="0.89"/>
    <n v="0.77"/>
    <n v="0.81"/>
    <n v="0.81"/>
    <n v="0.64"/>
    <n v="0.46"/>
    <n v="0.86"/>
    <n v="0.93"/>
    <x v="2"/>
    <s v="Low Exposure"/>
  </r>
  <r>
    <x v="17"/>
    <x v="1004"/>
    <n v="29"/>
    <x v="2"/>
    <n v="0.05"/>
    <n v="1.46"/>
    <x v="6"/>
    <x v="2"/>
    <n v="0.87"/>
    <n v="0.39"/>
    <n v="0.12"/>
    <n v="0.08"/>
    <n v="0.16"/>
    <n v="0.25"/>
    <n v="0.49"/>
    <n v="0.7"/>
    <n v="0.99"/>
    <n v="0.44"/>
    <x v="0"/>
    <s v="Low Exposure"/>
  </r>
  <r>
    <x v="19"/>
    <x v="1005"/>
    <n v="13"/>
    <x v="1"/>
    <n v="0.52"/>
    <n v="1.04"/>
    <x v="50"/>
    <x v="2"/>
    <n v="0.01"/>
    <n v="0"/>
    <n v="0.1"/>
    <n v="0.1"/>
    <n v="0.7"/>
    <n v="0.2"/>
    <n v="0.89"/>
    <n v="0.93"/>
    <n v="0.98"/>
    <n v="0.94"/>
    <x v="2"/>
    <s v="Medium Exposure"/>
  </r>
  <r>
    <x v="13"/>
    <x v="1006"/>
    <n v="26"/>
    <x v="2"/>
    <n v="0.51"/>
    <n v="0.68"/>
    <x v="69"/>
    <x v="2"/>
    <n v="0.89"/>
    <n v="0.85"/>
    <n v="0.43"/>
    <n v="0.76"/>
    <n v="0.1"/>
    <n v="0.04"/>
    <n v="0.75"/>
    <n v="0.43"/>
    <n v="1"/>
    <n v="0.1"/>
    <x v="0"/>
    <s v="Medium Exposure"/>
  </r>
  <r>
    <x v="16"/>
    <x v="1007"/>
    <n v="25"/>
    <x v="2"/>
    <n v="0.48"/>
    <n v="1.33"/>
    <x v="40"/>
    <x v="0"/>
    <n v="0.92"/>
    <n v="0.3"/>
    <n v="0.95"/>
    <n v="0.15"/>
    <n v="0.08"/>
    <n v="0.43"/>
    <n v="0.83"/>
    <n v="0.47"/>
    <n v="0.83"/>
    <n v="0.73"/>
    <x v="0"/>
    <s v="Medium Exposure"/>
  </r>
  <r>
    <x v="5"/>
    <x v="1008"/>
    <n v="26"/>
    <x v="2"/>
    <n v="0.95"/>
    <n v="0.56000000000000005"/>
    <x v="15"/>
    <x v="1"/>
    <n v="0.3"/>
    <n v="0.5"/>
    <n v="0.42"/>
    <n v="0.17"/>
    <n v="0.36"/>
    <n v="0.19"/>
    <n v="0.2"/>
    <n v="0.19"/>
    <n v="0.49"/>
    <n v="0.8"/>
    <x v="0"/>
    <s v="High Exposure"/>
  </r>
  <r>
    <x v="18"/>
    <x v="1009"/>
    <n v="16"/>
    <x v="0"/>
    <n v="0.89"/>
    <n v="1.1399999999999999"/>
    <x v="29"/>
    <x v="1"/>
    <n v="0.67"/>
    <n v="0.45"/>
    <n v="0.69"/>
    <n v="7.0000000000000007E-2"/>
    <n v="0.86"/>
    <n v="0.78"/>
    <n v="0.25"/>
    <n v="0.77"/>
    <n v="0.01"/>
    <n v="0.22"/>
    <x v="0"/>
    <s v="High Exposure"/>
  </r>
  <r>
    <x v="0"/>
    <x v="1010"/>
    <n v="0"/>
    <x v="0"/>
    <n v="0.78"/>
    <n v="1.26"/>
    <x v="40"/>
    <x v="0"/>
    <n v="0"/>
    <n v="0.5"/>
    <n v="0.7"/>
    <n v="0.16"/>
    <n v="0.65"/>
    <n v="0.08"/>
    <n v="0.18"/>
    <n v="0.48"/>
    <n v="0.65"/>
    <n v="0.15"/>
    <x v="1"/>
    <s v="High Exposure"/>
  </r>
  <r>
    <x v="1"/>
    <x v="1011"/>
    <n v="21"/>
    <x v="1"/>
    <n v="0.2"/>
    <n v="0.74"/>
    <x v="37"/>
    <x v="1"/>
    <n v="0.4"/>
    <n v="0.65"/>
    <n v="0.44"/>
    <n v="0.78"/>
    <n v="0.72"/>
    <n v="0.13"/>
    <n v="0.05"/>
    <n v="0.88"/>
    <n v="0.08"/>
    <n v="0.15"/>
    <x v="0"/>
    <s v="Low Exposure"/>
  </r>
  <r>
    <x v="3"/>
    <x v="1012"/>
    <n v="20"/>
    <x v="3"/>
    <n v="0.63"/>
    <n v="1.08"/>
    <x v="66"/>
    <x v="2"/>
    <n v="0.89"/>
    <n v="0.41"/>
    <n v="0.37"/>
    <n v="0.3"/>
    <n v="0.15"/>
    <n v="0.14000000000000001"/>
    <n v="0.13"/>
    <n v="0.11"/>
    <n v="0.24"/>
    <n v="0.31"/>
    <x v="0"/>
    <s v="Medium Exposure"/>
  </r>
  <r>
    <x v="10"/>
    <x v="1013"/>
    <n v="13"/>
    <x v="2"/>
    <n v="0.57999999999999996"/>
    <n v="1.49"/>
    <x v="84"/>
    <x v="2"/>
    <n v="0.46"/>
    <n v="0.32"/>
    <n v="0.18"/>
    <n v="0.14000000000000001"/>
    <n v="0.95"/>
    <n v="0.99"/>
    <n v="0.04"/>
    <n v="0.15"/>
    <n v="0.42"/>
    <n v="0.19"/>
    <x v="2"/>
    <s v="Medium Exposure"/>
  </r>
  <r>
    <x v="0"/>
    <x v="1014"/>
    <n v="15"/>
    <x v="2"/>
    <n v="0.13"/>
    <n v="0.96"/>
    <x v="62"/>
    <x v="0"/>
    <n v="0.35"/>
    <n v="0.09"/>
    <n v="0.43"/>
    <n v="0.98"/>
    <n v="0.33"/>
    <n v="0.88"/>
    <n v="0.84"/>
    <n v="0.95"/>
    <n v="0.79"/>
    <n v="0.66"/>
    <x v="2"/>
    <s v="Low Exposure"/>
  </r>
  <r>
    <x v="0"/>
    <x v="1015"/>
    <n v="9"/>
    <x v="1"/>
    <n v="0.08"/>
    <n v="0.96"/>
    <x v="60"/>
    <x v="0"/>
    <n v="0.77"/>
    <n v="0.96"/>
    <n v="0.78"/>
    <n v="0.87"/>
    <n v="0.71"/>
    <n v="0.76"/>
    <n v="0.52"/>
    <n v="0.92"/>
    <n v="0.83"/>
    <n v="0.84"/>
    <x v="2"/>
    <s v="Low Exposure"/>
  </r>
  <r>
    <x v="13"/>
    <x v="1016"/>
    <n v="26"/>
    <x v="1"/>
    <n v="0.3"/>
    <n v="0.54"/>
    <x v="79"/>
    <x v="2"/>
    <n v="0.59"/>
    <n v="0.3"/>
    <n v="0.15"/>
    <n v="0.83"/>
    <n v="0.84"/>
    <n v="0.81"/>
    <n v="0.65"/>
    <n v="0.37"/>
    <n v="0.3"/>
    <n v="0.01"/>
    <x v="0"/>
    <s v="Medium Exposure"/>
  </r>
  <r>
    <x v="2"/>
    <x v="1017"/>
    <n v="15"/>
    <x v="3"/>
    <n v="0.09"/>
    <n v="1.1299999999999999"/>
    <x v="35"/>
    <x v="0"/>
    <n v="0.53"/>
    <n v="0.93"/>
    <n v="0.03"/>
    <n v="0.77"/>
    <n v="0.05"/>
    <n v="0.04"/>
    <n v="0.43"/>
    <n v="0.06"/>
    <n v="0.79"/>
    <n v="0.53"/>
    <x v="2"/>
    <s v="Low Exposure"/>
  </r>
  <r>
    <x v="13"/>
    <x v="1018"/>
    <n v="10"/>
    <x v="0"/>
    <n v="0.04"/>
    <n v="1.1100000000000001"/>
    <x v="69"/>
    <x v="2"/>
    <n v="0.44"/>
    <n v="0.55000000000000004"/>
    <n v="0.8"/>
    <n v="0.61"/>
    <n v="0.22"/>
    <n v="0.61"/>
    <n v="0.63"/>
    <n v="0.73"/>
    <n v="0.62"/>
    <n v="0.97"/>
    <x v="2"/>
    <s v="Low Exposure"/>
  </r>
  <r>
    <x v="9"/>
    <x v="1019"/>
    <n v="6"/>
    <x v="1"/>
    <n v="0.95"/>
    <n v="1.04"/>
    <x v="59"/>
    <x v="0"/>
    <n v="0.1"/>
    <n v="0.38"/>
    <n v="0.77"/>
    <n v="0.71"/>
    <n v="0.04"/>
    <n v="0.55000000000000004"/>
    <n v="0.09"/>
    <n v="1"/>
    <n v="0.9"/>
    <n v="0.02"/>
    <x v="2"/>
    <s v="High Exposure"/>
  </r>
  <r>
    <x v="13"/>
    <x v="1020"/>
    <n v="13"/>
    <x v="1"/>
    <n v="0.92"/>
    <n v="0.85"/>
    <x v="31"/>
    <x v="2"/>
    <n v="0.44"/>
    <n v="0.66"/>
    <n v="0.34"/>
    <n v="0.32"/>
    <n v="0.42"/>
    <n v="0.15"/>
    <n v="0.83"/>
    <n v="0.35"/>
    <n v="0.4"/>
    <n v="0.89"/>
    <x v="2"/>
    <s v="High Exposure"/>
  </r>
  <r>
    <x v="15"/>
    <x v="1021"/>
    <n v="23"/>
    <x v="3"/>
    <n v="0.54"/>
    <n v="1.46"/>
    <x v="15"/>
    <x v="1"/>
    <n v="0.17"/>
    <n v="0.47"/>
    <n v="0.97"/>
    <n v="0.37"/>
    <n v="0.37"/>
    <n v="0.2"/>
    <n v="0.11"/>
    <n v="0.74"/>
    <n v="0.77"/>
    <n v="0.97"/>
    <x v="0"/>
    <s v="Medium Exposure"/>
  </r>
  <r>
    <x v="13"/>
    <x v="1022"/>
    <n v="8"/>
    <x v="3"/>
    <n v="0.24"/>
    <n v="0.54"/>
    <x v="66"/>
    <x v="2"/>
    <n v="0.34"/>
    <n v="0.31"/>
    <n v="0.91"/>
    <n v="0.59"/>
    <n v="0.21"/>
    <n v="0.89"/>
    <n v="0.99"/>
    <n v="0.09"/>
    <n v="0.86"/>
    <n v="0.39"/>
    <x v="2"/>
    <s v="Low Exposure"/>
  </r>
  <r>
    <x v="19"/>
    <x v="1023"/>
    <n v="12"/>
    <x v="3"/>
    <n v="0.91"/>
    <n v="1.47"/>
    <x v="10"/>
    <x v="2"/>
    <n v="0.21"/>
    <n v="0.08"/>
    <n v="0.56000000000000005"/>
    <n v="0.01"/>
    <n v="0.41"/>
    <n v="7.0000000000000007E-2"/>
    <n v="0.41"/>
    <n v="0.04"/>
    <n v="0.84"/>
    <n v="0.21"/>
    <x v="2"/>
    <s v="High Exposure"/>
  </r>
  <r>
    <x v="3"/>
    <x v="1024"/>
    <n v="20"/>
    <x v="2"/>
    <n v="0.87"/>
    <n v="1.25"/>
    <x v="65"/>
    <x v="2"/>
    <n v="7.0000000000000007E-2"/>
    <n v="0.72"/>
    <n v="0.39"/>
    <n v="0.77"/>
    <n v="0.45"/>
    <n v="0.35"/>
    <n v="0.45"/>
    <n v="0.75"/>
    <n v="0.9"/>
    <n v="0.05"/>
    <x v="0"/>
    <s v="High Exposure"/>
  </r>
  <r>
    <x v="3"/>
    <x v="1025"/>
    <n v="24"/>
    <x v="3"/>
    <n v="0.69"/>
    <n v="1.41"/>
    <x v="26"/>
    <x v="2"/>
    <n v="0.03"/>
    <n v="0.99"/>
    <n v="0.32"/>
    <n v="0.84"/>
    <n v="0.18"/>
    <n v="0.06"/>
    <n v="0.38"/>
    <n v="0.86"/>
    <n v="0.22"/>
    <n v="0.15"/>
    <x v="0"/>
    <s v="Medium Exposure"/>
  </r>
  <r>
    <x v="9"/>
    <x v="1026"/>
    <n v="4"/>
    <x v="3"/>
    <n v="0.94"/>
    <n v="0.51"/>
    <x v="51"/>
    <x v="0"/>
    <n v="0.31"/>
    <n v="0.37"/>
    <n v="0.47"/>
    <n v="0.43"/>
    <n v="0.51"/>
    <n v="0.57999999999999996"/>
    <n v="0.47"/>
    <n v="0.7"/>
    <n v="0.72"/>
    <n v="0.44"/>
    <x v="1"/>
    <s v="High Exposure"/>
  </r>
  <r>
    <x v="19"/>
    <x v="1027"/>
    <n v="15"/>
    <x v="1"/>
    <n v="0.64"/>
    <n v="1.27"/>
    <x v="23"/>
    <x v="2"/>
    <n v="0.59"/>
    <n v="0.23"/>
    <n v="0.65"/>
    <n v="0.33"/>
    <n v="0.92"/>
    <n v="0.65"/>
    <n v="0.28000000000000003"/>
    <n v="0.47"/>
    <n v="0.85"/>
    <n v="0.34"/>
    <x v="2"/>
    <s v="Medium Exposure"/>
  </r>
  <r>
    <x v="16"/>
    <x v="1028"/>
    <n v="4"/>
    <x v="3"/>
    <n v="0.68"/>
    <n v="1.25"/>
    <x v="44"/>
    <x v="0"/>
    <n v="0.56999999999999995"/>
    <n v="0.91"/>
    <n v="0.97"/>
    <n v="0.66"/>
    <n v="0.98"/>
    <n v="0.56999999999999995"/>
    <n v="0.44"/>
    <n v="0.55000000000000004"/>
    <n v="0.12"/>
    <n v="0.4"/>
    <x v="1"/>
    <s v="Medium Exposure"/>
  </r>
  <r>
    <x v="4"/>
    <x v="1029"/>
    <n v="20"/>
    <x v="1"/>
    <n v="0.85"/>
    <n v="1.26"/>
    <x v="22"/>
    <x v="2"/>
    <n v="0.35"/>
    <n v="0.19"/>
    <n v="0.35"/>
    <n v="0.68"/>
    <n v="0.26"/>
    <n v="0.43"/>
    <n v="0.39"/>
    <n v="0.77"/>
    <n v="0.88"/>
    <n v="0.7"/>
    <x v="0"/>
    <s v="High Exposure"/>
  </r>
  <r>
    <x v="15"/>
    <x v="1030"/>
    <n v="27"/>
    <x v="2"/>
    <n v="0.43"/>
    <n v="0.64"/>
    <x v="63"/>
    <x v="1"/>
    <n v="0.16"/>
    <n v="0.13"/>
    <n v="0.18"/>
    <n v="0.2"/>
    <n v="0.11"/>
    <n v="0.64"/>
    <n v="0.99"/>
    <n v="0.88"/>
    <n v="0.05"/>
    <n v="0.42"/>
    <x v="0"/>
    <s v="Medium Exposure"/>
  </r>
  <r>
    <x v="11"/>
    <x v="1031"/>
    <n v="28"/>
    <x v="2"/>
    <n v="0.13"/>
    <n v="1.35"/>
    <x v="22"/>
    <x v="2"/>
    <n v="0.93"/>
    <n v="0.88"/>
    <n v="0.68"/>
    <n v="0.66"/>
    <n v="0.21"/>
    <n v="0.12"/>
    <n v="0.42"/>
    <n v="0.19"/>
    <n v="0.1"/>
    <n v="0.3"/>
    <x v="0"/>
    <s v="Low Exposure"/>
  </r>
  <r>
    <x v="14"/>
    <x v="1032"/>
    <n v="15"/>
    <x v="0"/>
    <n v="0.02"/>
    <n v="0.79"/>
    <x v="2"/>
    <x v="0"/>
    <n v="0.51"/>
    <n v="0.18"/>
    <n v="0.96"/>
    <n v="0.57999999999999996"/>
    <n v="0.52"/>
    <n v="0.01"/>
    <n v="0.49"/>
    <n v="0.84"/>
    <n v="0.22"/>
    <n v="0.35"/>
    <x v="2"/>
    <s v="Low Exposure"/>
  </r>
  <r>
    <x v="10"/>
    <x v="1033"/>
    <n v="26"/>
    <x v="2"/>
    <n v="0.98"/>
    <n v="0.56999999999999995"/>
    <x v="72"/>
    <x v="2"/>
    <n v="0.31"/>
    <n v="0.59"/>
    <n v="0.68"/>
    <n v="0.14000000000000001"/>
    <n v="0.44"/>
    <n v="0.33"/>
    <n v="0.06"/>
    <n v="0.83"/>
    <n v="0.05"/>
    <n v="0.65"/>
    <x v="0"/>
    <s v="High Exposure"/>
  </r>
  <r>
    <x v="0"/>
    <x v="1034"/>
    <n v="5"/>
    <x v="1"/>
    <n v="0.78"/>
    <n v="0.69"/>
    <x v="59"/>
    <x v="0"/>
    <n v="0.6"/>
    <n v="0.18"/>
    <n v="0.27"/>
    <n v="0.41"/>
    <n v="0.7"/>
    <n v="0.64"/>
    <n v="0.53"/>
    <n v="0.77"/>
    <n v="0.76"/>
    <n v="0.62"/>
    <x v="1"/>
    <s v="High Exposure"/>
  </r>
  <r>
    <x v="18"/>
    <x v="1035"/>
    <n v="21"/>
    <x v="0"/>
    <n v="0.33"/>
    <n v="1.38"/>
    <x v="42"/>
    <x v="1"/>
    <n v="0.82"/>
    <n v="0.55000000000000004"/>
    <n v="0.22"/>
    <n v="0.54"/>
    <n v="0.37"/>
    <n v="0.7"/>
    <n v="0.48"/>
    <n v="0.84"/>
    <n v="0.68"/>
    <n v="0.68"/>
    <x v="0"/>
    <s v="Medium Exposure"/>
  </r>
  <r>
    <x v="11"/>
    <x v="1036"/>
    <n v="14"/>
    <x v="1"/>
    <n v="0.98"/>
    <n v="1.34"/>
    <x v="69"/>
    <x v="2"/>
    <n v="0.33"/>
    <n v="0.54"/>
    <n v="0.14000000000000001"/>
    <n v="0.54"/>
    <n v="0.15"/>
    <n v="0.55000000000000004"/>
    <n v="0.65"/>
    <n v="0.39"/>
    <n v="0.5"/>
    <n v="0.88"/>
    <x v="2"/>
    <s v="High Exposure"/>
  </r>
  <r>
    <x v="7"/>
    <x v="1037"/>
    <n v="28"/>
    <x v="1"/>
    <n v="0.79"/>
    <n v="0.67"/>
    <x v="19"/>
    <x v="1"/>
    <n v="0.19"/>
    <n v="0.77"/>
    <n v="0.41"/>
    <n v="0.87"/>
    <n v="0.52"/>
    <n v="0.02"/>
    <n v="0.72"/>
    <n v="0.11"/>
    <n v="0.79"/>
    <n v="0.17"/>
    <x v="0"/>
    <s v="High Exposure"/>
  </r>
  <r>
    <x v="18"/>
    <x v="941"/>
    <n v="21"/>
    <x v="0"/>
    <n v="0.76"/>
    <n v="1.45"/>
    <x v="41"/>
    <x v="1"/>
    <n v="0.83"/>
    <n v="0.19"/>
    <n v="0.81"/>
    <n v="0.66"/>
    <n v="0.19"/>
    <n v="0.3"/>
    <n v="0.13"/>
    <n v="0.38"/>
    <n v="0.2"/>
    <n v="0.64"/>
    <x v="0"/>
    <s v="High Exposure"/>
  </r>
  <r>
    <x v="4"/>
    <x v="1038"/>
    <n v="9"/>
    <x v="1"/>
    <n v="0.57999999999999996"/>
    <n v="0.87"/>
    <x v="30"/>
    <x v="2"/>
    <n v="0.67"/>
    <n v="0.39"/>
    <n v="0.26"/>
    <n v="0.4"/>
    <n v="0.81"/>
    <n v="0.97"/>
    <n v="0.64"/>
    <n v="0.78"/>
    <n v="0.53"/>
    <n v="0.62"/>
    <x v="2"/>
    <s v="Medium Exposure"/>
  </r>
  <r>
    <x v="15"/>
    <x v="1039"/>
    <n v="13"/>
    <x v="1"/>
    <n v="0.44"/>
    <n v="0.56999999999999995"/>
    <x v="21"/>
    <x v="1"/>
    <n v="0.79"/>
    <n v="0.4"/>
    <n v="0.98"/>
    <n v="0.35"/>
    <n v="0.37"/>
    <n v="0.61"/>
    <n v="0.27"/>
    <n v="0.7"/>
    <n v="0.15"/>
    <n v="0.11"/>
    <x v="2"/>
    <s v="Medium Exposure"/>
  </r>
  <r>
    <x v="3"/>
    <x v="1040"/>
    <n v="29"/>
    <x v="3"/>
    <n v="0.56000000000000005"/>
    <n v="0.61"/>
    <x v="66"/>
    <x v="2"/>
    <n v="0.56999999999999995"/>
    <n v="0.15"/>
    <n v="0.31"/>
    <n v="0.8"/>
    <n v="0.52"/>
    <n v="0.19"/>
    <n v="0.1"/>
    <n v="0.43"/>
    <n v="0.34"/>
    <n v="0.66"/>
    <x v="0"/>
    <s v="Medium Exposure"/>
  </r>
  <r>
    <x v="2"/>
    <x v="1041"/>
    <n v="9"/>
    <x v="3"/>
    <n v="0.25"/>
    <n v="1.36"/>
    <x v="17"/>
    <x v="0"/>
    <n v="0.9"/>
    <n v="0.95"/>
    <n v="0.84"/>
    <n v="0.59"/>
    <n v="0.41"/>
    <n v="0.49"/>
    <n v="0.87"/>
    <n v="0.3"/>
    <n v="0.16"/>
    <n v="0.14000000000000001"/>
    <x v="2"/>
    <s v="Low Exposure"/>
  </r>
  <r>
    <x v="1"/>
    <x v="1042"/>
    <n v="25"/>
    <x v="3"/>
    <n v="0.72"/>
    <n v="0.53"/>
    <x v="27"/>
    <x v="1"/>
    <n v="0.88"/>
    <n v="0.02"/>
    <n v="0.41"/>
    <n v="0.93"/>
    <n v="0.35"/>
    <n v="0.46"/>
    <n v="0.98"/>
    <n v="0.2"/>
    <n v="7.0000000000000007E-2"/>
    <n v="0.86"/>
    <x v="0"/>
    <s v="High Exposure"/>
  </r>
  <r>
    <x v="16"/>
    <x v="1043"/>
    <n v="8"/>
    <x v="1"/>
    <n v="0.47"/>
    <n v="1.01"/>
    <x v="32"/>
    <x v="0"/>
    <n v="0.74"/>
    <n v="0.27"/>
    <n v="0.02"/>
    <n v="0.48"/>
    <n v="0.86"/>
    <n v="0.9"/>
    <n v="0.96"/>
    <n v="0.88"/>
    <n v="0.57999999999999996"/>
    <n v="0.44"/>
    <x v="2"/>
    <s v="Medium Exposure"/>
  </r>
  <r>
    <x v="19"/>
    <x v="1044"/>
    <n v="11"/>
    <x v="3"/>
    <n v="0.74"/>
    <n v="1.04"/>
    <x v="20"/>
    <x v="2"/>
    <n v="0.93"/>
    <n v="0.46"/>
    <n v="0.36"/>
    <n v="0.63"/>
    <n v="0.67"/>
    <n v="0.21"/>
    <n v="0.84"/>
    <n v="0.28999999999999998"/>
    <n v="0.19"/>
    <n v="0.41"/>
    <x v="2"/>
    <s v="High Exposure"/>
  </r>
  <r>
    <x v="0"/>
    <x v="1045"/>
    <n v="4"/>
    <x v="0"/>
    <n v="0.81"/>
    <n v="1.44"/>
    <x v="44"/>
    <x v="0"/>
    <n v="7.0000000000000007E-2"/>
    <n v="0.56000000000000005"/>
    <n v="0.28999999999999998"/>
    <n v="0.83"/>
    <n v="0.67"/>
    <n v="0.97"/>
    <n v="0.25"/>
    <n v="0.49"/>
    <n v="0.5"/>
    <n v="0.24"/>
    <x v="1"/>
    <s v="High Exposure"/>
  </r>
  <r>
    <x v="15"/>
    <x v="1046"/>
    <n v="12"/>
    <x v="1"/>
    <n v="0.44"/>
    <n v="0.95"/>
    <x v="41"/>
    <x v="1"/>
    <n v="0.02"/>
    <n v="0.52"/>
    <n v="0.34"/>
    <n v="0"/>
    <n v="0.31"/>
    <n v="0.28000000000000003"/>
    <n v="0.39"/>
    <n v="0.13"/>
    <n v="0.51"/>
    <n v="0.69"/>
    <x v="2"/>
    <s v="Medium Exposure"/>
  </r>
  <r>
    <x v="12"/>
    <x v="1047"/>
    <n v="4"/>
    <x v="1"/>
    <n v="0.93"/>
    <n v="0.95"/>
    <x v="64"/>
    <x v="2"/>
    <n v="0.27"/>
    <n v="0.41"/>
    <n v="0.71"/>
    <n v="0.51"/>
    <n v="0.93"/>
    <n v="0.74"/>
    <n v="0.56000000000000005"/>
    <n v="0.89"/>
    <n v="0.67"/>
    <n v="0.65"/>
    <x v="1"/>
    <s v="High Exposure"/>
  </r>
  <r>
    <x v="1"/>
    <x v="1048"/>
    <n v="15"/>
    <x v="2"/>
    <n v="0.39"/>
    <n v="1.18"/>
    <x v="15"/>
    <x v="1"/>
    <n v="0.32"/>
    <n v="0.22"/>
    <n v="0.59"/>
    <n v="7.0000000000000007E-2"/>
    <n v="0.71"/>
    <n v="0.7"/>
    <n v="0.35"/>
    <n v="0.89"/>
    <n v="0.5"/>
    <n v="0.65"/>
    <x v="2"/>
    <s v="Medium Exposure"/>
  </r>
  <r>
    <x v="10"/>
    <x v="1049"/>
    <n v="13"/>
    <x v="2"/>
    <n v="0.42"/>
    <n v="1.36"/>
    <x v="65"/>
    <x v="2"/>
    <n v="0.39"/>
    <n v="0.32"/>
    <n v="0.15"/>
    <n v="0.28999999999999998"/>
    <n v="0.23"/>
    <n v="0.92"/>
    <n v="0.74"/>
    <n v="0.32"/>
    <n v="0.76"/>
    <n v="0.02"/>
    <x v="2"/>
    <s v="Medium Exposure"/>
  </r>
  <r>
    <x v="12"/>
    <x v="1050"/>
    <n v="20"/>
    <x v="2"/>
    <n v="0.25"/>
    <n v="0.61"/>
    <x v="38"/>
    <x v="2"/>
    <n v="0.2"/>
    <n v="0.82"/>
    <n v="0.41"/>
    <n v="0.01"/>
    <n v="0.73"/>
    <n v="0.6"/>
    <n v="0.34"/>
    <n v="0.28000000000000003"/>
    <n v="7.0000000000000007E-2"/>
    <n v="0.94"/>
    <x v="0"/>
    <s v="Low Exposure"/>
  </r>
  <r>
    <x v="18"/>
    <x v="1051"/>
    <n v="14"/>
    <x v="3"/>
    <n v="0.09"/>
    <n v="1.37"/>
    <x v="54"/>
    <x v="1"/>
    <n v="0.2"/>
    <n v="0.28000000000000003"/>
    <n v="0.56000000000000005"/>
    <n v="7.0000000000000007E-2"/>
    <n v="0.48"/>
    <n v="0.9"/>
    <n v="0.19"/>
    <n v="0.33"/>
    <n v="0.4"/>
    <n v="0.59"/>
    <x v="2"/>
    <s v="Low Exposure"/>
  </r>
  <r>
    <x v="15"/>
    <x v="1052"/>
    <n v="5"/>
    <x v="3"/>
    <n v="0.39"/>
    <n v="0.56999999999999995"/>
    <x v="41"/>
    <x v="1"/>
    <n v="0.19"/>
    <n v="0.65"/>
    <n v="0.03"/>
    <n v="0.28999999999999998"/>
    <n v="0.55000000000000004"/>
    <n v="0.28000000000000003"/>
    <n v="0.55000000000000004"/>
    <n v="0.11"/>
    <n v="0.94"/>
    <n v="0.28999999999999998"/>
    <x v="1"/>
    <s v="Medium Exposure"/>
  </r>
  <r>
    <x v="17"/>
    <x v="1053"/>
    <n v="28"/>
    <x v="3"/>
    <n v="0.33"/>
    <n v="1.28"/>
    <x v="10"/>
    <x v="2"/>
    <n v="0.67"/>
    <n v="0.32"/>
    <n v="0.51"/>
    <n v="0.67"/>
    <n v="0.59"/>
    <n v="0.57999999999999996"/>
    <n v="7.0000000000000007E-2"/>
    <n v="0.25"/>
    <n v="0.56999999999999995"/>
    <n v="0.02"/>
    <x v="0"/>
    <s v="Medium Exposure"/>
  </r>
  <r>
    <x v="8"/>
    <x v="1054"/>
    <n v="21"/>
    <x v="0"/>
    <n v="0.23"/>
    <n v="0.75"/>
    <x v="50"/>
    <x v="2"/>
    <n v="0.57999999999999996"/>
    <n v="0.91"/>
    <n v="0.39"/>
    <n v="0.93"/>
    <n v="0.65"/>
    <n v="0.91"/>
    <n v="0.83"/>
    <n v="0.69"/>
    <n v="0.36"/>
    <n v="0.24"/>
    <x v="0"/>
    <s v="Low Exposure"/>
  </r>
  <r>
    <x v="14"/>
    <x v="1055"/>
    <n v="14"/>
    <x v="3"/>
    <n v="0.95"/>
    <n v="1.46"/>
    <x v="51"/>
    <x v="0"/>
    <n v="0.88"/>
    <n v="0.92"/>
    <n v="0.51"/>
    <n v="0.63"/>
    <n v="0.42"/>
    <n v="0.42"/>
    <n v="0.04"/>
    <n v="0.43"/>
    <n v="0.67"/>
    <n v="0.42"/>
    <x v="2"/>
    <s v="High Exposure"/>
  </r>
  <r>
    <x v="14"/>
    <x v="1056"/>
    <n v="23"/>
    <x v="2"/>
    <n v="0.33"/>
    <n v="0.63"/>
    <x v="40"/>
    <x v="0"/>
    <n v="0.67"/>
    <n v="0.24"/>
    <n v="0.54"/>
    <n v="0.4"/>
    <n v="0.94"/>
    <n v="0.61"/>
    <n v="0.16"/>
    <n v="0.5"/>
    <n v="0.86"/>
    <n v="0.67"/>
    <x v="0"/>
    <s v="Medium Exposure"/>
  </r>
  <r>
    <x v="10"/>
    <x v="1057"/>
    <n v="20"/>
    <x v="2"/>
    <n v="0.25"/>
    <n v="1.39"/>
    <x v="3"/>
    <x v="2"/>
    <n v="0.73"/>
    <n v="0.35"/>
    <n v="0.89"/>
    <n v="0.64"/>
    <n v="0.85"/>
    <n v="0.36"/>
    <n v="0.15"/>
    <n v="0.33"/>
    <n v="0.46"/>
    <n v="0.53"/>
    <x v="0"/>
    <s v="Low Exposure"/>
  </r>
  <r>
    <x v="4"/>
    <x v="1058"/>
    <n v="10"/>
    <x v="3"/>
    <n v="0.55000000000000004"/>
    <n v="1.34"/>
    <x v="49"/>
    <x v="2"/>
    <n v="0.32"/>
    <n v="0.89"/>
    <n v="0.56000000000000005"/>
    <n v="0.57999999999999996"/>
    <n v="0.48"/>
    <n v="0.55000000000000004"/>
    <n v="0.2"/>
    <n v="0.55000000000000004"/>
    <n v="1"/>
    <n v="0.56999999999999995"/>
    <x v="2"/>
    <s v="Medium Exposure"/>
  </r>
  <r>
    <x v="4"/>
    <x v="1059"/>
    <n v="9"/>
    <x v="3"/>
    <n v="0.68"/>
    <n v="0.75"/>
    <x v="11"/>
    <x v="2"/>
    <n v="0.75"/>
    <n v="0.56000000000000005"/>
    <n v="0.08"/>
    <n v="0.19"/>
    <n v="0.22"/>
    <n v="0.26"/>
    <n v="0.56999999999999995"/>
    <n v="0.5"/>
    <n v="0.2"/>
    <n v="7.0000000000000007E-2"/>
    <x v="2"/>
    <s v="Medium Exposure"/>
  </r>
  <r>
    <x v="7"/>
    <x v="1060"/>
    <n v="3"/>
    <x v="2"/>
    <n v="0.98"/>
    <n v="0.97"/>
    <x v="15"/>
    <x v="1"/>
    <n v="0.85"/>
    <n v="0.51"/>
    <n v="0.71"/>
    <n v="0.19"/>
    <n v="0.69"/>
    <n v="0.27"/>
    <n v="0.83"/>
    <n v="0.08"/>
    <n v="0.77"/>
    <n v="0.1"/>
    <x v="1"/>
    <s v="High Exposure"/>
  </r>
  <r>
    <x v="4"/>
    <x v="1061"/>
    <n v="0"/>
    <x v="3"/>
    <n v="0.3"/>
    <n v="1.1499999999999999"/>
    <x v="11"/>
    <x v="2"/>
    <n v="0.37"/>
    <n v="0.65"/>
    <n v="0.95"/>
    <n v="0.04"/>
    <n v="0.92"/>
    <n v="0.61"/>
    <n v="0.81"/>
    <n v="0.38"/>
    <n v="0.47"/>
    <n v="0.87"/>
    <x v="1"/>
    <s v="Medium Exposure"/>
  </r>
  <r>
    <x v="13"/>
    <x v="1062"/>
    <n v="18"/>
    <x v="2"/>
    <n v="0.53"/>
    <n v="0.52"/>
    <x v="46"/>
    <x v="2"/>
    <n v="0.64"/>
    <n v="0.72"/>
    <n v="0.57999999999999996"/>
    <n v="0.14000000000000001"/>
    <n v="0.45"/>
    <n v="0.36"/>
    <n v="0.5"/>
    <n v="0.87"/>
    <n v="0.78"/>
    <n v="0.08"/>
    <x v="0"/>
    <s v="Medium Exposure"/>
  </r>
  <r>
    <x v="13"/>
    <x v="1063"/>
    <n v="2"/>
    <x v="2"/>
    <n v="0.47"/>
    <n v="1.24"/>
    <x v="46"/>
    <x v="2"/>
    <n v="0.67"/>
    <n v="0.24"/>
    <n v="0.44"/>
    <n v="0.02"/>
    <n v="0.15"/>
    <n v="0.09"/>
    <n v="0.24"/>
    <n v="0.1"/>
    <n v="0.69"/>
    <n v="0.03"/>
    <x v="1"/>
    <s v="Medium Exposure"/>
  </r>
  <r>
    <x v="14"/>
    <x v="1064"/>
    <n v="8"/>
    <x v="2"/>
    <n v="0.14000000000000001"/>
    <n v="1.45"/>
    <x v="17"/>
    <x v="0"/>
    <n v="0.23"/>
    <n v="0.61"/>
    <n v="0.03"/>
    <n v="0.93"/>
    <n v="0.52"/>
    <n v="0.04"/>
    <n v="0.34"/>
    <n v="0.08"/>
    <n v="0.39"/>
    <n v="0.67"/>
    <x v="2"/>
    <s v="Low Exposure"/>
  </r>
  <r>
    <x v="15"/>
    <x v="1065"/>
    <n v="7"/>
    <x v="2"/>
    <n v="0.38"/>
    <n v="0.62"/>
    <x v="37"/>
    <x v="1"/>
    <n v="0.1"/>
    <n v="0.81"/>
    <n v="0.14000000000000001"/>
    <n v="0.6"/>
    <n v="0.34"/>
    <n v="0.23"/>
    <n v="0.64"/>
    <n v="0.46"/>
    <n v="0.4"/>
    <n v="0.59"/>
    <x v="2"/>
    <s v="Medium Exposure"/>
  </r>
  <r>
    <x v="11"/>
    <x v="1066"/>
    <n v="26"/>
    <x v="0"/>
    <n v="0.3"/>
    <n v="1.06"/>
    <x v="64"/>
    <x v="2"/>
    <n v="0.03"/>
    <n v="0.47"/>
    <n v="0.06"/>
    <n v="0.19"/>
    <n v="0.56000000000000005"/>
    <n v="0.87"/>
    <n v="0.88"/>
    <n v="7.0000000000000007E-2"/>
    <n v="0.42"/>
    <n v="0.57999999999999996"/>
    <x v="0"/>
    <s v="Medium Exposure"/>
  </r>
  <r>
    <x v="3"/>
    <x v="1067"/>
    <n v="10"/>
    <x v="2"/>
    <n v="0.77"/>
    <n v="1.24"/>
    <x v="72"/>
    <x v="2"/>
    <n v="0.01"/>
    <n v="0.22"/>
    <n v="0.83"/>
    <n v="0.67"/>
    <n v="0.89"/>
    <n v="0.06"/>
    <n v="0.6"/>
    <n v="0.56999999999999995"/>
    <n v="0.04"/>
    <n v="0.51"/>
    <x v="2"/>
    <s v="High Exposure"/>
  </r>
  <r>
    <x v="10"/>
    <x v="1068"/>
    <n v="29"/>
    <x v="0"/>
    <n v="0.19"/>
    <n v="0.77"/>
    <x v="23"/>
    <x v="2"/>
    <n v="0.47"/>
    <n v="0.86"/>
    <n v="0.34"/>
    <n v="0.27"/>
    <n v="0.98"/>
    <n v="0.91"/>
    <n v="0.03"/>
    <n v="0.77"/>
    <n v="0.11"/>
    <n v="0.03"/>
    <x v="0"/>
    <s v="Low Exposure"/>
  </r>
  <r>
    <x v="1"/>
    <x v="1069"/>
    <n v="10"/>
    <x v="3"/>
    <n v="0.27"/>
    <n v="1.32"/>
    <x v="70"/>
    <x v="1"/>
    <n v="0.98"/>
    <n v="0.71"/>
    <n v="0.42"/>
    <n v="0.7"/>
    <n v="1"/>
    <n v="0.71"/>
    <n v="0.76"/>
    <n v="0.94"/>
    <n v="0.11"/>
    <n v="0.7"/>
    <x v="2"/>
    <s v="Low Exposure"/>
  </r>
  <r>
    <x v="2"/>
    <x v="1070"/>
    <n v="9"/>
    <x v="1"/>
    <n v="0.95"/>
    <n v="0.71"/>
    <x v="35"/>
    <x v="0"/>
    <n v="0.68"/>
    <n v="0.25"/>
    <n v="0.6"/>
    <n v="0.26"/>
    <n v="0.33"/>
    <n v="0.44"/>
    <n v="0.53"/>
    <n v="0.45"/>
    <n v="0.49"/>
    <n v="0.3"/>
    <x v="2"/>
    <s v="High Exposure"/>
  </r>
  <r>
    <x v="17"/>
    <x v="1071"/>
    <n v="12"/>
    <x v="2"/>
    <n v="0.38"/>
    <n v="1.37"/>
    <x v="84"/>
    <x v="2"/>
    <n v="0.35"/>
    <n v="1"/>
    <n v="0.48"/>
    <n v="0.81"/>
    <n v="0.8"/>
    <n v="0.93"/>
    <n v="0.08"/>
    <n v="0.27"/>
    <n v="0.77"/>
    <n v="0.56000000000000005"/>
    <x v="2"/>
    <s v="Medium Exposure"/>
  </r>
  <r>
    <x v="4"/>
    <x v="1072"/>
    <n v="23"/>
    <x v="3"/>
    <n v="0.17"/>
    <n v="0.78"/>
    <x v="50"/>
    <x v="2"/>
    <n v="0.28000000000000003"/>
    <n v="0.21"/>
    <n v="0.09"/>
    <n v="0.16"/>
    <n v="0.77"/>
    <n v="0.72"/>
    <n v="0.05"/>
    <n v="0.2"/>
    <n v="0.56000000000000005"/>
    <n v="0.32"/>
    <x v="0"/>
    <s v="Low Exposure"/>
  </r>
  <r>
    <x v="9"/>
    <x v="1073"/>
    <n v="28"/>
    <x v="2"/>
    <n v="0.78"/>
    <n v="1.39"/>
    <x v="56"/>
    <x v="0"/>
    <n v="0.35"/>
    <n v="0.61"/>
    <n v="0.09"/>
    <n v="0.01"/>
    <n v="0.02"/>
    <n v="0.41"/>
    <n v="0.23"/>
    <n v="0.16"/>
    <n v="0.62"/>
    <n v="1"/>
    <x v="0"/>
    <s v="High Exposure"/>
  </r>
  <r>
    <x v="19"/>
    <x v="1074"/>
    <n v="2"/>
    <x v="0"/>
    <n v="0.55000000000000004"/>
    <n v="0.62"/>
    <x v="79"/>
    <x v="2"/>
    <n v="0.28999999999999998"/>
    <n v="0.88"/>
    <n v="0.28000000000000003"/>
    <n v="0.81"/>
    <n v="0.21"/>
    <n v="0.28999999999999998"/>
    <n v="0.19"/>
    <n v="0.26"/>
    <n v="0.83"/>
    <n v="0.64"/>
    <x v="1"/>
    <s v="Medium Exposure"/>
  </r>
  <r>
    <x v="5"/>
    <x v="1075"/>
    <n v="14"/>
    <x v="3"/>
    <n v="0.97"/>
    <n v="0.96"/>
    <x v="21"/>
    <x v="1"/>
    <n v="0.2"/>
    <n v="0.9"/>
    <n v="0.01"/>
    <n v="0.55000000000000004"/>
    <n v="0.42"/>
    <n v="0.53"/>
    <n v="0.55000000000000004"/>
    <n v="0.39"/>
    <n v="1"/>
    <n v="0.98"/>
    <x v="2"/>
    <s v="High Exposure"/>
  </r>
  <r>
    <x v="6"/>
    <x v="1076"/>
    <n v="9"/>
    <x v="1"/>
    <n v="0.98"/>
    <n v="1.29"/>
    <x v="58"/>
    <x v="2"/>
    <n v="0.89"/>
    <n v="0.42"/>
    <n v="0.78"/>
    <n v="0.91"/>
    <n v="0.71"/>
    <n v="0.42"/>
    <n v="7.0000000000000007E-2"/>
    <n v="0.81"/>
    <n v="0.95"/>
    <n v="0.36"/>
    <x v="2"/>
    <s v="High Exposure"/>
  </r>
  <r>
    <x v="0"/>
    <x v="1077"/>
    <n v="15"/>
    <x v="2"/>
    <n v="0.33"/>
    <n v="1.08"/>
    <x v="80"/>
    <x v="0"/>
    <n v="0.61"/>
    <n v="0.97"/>
    <n v="0.67"/>
    <n v="0.36"/>
    <n v="0.94"/>
    <n v="0.56999999999999995"/>
    <n v="0.13"/>
    <n v="0.5"/>
    <n v="0.65"/>
    <n v="0.84"/>
    <x v="2"/>
    <s v="Medium Exposure"/>
  </r>
  <r>
    <x v="17"/>
    <x v="1078"/>
    <n v="24"/>
    <x v="2"/>
    <n v="0.3"/>
    <n v="0.68"/>
    <x v="33"/>
    <x v="2"/>
    <n v="0.23"/>
    <n v="0.08"/>
    <n v="0"/>
    <n v="0.61"/>
    <n v="0.36"/>
    <n v="0.75"/>
    <n v="0.38"/>
    <n v="0.49"/>
    <n v="0.41"/>
    <n v="0.65"/>
    <x v="0"/>
    <s v="Medium Exposure"/>
  </r>
  <r>
    <x v="2"/>
    <x v="1079"/>
    <n v="9"/>
    <x v="1"/>
    <n v="0.3"/>
    <n v="1.1200000000000001"/>
    <x v="77"/>
    <x v="0"/>
    <n v="0.39"/>
    <n v="0.54"/>
    <n v="0.09"/>
    <n v="0.74"/>
    <n v="0.4"/>
    <n v="0.48"/>
    <n v="0.97"/>
    <n v="0.34"/>
    <n v="0.65"/>
    <n v="0.39"/>
    <x v="2"/>
    <s v="Medium Exposure"/>
  </r>
  <r>
    <x v="6"/>
    <x v="1080"/>
    <n v="18"/>
    <x v="2"/>
    <n v="0.85"/>
    <n v="0.74"/>
    <x v="14"/>
    <x v="2"/>
    <n v="7.0000000000000007E-2"/>
    <n v="0.96"/>
    <n v="0.35"/>
    <n v="0.83"/>
    <n v="0.32"/>
    <n v="0.63"/>
    <n v="0.98"/>
    <n v="0.88"/>
    <n v="0.16"/>
    <n v="0.55000000000000004"/>
    <x v="0"/>
    <s v="High Exposure"/>
  </r>
  <r>
    <x v="7"/>
    <x v="1081"/>
    <n v="1"/>
    <x v="3"/>
    <n v="0.43"/>
    <n v="0.84"/>
    <x v="61"/>
    <x v="1"/>
    <n v="0.54"/>
    <n v="0.19"/>
    <n v="0.54"/>
    <n v="0.28000000000000003"/>
    <n v="0.28999999999999998"/>
    <n v="0.74"/>
    <n v="0.03"/>
    <n v="0.38"/>
    <n v="0.41"/>
    <n v="0.49"/>
    <x v="1"/>
    <s v="Medium Exposure"/>
  </r>
  <r>
    <x v="9"/>
    <x v="1082"/>
    <n v="3"/>
    <x v="0"/>
    <n v="0.37"/>
    <n v="0.71"/>
    <x v="24"/>
    <x v="0"/>
    <n v="0.98"/>
    <n v="0.02"/>
    <n v="0.55000000000000004"/>
    <n v="0.34"/>
    <n v="0.28000000000000003"/>
    <n v="0.34"/>
    <n v="0.64"/>
    <n v="0.19"/>
    <n v="0.91"/>
    <n v="0.47"/>
    <x v="1"/>
    <s v="Medium Exposure"/>
  </r>
  <r>
    <x v="16"/>
    <x v="1083"/>
    <n v="5"/>
    <x v="1"/>
    <n v="0.77"/>
    <n v="0.52"/>
    <x v="2"/>
    <x v="0"/>
    <n v="0.36"/>
    <n v="0.34"/>
    <n v="0.34"/>
    <n v="0.03"/>
    <n v="0.15"/>
    <n v="0.14000000000000001"/>
    <n v="0.99"/>
    <n v="0.02"/>
    <n v="0.17"/>
    <n v="0.97"/>
    <x v="1"/>
    <s v="High Exposure"/>
  </r>
  <r>
    <x v="9"/>
    <x v="1084"/>
    <n v="1"/>
    <x v="3"/>
    <n v="0.45"/>
    <n v="0.57999999999999996"/>
    <x v="59"/>
    <x v="0"/>
    <n v="0.14000000000000001"/>
    <n v="0.67"/>
    <n v="0.98"/>
    <n v="0.53"/>
    <n v="0.21"/>
    <n v="0.63"/>
    <n v="0.51"/>
    <n v="0.53"/>
    <n v="0.48"/>
    <n v="0.67"/>
    <x v="1"/>
    <s v="Medium Exposure"/>
  </r>
  <r>
    <x v="7"/>
    <x v="1085"/>
    <n v="29"/>
    <x v="0"/>
    <n v="0.99"/>
    <n v="1.33"/>
    <x v="54"/>
    <x v="1"/>
    <n v="0.73"/>
    <n v="0.21"/>
    <n v="0.78"/>
    <n v="0.15"/>
    <n v="0.47"/>
    <n v="0.79"/>
    <n v="0.28000000000000003"/>
    <n v="0.84"/>
    <n v="0.64"/>
    <n v="0.4"/>
    <x v="0"/>
    <s v="High Exposure"/>
  </r>
  <r>
    <x v="8"/>
    <x v="1086"/>
    <n v="4"/>
    <x v="2"/>
    <n v="0.93"/>
    <n v="0.72"/>
    <x v="14"/>
    <x v="2"/>
    <n v="0.71"/>
    <n v="0.92"/>
    <n v="0.71"/>
    <n v="0.57999999999999996"/>
    <n v="0.9"/>
    <n v="0.83"/>
    <n v="0.72"/>
    <n v="0.03"/>
    <n v="0.37"/>
    <n v="0.63"/>
    <x v="1"/>
    <s v="High Exposure"/>
  </r>
  <r>
    <x v="6"/>
    <x v="1087"/>
    <n v="23"/>
    <x v="3"/>
    <n v="0.32"/>
    <n v="0.64"/>
    <x v="43"/>
    <x v="2"/>
    <n v="0.28999999999999998"/>
    <n v="0.23"/>
    <n v="0.4"/>
    <n v="0.79"/>
    <n v="0.49"/>
    <n v="0.22"/>
    <n v="0.12"/>
    <n v="0.5"/>
    <n v="0.79"/>
    <n v="0.65"/>
    <x v="0"/>
    <s v="Medium Exposure"/>
  </r>
  <r>
    <x v="10"/>
    <x v="1088"/>
    <n v="0"/>
    <x v="3"/>
    <n v="0.44"/>
    <n v="1.36"/>
    <x v="49"/>
    <x v="2"/>
    <n v="0.53"/>
    <n v="0.36"/>
    <n v="0.12"/>
    <n v="0.05"/>
    <n v="0.56000000000000005"/>
    <n v="0.02"/>
    <n v="0.1"/>
    <n v="0.35"/>
    <n v="0.04"/>
    <n v="0.4"/>
    <x v="1"/>
    <s v="Medium Exposure"/>
  </r>
  <r>
    <x v="17"/>
    <x v="1089"/>
    <n v="17"/>
    <x v="1"/>
    <n v="0.35"/>
    <n v="1.29"/>
    <x v="33"/>
    <x v="2"/>
    <n v="0.45"/>
    <n v="0.09"/>
    <n v="0.62"/>
    <n v="0.16"/>
    <n v="0.08"/>
    <n v="0.66"/>
    <n v="0.91"/>
    <n v="0.46"/>
    <n v="0.04"/>
    <n v="0.88"/>
    <x v="0"/>
    <s v="Medium Exposure"/>
  </r>
  <r>
    <x v="0"/>
    <x v="1090"/>
    <n v="8"/>
    <x v="2"/>
    <n v="0.87"/>
    <n v="0.89"/>
    <x v="77"/>
    <x v="0"/>
    <n v="0.54"/>
    <n v="0.96"/>
    <n v="0.9"/>
    <n v="0.47"/>
    <n v="0.7"/>
    <n v="0.57999999999999996"/>
    <n v="0.69"/>
    <n v="0.83"/>
    <n v="0.03"/>
    <n v="0.33"/>
    <x v="2"/>
    <s v="High Exposure"/>
  </r>
  <r>
    <x v="1"/>
    <x v="1091"/>
    <n v="28"/>
    <x v="0"/>
    <n v="0.95"/>
    <n v="0.51"/>
    <x v="5"/>
    <x v="1"/>
    <n v="0.99"/>
    <n v="0.49"/>
    <n v="0.56999999999999995"/>
    <n v="0.17"/>
    <n v="0.89"/>
    <n v="0.23"/>
    <n v="0.19"/>
    <n v="0.23"/>
    <n v="0.92"/>
    <n v="0.7"/>
    <x v="0"/>
    <s v="High Exposure"/>
  </r>
  <r>
    <x v="2"/>
    <x v="1092"/>
    <n v="0"/>
    <x v="2"/>
    <n v="0.38"/>
    <n v="1.41"/>
    <x v="40"/>
    <x v="0"/>
    <n v="0.75"/>
    <n v="0.97"/>
    <n v="0.37"/>
    <n v="0.61"/>
    <n v="0.91"/>
    <n v="0.79"/>
    <n v="0.56000000000000005"/>
    <n v="0.08"/>
    <n v="0.65"/>
    <n v="0.53"/>
    <x v="1"/>
    <s v="Medium Exposure"/>
  </r>
  <r>
    <x v="19"/>
    <x v="1093"/>
    <n v="1"/>
    <x v="1"/>
    <n v="0.88"/>
    <n v="0.84"/>
    <x v="84"/>
    <x v="2"/>
    <n v="0.67"/>
    <n v="0.49"/>
    <n v="0.09"/>
    <n v="0.39"/>
    <n v="0.09"/>
    <n v="0.19"/>
    <n v="0.01"/>
    <n v="0.18"/>
    <n v="0.33"/>
    <n v="0.54"/>
    <x v="1"/>
    <s v="High Exposure"/>
  </r>
  <r>
    <x v="10"/>
    <x v="1094"/>
    <n v="18"/>
    <x v="3"/>
    <n v="0.54"/>
    <n v="1.21"/>
    <x v="30"/>
    <x v="2"/>
    <n v="0.75"/>
    <n v="0.62"/>
    <n v="0.46"/>
    <n v="0.19"/>
    <n v="0.3"/>
    <n v="0.62"/>
    <n v="0.43"/>
    <n v="0.89"/>
    <n v="0.23"/>
    <n v="7.0000000000000007E-2"/>
    <x v="0"/>
    <s v="Medium Exposure"/>
  </r>
  <r>
    <x v="2"/>
    <x v="1095"/>
    <n v="13"/>
    <x v="3"/>
    <n v="0.89"/>
    <n v="0.86"/>
    <x v="83"/>
    <x v="0"/>
    <n v="0.23"/>
    <n v="0.56000000000000005"/>
    <n v="0.79"/>
    <n v="0.87"/>
    <n v="0.11"/>
    <n v="0.36"/>
    <n v="0.64"/>
    <n v="0.03"/>
    <n v="0.69"/>
    <n v="0.53"/>
    <x v="2"/>
    <s v="High Exposure"/>
  </r>
  <r>
    <x v="13"/>
    <x v="1096"/>
    <n v="24"/>
    <x v="3"/>
    <n v="0.81"/>
    <n v="0.79"/>
    <x v="58"/>
    <x v="2"/>
    <n v="0.82"/>
    <n v="0.71"/>
    <n v="0.06"/>
    <n v="0.9"/>
    <n v="0.79"/>
    <n v="0.23"/>
    <n v="0.39"/>
    <n v="0.27"/>
    <n v="0.98"/>
    <n v="0.85"/>
    <x v="0"/>
    <s v="High Exposure"/>
  </r>
  <r>
    <x v="7"/>
    <x v="1097"/>
    <n v="11"/>
    <x v="3"/>
    <n v="0.79"/>
    <n v="0.96"/>
    <x v="5"/>
    <x v="1"/>
    <n v="0.21"/>
    <n v="0.15"/>
    <n v="0.55000000000000004"/>
    <n v="0.92"/>
    <n v="0.99"/>
    <n v="0.28999999999999998"/>
    <n v="0.7"/>
    <n v="0.6"/>
    <n v="0.49"/>
    <n v="0.67"/>
    <x v="2"/>
    <s v="High Exposure"/>
  </r>
  <r>
    <x v="7"/>
    <x v="1098"/>
    <n v="28"/>
    <x v="1"/>
    <n v="0.94"/>
    <n v="1.21"/>
    <x v="52"/>
    <x v="1"/>
    <n v="0.24"/>
    <n v="0.17"/>
    <n v="0.39"/>
    <n v="0.77"/>
    <n v="0.94"/>
    <n v="0.43"/>
    <n v="0.77"/>
    <n v="0.47"/>
    <n v="0.3"/>
    <n v="0.74"/>
    <x v="0"/>
    <s v="High Exposure"/>
  </r>
  <r>
    <x v="1"/>
    <x v="1099"/>
    <n v="11"/>
    <x v="0"/>
    <n v="0.2"/>
    <n v="0.81"/>
    <x v="7"/>
    <x v="1"/>
    <n v="0.19"/>
    <n v="0.93"/>
    <n v="0.59"/>
    <n v="0.12"/>
    <n v="0.18"/>
    <n v="0.95"/>
    <n v="0.74"/>
    <n v="0.73"/>
    <n v="7.0000000000000007E-2"/>
    <n v="0.9"/>
    <x v="2"/>
    <s v="Low Exposure"/>
  </r>
  <r>
    <x v="15"/>
    <x v="1100"/>
    <n v="2"/>
    <x v="1"/>
    <n v="0.66"/>
    <n v="1.46"/>
    <x v="47"/>
    <x v="1"/>
    <n v="0.48"/>
    <n v="0.05"/>
    <n v="0.5"/>
    <n v="0.25"/>
    <n v="0.91"/>
    <n v="0.4"/>
    <n v="0.63"/>
    <n v="0.86"/>
    <n v="0.98"/>
    <n v="0.5"/>
    <x v="1"/>
    <s v="Medium Exposure"/>
  </r>
  <r>
    <x v="14"/>
    <x v="1101"/>
    <n v="23"/>
    <x v="3"/>
    <n v="0.08"/>
    <n v="0.51"/>
    <x v="0"/>
    <x v="0"/>
    <n v="7.0000000000000007E-2"/>
    <n v="0.38"/>
    <n v="0"/>
    <n v="0.62"/>
    <n v="0.43"/>
    <n v="0.13"/>
    <n v="0.3"/>
    <n v="0.56999999999999995"/>
    <n v="0.66"/>
    <n v="0.46"/>
    <x v="0"/>
    <s v="Low Exposure"/>
  </r>
  <r>
    <x v="5"/>
    <x v="1102"/>
    <n v="9"/>
    <x v="1"/>
    <n v="0.11"/>
    <n v="0.57999999999999996"/>
    <x v="19"/>
    <x v="1"/>
    <n v="0.54"/>
    <n v="0.71"/>
    <n v="0.13"/>
    <n v="0.64"/>
    <n v="0.48"/>
    <n v="0.99"/>
    <n v="0.72"/>
    <n v="0.66"/>
    <n v="0.56999999999999995"/>
    <n v="1"/>
    <x v="2"/>
    <s v="Low Exposure"/>
  </r>
  <r>
    <x v="19"/>
    <x v="1103"/>
    <n v="16"/>
    <x v="1"/>
    <n v="0.54"/>
    <n v="0.96"/>
    <x v="8"/>
    <x v="2"/>
    <n v="0.43"/>
    <n v="0.53"/>
    <n v="0.27"/>
    <n v="0.93"/>
    <n v="0.49"/>
    <n v="0.84"/>
    <n v="0.48"/>
    <n v="0.72"/>
    <n v="0.34"/>
    <n v="0.62"/>
    <x v="0"/>
    <s v="Medium Exposure"/>
  </r>
  <r>
    <x v="6"/>
    <x v="1104"/>
    <n v="23"/>
    <x v="1"/>
    <n v="0.37"/>
    <n v="1.38"/>
    <x v="53"/>
    <x v="2"/>
    <n v="0.49"/>
    <n v="0.19"/>
    <n v="0.86"/>
    <n v="0.25"/>
    <n v="0.63"/>
    <n v="0.17"/>
    <n v="0.4"/>
    <n v="0.9"/>
    <n v="0.17"/>
    <n v="0.66"/>
    <x v="0"/>
    <s v="Medium Exposure"/>
  </r>
  <r>
    <x v="1"/>
    <x v="1105"/>
    <n v="17"/>
    <x v="0"/>
    <n v="0.42"/>
    <n v="1.04"/>
    <x v="27"/>
    <x v="1"/>
    <n v="0.6"/>
    <n v="0.64"/>
    <n v="0.27"/>
    <n v="0.4"/>
    <n v="0.04"/>
    <n v="0.77"/>
    <n v="0.84"/>
    <n v="0.2"/>
    <n v="0.2"/>
    <n v="0.04"/>
    <x v="0"/>
    <s v="Medium Exposure"/>
  </r>
  <r>
    <x v="2"/>
    <x v="1106"/>
    <n v="3"/>
    <x v="0"/>
    <n v="0.81"/>
    <n v="0.86"/>
    <x v="90"/>
    <x v="0"/>
    <n v="0.28999999999999998"/>
    <n v="0.6"/>
    <n v="0.72"/>
    <n v="0.45"/>
    <n v="0.87"/>
    <n v="0.52"/>
    <n v="0.14000000000000001"/>
    <n v="0.62"/>
    <n v="0.46"/>
    <n v="0.94"/>
    <x v="1"/>
    <s v="High Exposure"/>
  </r>
  <r>
    <x v="13"/>
    <x v="1107"/>
    <n v="26"/>
    <x v="0"/>
    <n v="0.4"/>
    <n v="1.1499999999999999"/>
    <x v="50"/>
    <x v="2"/>
    <n v="0.37"/>
    <n v="0.99"/>
    <n v="0.3"/>
    <n v="0.28000000000000003"/>
    <n v="0.86"/>
    <n v="0"/>
    <n v="0.2"/>
    <n v="0.59"/>
    <n v="0.16"/>
    <n v="0.99"/>
    <x v="0"/>
    <s v="Medium Exposure"/>
  </r>
  <r>
    <x v="6"/>
    <x v="1108"/>
    <n v="15"/>
    <x v="3"/>
    <n v="0.6"/>
    <n v="0.66"/>
    <x v="71"/>
    <x v="2"/>
    <n v="0.61"/>
    <n v="0.55000000000000004"/>
    <n v="0.78"/>
    <n v="0.27"/>
    <n v="0.65"/>
    <n v="0.28999999999999998"/>
    <n v="0.59"/>
    <n v="0.61"/>
    <n v="0.12"/>
    <n v="0.55000000000000004"/>
    <x v="2"/>
    <s v="Medium Exposure"/>
  </r>
  <r>
    <x v="10"/>
    <x v="1109"/>
    <n v="8"/>
    <x v="2"/>
    <n v="0.5"/>
    <n v="1.2"/>
    <x v="20"/>
    <x v="2"/>
    <n v="0.94"/>
    <n v="0.46"/>
    <n v="0.94"/>
    <n v="0.11"/>
    <n v="0.95"/>
    <n v="0.11"/>
    <n v="0.46"/>
    <n v="0.94"/>
    <n v="0.23"/>
    <n v="0.03"/>
    <x v="2"/>
    <s v="Medium Exposure"/>
  </r>
  <r>
    <x v="10"/>
    <x v="1110"/>
    <n v="13"/>
    <x v="1"/>
    <n v="0.6"/>
    <n v="1.01"/>
    <x v="57"/>
    <x v="2"/>
    <n v="0.65"/>
    <n v="0.17"/>
    <n v="0.93"/>
    <n v="0.69"/>
    <n v="0.71"/>
    <n v="0.23"/>
    <n v="0.88"/>
    <n v="0.54"/>
    <n v="0.86"/>
    <n v="0.27"/>
    <x v="2"/>
    <s v="Medium Exposure"/>
  </r>
  <r>
    <x v="14"/>
    <x v="1111"/>
    <n v="2"/>
    <x v="2"/>
    <n v="0.39"/>
    <n v="0.72"/>
    <x v="81"/>
    <x v="0"/>
    <n v="0.78"/>
    <n v="0.92"/>
    <n v="0.38"/>
    <n v="0.51"/>
    <n v="0.36"/>
    <n v="0.26"/>
    <n v="0.75"/>
    <n v="0.34"/>
    <n v="0.43"/>
    <n v="0.4"/>
    <x v="1"/>
    <s v="Medium Exposure"/>
  </r>
  <r>
    <x v="16"/>
    <x v="1112"/>
    <n v="29"/>
    <x v="2"/>
    <n v="0.92"/>
    <n v="1.17"/>
    <x v="90"/>
    <x v="0"/>
    <n v="0.78"/>
    <n v="0.64"/>
    <n v="0.06"/>
    <n v="0.1"/>
    <n v="0.04"/>
    <n v="0.46"/>
    <n v="0.83"/>
    <n v="0.31"/>
    <n v="0.38"/>
    <n v="0.91"/>
    <x v="0"/>
    <s v="High Exposure"/>
  </r>
  <r>
    <x v="4"/>
    <x v="1113"/>
    <n v="3"/>
    <x v="3"/>
    <n v="0.67"/>
    <n v="0.77"/>
    <x v="53"/>
    <x v="2"/>
    <n v="0.02"/>
    <n v="0.11"/>
    <n v="0.28999999999999998"/>
    <n v="0.55000000000000004"/>
    <n v="0.06"/>
    <n v="0.14000000000000001"/>
    <n v="0.18"/>
    <n v="0.63"/>
    <n v="0.62"/>
    <n v="0.55000000000000004"/>
    <x v="1"/>
    <s v="Medium Exposure"/>
  </r>
  <r>
    <x v="9"/>
    <x v="1114"/>
    <n v="21"/>
    <x v="0"/>
    <n v="0.37"/>
    <n v="0.6"/>
    <x v="39"/>
    <x v="0"/>
    <n v="0.9"/>
    <n v="0.98"/>
    <n v="0.65"/>
    <n v="0.92"/>
    <n v="0.64"/>
    <n v="0.03"/>
    <n v="1"/>
    <n v="0.1"/>
    <n v="0.68"/>
    <n v="0.25"/>
    <x v="0"/>
    <s v="Medium Exposure"/>
  </r>
  <r>
    <x v="2"/>
    <x v="1115"/>
    <n v="26"/>
    <x v="0"/>
    <n v="0.65"/>
    <n v="0.94"/>
    <x v="39"/>
    <x v="0"/>
    <n v="0.33"/>
    <n v="0.34"/>
    <n v="0.96"/>
    <n v="0.8"/>
    <n v="0.46"/>
    <n v="0.2"/>
    <n v="0.81"/>
    <n v="0.16"/>
    <n v="0.21"/>
    <n v="0.37"/>
    <x v="0"/>
    <s v="Medium Exposure"/>
  </r>
  <r>
    <x v="7"/>
    <x v="1116"/>
    <n v="29"/>
    <x v="1"/>
    <n v="0.13"/>
    <n v="0.62"/>
    <x v="7"/>
    <x v="1"/>
    <n v="0.28000000000000003"/>
    <n v="0.56999999999999995"/>
    <n v="0.45"/>
    <n v="0.43"/>
    <n v="0.11"/>
    <n v="0.14000000000000001"/>
    <n v="0.82"/>
    <n v="0.89"/>
    <n v="0.23"/>
    <n v="0.11"/>
    <x v="0"/>
    <s v="Low Exposure"/>
  </r>
  <r>
    <x v="7"/>
    <x v="1117"/>
    <n v="12"/>
    <x v="0"/>
    <n v="0.61"/>
    <n v="1.22"/>
    <x v="41"/>
    <x v="1"/>
    <n v="0.68"/>
    <n v="0.71"/>
    <n v="0.94"/>
    <n v="0.06"/>
    <n v="0.19"/>
    <n v="7.0000000000000007E-2"/>
    <n v="0.87"/>
    <n v="0.79"/>
    <n v="0.56999999999999995"/>
    <n v="0.08"/>
    <x v="2"/>
    <s v="Medium Exposure"/>
  </r>
  <r>
    <x v="11"/>
    <x v="1118"/>
    <n v="3"/>
    <x v="3"/>
    <n v="0.3"/>
    <n v="1.06"/>
    <x v="10"/>
    <x v="2"/>
    <n v="7.0000000000000007E-2"/>
    <n v="0.73"/>
    <n v="0.3"/>
    <n v="0.45"/>
    <n v="0.13"/>
    <n v="0.8"/>
    <n v="0.56999999999999995"/>
    <n v="0.9"/>
    <n v="0.5"/>
    <n v="0.94"/>
    <x v="1"/>
    <s v="Medium Exposure"/>
  </r>
  <r>
    <x v="5"/>
    <x v="1119"/>
    <n v="18"/>
    <x v="2"/>
    <n v="0.57999999999999996"/>
    <n v="1.43"/>
    <x v="61"/>
    <x v="1"/>
    <n v="0.37"/>
    <n v="0.05"/>
    <n v="0.59"/>
    <n v="0.72"/>
    <n v="0.77"/>
    <n v="0.15"/>
    <n v="0.44"/>
    <n v="0.18"/>
    <n v="0.66"/>
    <n v="0.16"/>
    <x v="0"/>
    <s v="Medium Exposure"/>
  </r>
  <r>
    <x v="15"/>
    <x v="1120"/>
    <n v="3"/>
    <x v="3"/>
    <n v="0.14000000000000001"/>
    <n v="0.62"/>
    <x v="54"/>
    <x v="1"/>
    <n v="1"/>
    <n v="0.33"/>
    <n v="0.94"/>
    <n v="0.39"/>
    <n v="0.44"/>
    <n v="0.8"/>
    <n v="0.09"/>
    <n v="0.18"/>
    <n v="0.97"/>
    <n v="0.51"/>
    <x v="1"/>
    <s v="Low Exposure"/>
  </r>
  <r>
    <x v="18"/>
    <x v="1121"/>
    <n v="5"/>
    <x v="0"/>
    <n v="0.91"/>
    <n v="1.37"/>
    <x v="74"/>
    <x v="1"/>
    <n v="0.16"/>
    <n v="0.83"/>
    <n v="0.32"/>
    <n v="0.42"/>
    <n v="0.68"/>
    <n v="0.35"/>
    <n v="0.63"/>
    <n v="0.89"/>
    <n v="0.8"/>
    <n v="0.38"/>
    <x v="1"/>
    <s v="High Exposure"/>
  </r>
  <r>
    <x v="7"/>
    <x v="1122"/>
    <n v="26"/>
    <x v="0"/>
    <n v="0.28999999999999998"/>
    <n v="0.85"/>
    <x v="7"/>
    <x v="1"/>
    <n v="0.42"/>
    <n v="0.13"/>
    <n v="0.16"/>
    <n v="0.34"/>
    <n v="0.56000000000000005"/>
    <n v="0.59"/>
    <n v="0.49"/>
    <n v="0.74"/>
    <n v="0.74"/>
    <n v="0.43"/>
    <x v="0"/>
    <s v="Low Exposure"/>
  </r>
  <r>
    <x v="4"/>
    <x v="1123"/>
    <n v="29"/>
    <x v="0"/>
    <n v="0.53"/>
    <n v="0.88"/>
    <x v="46"/>
    <x v="2"/>
    <n v="0.98"/>
    <n v="0.37"/>
    <n v="0.63"/>
    <n v="0.49"/>
    <n v="0.14000000000000001"/>
    <n v="0.06"/>
    <n v="0.63"/>
    <n v="0.25"/>
    <n v="0.24"/>
    <n v="0.96"/>
    <x v="0"/>
    <s v="Medium Exposure"/>
  </r>
  <r>
    <x v="0"/>
    <x v="1124"/>
    <n v="19"/>
    <x v="0"/>
    <n v="0.03"/>
    <n v="0.84"/>
    <x v="0"/>
    <x v="0"/>
    <n v="0.33"/>
    <n v="0.03"/>
    <n v="0.44"/>
    <n v="0.11"/>
    <n v="0.62"/>
    <n v="0.62"/>
    <n v="0.04"/>
    <n v="0.28999999999999998"/>
    <n v="0.41"/>
    <n v="0.55000000000000004"/>
    <x v="0"/>
    <s v="Low Exposure"/>
  </r>
  <r>
    <x v="4"/>
    <x v="1125"/>
    <n v="4"/>
    <x v="3"/>
    <n v="0.28999999999999998"/>
    <n v="1.48"/>
    <x v="86"/>
    <x v="2"/>
    <n v="0.99"/>
    <n v="0.05"/>
    <n v="0.28999999999999998"/>
    <n v="0.49"/>
    <n v="0.14000000000000001"/>
    <n v="0.13"/>
    <n v="0.26"/>
    <n v="0.97"/>
    <n v="0.38"/>
    <n v="0.56999999999999995"/>
    <x v="1"/>
    <s v="Low Exposure"/>
  </r>
  <r>
    <x v="9"/>
    <x v="1126"/>
    <n v="18"/>
    <x v="0"/>
    <n v="0.74"/>
    <n v="1.19"/>
    <x v="80"/>
    <x v="0"/>
    <n v="0.11"/>
    <n v="0.28000000000000003"/>
    <n v="0.21"/>
    <n v="0.14000000000000001"/>
    <n v="0.02"/>
    <n v="0.94"/>
    <n v="0.92"/>
    <n v="0.05"/>
    <n v="0.17"/>
    <n v="0.14000000000000001"/>
    <x v="0"/>
    <s v="High Exposure"/>
  </r>
  <r>
    <x v="11"/>
    <x v="1127"/>
    <n v="0"/>
    <x v="3"/>
    <n v="0.2"/>
    <n v="1.45"/>
    <x v="20"/>
    <x v="2"/>
    <n v="0.21"/>
    <n v="0.08"/>
    <n v="0.98"/>
    <n v="0.92"/>
    <n v="0.72"/>
    <n v="0.43"/>
    <n v="0.19"/>
    <n v="0.22"/>
    <n v="0.44"/>
    <n v="0.77"/>
    <x v="1"/>
    <s v="Low Exposure"/>
  </r>
  <r>
    <x v="2"/>
    <x v="1128"/>
    <n v="27"/>
    <x v="3"/>
    <n v="0.31"/>
    <n v="1.1000000000000001"/>
    <x v="39"/>
    <x v="0"/>
    <n v="0.57999999999999996"/>
    <n v="0.39"/>
    <n v="0.03"/>
    <n v="0.4"/>
    <n v="0.92"/>
    <n v="0.28999999999999998"/>
    <n v="0.32"/>
    <n v="7.0000000000000007E-2"/>
    <n v="0.62"/>
    <n v="0.85"/>
    <x v="0"/>
    <s v="Medium Exposure"/>
  </r>
  <r>
    <x v="10"/>
    <x v="1129"/>
    <n v="4"/>
    <x v="1"/>
    <n v="0.24"/>
    <n v="1.46"/>
    <x v="3"/>
    <x v="2"/>
    <n v="0.56999999999999995"/>
    <n v="0.31"/>
    <n v="0.22"/>
    <n v="0.72"/>
    <n v="0.52"/>
    <n v="0.52"/>
    <n v="7.0000000000000007E-2"/>
    <n v="0.51"/>
    <n v="0.82"/>
    <n v="0.95"/>
    <x v="1"/>
    <s v="Low Exposure"/>
  </r>
  <r>
    <x v="7"/>
    <x v="1130"/>
    <n v="22"/>
    <x v="1"/>
    <n v="0.56999999999999995"/>
    <n v="1.22"/>
    <x v="52"/>
    <x v="1"/>
    <n v="0.9"/>
    <n v="0"/>
    <n v="0"/>
    <n v="0.47"/>
    <n v="0.03"/>
    <n v="0.97"/>
    <n v="0.22"/>
    <n v="0.47"/>
    <n v="0.06"/>
    <n v="0.52"/>
    <x v="0"/>
    <s v="Medium Exposure"/>
  </r>
  <r>
    <x v="15"/>
    <x v="1131"/>
    <n v="29"/>
    <x v="1"/>
    <n v="0.04"/>
    <n v="0.84"/>
    <x v="18"/>
    <x v="1"/>
    <n v="0.99"/>
    <n v="0.21"/>
    <n v="0.54"/>
    <n v="0.99"/>
    <n v="0.79"/>
    <n v="0.99"/>
    <n v="0.97"/>
    <n v="0.49"/>
    <n v="0.7"/>
    <n v="0.11"/>
    <x v="0"/>
    <s v="Low Exposure"/>
  </r>
  <r>
    <x v="8"/>
    <x v="1132"/>
    <n v="5"/>
    <x v="2"/>
    <n v="0.81"/>
    <n v="1.01"/>
    <x v="14"/>
    <x v="2"/>
    <n v="0.75"/>
    <n v="0.25"/>
    <n v="0.88"/>
    <n v="0.46"/>
    <n v="0.21"/>
    <n v="0.87"/>
    <n v="0.42"/>
    <n v="0.75"/>
    <n v="0.55000000000000004"/>
    <n v="0.38"/>
    <x v="1"/>
    <s v="High Exposure"/>
  </r>
  <r>
    <x v="6"/>
    <x v="1133"/>
    <n v="17"/>
    <x v="0"/>
    <n v="0.57999999999999996"/>
    <n v="0.89"/>
    <x v="55"/>
    <x v="2"/>
    <n v="0.9"/>
    <n v="0.04"/>
    <n v="0.86"/>
    <n v="0.36"/>
    <n v="0.64"/>
    <n v="0.92"/>
    <n v="0.15"/>
    <n v="0.56999999999999995"/>
    <n v="0.76"/>
    <n v="0.76"/>
    <x v="0"/>
    <s v="Medium Exposure"/>
  </r>
  <r>
    <x v="2"/>
    <x v="1134"/>
    <n v="24"/>
    <x v="0"/>
    <n v="0.62"/>
    <n v="1.26"/>
    <x v="32"/>
    <x v="0"/>
    <n v="0.76"/>
    <n v="0.35"/>
    <n v="1"/>
    <n v="0.43"/>
    <n v="0.02"/>
    <n v="0.36"/>
    <n v="0.13"/>
    <n v="0.12"/>
    <n v="0.28000000000000003"/>
    <n v="0.05"/>
    <x v="0"/>
    <s v="Medium Exposure"/>
  </r>
  <r>
    <x v="2"/>
    <x v="1135"/>
    <n v="1"/>
    <x v="2"/>
    <n v="7.0000000000000007E-2"/>
    <n v="0.7"/>
    <x v="28"/>
    <x v="0"/>
    <n v="0.06"/>
    <n v="0.27"/>
    <n v="0.56999999999999995"/>
    <n v="0.96"/>
    <n v="0.88"/>
    <n v="0.88"/>
    <n v="0.18"/>
    <n v="0.26"/>
    <n v="0.08"/>
    <n v="0.78"/>
    <x v="1"/>
    <s v="Low Exposure"/>
  </r>
  <r>
    <x v="2"/>
    <x v="1136"/>
    <n v="3"/>
    <x v="0"/>
    <n v="0.56000000000000005"/>
    <n v="0.75"/>
    <x v="39"/>
    <x v="0"/>
    <n v="0.99"/>
    <n v="0.76"/>
    <n v="0.84"/>
    <n v="0.56999999999999995"/>
    <n v="0.87"/>
    <n v="0.65"/>
    <n v="0.95"/>
    <n v="0.28000000000000003"/>
    <n v="0.6"/>
    <n v="0.69"/>
    <x v="1"/>
    <s v="Medium Exposure"/>
  </r>
  <r>
    <x v="0"/>
    <x v="1137"/>
    <n v="25"/>
    <x v="2"/>
    <n v="0.88"/>
    <n v="1.48"/>
    <x v="90"/>
    <x v="0"/>
    <n v="0.39"/>
    <n v="0.47"/>
    <n v="0.85"/>
    <n v="0.65"/>
    <n v="0.04"/>
    <n v="0.54"/>
    <n v="0.02"/>
    <n v="0.78"/>
    <n v="0.33"/>
    <n v="0.47"/>
    <x v="0"/>
    <s v="High Exposure"/>
  </r>
  <r>
    <x v="4"/>
    <x v="1138"/>
    <n v="9"/>
    <x v="1"/>
    <n v="0.05"/>
    <n v="0.66"/>
    <x v="36"/>
    <x v="2"/>
    <n v="0.23"/>
    <n v="0.34"/>
    <n v="1"/>
    <n v="0.83"/>
    <n v="0.88"/>
    <n v="0.94"/>
    <n v="0.34"/>
    <n v="0.3"/>
    <n v="0.23"/>
    <n v="0.83"/>
    <x v="2"/>
    <s v="Low Exposure"/>
  </r>
  <r>
    <x v="6"/>
    <x v="1139"/>
    <n v="5"/>
    <x v="3"/>
    <n v="0.91"/>
    <n v="0.73"/>
    <x v="14"/>
    <x v="2"/>
    <n v="0.55000000000000004"/>
    <n v="0.54"/>
    <n v="0.72"/>
    <n v="0.21"/>
    <n v="0.16"/>
    <n v="0.65"/>
    <n v="0.28999999999999998"/>
    <n v="0.97"/>
    <n v="0.45"/>
    <n v="0.11"/>
    <x v="1"/>
    <s v="High Exposure"/>
  </r>
  <r>
    <x v="12"/>
    <x v="1140"/>
    <n v="9"/>
    <x v="3"/>
    <n v="0.31"/>
    <n v="0.65"/>
    <x v="25"/>
    <x v="2"/>
    <n v="0.96"/>
    <n v="0.41"/>
    <n v="0.35"/>
    <n v="0.44"/>
    <n v="0.01"/>
    <n v="0.13"/>
    <n v="0.85"/>
    <n v="0.98"/>
    <n v="0.16"/>
    <n v="0.54"/>
    <x v="2"/>
    <s v="Medium Exposure"/>
  </r>
  <r>
    <x v="9"/>
    <x v="1141"/>
    <n v="8"/>
    <x v="1"/>
    <n v="0.16"/>
    <n v="0.69"/>
    <x v="17"/>
    <x v="0"/>
    <n v="0.71"/>
    <n v="0.15"/>
    <n v="0.39"/>
    <n v="0.06"/>
    <n v="0.43"/>
    <n v="0.78"/>
    <n v="0.55000000000000004"/>
    <n v="0.65"/>
    <n v="0.33"/>
    <n v="0.16"/>
    <x v="2"/>
    <s v="Low Exposure"/>
  </r>
  <r>
    <x v="18"/>
    <x v="1142"/>
    <n v="9"/>
    <x v="2"/>
    <n v="0.82"/>
    <n v="1.1399999999999999"/>
    <x v="37"/>
    <x v="1"/>
    <n v="0.42"/>
    <n v="0.8"/>
    <n v="0.54"/>
    <n v="0.3"/>
    <n v="0.27"/>
    <n v="0.22"/>
    <n v="0.82"/>
    <n v="0.57999999999999996"/>
    <n v="0.71"/>
    <n v="0.86"/>
    <x v="2"/>
    <s v="High Exposure"/>
  </r>
  <r>
    <x v="3"/>
    <x v="1143"/>
    <n v="25"/>
    <x v="1"/>
    <n v="0.25"/>
    <n v="0.68"/>
    <x v="8"/>
    <x v="2"/>
    <n v="0.04"/>
    <n v="0.79"/>
    <n v="0.88"/>
    <n v="0.69"/>
    <n v="0.27"/>
    <n v="0.12"/>
    <n v="0.38"/>
    <n v="0.83"/>
    <n v="0.35"/>
    <n v="0.03"/>
    <x v="0"/>
    <s v="Low Exposure"/>
  </r>
  <r>
    <x v="14"/>
    <x v="1144"/>
    <n v="4"/>
    <x v="1"/>
    <n v="0.99"/>
    <n v="1.18"/>
    <x v="17"/>
    <x v="0"/>
    <n v="0.77"/>
    <n v="0.54"/>
    <n v="0.15"/>
    <n v="0.35"/>
    <n v="0.57999999999999996"/>
    <n v="0.87"/>
    <n v="0.27"/>
    <n v="0.12"/>
    <n v="0.56000000000000005"/>
    <n v="0.18"/>
    <x v="1"/>
    <s v="High Exposure"/>
  </r>
  <r>
    <x v="12"/>
    <x v="1145"/>
    <n v="28"/>
    <x v="1"/>
    <n v="0.26"/>
    <n v="0.73"/>
    <x v="36"/>
    <x v="2"/>
    <n v="0.59"/>
    <n v="0.55000000000000004"/>
    <n v="0.24"/>
    <n v="0.89"/>
    <n v="0.11"/>
    <n v="0.04"/>
    <n v="0.6"/>
    <n v="0.12"/>
    <n v="0.5"/>
    <n v="0.95"/>
    <x v="0"/>
    <s v="Low Exposure"/>
  </r>
  <r>
    <x v="2"/>
    <x v="1146"/>
    <n v="20"/>
    <x v="1"/>
    <n v="0.62"/>
    <n v="1.07"/>
    <x v="44"/>
    <x v="0"/>
    <n v="0.43"/>
    <n v="0.34"/>
    <n v="0.95"/>
    <n v="0.24"/>
    <n v="0.47"/>
    <n v="0.94"/>
    <n v="0.79"/>
    <n v="0.96"/>
    <n v="0.61"/>
    <n v="0.33"/>
    <x v="0"/>
    <s v="Medium Exposure"/>
  </r>
  <r>
    <x v="12"/>
    <x v="1147"/>
    <n v="5"/>
    <x v="2"/>
    <n v="0.28999999999999998"/>
    <n v="0.66"/>
    <x v="14"/>
    <x v="2"/>
    <n v="0.64"/>
    <n v="0.88"/>
    <n v="0.96"/>
    <n v="0.86"/>
    <n v="0.06"/>
    <n v="0.66"/>
    <n v="0.78"/>
    <n v="0.98"/>
    <n v="0.37"/>
    <n v="0.17"/>
    <x v="1"/>
    <s v="Low Exposure"/>
  </r>
  <r>
    <x v="12"/>
    <x v="1148"/>
    <n v="28"/>
    <x v="2"/>
    <n v="0.32"/>
    <n v="1.1000000000000001"/>
    <x v="36"/>
    <x v="2"/>
    <n v="0.4"/>
    <n v="0.73"/>
    <n v="0.36"/>
    <n v="0.69"/>
    <n v="0.01"/>
    <n v="0.32"/>
    <n v="0.32"/>
    <n v="0.75"/>
    <n v="0.31"/>
    <n v="0.63"/>
    <x v="0"/>
    <s v="Medium Exposure"/>
  </r>
  <r>
    <x v="10"/>
    <x v="1149"/>
    <n v="19"/>
    <x v="1"/>
    <n v="0.66"/>
    <n v="1.1000000000000001"/>
    <x v="25"/>
    <x v="2"/>
    <n v="0.37"/>
    <n v="0.56000000000000005"/>
    <n v="0.06"/>
    <n v="0.88"/>
    <n v="0.83"/>
    <n v="0.35"/>
    <n v="0.56999999999999995"/>
    <n v="0.93"/>
    <n v="0.27"/>
    <n v="0.74"/>
    <x v="0"/>
    <s v="Medium Exposure"/>
  </r>
  <r>
    <x v="6"/>
    <x v="1150"/>
    <n v="4"/>
    <x v="2"/>
    <n v="0.53"/>
    <n v="0.68"/>
    <x v="33"/>
    <x v="2"/>
    <n v="0.28999999999999998"/>
    <n v="0.79"/>
    <n v="0.81"/>
    <n v="0.46"/>
    <n v="0.18"/>
    <n v="0.65"/>
    <n v="0.99"/>
    <n v="0.62"/>
    <n v="0.04"/>
    <n v="0.02"/>
    <x v="1"/>
    <s v="Medium Exposure"/>
  </r>
  <r>
    <x v="7"/>
    <x v="1151"/>
    <n v="1"/>
    <x v="1"/>
    <n v="0.2"/>
    <n v="1.31"/>
    <x v="75"/>
    <x v="1"/>
    <n v="0.26"/>
    <n v="0.33"/>
    <n v="0.24"/>
    <n v="0.91"/>
    <n v="0.5"/>
    <n v="0.66"/>
    <n v="0.42"/>
    <n v="0.63"/>
    <n v="0.39"/>
    <n v="0.34"/>
    <x v="1"/>
    <s v="Low Exposure"/>
  </r>
  <r>
    <x v="7"/>
    <x v="1152"/>
    <n v="28"/>
    <x v="1"/>
    <n v="0.59"/>
    <n v="0.79"/>
    <x v="63"/>
    <x v="1"/>
    <n v="0.37"/>
    <n v="0.42"/>
    <n v="0.63"/>
    <n v="0.91"/>
    <n v="0.04"/>
    <n v="0.24"/>
    <n v="0.19"/>
    <n v="0.5"/>
    <n v="0.43"/>
    <n v="0.73"/>
    <x v="0"/>
    <s v="Medium Exposure"/>
  </r>
  <r>
    <x v="16"/>
    <x v="1153"/>
    <n v="18"/>
    <x v="2"/>
    <n v="0.95"/>
    <n v="1.3"/>
    <x v="73"/>
    <x v="0"/>
    <n v="0.28999999999999998"/>
    <n v="0.98"/>
    <n v="0.37"/>
    <n v="0.78"/>
    <n v="0.45"/>
    <n v="0.86"/>
    <n v="0.7"/>
    <n v="0.02"/>
    <n v="0.28999999999999998"/>
    <n v="0.56000000000000005"/>
    <x v="0"/>
    <s v="High Exposure"/>
  </r>
  <r>
    <x v="17"/>
    <x v="1154"/>
    <n v="11"/>
    <x v="3"/>
    <n v="0.1"/>
    <n v="1.1000000000000001"/>
    <x v="71"/>
    <x v="2"/>
    <n v="0.89"/>
    <n v="0.77"/>
    <n v="0.37"/>
    <n v="0.17"/>
    <n v="0.01"/>
    <n v="0.62"/>
    <n v="0.41"/>
    <n v="0.31"/>
    <n v="0.99"/>
    <n v="0.47"/>
    <x v="2"/>
    <s v="Low Exposure"/>
  </r>
  <r>
    <x v="2"/>
    <x v="1155"/>
    <n v="19"/>
    <x v="0"/>
    <n v="0.18"/>
    <n v="0.51"/>
    <x v="9"/>
    <x v="0"/>
    <n v="0.67"/>
    <n v="0.51"/>
    <n v="0.89"/>
    <n v="0.43"/>
    <n v="0.31"/>
    <n v="0.92"/>
    <n v="0.41"/>
    <n v="0.27"/>
    <n v="0.1"/>
    <n v="0.79"/>
    <x v="0"/>
    <s v="Low Exposure"/>
  </r>
  <r>
    <x v="3"/>
    <x v="1156"/>
    <n v="16"/>
    <x v="3"/>
    <n v="0.03"/>
    <n v="0.86"/>
    <x v="3"/>
    <x v="2"/>
    <n v="0.95"/>
    <n v="0.38"/>
    <n v="0.87"/>
    <n v="0.39"/>
    <n v="0.18"/>
    <n v="0"/>
    <n v="0.33"/>
    <n v="0.38"/>
    <n v="0.95"/>
    <n v="0.21"/>
    <x v="0"/>
    <s v="Low Exposure"/>
  </r>
  <r>
    <x v="14"/>
    <x v="1157"/>
    <n v="0"/>
    <x v="2"/>
    <n v="0.76"/>
    <n v="1.42"/>
    <x v="39"/>
    <x v="0"/>
    <n v="0.43"/>
    <n v="0.12"/>
    <n v="0.46"/>
    <n v="0.13"/>
    <n v="0.52"/>
    <n v="0.73"/>
    <n v="0.55000000000000004"/>
    <n v="0.25"/>
    <n v="0.35"/>
    <n v="0.64"/>
    <x v="1"/>
    <s v="High Exposure"/>
  </r>
  <r>
    <x v="17"/>
    <x v="1158"/>
    <n v="14"/>
    <x v="3"/>
    <n v="0.14000000000000001"/>
    <n v="1.34"/>
    <x v="78"/>
    <x v="2"/>
    <n v="0.16"/>
    <n v="0.12"/>
    <n v="0.97"/>
    <n v="0.28000000000000003"/>
    <n v="0.91"/>
    <n v="0.41"/>
    <n v="0.39"/>
    <n v="0.7"/>
    <n v="0.01"/>
    <n v="0.34"/>
    <x v="2"/>
    <s v="Low Exposure"/>
  </r>
  <r>
    <x v="0"/>
    <x v="1159"/>
    <n v="10"/>
    <x v="2"/>
    <n v="0.87"/>
    <n v="1.03"/>
    <x v="77"/>
    <x v="0"/>
    <n v="0.27"/>
    <n v="0.59"/>
    <n v="0.15"/>
    <n v="0.25"/>
    <n v="0.28999999999999998"/>
    <n v="0.61"/>
    <n v="0.37"/>
    <n v="0.51"/>
    <n v="0.65"/>
    <n v="0.96"/>
    <x v="2"/>
    <s v="High Exposure"/>
  </r>
  <r>
    <x v="7"/>
    <x v="1160"/>
    <n v="8"/>
    <x v="0"/>
    <n v="0.75"/>
    <n v="1.45"/>
    <x v="7"/>
    <x v="1"/>
    <n v="0.41"/>
    <n v="0.08"/>
    <n v="0.89"/>
    <n v="0.25"/>
    <n v="0.06"/>
    <n v="0.54"/>
    <n v="0.85"/>
    <n v="0.41"/>
    <n v="0.78"/>
    <n v="0.84"/>
    <x v="2"/>
    <s v="High Exposure"/>
  </r>
  <r>
    <x v="13"/>
    <x v="1161"/>
    <n v="27"/>
    <x v="1"/>
    <n v="0.59"/>
    <n v="1.03"/>
    <x v="26"/>
    <x v="2"/>
    <n v="0.73"/>
    <n v="0.93"/>
    <n v="0.22"/>
    <n v="0.31"/>
    <n v="7.0000000000000007E-2"/>
    <n v="0.5"/>
    <n v="0.87"/>
    <n v="0.33"/>
    <n v="0.13"/>
    <n v="7.0000000000000007E-2"/>
    <x v="0"/>
    <s v="Medium Exposure"/>
  </r>
  <r>
    <x v="12"/>
    <x v="1162"/>
    <n v="5"/>
    <x v="2"/>
    <n v="0.16"/>
    <n v="0.85"/>
    <x v="12"/>
    <x v="2"/>
    <n v="0.38"/>
    <n v="0.61"/>
    <n v="0.5"/>
    <n v="0.72"/>
    <n v="0.16"/>
    <n v="0.92"/>
    <n v="0.64"/>
    <n v="0.27"/>
    <n v="0.12"/>
    <n v="0.15"/>
    <x v="1"/>
    <s v="Low Exposure"/>
  </r>
  <r>
    <x v="8"/>
    <x v="1163"/>
    <n v="2"/>
    <x v="1"/>
    <n v="0.59"/>
    <n v="0.88"/>
    <x v="87"/>
    <x v="2"/>
    <n v="0.86"/>
    <n v="0.87"/>
    <n v="0.57999999999999996"/>
    <n v="0.52"/>
    <n v="0.82"/>
    <n v="0.75"/>
    <n v="0.4"/>
    <n v="0.08"/>
    <n v="0.77"/>
    <n v="0.17"/>
    <x v="1"/>
    <s v="Medium Exposure"/>
  </r>
  <r>
    <x v="14"/>
    <x v="1164"/>
    <n v="3"/>
    <x v="1"/>
    <n v="0.84"/>
    <n v="1.08"/>
    <x v="24"/>
    <x v="0"/>
    <n v="0.48"/>
    <n v="0.93"/>
    <n v="0.35"/>
    <n v="0.72"/>
    <n v="0.3"/>
    <n v="0"/>
    <n v="0.38"/>
    <n v="0.74"/>
    <n v="0.15"/>
    <n v="0.5"/>
    <x v="1"/>
    <s v="High Exposure"/>
  </r>
  <r>
    <x v="16"/>
    <x v="1165"/>
    <n v="26"/>
    <x v="2"/>
    <n v="7.0000000000000007E-2"/>
    <n v="1.1200000000000001"/>
    <x v="89"/>
    <x v="0"/>
    <n v="0.31"/>
    <n v="0.57999999999999996"/>
    <n v="0.95"/>
    <n v="0.65"/>
    <n v="0.67"/>
    <n v="0.18"/>
    <n v="0.49"/>
    <n v="0.37"/>
    <n v="0.47"/>
    <n v="0.8"/>
    <x v="0"/>
    <s v="Low Exposure"/>
  </r>
  <r>
    <x v="16"/>
    <x v="1166"/>
    <n v="13"/>
    <x v="3"/>
    <n v="0.06"/>
    <n v="1.41"/>
    <x v="56"/>
    <x v="0"/>
    <n v="0.92"/>
    <n v="0.56999999999999995"/>
    <n v="7.0000000000000007E-2"/>
    <n v="0.55000000000000004"/>
    <n v="0.57999999999999996"/>
    <n v="0.21"/>
    <n v="0.47"/>
    <n v="0.46"/>
    <n v="0.62"/>
    <n v="0.26"/>
    <x v="2"/>
    <s v="Low Exposure"/>
  </r>
  <r>
    <x v="18"/>
    <x v="1167"/>
    <n v="7"/>
    <x v="0"/>
    <n v="0.24"/>
    <n v="0.95"/>
    <x v="47"/>
    <x v="1"/>
    <n v="0.04"/>
    <n v="0.32"/>
    <n v="0.27"/>
    <n v="0.41"/>
    <n v="0.96"/>
    <n v="0.52"/>
    <n v="0.55000000000000004"/>
    <n v="0.94"/>
    <n v="0.92"/>
    <n v="0.88"/>
    <x v="2"/>
    <s v="Low Exposure"/>
  </r>
  <r>
    <x v="2"/>
    <x v="1168"/>
    <n v="4"/>
    <x v="0"/>
    <n v="0.63"/>
    <n v="1.31"/>
    <x v="32"/>
    <x v="0"/>
    <n v="0.57999999999999996"/>
    <n v="0.02"/>
    <n v="0.97"/>
    <n v="0.47"/>
    <n v="0.39"/>
    <n v="0.39"/>
    <n v="0.42"/>
    <n v="0.24"/>
    <n v="0.33"/>
    <n v="0.99"/>
    <x v="1"/>
    <s v="Medium Exposure"/>
  </r>
  <r>
    <x v="5"/>
    <x v="1169"/>
    <n v="29"/>
    <x v="0"/>
    <n v="0.53"/>
    <n v="1.35"/>
    <x v="82"/>
    <x v="1"/>
    <n v="0.32"/>
    <n v="0.52"/>
    <n v="0.11"/>
    <n v="0.13"/>
    <n v="0.69"/>
    <n v="0.92"/>
    <n v="0.73"/>
    <n v="7.0000000000000007E-2"/>
    <n v="0.4"/>
    <n v="0"/>
    <x v="0"/>
    <s v="Medium Exposure"/>
  </r>
  <r>
    <x v="5"/>
    <x v="1170"/>
    <n v="21"/>
    <x v="2"/>
    <n v="0.19"/>
    <n v="1.37"/>
    <x v="47"/>
    <x v="1"/>
    <n v="0"/>
    <n v="0.45"/>
    <n v="0.16"/>
    <n v="0.74"/>
    <n v="0.92"/>
    <n v="0.04"/>
    <n v="0.4"/>
    <n v="1"/>
    <n v="0.73"/>
    <n v="0.95"/>
    <x v="0"/>
    <s v="Low Exposure"/>
  </r>
  <r>
    <x v="4"/>
    <x v="1171"/>
    <n v="5"/>
    <x v="3"/>
    <n v="0.22"/>
    <n v="0.65"/>
    <x v="71"/>
    <x v="2"/>
    <n v="0.72"/>
    <n v="0.16"/>
    <n v="0.52"/>
    <n v="0.27"/>
    <n v="0.83"/>
    <n v="0.01"/>
    <n v="0.22"/>
    <n v="0.61"/>
    <n v="0.1"/>
    <n v="0.47"/>
    <x v="1"/>
    <s v="Low Exposure"/>
  </r>
  <r>
    <x v="19"/>
    <x v="1172"/>
    <n v="8"/>
    <x v="2"/>
    <n v="0.85"/>
    <n v="1.1299999999999999"/>
    <x v="23"/>
    <x v="2"/>
    <n v="0.95"/>
    <n v="0.98"/>
    <n v="0.65"/>
    <n v="0.52"/>
    <n v="0.61"/>
    <n v="0.38"/>
    <n v="0.99"/>
    <n v="0.71"/>
    <n v="0.28999999999999998"/>
    <n v="0.06"/>
    <x v="2"/>
    <s v="High Exposure"/>
  </r>
  <r>
    <x v="15"/>
    <x v="1173"/>
    <n v="5"/>
    <x v="3"/>
    <n v="0.68"/>
    <n v="1.46"/>
    <x v="5"/>
    <x v="1"/>
    <n v="0.55000000000000004"/>
    <n v="0.6"/>
    <n v="1"/>
    <n v="0.2"/>
    <n v="0.52"/>
    <n v="0.35"/>
    <n v="0.53"/>
    <n v="0.23"/>
    <n v="0.05"/>
    <n v="0.56999999999999995"/>
    <x v="1"/>
    <s v="Medium Exposure"/>
  </r>
  <r>
    <x v="4"/>
    <x v="1174"/>
    <n v="15"/>
    <x v="0"/>
    <n v="0.18"/>
    <n v="0.82"/>
    <x v="86"/>
    <x v="2"/>
    <n v="0.95"/>
    <n v="0.57999999999999996"/>
    <n v="0.81"/>
    <n v="0.42"/>
    <n v="0.9"/>
    <n v="0.48"/>
    <n v="0.56999999999999995"/>
    <n v="0.49"/>
    <n v="0.73"/>
    <n v="0.56999999999999995"/>
    <x v="2"/>
    <s v="Low Exposure"/>
  </r>
  <r>
    <x v="8"/>
    <x v="1175"/>
    <n v="11"/>
    <x v="3"/>
    <n v="0.15"/>
    <n v="1.1100000000000001"/>
    <x v="11"/>
    <x v="2"/>
    <n v="0.1"/>
    <n v="0.4"/>
    <n v="0.51"/>
    <n v="0.83"/>
    <n v="0.08"/>
    <n v="0.35"/>
    <n v="0.82"/>
    <n v="0.65"/>
    <n v="0.28999999999999998"/>
    <n v="0.85"/>
    <x v="2"/>
    <s v="Low Exposure"/>
  </r>
  <r>
    <x v="17"/>
    <x v="1176"/>
    <n v="24"/>
    <x v="1"/>
    <n v="0.5"/>
    <n v="1.48"/>
    <x v="26"/>
    <x v="2"/>
    <n v="0.36"/>
    <n v="0.14000000000000001"/>
    <n v="0.33"/>
    <n v="0.03"/>
    <n v="0.02"/>
    <n v="0.4"/>
    <n v="0.94"/>
    <n v="0.87"/>
    <n v="0.51"/>
    <n v="0.56999999999999995"/>
    <x v="0"/>
    <s v="Medium Exposure"/>
  </r>
  <r>
    <x v="10"/>
    <x v="1177"/>
    <n v="10"/>
    <x v="3"/>
    <n v="0.22"/>
    <n v="0.52"/>
    <x v="3"/>
    <x v="2"/>
    <n v="0.15"/>
    <n v="0.87"/>
    <n v="0.64"/>
    <n v="0.23"/>
    <n v="0.16"/>
    <n v="0.63"/>
    <n v="0.9"/>
    <n v="0.72"/>
    <n v="0.35"/>
    <n v="0.59"/>
    <x v="2"/>
    <s v="Low Exposure"/>
  </r>
  <r>
    <x v="13"/>
    <x v="1178"/>
    <n v="17"/>
    <x v="0"/>
    <n v="1"/>
    <n v="1.25"/>
    <x v="33"/>
    <x v="2"/>
    <n v="0.42"/>
    <n v="0.62"/>
    <n v="0.34"/>
    <n v="0.03"/>
    <n v="0.4"/>
    <n v="0.93"/>
    <n v="0.63"/>
    <n v="0.08"/>
    <n v="0.88"/>
    <n v="0.27"/>
    <x v="0"/>
    <s v="High Exposure"/>
  </r>
  <r>
    <x v="6"/>
    <x v="1179"/>
    <n v="28"/>
    <x v="0"/>
    <n v="0.3"/>
    <n v="1.08"/>
    <x v="43"/>
    <x v="2"/>
    <n v="0.49"/>
    <n v="0.72"/>
    <n v="0.32"/>
    <n v="0.78"/>
    <n v="0.18"/>
    <n v="0.78"/>
    <n v="0.66"/>
    <n v="0.68"/>
    <n v="0.48"/>
    <n v="0.67"/>
    <x v="0"/>
    <s v="Medium Exposure"/>
  </r>
  <r>
    <x v="10"/>
    <x v="1180"/>
    <n v="28"/>
    <x v="1"/>
    <n v="0.85"/>
    <n v="0.56000000000000005"/>
    <x v="46"/>
    <x v="2"/>
    <n v="0.57999999999999996"/>
    <n v="0.74"/>
    <n v="0.08"/>
    <n v="0.92"/>
    <n v="0.97"/>
    <n v="0.61"/>
    <n v="0.48"/>
    <n v="0.74"/>
    <n v="0.33"/>
    <n v="0.49"/>
    <x v="0"/>
    <s v="High Exposure"/>
  </r>
  <r>
    <x v="15"/>
    <x v="1181"/>
    <n v="29"/>
    <x v="1"/>
    <n v="0.96"/>
    <n v="1.43"/>
    <x v="54"/>
    <x v="1"/>
    <n v="0.23"/>
    <n v="0.3"/>
    <n v="0.44"/>
    <n v="0.31"/>
    <n v="0.37"/>
    <n v="0.62"/>
    <n v="0.76"/>
    <n v="0.74"/>
    <n v="0.81"/>
    <n v="0.03"/>
    <x v="0"/>
    <s v="High Exposure"/>
  </r>
  <r>
    <x v="16"/>
    <x v="1182"/>
    <n v="27"/>
    <x v="0"/>
    <n v="0.79"/>
    <n v="1.03"/>
    <x v="56"/>
    <x v="0"/>
    <n v="0.05"/>
    <n v="0.26"/>
    <n v="0.64"/>
    <n v="0.86"/>
    <n v="0.92"/>
    <n v="0.5"/>
    <n v="0.55000000000000004"/>
    <n v="0.83"/>
    <n v="0.54"/>
    <n v="0.52"/>
    <x v="0"/>
    <s v="High Exposure"/>
  </r>
  <r>
    <x v="2"/>
    <x v="1183"/>
    <n v="12"/>
    <x v="2"/>
    <n v="0.79"/>
    <n v="1.41"/>
    <x v="73"/>
    <x v="0"/>
    <n v="0.52"/>
    <n v="0.84"/>
    <n v="0.11"/>
    <n v="0.79"/>
    <n v="0.18"/>
    <n v="0.81"/>
    <n v="0.61"/>
    <n v="0.19"/>
    <n v="0.47"/>
    <n v="0.68"/>
    <x v="2"/>
    <s v="High Exposure"/>
  </r>
  <r>
    <x v="3"/>
    <x v="1184"/>
    <n v="7"/>
    <x v="3"/>
    <n v="0.43"/>
    <n v="1.4"/>
    <x v="50"/>
    <x v="2"/>
    <n v="0.51"/>
    <n v="0.06"/>
    <n v="0.92"/>
    <n v="0.18"/>
    <n v="0.53"/>
    <n v="0.8"/>
    <n v="0.22"/>
    <n v="0.53"/>
    <n v="0.24"/>
    <n v="0.76"/>
    <x v="2"/>
    <s v="Medium Exposure"/>
  </r>
  <r>
    <x v="5"/>
    <x v="1185"/>
    <n v="18"/>
    <x v="1"/>
    <n v="0.86"/>
    <n v="1.39"/>
    <x v="13"/>
    <x v="1"/>
    <n v="0.73"/>
    <n v="0.55000000000000004"/>
    <n v="0.38"/>
    <n v="0.65"/>
    <n v="0.91"/>
    <n v="0.42"/>
    <n v="0.31"/>
    <n v="0.39"/>
    <n v="0.44"/>
    <n v="7.0000000000000007E-2"/>
    <x v="0"/>
    <s v="High Exposure"/>
  </r>
  <r>
    <x v="19"/>
    <x v="1186"/>
    <n v="27"/>
    <x v="2"/>
    <n v="0.28999999999999998"/>
    <n v="1.1000000000000001"/>
    <x v="49"/>
    <x v="2"/>
    <n v="0.55000000000000004"/>
    <n v="0.86"/>
    <n v="0.51"/>
    <n v="0.68"/>
    <n v="0.08"/>
    <n v="0.45"/>
    <n v="0.09"/>
    <n v="0.6"/>
    <n v="0.28000000000000003"/>
    <n v="0.28999999999999998"/>
    <x v="0"/>
    <s v="Low Exposure"/>
  </r>
  <r>
    <x v="12"/>
    <x v="1187"/>
    <n v="27"/>
    <x v="3"/>
    <n v="0.31"/>
    <n v="1.01"/>
    <x v="68"/>
    <x v="2"/>
    <n v="7.0000000000000007E-2"/>
    <n v="0.65"/>
    <n v="0.49"/>
    <n v="0.54"/>
    <n v="0.83"/>
    <n v="0.34"/>
    <n v="0.17"/>
    <n v="0.55000000000000004"/>
    <n v="0.95"/>
    <n v="0.52"/>
    <x v="0"/>
    <s v="Medium Exposure"/>
  </r>
  <r>
    <x v="8"/>
    <x v="1188"/>
    <n v="5"/>
    <x v="0"/>
    <n v="0.76"/>
    <n v="1.02"/>
    <x v="23"/>
    <x v="2"/>
    <n v="0.41"/>
    <n v="0.53"/>
    <n v="0.51"/>
    <n v="0.71"/>
    <n v="0.41"/>
    <n v="0.1"/>
    <n v="0.79"/>
    <n v="0.68"/>
    <n v="0.95"/>
    <n v="0.43"/>
    <x v="1"/>
    <s v="High Exposure"/>
  </r>
  <r>
    <x v="15"/>
    <x v="1189"/>
    <n v="7"/>
    <x v="3"/>
    <n v="0.12"/>
    <n v="1.27"/>
    <x v="34"/>
    <x v="1"/>
    <n v="0.91"/>
    <n v="0.28000000000000003"/>
    <n v="0.9"/>
    <n v="0.77"/>
    <n v="0.87"/>
    <n v="0.21"/>
    <n v="0.6"/>
    <n v="0.09"/>
    <n v="0.2"/>
    <n v="0.31"/>
    <x v="2"/>
    <s v="Low Exposure"/>
  </r>
  <r>
    <x v="10"/>
    <x v="1190"/>
    <n v="20"/>
    <x v="2"/>
    <n v="0.85"/>
    <n v="1.32"/>
    <x v="3"/>
    <x v="2"/>
    <n v="0.63"/>
    <n v="0.68"/>
    <n v="0.81"/>
    <n v="0.66"/>
    <n v="0.33"/>
    <n v="0.38"/>
    <n v="0.9"/>
    <n v="0.02"/>
    <n v="0.7"/>
    <n v="0.95"/>
    <x v="0"/>
    <s v="High Exposure"/>
  </r>
  <r>
    <x v="4"/>
    <x v="1191"/>
    <n v="24"/>
    <x v="0"/>
    <n v="0.99"/>
    <n v="1.19"/>
    <x v="57"/>
    <x v="2"/>
    <n v="0.83"/>
    <n v="0.28000000000000003"/>
    <n v="0.45"/>
    <n v="0.31"/>
    <n v="0.27"/>
    <n v="0.43"/>
    <n v="0.38"/>
    <n v="0.63"/>
    <n v="0.81"/>
    <n v="0.3"/>
    <x v="0"/>
    <s v="High Exposure"/>
  </r>
  <r>
    <x v="11"/>
    <x v="1192"/>
    <n v="20"/>
    <x v="3"/>
    <n v="0.67"/>
    <n v="1.17"/>
    <x v="72"/>
    <x v="2"/>
    <n v="0.02"/>
    <n v="0.85"/>
    <n v="0.52"/>
    <n v="0.62"/>
    <n v="0.09"/>
    <n v="0.43"/>
    <n v="0.23"/>
    <n v="0.25"/>
    <n v="0.5"/>
    <n v="0.81"/>
    <x v="0"/>
    <s v="Medium Exposure"/>
  </r>
  <r>
    <x v="16"/>
    <x v="1193"/>
    <n v="28"/>
    <x v="2"/>
    <n v="0.59"/>
    <n v="1.04"/>
    <x v="2"/>
    <x v="0"/>
    <n v="0.97"/>
    <n v="0.56000000000000005"/>
    <n v="0.25"/>
    <n v="0.23"/>
    <n v="0.61"/>
    <n v="0.52"/>
    <n v="0.01"/>
    <n v="0.83"/>
    <n v="0.7"/>
    <n v="0.66"/>
    <x v="0"/>
    <s v="Medium Exposure"/>
  </r>
  <r>
    <x v="10"/>
    <x v="1194"/>
    <n v="1"/>
    <x v="1"/>
    <n v="0.36"/>
    <n v="1.44"/>
    <x v="38"/>
    <x v="2"/>
    <n v="0.28999999999999998"/>
    <n v="0.16"/>
    <n v="0.45"/>
    <n v="0.36"/>
    <n v="0.68"/>
    <n v="0.97"/>
    <n v="0.36"/>
    <n v="0.06"/>
    <n v="0.9"/>
    <n v="0.04"/>
    <x v="1"/>
    <s v="Medium Exposure"/>
  </r>
  <r>
    <x v="4"/>
    <x v="1195"/>
    <n v="3"/>
    <x v="1"/>
    <n v="0.66"/>
    <n v="1.44"/>
    <x v="48"/>
    <x v="2"/>
    <n v="0.04"/>
    <n v="0.49"/>
    <n v="0.45"/>
    <n v="0.33"/>
    <n v="0.96"/>
    <n v="0.82"/>
    <n v="0.66"/>
    <n v="0.16"/>
    <n v="0.73"/>
    <n v="0.73"/>
    <x v="1"/>
    <s v="Medium Exposure"/>
  </r>
  <r>
    <x v="11"/>
    <x v="1196"/>
    <n v="17"/>
    <x v="1"/>
    <n v="0.92"/>
    <n v="0.67"/>
    <x v="6"/>
    <x v="2"/>
    <n v="0.06"/>
    <n v="0.8"/>
    <n v="0.62"/>
    <n v="0.31"/>
    <n v="0.16"/>
    <n v="0.04"/>
    <n v="0.17"/>
    <n v="0.45"/>
    <n v="0.25"/>
    <n v="0.26"/>
    <x v="0"/>
    <s v="High Exposure"/>
  </r>
  <r>
    <x v="8"/>
    <x v="1197"/>
    <n v="1"/>
    <x v="2"/>
    <n v="0.52"/>
    <n v="1.23"/>
    <x v="57"/>
    <x v="2"/>
    <n v="0.37"/>
    <n v="0.48"/>
    <n v="0.19"/>
    <n v="0.12"/>
    <n v="0.87"/>
    <n v="0.94"/>
    <n v="0.08"/>
    <n v="0.35"/>
    <n v="0.96"/>
    <n v="0.08"/>
    <x v="1"/>
    <s v="Medium Exposure"/>
  </r>
  <r>
    <x v="7"/>
    <x v="1198"/>
    <n v="17"/>
    <x v="1"/>
    <n v="0.97"/>
    <n v="1.48"/>
    <x v="7"/>
    <x v="1"/>
    <n v="0.16"/>
    <n v="0.2"/>
    <n v="0.89"/>
    <n v="0.91"/>
    <n v="0.61"/>
    <n v="0.77"/>
    <n v="0.74"/>
    <n v="0.66"/>
    <n v="0.83"/>
    <n v="0.69"/>
    <x v="0"/>
    <s v="High Exposure"/>
  </r>
  <r>
    <x v="11"/>
    <x v="1199"/>
    <n v="27"/>
    <x v="0"/>
    <n v="0.24"/>
    <n v="1.24"/>
    <x v="78"/>
    <x v="2"/>
    <n v="0.28999999999999998"/>
    <n v="0.8"/>
    <n v="0.7"/>
    <n v="0.94"/>
    <n v="0.17"/>
    <n v="0.65"/>
    <n v="0.24"/>
    <n v="0.9"/>
    <n v="0.1"/>
    <n v="0.66"/>
    <x v="0"/>
    <s v="Low Exposure"/>
  </r>
  <r>
    <x v="3"/>
    <x v="1200"/>
    <n v="19"/>
    <x v="0"/>
    <n v="0.35"/>
    <n v="1.45"/>
    <x v="4"/>
    <x v="2"/>
    <n v="0.28999999999999998"/>
    <n v="0.01"/>
    <n v="0.3"/>
    <n v="0.28000000000000003"/>
    <n v="0.89"/>
    <n v="0.97"/>
    <n v="7.0000000000000007E-2"/>
    <n v="0.47"/>
    <n v="0.55000000000000004"/>
    <n v="0.09"/>
    <x v="0"/>
    <s v="Medium Exposure"/>
  </r>
  <r>
    <x v="19"/>
    <x v="1201"/>
    <n v="11"/>
    <x v="1"/>
    <n v="0.65"/>
    <n v="1.46"/>
    <x v="87"/>
    <x v="2"/>
    <n v="0.21"/>
    <n v="0.56000000000000005"/>
    <n v="0.54"/>
    <n v="0.59"/>
    <n v="0.35"/>
    <n v="0.01"/>
    <n v="0.04"/>
    <n v="0.66"/>
    <n v="0.52"/>
    <n v="0.82"/>
    <x v="2"/>
    <s v="Medium Exposure"/>
  </r>
  <r>
    <x v="4"/>
    <x v="1202"/>
    <n v="19"/>
    <x v="3"/>
    <n v="0.82"/>
    <n v="0.93"/>
    <x v="55"/>
    <x v="2"/>
    <n v="0.98"/>
    <n v="0.51"/>
    <n v="0.63"/>
    <n v="0.67"/>
    <n v="0.36"/>
    <n v="0.75"/>
    <n v="0.87"/>
    <n v="0.39"/>
    <n v="0.66"/>
    <n v="0.76"/>
    <x v="0"/>
    <s v="High Exposure"/>
  </r>
  <r>
    <x v="6"/>
    <x v="1203"/>
    <n v="19"/>
    <x v="3"/>
    <n v="0.33"/>
    <n v="0.61"/>
    <x v="22"/>
    <x v="2"/>
    <n v="0.8"/>
    <n v="0.61"/>
    <n v="0.18"/>
    <n v="0.55000000000000004"/>
    <n v="0.83"/>
    <n v="0.3"/>
    <n v="0.83"/>
    <n v="0.78"/>
    <n v="0.02"/>
    <n v="0.24"/>
    <x v="0"/>
    <s v="Medium Exposure"/>
  </r>
  <r>
    <x v="0"/>
    <x v="1204"/>
    <n v="7"/>
    <x v="2"/>
    <n v="0.72"/>
    <n v="1.38"/>
    <x v="83"/>
    <x v="0"/>
    <n v="0.38"/>
    <n v="0.18"/>
    <n v="0.76"/>
    <n v="0.21"/>
    <n v="0.7"/>
    <n v="0.18"/>
    <n v="0.09"/>
    <n v="0.25"/>
    <n v="0.28000000000000003"/>
    <n v="0.65"/>
    <x v="2"/>
    <s v="High Exposure"/>
  </r>
  <r>
    <x v="16"/>
    <x v="1205"/>
    <n v="29"/>
    <x v="0"/>
    <n v="0.2"/>
    <n v="0.53"/>
    <x v="35"/>
    <x v="0"/>
    <n v="0.08"/>
    <n v="0.47"/>
    <n v="0.93"/>
    <n v="0.72"/>
    <n v="0.08"/>
    <n v="0.22"/>
    <n v="0.67"/>
    <n v="0.89"/>
    <n v="0.03"/>
    <n v="0.81"/>
    <x v="0"/>
    <s v="Low Exposure"/>
  </r>
  <r>
    <x v="18"/>
    <x v="1206"/>
    <n v="11"/>
    <x v="0"/>
    <n v="0.55000000000000004"/>
    <n v="1.46"/>
    <x v="52"/>
    <x v="1"/>
    <n v="0.85"/>
    <n v="0.35"/>
    <n v="0.55000000000000004"/>
    <n v="0.62"/>
    <n v="0.32"/>
    <n v="0.56999999999999995"/>
    <n v="0.24"/>
    <n v="0.14000000000000001"/>
    <n v="0.37"/>
    <n v="0.74"/>
    <x v="2"/>
    <s v="Medium Exposure"/>
  </r>
  <r>
    <x v="12"/>
    <x v="1207"/>
    <n v="0"/>
    <x v="3"/>
    <n v="0.46"/>
    <n v="1.1399999999999999"/>
    <x v="55"/>
    <x v="2"/>
    <n v="0.9"/>
    <n v="0.56999999999999995"/>
    <n v="0.78"/>
    <n v="0.79"/>
    <n v="0.26"/>
    <n v="0.53"/>
    <n v="0.96"/>
    <n v="0.09"/>
    <n v="0.68"/>
    <n v="0.96"/>
    <x v="1"/>
    <s v="Medium Exposure"/>
  </r>
  <r>
    <x v="12"/>
    <x v="1208"/>
    <n v="17"/>
    <x v="3"/>
    <n v="0.86"/>
    <n v="1.43"/>
    <x v="3"/>
    <x v="2"/>
    <n v="0.23"/>
    <n v="0.33"/>
    <n v="0.04"/>
    <n v="0.83"/>
    <n v="0.85"/>
    <n v="0.63"/>
    <n v="0.35"/>
    <n v="0.08"/>
    <n v="0.75"/>
    <n v="0.73"/>
    <x v="0"/>
    <s v="High Exposure"/>
  </r>
  <r>
    <x v="8"/>
    <x v="1209"/>
    <n v="19"/>
    <x v="3"/>
    <n v="0.73"/>
    <n v="1.33"/>
    <x v="3"/>
    <x v="2"/>
    <n v="0.63"/>
    <n v="0.43"/>
    <n v="0.9"/>
    <n v="0.65"/>
    <n v="0.4"/>
    <n v="0.08"/>
    <n v="0.28999999999999998"/>
    <n v="0.54"/>
    <n v="0.28000000000000003"/>
    <n v="0.22"/>
    <x v="0"/>
    <s v="High Exposure"/>
  </r>
  <r>
    <x v="4"/>
    <x v="1210"/>
    <n v="28"/>
    <x v="3"/>
    <n v="0.17"/>
    <n v="1.3"/>
    <x v="78"/>
    <x v="2"/>
    <n v="0.56999999999999995"/>
    <n v="0.15"/>
    <n v="0.32"/>
    <n v="0.41"/>
    <n v="0.81"/>
    <n v="0.77"/>
    <n v="0.22"/>
    <n v="0.62"/>
    <n v="0.24"/>
    <n v="0.99"/>
    <x v="0"/>
    <s v="Low Exposure"/>
  </r>
  <r>
    <x v="8"/>
    <x v="1211"/>
    <n v="19"/>
    <x v="1"/>
    <n v="0.56000000000000005"/>
    <n v="1.2"/>
    <x v="69"/>
    <x v="2"/>
    <n v="0.72"/>
    <n v="0.7"/>
    <n v="0.96"/>
    <n v="0.6"/>
    <n v="0.64"/>
    <n v="0.85"/>
    <n v="0.67"/>
    <n v="0.73"/>
    <n v="0.23"/>
    <n v="0.37"/>
    <x v="0"/>
    <s v="Medium Exposure"/>
  </r>
  <r>
    <x v="13"/>
    <x v="1212"/>
    <n v="29"/>
    <x v="2"/>
    <n v="0.51"/>
    <n v="0.96"/>
    <x v="58"/>
    <x v="2"/>
    <n v="0.61"/>
    <n v="0.79"/>
    <n v="0.33"/>
    <n v="0.83"/>
    <n v="0.62"/>
    <n v="0.7"/>
    <n v="0.28999999999999998"/>
    <n v="0.55000000000000004"/>
    <n v="0.63"/>
    <n v="0.59"/>
    <x v="0"/>
    <s v="Medium Exposure"/>
  </r>
  <r>
    <x v="15"/>
    <x v="1213"/>
    <n v="29"/>
    <x v="3"/>
    <n v="0.9"/>
    <n v="1.47"/>
    <x v="29"/>
    <x v="1"/>
    <n v="0.97"/>
    <n v="0.83"/>
    <n v="0.27"/>
    <n v="0.43"/>
    <n v="0.24"/>
    <n v="0"/>
    <n v="0.19"/>
    <n v="0"/>
    <n v="0.72"/>
    <n v="0.43"/>
    <x v="0"/>
    <s v="High Exposure"/>
  </r>
  <r>
    <x v="7"/>
    <x v="1214"/>
    <n v="18"/>
    <x v="3"/>
    <n v="0.76"/>
    <n v="1.33"/>
    <x v="21"/>
    <x v="1"/>
    <n v="0.64"/>
    <n v="0.46"/>
    <n v="0.31"/>
    <n v="0.22"/>
    <n v="0.21"/>
    <n v="0.41"/>
    <n v="0.99"/>
    <n v="0"/>
    <n v="0.2"/>
    <n v="0.19"/>
    <x v="0"/>
    <s v="High Exposure"/>
  </r>
  <r>
    <x v="4"/>
    <x v="1215"/>
    <n v="16"/>
    <x v="1"/>
    <n v="0.35"/>
    <n v="0.96"/>
    <x v="46"/>
    <x v="2"/>
    <n v="0.4"/>
    <n v="0.1"/>
    <n v="0.53"/>
    <n v="0.1"/>
    <n v="0.79"/>
    <n v="0.56999999999999995"/>
    <n v="0.72"/>
    <n v="0.42"/>
    <n v="0.38"/>
    <n v="0.1"/>
    <x v="0"/>
    <s v="Medium Exposure"/>
  </r>
  <r>
    <x v="5"/>
    <x v="1216"/>
    <n v="0"/>
    <x v="2"/>
    <n v="0.51"/>
    <n v="0.97"/>
    <x v="52"/>
    <x v="1"/>
    <n v="0.83"/>
    <n v="0.75"/>
    <n v="0.14000000000000001"/>
    <n v="0.62"/>
    <n v="0.08"/>
    <n v="0.69"/>
    <n v="0.38"/>
    <n v="0.13"/>
    <n v="0.86"/>
    <n v="0.61"/>
    <x v="1"/>
    <s v="Medium Exposure"/>
  </r>
  <r>
    <x v="14"/>
    <x v="1217"/>
    <n v="22"/>
    <x v="1"/>
    <n v="0.03"/>
    <n v="1.04"/>
    <x v="17"/>
    <x v="0"/>
    <n v="0.6"/>
    <n v="0.97"/>
    <n v="0.14000000000000001"/>
    <n v="0.56999999999999995"/>
    <n v="0.8"/>
    <n v="0.53"/>
    <n v="0.09"/>
    <n v="0.57999999999999996"/>
    <n v="0.61"/>
    <n v="0.73"/>
    <x v="0"/>
    <s v="Low Exposure"/>
  </r>
  <r>
    <x v="5"/>
    <x v="1218"/>
    <n v="0"/>
    <x v="3"/>
    <n v="0.77"/>
    <n v="1.1599999999999999"/>
    <x v="5"/>
    <x v="1"/>
    <n v="0.4"/>
    <n v="0.78"/>
    <n v="0.95"/>
    <n v="0.08"/>
    <n v="0.54"/>
    <n v="0.31"/>
    <n v="0.23"/>
    <n v="0.51"/>
    <n v="0.61"/>
    <n v="0.01"/>
    <x v="1"/>
    <s v="High Exposure"/>
  </r>
  <r>
    <x v="18"/>
    <x v="1219"/>
    <n v="27"/>
    <x v="3"/>
    <n v="0.82"/>
    <n v="1.47"/>
    <x v="5"/>
    <x v="1"/>
    <n v="0.59"/>
    <n v="0.43"/>
    <n v="0.33"/>
    <n v="0.56999999999999995"/>
    <n v="0.78"/>
    <n v="0.02"/>
    <n v="0.97"/>
    <n v="0.81"/>
    <n v="0.75"/>
    <n v="0.76"/>
    <x v="0"/>
    <s v="High Exposure"/>
  </r>
  <r>
    <x v="3"/>
    <x v="1220"/>
    <n v="3"/>
    <x v="1"/>
    <n v="0.75"/>
    <n v="0.89"/>
    <x v="72"/>
    <x v="2"/>
    <n v="0.18"/>
    <n v="0.28999999999999998"/>
    <n v="0.55000000000000004"/>
    <n v="0.32"/>
    <n v="0.42"/>
    <n v="0.49"/>
    <n v="0.86"/>
    <n v="0.52"/>
    <n v="0.36"/>
    <n v="0.25"/>
    <x v="1"/>
    <s v="High Exposure"/>
  </r>
  <r>
    <x v="7"/>
    <x v="1221"/>
    <n v="15"/>
    <x v="3"/>
    <n v="0.52"/>
    <n v="1.25"/>
    <x v="47"/>
    <x v="1"/>
    <n v="0.22"/>
    <n v="0.38"/>
    <n v="0.36"/>
    <n v="0.39"/>
    <n v="0.79"/>
    <n v="0.32"/>
    <n v="0.5"/>
    <n v="0.62"/>
    <n v="0.23"/>
    <n v="0.72"/>
    <x v="2"/>
    <s v="Medium Exposure"/>
  </r>
  <r>
    <x v="3"/>
    <x v="1222"/>
    <n v="7"/>
    <x v="1"/>
    <n v="0.45"/>
    <n v="1.31"/>
    <x v="10"/>
    <x v="2"/>
    <n v="0.88"/>
    <n v="0.56000000000000005"/>
    <n v="0.61"/>
    <n v="0.88"/>
    <n v="0.82"/>
    <n v="0.6"/>
    <n v="0.75"/>
    <n v="0.43"/>
    <n v="0.55000000000000004"/>
    <n v="0.06"/>
    <x v="2"/>
    <s v="Medium Exposure"/>
  </r>
  <r>
    <x v="2"/>
    <x v="1223"/>
    <n v="27"/>
    <x v="0"/>
    <n v="0.83"/>
    <n v="0.56000000000000005"/>
    <x v="44"/>
    <x v="0"/>
    <n v="0.8"/>
    <n v="0"/>
    <n v="0.28000000000000003"/>
    <n v="0.57999999999999996"/>
    <n v="0.6"/>
    <n v="0.78"/>
    <n v="0.51"/>
    <n v="0.51"/>
    <n v="0.73"/>
    <n v="0.5"/>
    <x v="0"/>
    <s v="High Exposure"/>
  </r>
  <r>
    <x v="4"/>
    <x v="1224"/>
    <n v="6"/>
    <x v="1"/>
    <n v="0.9"/>
    <n v="0.9"/>
    <x v="84"/>
    <x v="2"/>
    <n v="0"/>
    <n v="0.61"/>
    <n v="0.03"/>
    <n v="0.5"/>
    <n v="0.8"/>
    <n v="0.55000000000000004"/>
    <n v="0.27"/>
    <n v="0.79"/>
    <n v="0.27"/>
    <n v="0.73"/>
    <x v="2"/>
    <s v="High Exposure"/>
  </r>
  <r>
    <x v="12"/>
    <x v="1225"/>
    <n v="15"/>
    <x v="1"/>
    <n v="0.72"/>
    <n v="0.72"/>
    <x v="6"/>
    <x v="2"/>
    <n v="0.75"/>
    <n v="0.18"/>
    <n v="0.25"/>
    <n v="0.02"/>
    <n v="0.72"/>
    <n v="0.62"/>
    <n v="0.69"/>
    <n v="0.21"/>
    <n v="0.69"/>
    <n v="0.6"/>
    <x v="2"/>
    <s v="High Exposure"/>
  </r>
  <r>
    <x v="14"/>
    <x v="1226"/>
    <n v="11"/>
    <x v="2"/>
    <n v="0.44"/>
    <n v="1.07"/>
    <x v="90"/>
    <x v="0"/>
    <n v="0.64"/>
    <n v="0.18"/>
    <n v="0.54"/>
    <n v="0.45"/>
    <n v="0.46"/>
    <n v="0.47"/>
    <n v="0.88"/>
    <n v="0.82"/>
    <n v="0.63"/>
    <n v="0.72"/>
    <x v="2"/>
    <s v="Medium Exposure"/>
  </r>
  <r>
    <x v="6"/>
    <x v="1227"/>
    <n v="5"/>
    <x v="2"/>
    <n v="0.74"/>
    <n v="0.99"/>
    <x v="87"/>
    <x v="2"/>
    <n v="0.14000000000000001"/>
    <n v="0.08"/>
    <n v="0.04"/>
    <n v="0.16"/>
    <n v="0.03"/>
    <n v="0.73"/>
    <n v="0.25"/>
    <n v="0.37"/>
    <n v="0.82"/>
    <n v="0.11"/>
    <x v="1"/>
    <s v="High Exposure"/>
  </r>
  <r>
    <x v="12"/>
    <x v="1228"/>
    <n v="13"/>
    <x v="3"/>
    <n v="0.64"/>
    <n v="0.84"/>
    <x v="53"/>
    <x v="2"/>
    <n v="0.09"/>
    <n v="0.34"/>
    <n v="0.14000000000000001"/>
    <n v="0.27"/>
    <n v="0.05"/>
    <n v="0.6"/>
    <n v="0.15"/>
    <n v="0.76"/>
    <n v="0.22"/>
    <n v="0.8"/>
    <x v="2"/>
    <s v="Medium Exposure"/>
  </r>
  <r>
    <x v="14"/>
    <x v="1229"/>
    <n v="16"/>
    <x v="3"/>
    <n v="0.24"/>
    <n v="1.25"/>
    <x v="24"/>
    <x v="0"/>
    <n v="0.88"/>
    <n v="0.78"/>
    <n v="0.41"/>
    <n v="0.98"/>
    <n v="0.38"/>
    <n v="0.64"/>
    <n v="0.16"/>
    <n v="0.98"/>
    <n v="0.7"/>
    <n v="0.75"/>
    <x v="0"/>
    <s v="Low Exposure"/>
  </r>
  <r>
    <x v="17"/>
    <x v="1230"/>
    <n v="1"/>
    <x v="2"/>
    <n v="0.76"/>
    <n v="1.27"/>
    <x v="64"/>
    <x v="2"/>
    <n v="0.28999999999999998"/>
    <n v="0.49"/>
    <n v="0.11"/>
    <n v="0.47"/>
    <n v="0.24"/>
    <n v="0.35"/>
    <n v="0.16"/>
    <n v="0.23"/>
    <n v="0.08"/>
    <n v="0.92"/>
    <x v="1"/>
    <s v="High Exposure"/>
  </r>
  <r>
    <x v="0"/>
    <x v="1231"/>
    <n v="20"/>
    <x v="1"/>
    <n v="0.4"/>
    <n v="1.04"/>
    <x v="83"/>
    <x v="0"/>
    <n v="0.92"/>
    <n v="0.18"/>
    <n v="0.3"/>
    <n v="0.98"/>
    <n v="0.37"/>
    <n v="0.02"/>
    <n v="0.15"/>
    <n v="0.03"/>
    <n v="0.99"/>
    <n v="0.28000000000000003"/>
    <x v="0"/>
    <s v="Medium Exposure"/>
  </r>
  <r>
    <x v="0"/>
    <x v="1232"/>
    <n v="6"/>
    <x v="3"/>
    <n v="1"/>
    <n v="1.1000000000000001"/>
    <x v="76"/>
    <x v="0"/>
    <n v="0.08"/>
    <n v="0.48"/>
    <n v="0.41"/>
    <n v="0.61"/>
    <n v="0.44"/>
    <n v="0.93"/>
    <n v="0.53"/>
    <n v="0.69"/>
    <n v="0.9"/>
    <n v="0.15"/>
    <x v="2"/>
    <s v="High Exposure"/>
  </r>
  <r>
    <x v="11"/>
    <x v="1233"/>
    <n v="17"/>
    <x v="3"/>
    <n v="0.78"/>
    <n v="1.19"/>
    <x v="8"/>
    <x v="2"/>
    <n v="0.42"/>
    <n v="7.0000000000000007E-2"/>
    <n v="0.01"/>
    <n v="0.53"/>
    <n v="0.42"/>
    <n v="0.8"/>
    <n v="0.54"/>
    <n v="0.94"/>
    <n v="0.2"/>
    <n v="0.99"/>
    <x v="0"/>
    <s v="High Exposure"/>
  </r>
  <r>
    <x v="18"/>
    <x v="1234"/>
    <n v="13"/>
    <x v="1"/>
    <n v="0.64"/>
    <n v="1"/>
    <x v="41"/>
    <x v="1"/>
    <n v="0.14000000000000001"/>
    <n v="0.13"/>
    <n v="0.71"/>
    <n v="0.38"/>
    <n v="0.96"/>
    <n v="0.33"/>
    <n v="0.98"/>
    <n v="0.21"/>
    <n v="0.1"/>
    <n v="0.31"/>
    <x v="2"/>
    <s v="Medium Exposure"/>
  </r>
  <r>
    <x v="12"/>
    <x v="1235"/>
    <n v="12"/>
    <x v="1"/>
    <n v="0.52"/>
    <n v="0.64"/>
    <x v="48"/>
    <x v="2"/>
    <n v="0.31"/>
    <n v="0.59"/>
    <n v="0.33"/>
    <n v="0.75"/>
    <n v="0.62"/>
    <n v="0.87"/>
    <n v="0.5"/>
    <n v="0.33"/>
    <n v="1"/>
    <n v="0.36"/>
    <x v="2"/>
    <s v="Medium Exposure"/>
  </r>
  <r>
    <x v="11"/>
    <x v="1236"/>
    <n v="21"/>
    <x v="1"/>
    <n v="0.81"/>
    <n v="0.59"/>
    <x v="84"/>
    <x v="2"/>
    <n v="0.09"/>
    <n v="0.14000000000000001"/>
    <n v="0"/>
    <n v="0.01"/>
    <n v="0.38"/>
    <n v="0.81"/>
    <n v="0.59"/>
    <n v="0.63"/>
    <n v="0.52"/>
    <n v="0.82"/>
    <x v="0"/>
    <s v="High Exposure"/>
  </r>
  <r>
    <x v="16"/>
    <x v="126"/>
    <n v="17"/>
    <x v="0"/>
    <n v="0.85"/>
    <n v="1.31"/>
    <x v="73"/>
    <x v="0"/>
    <n v="0.59"/>
    <n v="0.57999999999999996"/>
    <n v="0.53"/>
    <n v="0.48"/>
    <n v="0.09"/>
    <n v="0.1"/>
    <n v="0.9"/>
    <n v="0.63"/>
    <n v="0.26"/>
    <n v="0.28000000000000003"/>
    <x v="0"/>
    <s v="High Exposure"/>
  </r>
  <r>
    <x v="11"/>
    <x v="1237"/>
    <n v="17"/>
    <x v="0"/>
    <n v="0.41"/>
    <n v="0.94"/>
    <x v="86"/>
    <x v="2"/>
    <n v="0.14000000000000001"/>
    <n v="0.39"/>
    <n v="0.7"/>
    <n v="0.05"/>
    <n v="0.33"/>
    <n v="0.7"/>
    <n v="0.79"/>
    <n v="0.19"/>
    <n v="0.73"/>
    <n v="0.96"/>
    <x v="0"/>
    <s v="Medium Exposure"/>
  </r>
  <r>
    <x v="16"/>
    <x v="1238"/>
    <n v="17"/>
    <x v="3"/>
    <n v="0.79"/>
    <n v="1.21"/>
    <x v="39"/>
    <x v="0"/>
    <n v="0.63"/>
    <n v="0.64"/>
    <n v="0.41"/>
    <n v="0.49"/>
    <n v="0.69"/>
    <n v="0.95"/>
    <n v="0.3"/>
    <n v="0.25"/>
    <n v="0.6"/>
    <n v="0.13"/>
    <x v="0"/>
    <s v="High Exposure"/>
  </r>
  <r>
    <x v="17"/>
    <x v="1239"/>
    <n v="10"/>
    <x v="0"/>
    <n v="0.09"/>
    <n v="0.99"/>
    <x v="33"/>
    <x v="2"/>
    <n v="7.0000000000000007E-2"/>
    <n v="0.21"/>
    <n v="0.34"/>
    <n v="0.37"/>
    <n v="0.68"/>
    <n v="0.53"/>
    <n v="0.38"/>
    <n v="0.45"/>
    <n v="0.01"/>
    <n v="0.77"/>
    <x v="2"/>
    <s v="Low Exposure"/>
  </r>
  <r>
    <x v="3"/>
    <x v="1240"/>
    <n v="1"/>
    <x v="0"/>
    <n v="0.83"/>
    <n v="1.04"/>
    <x v="50"/>
    <x v="2"/>
    <n v="0.7"/>
    <n v="0.86"/>
    <n v="0.94"/>
    <n v="0.54"/>
    <n v="0.15"/>
    <n v="0.88"/>
    <n v="0.04"/>
    <n v="0.81"/>
    <n v="0.68"/>
    <n v="0.9"/>
    <x v="1"/>
    <s v="High Exposure"/>
  </r>
  <r>
    <x v="1"/>
    <x v="1241"/>
    <n v="3"/>
    <x v="0"/>
    <n v="0.05"/>
    <n v="1.1100000000000001"/>
    <x v="47"/>
    <x v="1"/>
    <n v="0.08"/>
    <n v="0.45"/>
    <n v="0.1"/>
    <n v="0.73"/>
    <n v="0.97"/>
    <n v="0.56999999999999995"/>
    <n v="0.24"/>
    <n v="0.84"/>
    <n v="0.85"/>
    <n v="0.73"/>
    <x v="1"/>
    <s v="Low Exposure"/>
  </r>
  <r>
    <x v="12"/>
    <x v="1242"/>
    <n v="12"/>
    <x v="1"/>
    <n v="0.87"/>
    <n v="0.66"/>
    <x v="79"/>
    <x v="2"/>
    <n v="0.95"/>
    <n v="0.87"/>
    <n v="0.25"/>
    <n v="0.86"/>
    <n v="0.5"/>
    <n v="0.59"/>
    <n v="0.84"/>
    <n v="0.03"/>
    <n v="0.36"/>
    <n v="0.82"/>
    <x v="2"/>
    <s v="High Exposure"/>
  </r>
  <r>
    <x v="17"/>
    <x v="1243"/>
    <n v="5"/>
    <x v="0"/>
    <n v="0.85"/>
    <n v="0.67"/>
    <x v="14"/>
    <x v="2"/>
    <n v="0.15"/>
    <n v="0.79"/>
    <n v="0.25"/>
    <n v="0.74"/>
    <n v="0.46"/>
    <n v="0.99"/>
    <n v="0.57999999999999996"/>
    <n v="0.63"/>
    <n v="0.37"/>
    <n v="0.73"/>
    <x v="1"/>
    <s v="High Exposure"/>
  </r>
  <r>
    <x v="4"/>
    <x v="1244"/>
    <n v="12"/>
    <x v="3"/>
    <n v="0.02"/>
    <n v="1.1100000000000001"/>
    <x v="12"/>
    <x v="2"/>
    <n v="0.24"/>
    <n v="0.22"/>
    <n v="0.61"/>
    <n v="0.82"/>
    <n v="0.25"/>
    <n v="0.93"/>
    <n v="0.93"/>
    <n v="0.2"/>
    <n v="0.26"/>
    <n v="0.7"/>
    <x v="2"/>
    <s v="Low Exposure"/>
  </r>
  <r>
    <x v="3"/>
    <x v="1245"/>
    <n v="29"/>
    <x v="0"/>
    <n v="0.71"/>
    <n v="0.94"/>
    <x v="49"/>
    <x v="2"/>
    <n v="0.46"/>
    <n v="0.61"/>
    <n v="0.33"/>
    <n v="0.51"/>
    <n v="0.13"/>
    <n v="0.45"/>
    <n v="0.09"/>
    <n v="0.05"/>
    <n v="0.86"/>
    <n v="0.21"/>
    <x v="0"/>
    <s v="High Exposure"/>
  </r>
  <r>
    <x v="18"/>
    <x v="1246"/>
    <n v="26"/>
    <x v="3"/>
    <n v="0.15"/>
    <n v="0.76"/>
    <x v="41"/>
    <x v="1"/>
    <n v="0.14000000000000001"/>
    <n v="0.05"/>
    <n v="0.88"/>
    <n v="0.01"/>
    <n v="0.06"/>
    <n v="0.81"/>
    <n v="0.28000000000000003"/>
    <n v="0.72"/>
    <n v="0.15"/>
    <n v="0.24"/>
    <x v="0"/>
    <s v="Low Exposure"/>
  </r>
  <r>
    <x v="1"/>
    <x v="1247"/>
    <n v="25"/>
    <x v="2"/>
    <n v="0.99"/>
    <n v="0.56999999999999995"/>
    <x v="18"/>
    <x v="1"/>
    <n v="0.04"/>
    <n v="0.2"/>
    <n v="0.91"/>
    <n v="0.1"/>
    <n v="0.86"/>
    <n v="0.18"/>
    <n v="0.86"/>
    <n v="0.54"/>
    <n v="0.88"/>
    <n v="0.15"/>
    <x v="0"/>
    <s v="High Exposure"/>
  </r>
  <r>
    <x v="3"/>
    <x v="1248"/>
    <n v="19"/>
    <x v="0"/>
    <n v="0.68"/>
    <n v="1.04"/>
    <x v="69"/>
    <x v="2"/>
    <n v="0.65"/>
    <n v="0.88"/>
    <n v="0.38"/>
    <n v="0.59"/>
    <n v="0.87"/>
    <n v="0.21"/>
    <n v="0.49"/>
    <n v="0.96"/>
    <n v="0.47"/>
    <n v="0.25"/>
    <x v="0"/>
    <s v="Medium Exposure"/>
  </r>
  <r>
    <x v="2"/>
    <x v="1249"/>
    <n v="14"/>
    <x v="3"/>
    <n v="0.59"/>
    <n v="1.47"/>
    <x v="44"/>
    <x v="0"/>
    <n v="0.85"/>
    <n v="0.7"/>
    <n v="0.77"/>
    <n v="0.28000000000000003"/>
    <n v="0.28999999999999998"/>
    <n v="0.91"/>
    <n v="0.36"/>
    <n v="0.06"/>
    <n v="0.6"/>
    <n v="0.12"/>
    <x v="2"/>
    <s v="Medium Exposure"/>
  </r>
  <r>
    <x v="14"/>
    <x v="1250"/>
    <n v="16"/>
    <x v="2"/>
    <n v="0.64"/>
    <n v="1.37"/>
    <x v="40"/>
    <x v="0"/>
    <n v="0.11"/>
    <n v="0.38"/>
    <n v="0.77"/>
    <n v="0.42"/>
    <n v="0.97"/>
    <n v="0.74"/>
    <n v="0.02"/>
    <n v="0.88"/>
    <n v="0.1"/>
    <n v="0.14000000000000001"/>
    <x v="0"/>
    <s v="Medium Exposure"/>
  </r>
  <r>
    <x v="10"/>
    <x v="1251"/>
    <n v="14"/>
    <x v="1"/>
    <n v="0.86"/>
    <n v="1.04"/>
    <x v="71"/>
    <x v="2"/>
    <n v="0.35"/>
    <n v="0.34"/>
    <n v="0.33"/>
    <n v="0.24"/>
    <n v="0.61"/>
    <n v="0.9"/>
    <n v="0.31"/>
    <n v="0.19"/>
    <n v="0.84"/>
    <n v="0.74"/>
    <x v="2"/>
    <s v="High Exposure"/>
  </r>
  <r>
    <x v="9"/>
    <x v="1252"/>
    <n v="20"/>
    <x v="0"/>
    <n v="0.17"/>
    <n v="0.64"/>
    <x v="56"/>
    <x v="0"/>
    <n v="0.61"/>
    <n v="0.48"/>
    <n v="0.6"/>
    <n v="0.18"/>
    <n v="0.48"/>
    <n v="0.66"/>
    <n v="0.43"/>
    <n v="0.68"/>
    <n v="0.45"/>
    <n v="0.33"/>
    <x v="0"/>
    <s v="Low Exposure"/>
  </r>
  <r>
    <x v="11"/>
    <x v="1253"/>
    <n v="19"/>
    <x v="3"/>
    <n v="0.41"/>
    <n v="0.52"/>
    <x v="64"/>
    <x v="2"/>
    <n v="0.85"/>
    <n v="0.35"/>
    <n v="0.05"/>
    <n v="0.99"/>
    <n v="0.26"/>
    <n v="0.13"/>
    <n v="0.37"/>
    <n v="0.74"/>
    <n v="0.28999999999999998"/>
    <n v="0.56999999999999995"/>
    <x v="0"/>
    <s v="Medium Exposure"/>
  </r>
  <r>
    <x v="7"/>
    <x v="1254"/>
    <n v="6"/>
    <x v="0"/>
    <n v="0.12"/>
    <n v="0.83"/>
    <x v="70"/>
    <x v="1"/>
    <n v="0.61"/>
    <n v="0.12"/>
    <n v="0.16"/>
    <n v="0.64"/>
    <n v="0.81"/>
    <n v="0.35"/>
    <n v="0.6"/>
    <n v="0.17"/>
    <n v="0.31"/>
    <n v="0.02"/>
    <x v="2"/>
    <s v="Low Exposure"/>
  </r>
  <r>
    <x v="13"/>
    <x v="1255"/>
    <n v="6"/>
    <x v="1"/>
    <n v="0.4"/>
    <n v="1.32"/>
    <x v="14"/>
    <x v="2"/>
    <n v="0.83"/>
    <n v="0.28999999999999998"/>
    <n v="0.19"/>
    <n v="0.97"/>
    <n v="0.72"/>
    <n v="0.83"/>
    <n v="0.01"/>
    <n v="0.35"/>
    <n v="0.74"/>
    <n v="0.08"/>
    <x v="2"/>
    <s v="Medium Exposure"/>
  </r>
  <r>
    <x v="1"/>
    <x v="1256"/>
    <n v="16"/>
    <x v="0"/>
    <n v="0.43"/>
    <n v="0.52"/>
    <x v="37"/>
    <x v="1"/>
    <n v="0.28000000000000003"/>
    <n v="0.11"/>
    <n v="0.63"/>
    <n v="0.24"/>
    <n v="0.28000000000000003"/>
    <n v="0.9"/>
    <n v="0.47"/>
    <n v="0.39"/>
    <n v="0.72"/>
    <n v="0.91"/>
    <x v="0"/>
    <s v="Medium Exposure"/>
  </r>
  <r>
    <x v="6"/>
    <x v="1257"/>
    <n v="2"/>
    <x v="1"/>
    <n v="0.45"/>
    <n v="1.1100000000000001"/>
    <x v="87"/>
    <x v="2"/>
    <n v="0.77"/>
    <n v="0.97"/>
    <n v="0.94"/>
    <n v="0.27"/>
    <n v="0.23"/>
    <n v="0.96"/>
    <n v="0.46"/>
    <n v="0.21"/>
    <n v="0.71"/>
    <n v="0.28000000000000003"/>
    <x v="1"/>
    <s v="Medium Exposure"/>
  </r>
  <r>
    <x v="12"/>
    <x v="1258"/>
    <n v="21"/>
    <x v="3"/>
    <n v="0.88"/>
    <n v="0.66"/>
    <x v="20"/>
    <x v="2"/>
    <n v="0.27"/>
    <n v="0.61"/>
    <n v="0.12"/>
    <n v="0.47"/>
    <n v="0.63"/>
    <n v="0.85"/>
    <n v="0.23"/>
    <n v="0.82"/>
    <n v="0.23"/>
    <n v="0.68"/>
    <x v="0"/>
    <s v="High Exposure"/>
  </r>
  <r>
    <x v="17"/>
    <x v="1259"/>
    <n v="22"/>
    <x v="3"/>
    <n v="0.11"/>
    <n v="1.21"/>
    <x v="65"/>
    <x v="2"/>
    <n v="0.18"/>
    <n v="0.36"/>
    <n v="0.65"/>
    <n v="0.23"/>
    <n v="0.18"/>
    <n v="0.01"/>
    <n v="0.47"/>
    <n v="0.43"/>
    <n v="0.23"/>
    <n v="0.05"/>
    <x v="0"/>
    <s v="Low Exposure"/>
  </r>
  <r>
    <x v="8"/>
    <x v="1260"/>
    <n v="24"/>
    <x v="0"/>
    <n v="0.79"/>
    <n v="1.22"/>
    <x v="4"/>
    <x v="2"/>
    <n v="0.01"/>
    <n v="0.97"/>
    <n v="0.34"/>
    <n v="0.99"/>
    <n v="0.25"/>
    <n v="0.47"/>
    <n v="0.35"/>
    <n v="0.36"/>
    <n v="0.84"/>
    <n v="0.75"/>
    <x v="0"/>
    <s v="High Exposure"/>
  </r>
  <r>
    <x v="0"/>
    <x v="1261"/>
    <n v="25"/>
    <x v="2"/>
    <n v="0.61"/>
    <n v="0.96"/>
    <x v="28"/>
    <x v="0"/>
    <n v="1"/>
    <n v="0.55000000000000004"/>
    <n v="0.7"/>
    <n v="0.41"/>
    <n v="0.55000000000000004"/>
    <n v="0.94"/>
    <n v="0.17"/>
    <n v="0.28999999999999998"/>
    <n v="0.15"/>
    <n v="0.79"/>
    <x v="0"/>
    <s v="Medium Exposure"/>
  </r>
  <r>
    <x v="6"/>
    <x v="1262"/>
    <n v="1"/>
    <x v="3"/>
    <n v="0.08"/>
    <n v="0.8"/>
    <x v="50"/>
    <x v="2"/>
    <n v="0.41"/>
    <n v="0.04"/>
    <n v="0.96"/>
    <n v="0.95"/>
    <n v="0.28000000000000003"/>
    <n v="0.73"/>
    <n v="0.57999999999999996"/>
    <n v="0.24"/>
    <n v="0.26"/>
    <n v="0.49"/>
    <x v="1"/>
    <s v="Low Exposure"/>
  </r>
  <r>
    <x v="5"/>
    <x v="1263"/>
    <n v="7"/>
    <x v="3"/>
    <n v="0.28999999999999998"/>
    <n v="1.31"/>
    <x v="7"/>
    <x v="1"/>
    <n v="0.65"/>
    <n v="0.19"/>
    <n v="0.53"/>
    <n v="0.32"/>
    <n v="0.53"/>
    <n v="0.78"/>
    <n v="0.77"/>
    <n v="0.35"/>
    <n v="0.69"/>
    <n v="0.94"/>
    <x v="2"/>
    <s v="Low Exposure"/>
  </r>
  <r>
    <x v="9"/>
    <x v="1264"/>
    <n v="0"/>
    <x v="3"/>
    <n v="0.56999999999999995"/>
    <n v="1.42"/>
    <x v="9"/>
    <x v="0"/>
    <n v="0.63"/>
    <n v="0.89"/>
    <n v="0.59"/>
    <n v="0.61"/>
    <n v="0.72"/>
    <n v="0.88"/>
    <n v="0.09"/>
    <n v="0.34"/>
    <n v="0.4"/>
    <n v="0.91"/>
    <x v="1"/>
    <s v="Medium Exposure"/>
  </r>
  <r>
    <x v="13"/>
    <x v="1265"/>
    <n v="20"/>
    <x v="2"/>
    <n v="0.12"/>
    <n v="0.62"/>
    <x v="79"/>
    <x v="2"/>
    <n v="0.3"/>
    <n v="0.24"/>
    <n v="0.04"/>
    <n v="0.28000000000000003"/>
    <n v="0.69"/>
    <n v="0.43"/>
    <n v="0.52"/>
    <n v="0.92"/>
    <n v="0.11"/>
    <n v="7.0000000000000007E-2"/>
    <x v="0"/>
    <s v="Low Exposure"/>
  </r>
  <r>
    <x v="10"/>
    <x v="1266"/>
    <n v="16"/>
    <x v="2"/>
    <n v="0.77"/>
    <n v="0.76"/>
    <x v="87"/>
    <x v="2"/>
    <n v="0.31"/>
    <n v="0.65"/>
    <n v="0.06"/>
    <n v="0.49"/>
    <n v="0.13"/>
    <n v="0.82"/>
    <n v="0.38"/>
    <n v="0.53"/>
    <n v="0.03"/>
    <n v="0.06"/>
    <x v="0"/>
    <s v="High Exposure"/>
  </r>
  <r>
    <x v="4"/>
    <x v="1267"/>
    <n v="24"/>
    <x v="2"/>
    <n v="0.77"/>
    <n v="1.21"/>
    <x v="31"/>
    <x v="2"/>
    <n v="0.1"/>
    <n v="0.69"/>
    <n v="0.18"/>
    <n v="0.1"/>
    <n v="0.76"/>
    <n v="0.89"/>
    <n v="0.72"/>
    <n v="0.81"/>
    <n v="0.99"/>
    <n v="0.13"/>
    <x v="0"/>
    <s v="High Exposure"/>
  </r>
  <r>
    <x v="6"/>
    <x v="1268"/>
    <n v="3"/>
    <x v="1"/>
    <n v="0.6"/>
    <n v="1.31"/>
    <x v="23"/>
    <x v="2"/>
    <n v="0.56999999999999995"/>
    <n v="0.7"/>
    <n v="0.32"/>
    <n v="0.92"/>
    <n v="0.12"/>
    <n v="0.32"/>
    <n v="0.03"/>
    <n v="0.27"/>
    <n v="0.22"/>
    <n v="0.05"/>
    <x v="1"/>
    <s v="Medium Exposure"/>
  </r>
  <r>
    <x v="15"/>
    <x v="1269"/>
    <n v="3"/>
    <x v="3"/>
    <n v="0.47"/>
    <n v="0.57999999999999996"/>
    <x v="54"/>
    <x v="1"/>
    <n v="0.95"/>
    <n v="0.11"/>
    <n v="0.31"/>
    <n v="0.04"/>
    <n v="0.15"/>
    <n v="0.7"/>
    <n v="0.37"/>
    <n v="0.45"/>
    <n v="0.16"/>
    <n v="0.68"/>
    <x v="1"/>
    <s v="Medium Exposure"/>
  </r>
  <r>
    <x v="10"/>
    <x v="1270"/>
    <n v="24"/>
    <x v="3"/>
    <n v="0.18"/>
    <n v="0.54"/>
    <x v="20"/>
    <x v="2"/>
    <n v="0.66"/>
    <n v="0.14000000000000001"/>
    <n v="0.49"/>
    <n v="0.15"/>
    <n v="0.17"/>
    <n v="0"/>
    <n v="0.32"/>
    <n v="0.09"/>
    <n v="0.39"/>
    <n v="0.6"/>
    <x v="0"/>
    <s v="Low Exposure"/>
  </r>
  <r>
    <x v="2"/>
    <x v="1271"/>
    <n v="10"/>
    <x v="3"/>
    <n v="0.71"/>
    <n v="1.24"/>
    <x v="59"/>
    <x v="0"/>
    <n v="0.94"/>
    <n v="0.24"/>
    <n v="0.19"/>
    <n v="0.61"/>
    <n v="0.59"/>
    <n v="0.51"/>
    <n v="0"/>
    <n v="0.56000000000000005"/>
    <n v="0.93"/>
    <n v="0.33"/>
    <x v="2"/>
    <s v="High Exposure"/>
  </r>
  <r>
    <x v="6"/>
    <x v="1272"/>
    <n v="12"/>
    <x v="3"/>
    <n v="0.36"/>
    <n v="0.64"/>
    <x v="36"/>
    <x v="2"/>
    <n v="0.49"/>
    <n v="0.63"/>
    <n v="0.5"/>
    <n v="0.54"/>
    <n v="0.02"/>
    <n v="0.25"/>
    <n v="0.31"/>
    <n v="0.99"/>
    <n v="0.3"/>
    <n v="0.9"/>
    <x v="2"/>
    <s v="Medium Exposure"/>
  </r>
  <r>
    <x v="4"/>
    <x v="1273"/>
    <n v="26"/>
    <x v="0"/>
    <n v="0.1"/>
    <n v="0.75"/>
    <x v="6"/>
    <x v="2"/>
    <n v="0.98"/>
    <n v="0.67"/>
    <n v="0.93"/>
    <n v="0.83"/>
    <n v="0.57999999999999996"/>
    <n v="0.68"/>
    <n v="0.62"/>
    <n v="0.67"/>
    <n v="0.26"/>
    <n v="0.41"/>
    <x v="0"/>
    <s v="Low Exposure"/>
  </r>
  <r>
    <x v="15"/>
    <x v="1274"/>
    <n v="27"/>
    <x v="3"/>
    <n v="0.04"/>
    <n v="0.98"/>
    <x v="75"/>
    <x v="1"/>
    <n v="0.49"/>
    <n v="0.55000000000000004"/>
    <n v="0.2"/>
    <n v="0.79"/>
    <n v="0.36"/>
    <n v="0.96"/>
    <n v="0.99"/>
    <n v="0.92"/>
    <n v="0.08"/>
    <n v="0.33"/>
    <x v="0"/>
    <s v="Low Exposure"/>
  </r>
  <r>
    <x v="13"/>
    <x v="1275"/>
    <n v="11"/>
    <x v="2"/>
    <n v="0.8"/>
    <n v="1.41"/>
    <x v="68"/>
    <x v="2"/>
    <n v="0.48"/>
    <n v="0.11"/>
    <n v="0.84"/>
    <n v="0.75"/>
    <n v="0.06"/>
    <n v="0.21"/>
    <n v="0.56000000000000005"/>
    <n v="0.68"/>
    <n v="0.14000000000000001"/>
    <n v="0.24"/>
    <x v="2"/>
    <s v="High Exposure"/>
  </r>
  <r>
    <x v="4"/>
    <x v="1276"/>
    <n v="2"/>
    <x v="3"/>
    <n v="0.22"/>
    <n v="1.42"/>
    <x v="31"/>
    <x v="2"/>
    <n v="0.74"/>
    <n v="0.79"/>
    <n v="0.36"/>
    <n v="0.77"/>
    <n v="0.98"/>
    <n v="0.7"/>
    <n v="0.42"/>
    <n v="0.72"/>
    <n v="0.9"/>
    <n v="0.13"/>
    <x v="1"/>
    <s v="Low Exposure"/>
  </r>
  <r>
    <x v="5"/>
    <x v="1277"/>
    <n v="0"/>
    <x v="2"/>
    <n v="0.92"/>
    <n v="1.45"/>
    <x v="7"/>
    <x v="1"/>
    <n v="0.37"/>
    <n v="0.28000000000000003"/>
    <n v="0.5"/>
    <n v="0.93"/>
    <n v="0.15"/>
    <n v="0.42"/>
    <n v="0.91"/>
    <n v="0.35"/>
    <n v="0.77"/>
    <n v="0.39"/>
    <x v="1"/>
    <s v="High Exposure"/>
  </r>
  <r>
    <x v="4"/>
    <x v="1278"/>
    <n v="15"/>
    <x v="1"/>
    <n v="0.98"/>
    <n v="0.89"/>
    <x v="4"/>
    <x v="2"/>
    <n v="0.99"/>
    <n v="0.98"/>
    <n v="0.43"/>
    <n v="0.49"/>
    <n v="0.3"/>
    <n v="0.31"/>
    <n v="0.49"/>
    <n v="0.2"/>
    <n v="0.71"/>
    <n v="0.54"/>
    <x v="2"/>
    <s v="High Exposure"/>
  </r>
  <r>
    <x v="11"/>
    <x v="1279"/>
    <n v="27"/>
    <x v="0"/>
    <n v="0.81"/>
    <n v="0.82"/>
    <x v="11"/>
    <x v="2"/>
    <n v="0.75"/>
    <n v="0.19"/>
    <n v="0.03"/>
    <n v="0.85"/>
    <n v="0.14000000000000001"/>
    <n v="0.89"/>
    <n v="0.91"/>
    <n v="0.46"/>
    <n v="0.81"/>
    <n v="0.36"/>
    <x v="0"/>
    <s v="High Exposure"/>
  </r>
  <r>
    <x v="14"/>
    <x v="1280"/>
    <n v="5"/>
    <x v="3"/>
    <n v="0.82"/>
    <n v="0.57999999999999996"/>
    <x v="0"/>
    <x v="0"/>
    <n v="0.64"/>
    <n v="0"/>
    <n v="0.98"/>
    <n v="0.41"/>
    <n v="0.52"/>
    <n v="0.19"/>
    <n v="0.61"/>
    <n v="0.81"/>
    <n v="0.59"/>
    <n v="0.79"/>
    <x v="1"/>
    <s v="High Exposure"/>
  </r>
  <r>
    <x v="8"/>
    <x v="1281"/>
    <n v="13"/>
    <x v="1"/>
    <n v="0.5"/>
    <n v="0.87"/>
    <x v="3"/>
    <x v="2"/>
    <n v="0.87"/>
    <n v="0.88"/>
    <n v="0.23"/>
    <n v="0.9"/>
    <n v="0.34"/>
    <n v="0.31"/>
    <n v="0.73"/>
    <n v="0.3"/>
    <n v="0.05"/>
    <n v="0.37"/>
    <x v="2"/>
    <s v="Medium Exposure"/>
  </r>
  <r>
    <x v="1"/>
    <x v="1282"/>
    <n v="15"/>
    <x v="0"/>
    <n v="0.32"/>
    <n v="0.64"/>
    <x v="1"/>
    <x v="1"/>
    <n v="0.45"/>
    <n v="0.91"/>
    <n v="0.31"/>
    <n v="0.2"/>
    <n v="0.93"/>
    <n v="0.11"/>
    <n v="0.05"/>
    <n v="0.88"/>
    <n v="0.7"/>
    <n v="0.42"/>
    <x v="2"/>
    <s v="Medium Exposure"/>
  </r>
  <r>
    <x v="14"/>
    <x v="1283"/>
    <n v="28"/>
    <x v="1"/>
    <n v="0.74"/>
    <n v="0.54"/>
    <x v="59"/>
    <x v="0"/>
    <n v="0.64"/>
    <n v="0.96"/>
    <n v="0.97"/>
    <n v="0.38"/>
    <n v="0.59"/>
    <n v="0.14000000000000001"/>
    <n v="7.0000000000000007E-2"/>
    <n v="0.43"/>
    <n v="0.69"/>
    <n v="0.56999999999999995"/>
    <x v="0"/>
    <s v="High Exposure"/>
  </r>
  <r>
    <x v="13"/>
    <x v="1284"/>
    <n v="9"/>
    <x v="1"/>
    <n v="0.28000000000000003"/>
    <n v="0.88"/>
    <x v="23"/>
    <x v="2"/>
    <n v="0.33"/>
    <n v="0.88"/>
    <n v="0.11"/>
    <n v="0.04"/>
    <n v="0.21"/>
    <n v="0.28999999999999998"/>
    <n v="0.11"/>
    <n v="7.0000000000000007E-2"/>
    <n v="0.76"/>
    <n v="0.16"/>
    <x v="2"/>
    <s v="Low Exposure"/>
  </r>
  <r>
    <x v="18"/>
    <x v="1285"/>
    <n v="4"/>
    <x v="0"/>
    <n v="0.37"/>
    <n v="1.17"/>
    <x v="37"/>
    <x v="1"/>
    <n v="0.24"/>
    <n v="0.56999999999999995"/>
    <n v="0.56000000000000005"/>
    <n v="0.77"/>
    <n v="0.76"/>
    <n v="0.67"/>
    <n v="0.45"/>
    <n v="0.89"/>
    <n v="0.62"/>
    <n v="0.99"/>
    <x v="1"/>
    <s v="Medium Exposure"/>
  </r>
  <r>
    <x v="16"/>
    <x v="1286"/>
    <n v="10"/>
    <x v="3"/>
    <n v="0.04"/>
    <n v="0.82"/>
    <x v="56"/>
    <x v="0"/>
    <n v="0.72"/>
    <n v="0.55000000000000004"/>
    <n v="0.79"/>
    <n v="0.28000000000000003"/>
    <n v="0.18"/>
    <n v="0.05"/>
    <n v="0.56999999999999995"/>
    <n v="0.69"/>
    <n v="0.33"/>
    <n v="0.61"/>
    <x v="2"/>
    <s v="Low Exposure"/>
  </r>
  <r>
    <x v="16"/>
    <x v="1287"/>
    <n v="6"/>
    <x v="2"/>
    <n v="0.1"/>
    <n v="1.2"/>
    <x v="77"/>
    <x v="0"/>
    <n v="0.67"/>
    <n v="0.83"/>
    <n v="0.85"/>
    <n v="0.17"/>
    <n v="0.49"/>
    <n v="0.73"/>
    <n v="0.77"/>
    <n v="0.78"/>
    <n v="0.23"/>
    <n v="0.19"/>
    <x v="2"/>
    <s v="Low Exposure"/>
  </r>
  <r>
    <x v="1"/>
    <x v="1288"/>
    <n v="3"/>
    <x v="3"/>
    <n v="0.74"/>
    <n v="0.82"/>
    <x v="47"/>
    <x v="1"/>
    <n v="0.72"/>
    <n v="0.3"/>
    <n v="0.17"/>
    <n v="0.15"/>
    <n v="0.31"/>
    <n v="0.59"/>
    <n v="0.36"/>
    <n v="0.02"/>
    <n v="0.1"/>
    <n v="0.28999999999999998"/>
    <x v="1"/>
    <s v="High Exposure"/>
  </r>
  <r>
    <x v="12"/>
    <x v="1289"/>
    <n v="17"/>
    <x v="1"/>
    <n v="0.1"/>
    <n v="1.06"/>
    <x v="53"/>
    <x v="2"/>
    <n v="0.21"/>
    <n v="0.17"/>
    <n v="7.0000000000000007E-2"/>
    <n v="0.67"/>
    <n v="0.46"/>
    <n v="0.83"/>
    <n v="0.1"/>
    <n v="0.14000000000000001"/>
    <n v="0.31"/>
    <n v="0.77"/>
    <x v="0"/>
    <s v="Low Exposure"/>
  </r>
  <r>
    <x v="17"/>
    <x v="1290"/>
    <n v="25"/>
    <x v="3"/>
    <n v="0.41"/>
    <n v="0.8"/>
    <x v="20"/>
    <x v="2"/>
    <n v="0.94"/>
    <n v="0.55000000000000004"/>
    <n v="0.79"/>
    <n v="0.66"/>
    <n v="0.51"/>
    <n v="0.09"/>
    <n v="0.64"/>
    <n v="0.16"/>
    <n v="0.41"/>
    <n v="0.63"/>
    <x v="0"/>
    <s v="Medium Exposure"/>
  </r>
  <r>
    <x v="16"/>
    <x v="1291"/>
    <n v="2"/>
    <x v="2"/>
    <n v="0.69"/>
    <n v="1.17"/>
    <x v="44"/>
    <x v="0"/>
    <n v="0.35"/>
    <n v="0.04"/>
    <n v="0.72"/>
    <n v="0.95"/>
    <n v="0.26"/>
    <n v="0.09"/>
    <n v="0.48"/>
    <n v="0.86"/>
    <n v="0.55000000000000004"/>
    <n v="0.05"/>
    <x v="1"/>
    <s v="Medium Exposure"/>
  </r>
  <r>
    <x v="0"/>
    <x v="1292"/>
    <n v="21"/>
    <x v="3"/>
    <n v="0.22"/>
    <n v="0.54"/>
    <x v="56"/>
    <x v="0"/>
    <n v="0.13"/>
    <n v="0.34"/>
    <n v="0.51"/>
    <n v="0.9"/>
    <n v="0.08"/>
    <n v="0.67"/>
    <n v="0.01"/>
    <n v="0.63"/>
    <n v="0.55000000000000004"/>
    <n v="0.81"/>
    <x v="0"/>
    <s v="Low Exposure"/>
  </r>
  <r>
    <x v="4"/>
    <x v="1293"/>
    <n v="18"/>
    <x v="2"/>
    <n v="0.35"/>
    <n v="0.74"/>
    <x v="20"/>
    <x v="2"/>
    <n v="0.53"/>
    <n v="0.89"/>
    <n v="0.51"/>
    <n v="0.74"/>
    <n v="0.3"/>
    <n v="0.45"/>
    <n v="0.32"/>
    <n v="0.11"/>
    <n v="0.42"/>
    <n v="0.76"/>
    <x v="0"/>
    <s v="Medium Exposure"/>
  </r>
  <r>
    <x v="0"/>
    <x v="1294"/>
    <n v="19"/>
    <x v="3"/>
    <n v="0.65"/>
    <n v="1.26"/>
    <x v="80"/>
    <x v="0"/>
    <n v="0.8"/>
    <n v="0.34"/>
    <n v="0.26"/>
    <n v="0.22"/>
    <n v="0.2"/>
    <n v="0.74"/>
    <n v="0.89"/>
    <n v="0.23"/>
    <n v="0.09"/>
    <n v="0.31"/>
    <x v="0"/>
    <s v="Medium Exposure"/>
  </r>
  <r>
    <x v="18"/>
    <x v="1295"/>
    <n v="20"/>
    <x v="3"/>
    <n v="0.37"/>
    <n v="1.05"/>
    <x v="52"/>
    <x v="1"/>
    <n v="0.41"/>
    <n v="1"/>
    <n v="0.3"/>
    <n v="0.98"/>
    <n v="0.2"/>
    <n v="0.11"/>
    <n v="0.75"/>
    <n v="0.7"/>
    <n v="0.81"/>
    <n v="0.34"/>
    <x v="0"/>
    <s v="Medium Exposure"/>
  </r>
  <r>
    <x v="11"/>
    <x v="1296"/>
    <n v="26"/>
    <x v="0"/>
    <n v="0.12"/>
    <n v="0.53"/>
    <x v="71"/>
    <x v="2"/>
    <n v="0.8"/>
    <n v="0.67"/>
    <n v="0.44"/>
    <n v="0.26"/>
    <n v="0.06"/>
    <n v="0.34"/>
    <n v="0.46"/>
    <n v="0.69"/>
    <n v="0.65"/>
    <n v="0.95"/>
    <x v="0"/>
    <s v="Low Exposure"/>
  </r>
  <r>
    <x v="8"/>
    <x v="1297"/>
    <n v="29"/>
    <x v="3"/>
    <n v="0.34"/>
    <n v="0.98"/>
    <x v="64"/>
    <x v="2"/>
    <n v="0.5"/>
    <n v="0.91"/>
    <n v="0.61"/>
    <n v="0.04"/>
    <n v="0.11"/>
    <n v="0.75"/>
    <n v="0.72"/>
    <n v="0.15"/>
    <n v="0.06"/>
    <n v="0.57999999999999996"/>
    <x v="0"/>
    <s v="Medium Exposure"/>
  </r>
  <r>
    <x v="15"/>
    <x v="1298"/>
    <n v="9"/>
    <x v="2"/>
    <n v="0.14000000000000001"/>
    <n v="0.97"/>
    <x v="61"/>
    <x v="1"/>
    <n v="0.93"/>
    <n v="0.22"/>
    <n v="0.73"/>
    <n v="0.52"/>
    <n v="0.01"/>
    <n v="0.52"/>
    <n v="0.1"/>
    <n v="0.66"/>
    <n v="0.56999999999999995"/>
    <n v="0.01"/>
    <x v="2"/>
    <s v="Low Exposure"/>
  </r>
  <r>
    <x v="12"/>
    <x v="1299"/>
    <n v="3"/>
    <x v="1"/>
    <n v="0.01"/>
    <n v="1.24"/>
    <x v="31"/>
    <x v="2"/>
    <n v="0.17"/>
    <n v="0.96"/>
    <n v="0.22"/>
    <n v="0.46"/>
    <n v="0.11"/>
    <n v="0.6"/>
    <n v="0.38"/>
    <n v="0.35"/>
    <n v="0.83"/>
    <n v="0.01"/>
    <x v="1"/>
    <s v="Low Exposure"/>
  </r>
  <r>
    <x v="16"/>
    <x v="1300"/>
    <n v="27"/>
    <x v="2"/>
    <n v="0.56999999999999995"/>
    <n v="1.49"/>
    <x v="0"/>
    <x v="0"/>
    <n v="0.06"/>
    <n v="0.05"/>
    <n v="0.88"/>
    <n v="0.84"/>
    <n v="0.35"/>
    <n v="0.62"/>
    <n v="0.49"/>
    <n v="0.97"/>
    <n v="0.95"/>
    <n v="0.98"/>
    <x v="0"/>
    <s v="Medium Exposure"/>
  </r>
  <r>
    <x v="14"/>
    <x v="1301"/>
    <n v="16"/>
    <x v="0"/>
    <n v="0.91"/>
    <n v="0.72"/>
    <x v="32"/>
    <x v="0"/>
    <n v="0.71"/>
    <n v="0.96"/>
    <n v="0.56999999999999995"/>
    <n v="0.09"/>
    <n v="0.6"/>
    <n v="0.69"/>
    <n v="0.22"/>
    <n v="0.39"/>
    <n v="0.6"/>
    <n v="0.37"/>
    <x v="0"/>
    <s v="High Exposure"/>
  </r>
  <r>
    <x v="18"/>
    <x v="1302"/>
    <n v="16"/>
    <x v="2"/>
    <n v="0.13"/>
    <n v="1.44"/>
    <x v="52"/>
    <x v="1"/>
    <n v="0"/>
    <n v="0.77"/>
    <n v="0.74"/>
    <n v="0.01"/>
    <n v="0.37"/>
    <n v="0.61"/>
    <n v="0.45"/>
    <n v="0.78"/>
    <n v="0.43"/>
    <n v="0.15"/>
    <x v="0"/>
    <s v="Low Exposure"/>
  </r>
  <r>
    <x v="19"/>
    <x v="1303"/>
    <n v="1"/>
    <x v="0"/>
    <n v="0.24"/>
    <n v="1.22"/>
    <x v="46"/>
    <x v="2"/>
    <n v="0.33"/>
    <n v="0.44"/>
    <n v="0.19"/>
    <n v="0.45"/>
    <n v="0.16"/>
    <n v="0.56000000000000005"/>
    <n v="0.66"/>
    <n v="0.06"/>
    <n v="0.87"/>
    <n v="0.19"/>
    <x v="1"/>
    <s v="Low Exposure"/>
  </r>
  <r>
    <x v="2"/>
    <x v="1304"/>
    <n v="7"/>
    <x v="3"/>
    <n v="0.66"/>
    <n v="0.97"/>
    <x v="90"/>
    <x v="0"/>
    <n v="0.13"/>
    <n v="0.81"/>
    <n v="0.62"/>
    <n v="0.14000000000000001"/>
    <n v="0.37"/>
    <n v="0.81"/>
    <n v="0.56999999999999995"/>
    <n v="0.11"/>
    <n v="0.37"/>
    <n v="0.24"/>
    <x v="2"/>
    <s v="Medium Exposure"/>
  </r>
  <r>
    <x v="8"/>
    <x v="1305"/>
    <n v="10"/>
    <x v="2"/>
    <n v="0.6"/>
    <n v="1.1299999999999999"/>
    <x v="45"/>
    <x v="2"/>
    <n v="0.15"/>
    <n v="0.97"/>
    <n v="0.36"/>
    <n v="0.63"/>
    <n v="0.47"/>
    <n v="0.47"/>
    <n v="0.7"/>
    <n v="0.99"/>
    <n v="0.66"/>
    <n v="0.79"/>
    <x v="2"/>
    <s v="Medium Exposure"/>
  </r>
  <r>
    <x v="19"/>
    <x v="1306"/>
    <n v="28"/>
    <x v="2"/>
    <n v="0.18"/>
    <n v="0.81"/>
    <x v="45"/>
    <x v="2"/>
    <n v="0.45"/>
    <n v="0.88"/>
    <n v="0.15"/>
    <n v="0.51"/>
    <n v="0.65"/>
    <n v="0.52"/>
    <n v="0.89"/>
    <n v="0.99"/>
    <n v="0.12"/>
    <n v="0.13"/>
    <x v="0"/>
    <s v="Low Exposure"/>
  </r>
  <r>
    <x v="10"/>
    <x v="1307"/>
    <n v="15"/>
    <x v="0"/>
    <n v="0.68"/>
    <n v="0.87"/>
    <x v="31"/>
    <x v="2"/>
    <n v="0.41"/>
    <n v="0.63"/>
    <n v="0.77"/>
    <n v="0.55000000000000004"/>
    <n v="0.54"/>
    <n v="0.09"/>
    <n v="0.41"/>
    <n v="0.55000000000000004"/>
    <n v="0.46"/>
    <n v="0.9"/>
    <x v="2"/>
    <s v="Medium Exposure"/>
  </r>
  <r>
    <x v="18"/>
    <x v="1308"/>
    <n v="3"/>
    <x v="3"/>
    <n v="0.82"/>
    <n v="0.88"/>
    <x v="70"/>
    <x v="1"/>
    <n v="0.4"/>
    <n v="0.23"/>
    <n v="0.34"/>
    <n v="7.0000000000000007E-2"/>
    <n v="0.33"/>
    <n v="0.46"/>
    <n v="0.96"/>
    <n v="0.31"/>
    <n v="0.9"/>
    <n v="0.23"/>
    <x v="1"/>
    <s v="High Exposure"/>
  </r>
  <r>
    <x v="8"/>
    <x v="1309"/>
    <n v="0"/>
    <x v="0"/>
    <n v="0.52"/>
    <n v="1.17"/>
    <x v="86"/>
    <x v="2"/>
    <n v="0.22"/>
    <n v="0.46"/>
    <n v="0.33"/>
    <n v="0.71"/>
    <n v="0.51"/>
    <n v="0.16"/>
    <n v="0.89"/>
    <n v="0.28999999999999998"/>
    <n v="0.73"/>
    <n v="0.78"/>
    <x v="1"/>
    <s v="Medium Exposure"/>
  </r>
  <r>
    <x v="8"/>
    <x v="1310"/>
    <n v="0"/>
    <x v="2"/>
    <n v="0.5"/>
    <n v="1.1200000000000001"/>
    <x v="87"/>
    <x v="2"/>
    <n v="0.68"/>
    <n v="0.46"/>
    <n v="0.44"/>
    <n v="0.86"/>
    <n v="0.05"/>
    <n v="0.88"/>
    <n v="0.85"/>
    <n v="0.51"/>
    <n v="0.49"/>
    <n v="0.36"/>
    <x v="1"/>
    <s v="Medium Exposure"/>
  </r>
  <r>
    <x v="6"/>
    <x v="1311"/>
    <n v="18"/>
    <x v="3"/>
    <n v="0.11"/>
    <n v="1.0900000000000001"/>
    <x v="64"/>
    <x v="2"/>
    <n v="0.93"/>
    <n v="0.78"/>
    <n v="0.64"/>
    <n v="0.12"/>
    <n v="0.37"/>
    <n v="0.14000000000000001"/>
    <n v="0.88"/>
    <n v="0.75"/>
    <n v="0.76"/>
    <n v="0.65"/>
    <x v="0"/>
    <s v="Low Exposure"/>
  </r>
  <r>
    <x v="2"/>
    <x v="1312"/>
    <n v="10"/>
    <x v="0"/>
    <n v="0.15"/>
    <n v="0.83"/>
    <x v="67"/>
    <x v="0"/>
    <n v="0.72"/>
    <n v="0.16"/>
    <n v="0.7"/>
    <n v="0.69"/>
    <n v="0.46"/>
    <n v="0.14000000000000001"/>
    <n v="0.31"/>
    <n v="0.32"/>
    <n v="0.7"/>
    <n v="0.11"/>
    <x v="2"/>
    <s v="Low Exposure"/>
  </r>
  <r>
    <x v="11"/>
    <x v="1313"/>
    <n v="21"/>
    <x v="2"/>
    <n v="0.48"/>
    <n v="0.77"/>
    <x v="84"/>
    <x v="2"/>
    <n v="0.35"/>
    <n v="0.06"/>
    <n v="0.47"/>
    <n v="0.99"/>
    <n v="0.3"/>
    <n v="0.74"/>
    <n v="0.55000000000000004"/>
    <n v="0.33"/>
    <n v="0.09"/>
    <n v="0.22"/>
    <x v="0"/>
    <s v="Medium Exposure"/>
  </r>
  <r>
    <x v="9"/>
    <x v="1314"/>
    <n v="2"/>
    <x v="2"/>
    <n v="0.28000000000000003"/>
    <n v="0.64"/>
    <x v="80"/>
    <x v="0"/>
    <n v="0.57999999999999996"/>
    <n v="0.7"/>
    <n v="0.39"/>
    <n v="0.5"/>
    <n v="0.45"/>
    <n v="0.01"/>
    <n v="0.4"/>
    <n v="0.59"/>
    <n v="0.56999999999999995"/>
    <n v="0.75"/>
    <x v="1"/>
    <s v="Low Exposure"/>
  </r>
  <r>
    <x v="14"/>
    <x v="1315"/>
    <n v="14"/>
    <x v="0"/>
    <n v="0.28000000000000003"/>
    <n v="0.76"/>
    <x v="90"/>
    <x v="0"/>
    <n v="0.73"/>
    <n v="0.09"/>
    <n v="0.95"/>
    <n v="0.54"/>
    <n v="0.31"/>
    <n v="0.69"/>
    <n v="0.04"/>
    <n v="0.48"/>
    <n v="0.49"/>
    <n v="0.16"/>
    <x v="2"/>
    <s v="Low Exposure"/>
  </r>
  <r>
    <x v="0"/>
    <x v="1316"/>
    <n v="8"/>
    <x v="0"/>
    <n v="0.8"/>
    <n v="0.65"/>
    <x v="77"/>
    <x v="0"/>
    <n v="0.1"/>
    <n v="0.85"/>
    <n v="0.32"/>
    <n v="0.44"/>
    <n v="0.32"/>
    <n v="0.31"/>
    <n v="0.75"/>
    <n v="0.75"/>
    <n v="0.52"/>
    <n v="0.66"/>
    <x v="2"/>
    <s v="High Exposure"/>
  </r>
  <r>
    <x v="0"/>
    <x v="1317"/>
    <n v="7"/>
    <x v="3"/>
    <n v="0.03"/>
    <n v="0.56999999999999995"/>
    <x v="9"/>
    <x v="0"/>
    <n v="0.75"/>
    <n v="0.91"/>
    <n v="0.03"/>
    <n v="0.37"/>
    <n v="0.22"/>
    <n v="0.82"/>
    <n v="0.85"/>
    <n v="0.21"/>
    <n v="0.71"/>
    <n v="0.73"/>
    <x v="2"/>
    <s v="Low Exposure"/>
  </r>
  <r>
    <x v="3"/>
    <x v="1318"/>
    <n v="14"/>
    <x v="1"/>
    <n v="0.43"/>
    <n v="1.1200000000000001"/>
    <x v="57"/>
    <x v="2"/>
    <n v="0.4"/>
    <n v="0.15"/>
    <n v="0.54"/>
    <n v="0.84"/>
    <n v="0.52"/>
    <n v="0.04"/>
    <n v="0.03"/>
    <n v="0.61"/>
    <n v="0.33"/>
    <n v="0.56999999999999995"/>
    <x v="2"/>
    <s v="Medium Exposure"/>
  </r>
  <r>
    <x v="19"/>
    <x v="1319"/>
    <n v="2"/>
    <x v="1"/>
    <n v="0.78"/>
    <n v="1.36"/>
    <x v="72"/>
    <x v="2"/>
    <n v="0.3"/>
    <n v="0.66"/>
    <n v="0.28000000000000003"/>
    <n v="0.76"/>
    <n v="0.12"/>
    <n v="0.76"/>
    <n v="0.44"/>
    <n v="0.86"/>
    <n v="0.74"/>
    <n v="0.38"/>
    <x v="1"/>
    <s v="High Exposure"/>
  </r>
  <r>
    <x v="6"/>
    <x v="1320"/>
    <n v="18"/>
    <x v="1"/>
    <n v="0.28000000000000003"/>
    <n v="1.47"/>
    <x v="45"/>
    <x v="2"/>
    <n v="0.99"/>
    <n v="0.05"/>
    <n v="0.27"/>
    <n v="0.74"/>
    <n v="0.92"/>
    <n v="0.03"/>
    <n v="0"/>
    <n v="0.26"/>
    <n v="0.85"/>
    <n v="0.77"/>
    <x v="0"/>
    <s v="Low Exposure"/>
  </r>
  <r>
    <x v="1"/>
    <x v="1321"/>
    <n v="12"/>
    <x v="3"/>
    <n v="0"/>
    <n v="1.05"/>
    <x v="37"/>
    <x v="1"/>
    <n v="0.75"/>
    <n v="0.45"/>
    <n v="0.68"/>
    <n v="0.85"/>
    <n v="0.54"/>
    <n v="0.34"/>
    <n v="0.77"/>
    <n v="0.27"/>
    <n v="0.89"/>
    <n v="7.0000000000000007E-2"/>
    <x v="2"/>
    <s v="Low Exposure"/>
  </r>
  <r>
    <x v="18"/>
    <x v="1322"/>
    <n v="0"/>
    <x v="3"/>
    <n v="0.09"/>
    <n v="0.56000000000000005"/>
    <x v="41"/>
    <x v="1"/>
    <n v="0.96"/>
    <n v="0.98"/>
    <n v="0.2"/>
    <n v="0.15"/>
    <n v="0.35"/>
    <n v="0.34"/>
    <n v="0.76"/>
    <n v="0.44"/>
    <n v="0.78"/>
    <n v="0.75"/>
    <x v="1"/>
    <s v="Low Exposure"/>
  </r>
  <r>
    <x v="18"/>
    <x v="1323"/>
    <n v="10"/>
    <x v="1"/>
    <n v="0.83"/>
    <n v="0.7"/>
    <x v="63"/>
    <x v="1"/>
    <n v="0.75"/>
    <n v="0.24"/>
    <n v="0"/>
    <n v="0.91"/>
    <n v="0.62"/>
    <n v="0.44"/>
    <n v="0.73"/>
    <n v="0.33"/>
    <n v="0.95"/>
    <n v="7.0000000000000007E-2"/>
    <x v="2"/>
    <s v="High Exposure"/>
  </r>
  <r>
    <x v="1"/>
    <x v="1324"/>
    <n v="22"/>
    <x v="1"/>
    <n v="0.78"/>
    <n v="0.97"/>
    <x v="52"/>
    <x v="1"/>
    <n v="0.93"/>
    <n v="0.74"/>
    <n v="0.31"/>
    <n v="0.56000000000000005"/>
    <n v="0.91"/>
    <n v="0.45"/>
    <n v="0.68"/>
    <n v="0.47"/>
    <n v="0.12"/>
    <n v="0.06"/>
    <x v="0"/>
    <s v="High Exposure"/>
  </r>
  <r>
    <x v="14"/>
    <x v="1325"/>
    <n v="18"/>
    <x v="3"/>
    <n v="0.61"/>
    <n v="0.6"/>
    <x v="32"/>
    <x v="0"/>
    <n v="0.52"/>
    <n v="0.77"/>
    <n v="0.13"/>
    <n v="0.91"/>
    <n v="0.59"/>
    <n v="0.74"/>
    <n v="0.03"/>
    <n v="0.32"/>
    <n v="0.27"/>
    <n v="0.95"/>
    <x v="0"/>
    <s v="Medium Exposure"/>
  </r>
  <r>
    <x v="10"/>
    <x v="1326"/>
    <n v="24"/>
    <x v="0"/>
    <n v="0.71"/>
    <n v="0.54"/>
    <x v="48"/>
    <x v="2"/>
    <n v="0.34"/>
    <n v="0.79"/>
    <n v="0.79"/>
    <n v="0.95"/>
    <n v="0.92"/>
    <n v="0.08"/>
    <n v="0.83"/>
    <n v="0.45"/>
    <n v="0.87"/>
    <n v="0.09"/>
    <x v="0"/>
    <s v="High Exposure"/>
  </r>
  <r>
    <x v="8"/>
    <x v="1327"/>
    <n v="6"/>
    <x v="2"/>
    <n v="0.16"/>
    <n v="0.83"/>
    <x v="57"/>
    <x v="2"/>
    <n v="0.12"/>
    <n v="0.45"/>
    <n v="0.82"/>
    <n v="0.77"/>
    <n v="0.24"/>
    <n v="0.15"/>
    <n v="0.39"/>
    <n v="0.88"/>
    <n v="0.09"/>
    <n v="0.54"/>
    <x v="2"/>
    <s v="Low Exposure"/>
  </r>
  <r>
    <x v="12"/>
    <x v="1328"/>
    <n v="9"/>
    <x v="0"/>
    <n v="0.47"/>
    <n v="0.63"/>
    <x v="20"/>
    <x v="2"/>
    <n v="0.19"/>
    <n v="0.26"/>
    <n v="0.28000000000000003"/>
    <n v="0.65"/>
    <n v="0.05"/>
    <n v="0.08"/>
    <n v="0.19"/>
    <n v="0.87"/>
    <n v="0.63"/>
    <n v="0.73"/>
    <x v="2"/>
    <s v="Medium Exposure"/>
  </r>
  <r>
    <x v="0"/>
    <x v="1329"/>
    <n v="21"/>
    <x v="3"/>
    <n v="0.21"/>
    <n v="0.54"/>
    <x v="90"/>
    <x v="0"/>
    <n v="0.56999999999999995"/>
    <n v="0.9"/>
    <n v="0.88"/>
    <n v="0.42"/>
    <n v="0.42"/>
    <n v="0.16"/>
    <n v="0.26"/>
    <n v="0.93"/>
    <n v="0.14000000000000001"/>
    <n v="0.97"/>
    <x v="0"/>
    <s v="Low Exposure"/>
  </r>
  <r>
    <x v="14"/>
    <x v="1330"/>
    <n v="19"/>
    <x v="3"/>
    <n v="0.9"/>
    <n v="1.18"/>
    <x v="0"/>
    <x v="0"/>
    <n v="0.71"/>
    <n v="0.83"/>
    <n v="0.88"/>
    <n v="0.64"/>
    <n v="0.89"/>
    <n v="0.54"/>
    <n v="0.28000000000000003"/>
    <n v="0.88"/>
    <n v="0.54"/>
    <n v="0.91"/>
    <x v="0"/>
    <s v="High Exposure"/>
  </r>
  <r>
    <x v="14"/>
    <x v="1331"/>
    <n v="12"/>
    <x v="3"/>
    <n v="0.4"/>
    <n v="1.45"/>
    <x v="39"/>
    <x v="0"/>
    <n v="0.94"/>
    <n v="0.95"/>
    <n v="0.88"/>
    <n v="0.56000000000000005"/>
    <n v="0.65"/>
    <n v="0.87"/>
    <n v="0.78"/>
    <n v="0.63"/>
    <n v="0.98"/>
    <n v="0.69"/>
    <x v="2"/>
    <s v="Medium Exposure"/>
  </r>
  <r>
    <x v="3"/>
    <x v="1332"/>
    <n v="23"/>
    <x v="0"/>
    <n v="0.06"/>
    <n v="0.64"/>
    <x v="8"/>
    <x v="2"/>
    <n v="0.38"/>
    <n v="0.78"/>
    <n v="0.16"/>
    <n v="0.98"/>
    <n v="0.32"/>
    <n v="0.43"/>
    <n v="0.27"/>
    <n v="0.57999999999999996"/>
    <n v="0.06"/>
    <n v="0.15"/>
    <x v="0"/>
    <s v="Low Exposure"/>
  </r>
  <r>
    <x v="7"/>
    <x v="1333"/>
    <n v="7"/>
    <x v="0"/>
    <n v="0.19"/>
    <n v="0.74"/>
    <x v="88"/>
    <x v="1"/>
    <n v="0.09"/>
    <n v="0.44"/>
    <n v="0.02"/>
    <n v="0.35"/>
    <n v="0.7"/>
    <n v="0.09"/>
    <n v="0.89"/>
    <n v="0.91"/>
    <n v="0.1"/>
    <n v="0.99"/>
    <x v="2"/>
    <s v="Low Exposure"/>
  </r>
  <r>
    <x v="1"/>
    <x v="1334"/>
    <n v="5"/>
    <x v="0"/>
    <n v="0.08"/>
    <n v="0.51"/>
    <x v="18"/>
    <x v="1"/>
    <n v="0.63"/>
    <n v="0.33"/>
    <n v="0.84"/>
    <n v="0.72"/>
    <n v="0.35"/>
    <n v="0.73"/>
    <n v="0.94"/>
    <n v="0.09"/>
    <n v="0.31"/>
    <n v="0.46"/>
    <x v="1"/>
    <s v="Low Exposure"/>
  </r>
  <r>
    <x v="18"/>
    <x v="1335"/>
    <n v="9"/>
    <x v="2"/>
    <n v="0.54"/>
    <n v="0.8"/>
    <x v="29"/>
    <x v="1"/>
    <n v="0.65"/>
    <n v="0.57999999999999996"/>
    <n v="0.11"/>
    <n v="0.48"/>
    <n v="0.36"/>
    <n v="0.49"/>
    <n v="0.92"/>
    <n v="0.48"/>
    <n v="0.01"/>
    <n v="0.44"/>
    <x v="2"/>
    <s v="Medium Exposure"/>
  </r>
  <r>
    <x v="8"/>
    <x v="1336"/>
    <n v="3"/>
    <x v="1"/>
    <n v="0.82"/>
    <n v="0.75"/>
    <x v="25"/>
    <x v="2"/>
    <n v="0.65"/>
    <n v="0.16"/>
    <n v="0.74"/>
    <n v="0.69"/>
    <n v="0.54"/>
    <n v="0.56999999999999995"/>
    <n v="0.11"/>
    <n v="0.44"/>
    <n v="0.09"/>
    <n v="0.31"/>
    <x v="1"/>
    <s v="High Exposure"/>
  </r>
  <r>
    <x v="9"/>
    <x v="1337"/>
    <n v="11"/>
    <x v="0"/>
    <n v="0.56999999999999995"/>
    <n v="1.24"/>
    <x v="56"/>
    <x v="0"/>
    <n v="0.19"/>
    <n v="0.59"/>
    <n v="0.76"/>
    <n v="0.14000000000000001"/>
    <n v="0.82"/>
    <n v="0.56000000000000005"/>
    <n v="0"/>
    <n v="0.52"/>
    <n v="0.4"/>
    <n v="0.3"/>
    <x v="2"/>
    <s v="Medium Exposure"/>
  </r>
  <r>
    <x v="15"/>
    <x v="1338"/>
    <n v="6"/>
    <x v="2"/>
    <n v="0.9"/>
    <n v="1.26"/>
    <x v="75"/>
    <x v="1"/>
    <n v="0.91"/>
    <n v="0.91"/>
    <n v="0.11"/>
    <n v="0.46"/>
    <n v="0"/>
    <n v="0.51"/>
    <n v="0.92"/>
    <n v="0.2"/>
    <n v="0.64"/>
    <n v="0.64"/>
    <x v="2"/>
    <s v="High Exposure"/>
  </r>
  <r>
    <x v="15"/>
    <x v="1339"/>
    <n v="22"/>
    <x v="2"/>
    <n v="0.24"/>
    <n v="0.96"/>
    <x v="5"/>
    <x v="1"/>
    <n v="0.57999999999999996"/>
    <n v="0.48"/>
    <n v="0.52"/>
    <n v="0.13"/>
    <n v="0.52"/>
    <n v="0.05"/>
    <n v="0.88"/>
    <n v="0.34"/>
    <n v="0.86"/>
    <n v="0.7"/>
    <x v="0"/>
    <s v="Low Exposure"/>
  </r>
  <r>
    <x v="15"/>
    <x v="1340"/>
    <n v="14"/>
    <x v="3"/>
    <n v="0.17"/>
    <n v="0.52"/>
    <x v="5"/>
    <x v="1"/>
    <n v="0.54"/>
    <n v="0.48"/>
    <n v="0.5"/>
    <n v="0.25"/>
    <n v="0.69"/>
    <n v="0.7"/>
    <n v="0.36"/>
    <n v="0.88"/>
    <n v="0.64"/>
    <n v="0.71"/>
    <x v="2"/>
    <s v="Low Exposure"/>
  </r>
  <r>
    <x v="7"/>
    <x v="1341"/>
    <n v="5"/>
    <x v="2"/>
    <n v="0"/>
    <n v="1.37"/>
    <x v="75"/>
    <x v="1"/>
    <n v="0.12"/>
    <n v="0.37"/>
    <n v="0.66"/>
    <n v="0.65"/>
    <n v="0.86"/>
    <n v="0.14000000000000001"/>
    <n v="0.43"/>
    <n v="0.1"/>
    <n v="0.39"/>
    <n v="0.02"/>
    <x v="1"/>
    <s v="Low Exposure"/>
  </r>
  <r>
    <x v="2"/>
    <x v="1342"/>
    <n v="4"/>
    <x v="3"/>
    <n v="0.53"/>
    <n v="1.35"/>
    <x v="76"/>
    <x v="0"/>
    <n v="0.23"/>
    <n v="0.26"/>
    <n v="0.39"/>
    <n v="0.8"/>
    <n v="0.39"/>
    <n v="0.2"/>
    <n v="0.06"/>
    <n v="0.08"/>
    <n v="0.76"/>
    <n v="0.44"/>
    <x v="1"/>
    <s v="Medium Exposure"/>
  </r>
  <r>
    <x v="8"/>
    <x v="1343"/>
    <n v="3"/>
    <x v="2"/>
    <n v="0.68"/>
    <n v="0.64"/>
    <x v="46"/>
    <x v="2"/>
    <n v="0.76"/>
    <n v="0.72"/>
    <n v="0.38"/>
    <n v="0.08"/>
    <n v="0.01"/>
    <n v="0.28999999999999998"/>
    <n v="0.01"/>
    <n v="0.23"/>
    <n v="0.42"/>
    <n v="0.12"/>
    <x v="1"/>
    <s v="Medium Exposure"/>
  </r>
  <r>
    <x v="4"/>
    <x v="1344"/>
    <n v="20"/>
    <x v="3"/>
    <n v="0.92"/>
    <n v="0.61"/>
    <x v="48"/>
    <x v="2"/>
    <n v="0.99"/>
    <n v="0.02"/>
    <n v="0.51"/>
    <n v="0.52"/>
    <n v="0.26"/>
    <n v="0.66"/>
    <n v="0.94"/>
    <n v="0.45"/>
    <n v="0.75"/>
    <n v="0.65"/>
    <x v="0"/>
    <s v="High Exposure"/>
  </r>
  <r>
    <x v="7"/>
    <x v="1345"/>
    <n v="22"/>
    <x v="2"/>
    <n v="0.05"/>
    <n v="1.24"/>
    <x v="41"/>
    <x v="1"/>
    <n v="0.22"/>
    <n v="0.95"/>
    <n v="0.77"/>
    <n v="0.96"/>
    <n v="0.26"/>
    <n v="0.84"/>
    <n v="0.61"/>
    <n v="0.98"/>
    <n v="0.95"/>
    <n v="0.97"/>
    <x v="0"/>
    <s v="Low Exposure"/>
  </r>
  <r>
    <x v="16"/>
    <x v="1346"/>
    <n v="21"/>
    <x v="1"/>
    <n v="0.01"/>
    <n v="1.24"/>
    <x v="62"/>
    <x v="0"/>
    <n v="0.71"/>
    <n v="0.98"/>
    <n v="0.04"/>
    <n v="0.56999999999999995"/>
    <n v="0.73"/>
    <n v="0.25"/>
    <n v="0.23"/>
    <n v="0.06"/>
    <n v="0.09"/>
    <n v="0.66"/>
    <x v="0"/>
    <s v="Low Exposure"/>
  </r>
  <r>
    <x v="3"/>
    <x v="1347"/>
    <n v="15"/>
    <x v="3"/>
    <n v="0.03"/>
    <n v="1.47"/>
    <x v="23"/>
    <x v="2"/>
    <n v="0.52"/>
    <n v="0.27"/>
    <n v="0.66"/>
    <n v="0.36"/>
    <n v="0.7"/>
    <n v="0.68"/>
    <n v="0.09"/>
    <n v="0.91"/>
    <n v="0.49"/>
    <n v="0.39"/>
    <x v="2"/>
    <s v="Low Exposure"/>
  </r>
  <r>
    <x v="12"/>
    <x v="1348"/>
    <n v="11"/>
    <x v="2"/>
    <n v="0.44"/>
    <n v="1.22"/>
    <x v="23"/>
    <x v="2"/>
    <n v="0.17"/>
    <n v="0.99"/>
    <n v="0.46"/>
    <n v="0.39"/>
    <n v="0.92"/>
    <n v="0.53"/>
    <n v="0.71"/>
    <n v="0.85"/>
    <n v="0.24"/>
    <n v="0.17"/>
    <x v="2"/>
    <s v="Medium Exposure"/>
  </r>
  <r>
    <x v="17"/>
    <x v="1349"/>
    <n v="2"/>
    <x v="1"/>
    <n v="0.9"/>
    <n v="0.7"/>
    <x v="71"/>
    <x v="2"/>
    <n v="0.28999999999999998"/>
    <n v="0.3"/>
    <n v="0.67"/>
    <n v="0.95"/>
    <n v="0.33"/>
    <n v="0.41"/>
    <n v="0.77"/>
    <n v="0.43"/>
    <n v="0.93"/>
    <n v="0.5"/>
    <x v="1"/>
    <s v="High Exposure"/>
  </r>
  <r>
    <x v="9"/>
    <x v="1350"/>
    <n v="19"/>
    <x v="3"/>
    <n v="0.97"/>
    <n v="0.93"/>
    <x v="39"/>
    <x v="0"/>
    <n v="0.18"/>
    <n v="1"/>
    <n v="0.75"/>
    <n v="0.41"/>
    <n v="0.83"/>
    <n v="0.55000000000000004"/>
    <n v="0.32"/>
    <n v="0.74"/>
    <n v="0.75"/>
    <n v="0.5"/>
    <x v="0"/>
    <s v="High Exposure"/>
  </r>
  <r>
    <x v="13"/>
    <x v="1351"/>
    <n v="21"/>
    <x v="3"/>
    <n v="0.08"/>
    <n v="1.29"/>
    <x v="12"/>
    <x v="2"/>
    <n v="0.68"/>
    <n v="0.84"/>
    <n v="0.72"/>
    <n v="0.9"/>
    <n v="0.15"/>
    <n v="0.39"/>
    <n v="0.46"/>
    <n v="0.3"/>
    <n v="0.73"/>
    <n v="0.91"/>
    <x v="0"/>
    <s v="Low Exposure"/>
  </r>
  <r>
    <x v="11"/>
    <x v="1352"/>
    <n v="4"/>
    <x v="2"/>
    <n v="0.94"/>
    <n v="1.02"/>
    <x v="50"/>
    <x v="2"/>
    <n v="0.6"/>
    <n v="0.27"/>
    <n v="0.38"/>
    <n v="0.55000000000000004"/>
    <n v="0.94"/>
    <n v="0.64"/>
    <n v="0.33"/>
    <n v="0.01"/>
    <n v="0.98"/>
    <n v="0.49"/>
    <x v="1"/>
    <s v="High Exposure"/>
  </r>
  <r>
    <x v="0"/>
    <x v="1353"/>
    <n v="14"/>
    <x v="0"/>
    <n v="0.55000000000000004"/>
    <n v="1.1100000000000001"/>
    <x v="51"/>
    <x v="0"/>
    <n v="0.32"/>
    <n v="0.7"/>
    <n v="0.53"/>
    <n v="0.67"/>
    <n v="0.84"/>
    <n v="0.18"/>
    <n v="0.61"/>
    <n v="0.05"/>
    <n v="0.1"/>
    <n v="0.67"/>
    <x v="2"/>
    <s v="Medium Exposure"/>
  </r>
  <r>
    <x v="5"/>
    <x v="1354"/>
    <n v="21"/>
    <x v="1"/>
    <n v="0.6"/>
    <n v="0.72"/>
    <x v="61"/>
    <x v="1"/>
    <n v="0.13"/>
    <n v="0.25"/>
    <n v="0.82"/>
    <n v="0.64"/>
    <n v="0.95"/>
    <n v="0.05"/>
    <n v="0.79"/>
    <n v="0.7"/>
    <n v="0.26"/>
    <n v="0.73"/>
    <x v="0"/>
    <s v="Medium Exposure"/>
  </r>
  <r>
    <x v="7"/>
    <x v="1355"/>
    <n v="15"/>
    <x v="2"/>
    <n v="0.46"/>
    <n v="1.19"/>
    <x v="74"/>
    <x v="1"/>
    <n v="0.34"/>
    <n v="0.47"/>
    <n v="0.9"/>
    <n v="0.38"/>
    <n v="0.4"/>
    <n v="0.61"/>
    <n v="0.75"/>
    <n v="0.73"/>
    <n v="0.02"/>
    <n v="0.69"/>
    <x v="2"/>
    <s v="Medium Exposure"/>
  </r>
  <r>
    <x v="8"/>
    <x v="1356"/>
    <n v="7"/>
    <x v="0"/>
    <n v="0.52"/>
    <n v="1.06"/>
    <x v="31"/>
    <x v="2"/>
    <n v="0.83"/>
    <n v="0.65"/>
    <n v="0.56000000000000005"/>
    <n v="0.37"/>
    <n v="0.14000000000000001"/>
    <n v="0.96"/>
    <n v="0.46"/>
    <n v="0.56999999999999995"/>
    <n v="0.75"/>
    <n v="7.0000000000000007E-2"/>
    <x v="2"/>
    <s v="Medium Exposure"/>
  </r>
  <r>
    <x v="17"/>
    <x v="1357"/>
    <n v="14"/>
    <x v="1"/>
    <n v="0.8"/>
    <n v="1.27"/>
    <x v="57"/>
    <x v="2"/>
    <n v="0.53"/>
    <n v="0.05"/>
    <n v="0.55000000000000004"/>
    <n v="0.72"/>
    <n v="0.12"/>
    <n v="0.69"/>
    <n v="0.45"/>
    <n v="0.81"/>
    <n v="0.53"/>
    <n v="0.34"/>
    <x v="2"/>
    <s v="High Exposure"/>
  </r>
  <r>
    <x v="3"/>
    <x v="1358"/>
    <n v="15"/>
    <x v="0"/>
    <n v="0.9"/>
    <n v="0.95"/>
    <x v="36"/>
    <x v="2"/>
    <n v="0.04"/>
    <n v="0.36"/>
    <n v="0.85"/>
    <n v="0.76"/>
    <n v="0.22"/>
    <n v="0.41"/>
    <n v="0.2"/>
    <n v="0.95"/>
    <n v="0.6"/>
    <n v="0.75"/>
    <x v="2"/>
    <s v="High Exposure"/>
  </r>
  <r>
    <x v="17"/>
    <x v="1359"/>
    <n v="25"/>
    <x v="3"/>
    <n v="0.87"/>
    <n v="1.45"/>
    <x v="57"/>
    <x v="2"/>
    <n v="0.98"/>
    <n v="0.87"/>
    <n v="0.38"/>
    <n v="0.84"/>
    <n v="0.74"/>
    <n v="0.79"/>
    <n v="0.22"/>
    <n v="0.65"/>
    <n v="0.03"/>
    <n v="0.85"/>
    <x v="0"/>
    <s v="High Exposure"/>
  </r>
  <r>
    <x v="11"/>
    <x v="1360"/>
    <n v="25"/>
    <x v="2"/>
    <n v="0.66"/>
    <n v="1.01"/>
    <x v="31"/>
    <x v="2"/>
    <n v="0.33"/>
    <n v="0.63"/>
    <n v="0.72"/>
    <n v="0.14000000000000001"/>
    <n v="0.14000000000000001"/>
    <n v="0.72"/>
    <n v="0.43"/>
    <n v="0.89"/>
    <n v="0.31"/>
    <n v="0.04"/>
    <x v="0"/>
    <s v="Medium Exposure"/>
  </r>
  <r>
    <x v="12"/>
    <x v="1361"/>
    <n v="29"/>
    <x v="3"/>
    <n v="0.68"/>
    <n v="1.05"/>
    <x v="64"/>
    <x v="2"/>
    <n v="0.52"/>
    <n v="0.69"/>
    <n v="0.04"/>
    <n v="0.37"/>
    <n v="0.21"/>
    <n v="0.1"/>
    <n v="0.23"/>
    <n v="0.19"/>
    <n v="0.97"/>
    <n v="0.28999999999999998"/>
    <x v="0"/>
    <s v="Medium Exposure"/>
  </r>
  <r>
    <x v="15"/>
    <x v="1362"/>
    <n v="20"/>
    <x v="1"/>
    <n v="0.83"/>
    <n v="0.92"/>
    <x v="74"/>
    <x v="1"/>
    <n v="0.44"/>
    <n v="0.42"/>
    <n v="0.33"/>
    <n v="0.28999999999999998"/>
    <n v="0.88"/>
    <n v="0.16"/>
    <n v="0.18"/>
    <n v="0.56999999999999995"/>
    <n v="0.34"/>
    <n v="0.42"/>
    <x v="0"/>
    <s v="High Exposure"/>
  </r>
  <r>
    <x v="8"/>
    <x v="1363"/>
    <n v="22"/>
    <x v="2"/>
    <n v="0.87"/>
    <n v="1.23"/>
    <x v="3"/>
    <x v="2"/>
    <n v="1"/>
    <n v="0.8"/>
    <n v="0.83"/>
    <n v="0.95"/>
    <n v="0.15"/>
    <n v="0.5"/>
    <n v="0.57999999999999996"/>
    <n v="0.33"/>
    <n v="0.84"/>
    <n v="0.76"/>
    <x v="0"/>
    <s v="High Exposure"/>
  </r>
  <r>
    <x v="12"/>
    <x v="1364"/>
    <n v="0"/>
    <x v="2"/>
    <n v="1"/>
    <n v="0.76"/>
    <x v="31"/>
    <x v="2"/>
    <n v="0.55000000000000004"/>
    <n v="0.31"/>
    <n v="0.16"/>
    <n v="0.9"/>
    <n v="0.6"/>
    <n v="0.82"/>
    <n v="0.55000000000000004"/>
    <n v="0.22"/>
    <n v="0.34"/>
    <n v="0.38"/>
    <x v="1"/>
    <s v="High Exposure"/>
  </r>
  <r>
    <x v="3"/>
    <x v="1365"/>
    <n v="4"/>
    <x v="3"/>
    <n v="0.01"/>
    <n v="1.49"/>
    <x v="66"/>
    <x v="2"/>
    <n v="1"/>
    <n v="0.48"/>
    <n v="0.96"/>
    <n v="0.4"/>
    <n v="0.03"/>
    <n v="0.22"/>
    <n v="0.95"/>
    <n v="0.01"/>
    <n v="0.55000000000000004"/>
    <n v="0.08"/>
    <x v="1"/>
    <s v="Low Exposure"/>
  </r>
  <r>
    <x v="10"/>
    <x v="1366"/>
    <n v="16"/>
    <x v="0"/>
    <n v="0.09"/>
    <n v="1.36"/>
    <x v="22"/>
    <x v="2"/>
    <n v="0.9"/>
    <n v="0.69"/>
    <n v="0.97"/>
    <n v="0.51"/>
    <n v="0.64"/>
    <n v="0.57999999999999996"/>
    <n v="0.48"/>
    <n v="0.85"/>
    <n v="0.64"/>
    <n v="0.8"/>
    <x v="0"/>
    <s v="Low Exposure"/>
  </r>
  <r>
    <x v="0"/>
    <x v="1367"/>
    <n v="6"/>
    <x v="3"/>
    <n v="0.41"/>
    <n v="0.66"/>
    <x v="35"/>
    <x v="0"/>
    <n v="0.28999999999999998"/>
    <n v="0.21"/>
    <n v="0.59"/>
    <n v="0.92"/>
    <n v="0.84"/>
    <n v="0.18"/>
    <n v="0.77"/>
    <n v="0.23"/>
    <n v="0.28999999999999998"/>
    <n v="0.92"/>
    <x v="2"/>
    <s v="Medium Exposure"/>
  </r>
  <r>
    <x v="9"/>
    <x v="1368"/>
    <n v="29"/>
    <x v="2"/>
    <n v="0.17"/>
    <n v="0.56000000000000005"/>
    <x v="62"/>
    <x v="0"/>
    <n v="0.57999999999999996"/>
    <n v="0.88"/>
    <n v="0.12"/>
    <n v="0.41"/>
    <n v="0.27"/>
    <n v="0.01"/>
    <n v="0.79"/>
    <n v="0.81"/>
    <n v="0.22"/>
    <n v="0.15"/>
    <x v="0"/>
    <s v="Low Exposure"/>
  </r>
  <r>
    <x v="18"/>
    <x v="1369"/>
    <n v="16"/>
    <x v="3"/>
    <n v="0.72"/>
    <n v="1.21"/>
    <x v="82"/>
    <x v="1"/>
    <n v="0.78"/>
    <n v="0.57999999999999996"/>
    <n v="0.28999999999999998"/>
    <n v="0.73"/>
    <n v="0.59"/>
    <n v="0.01"/>
    <n v="0.9"/>
    <n v="0.55000000000000004"/>
    <n v="0.87"/>
    <n v="0.88"/>
    <x v="0"/>
    <s v="High Exposure"/>
  </r>
  <r>
    <x v="11"/>
    <x v="1370"/>
    <n v="9"/>
    <x v="2"/>
    <n v="0.51"/>
    <n v="0.92"/>
    <x v="8"/>
    <x v="2"/>
    <n v="0.9"/>
    <n v="0.79"/>
    <n v="0.13"/>
    <n v="0.61"/>
    <n v="1"/>
    <n v="0.6"/>
    <n v="0.79"/>
    <n v="0.77"/>
    <n v="0.35"/>
    <n v="0.37"/>
    <x v="2"/>
    <s v="Medium Exposure"/>
  </r>
  <r>
    <x v="2"/>
    <x v="1371"/>
    <n v="28"/>
    <x v="0"/>
    <n v="0.5"/>
    <n v="1.07"/>
    <x v="51"/>
    <x v="0"/>
    <n v="0.78"/>
    <n v="0.27"/>
    <n v="0.15"/>
    <n v="0.28999999999999998"/>
    <n v="0.51"/>
    <n v="0.34"/>
    <n v="0.56999999999999995"/>
    <n v="0.05"/>
    <n v="0.51"/>
    <n v="0.37"/>
    <x v="0"/>
    <s v="Medium Exposure"/>
  </r>
  <r>
    <x v="10"/>
    <x v="1372"/>
    <n v="1"/>
    <x v="0"/>
    <n v="0.28000000000000003"/>
    <n v="1.4"/>
    <x v="49"/>
    <x v="2"/>
    <n v="0.68"/>
    <n v="0.92"/>
    <n v="0.54"/>
    <n v="0.88"/>
    <n v="0.12"/>
    <n v="0.49"/>
    <n v="0.46"/>
    <n v="0.01"/>
    <n v="0.44"/>
    <n v="0.37"/>
    <x v="1"/>
    <s v="Low Exposure"/>
  </r>
  <r>
    <x v="10"/>
    <x v="1373"/>
    <n v="23"/>
    <x v="3"/>
    <n v="1"/>
    <n v="1.45"/>
    <x v="22"/>
    <x v="2"/>
    <n v="0.14000000000000001"/>
    <n v="0.26"/>
    <n v="0.36"/>
    <n v="0.87"/>
    <n v="0.17"/>
    <n v="0.22"/>
    <n v="0.35"/>
    <n v="0.93"/>
    <n v="0.5"/>
    <n v="0.65"/>
    <x v="0"/>
    <s v="High Exposure"/>
  </r>
  <r>
    <x v="4"/>
    <x v="1374"/>
    <n v="13"/>
    <x v="2"/>
    <n v="0.19"/>
    <n v="0.72"/>
    <x v="69"/>
    <x v="2"/>
    <n v="0.89"/>
    <n v="0.49"/>
    <n v="0.36"/>
    <n v="0.81"/>
    <n v="0.67"/>
    <n v="0.04"/>
    <n v="0.35"/>
    <n v="0.68"/>
    <n v="0.56999999999999995"/>
    <n v="0.98"/>
    <x v="2"/>
    <s v="Low Exposure"/>
  </r>
  <r>
    <x v="10"/>
    <x v="1375"/>
    <n v="27"/>
    <x v="0"/>
    <n v="0.06"/>
    <n v="1.23"/>
    <x v="87"/>
    <x v="2"/>
    <n v="0.68"/>
    <n v="0.62"/>
    <n v="0.5"/>
    <n v="0.85"/>
    <n v="0.71"/>
    <n v="0.89"/>
    <n v="0.28000000000000003"/>
    <n v="0.35"/>
    <n v="0.62"/>
    <n v="0.97"/>
    <x v="0"/>
    <s v="Low Exposure"/>
  </r>
  <r>
    <x v="6"/>
    <x v="1376"/>
    <n v="10"/>
    <x v="3"/>
    <n v="0.03"/>
    <n v="0.95"/>
    <x v="43"/>
    <x v="2"/>
    <n v="0.8"/>
    <n v="0.73"/>
    <n v="0.96"/>
    <n v="0.78"/>
    <n v="0.3"/>
    <n v="0.64"/>
    <n v="0.67"/>
    <n v="1"/>
    <n v="0.14000000000000001"/>
    <n v="0.19"/>
    <x v="2"/>
    <s v="Low Exposure"/>
  </r>
  <r>
    <x v="11"/>
    <x v="1377"/>
    <n v="19"/>
    <x v="1"/>
    <n v="0.59"/>
    <n v="0.64"/>
    <x v="23"/>
    <x v="2"/>
    <n v="0.8"/>
    <n v="0.43"/>
    <n v="0.56000000000000005"/>
    <n v="0.91"/>
    <n v="0.56999999999999995"/>
    <n v="0.21"/>
    <n v="0.34"/>
    <n v="0.53"/>
    <n v="0.15"/>
    <n v="0.61"/>
    <x v="0"/>
    <s v="Medium Exposure"/>
  </r>
  <r>
    <x v="4"/>
    <x v="1378"/>
    <n v="3"/>
    <x v="1"/>
    <n v="0.65"/>
    <n v="0.87"/>
    <x v="87"/>
    <x v="2"/>
    <n v="0.93"/>
    <n v="0.87"/>
    <n v="0.47"/>
    <n v="0.35"/>
    <n v="0.71"/>
    <n v="0.31"/>
    <n v="0.12"/>
    <n v="0.31"/>
    <n v="0.43"/>
    <n v="0.26"/>
    <x v="1"/>
    <s v="Medium Exposure"/>
  </r>
  <r>
    <x v="4"/>
    <x v="1379"/>
    <n v="6"/>
    <x v="3"/>
    <n v="0.01"/>
    <n v="1.1299999999999999"/>
    <x v="33"/>
    <x v="2"/>
    <n v="0.19"/>
    <n v="0.94"/>
    <n v="0.41"/>
    <n v="0.03"/>
    <n v="0.22"/>
    <n v="0.69"/>
    <n v="0.2"/>
    <n v="0.05"/>
    <n v="0.62"/>
    <n v="0.52"/>
    <x v="2"/>
    <s v="Low Exposure"/>
  </r>
  <r>
    <x v="9"/>
    <x v="1380"/>
    <n v="16"/>
    <x v="2"/>
    <n v="0.77"/>
    <n v="1.46"/>
    <x v="76"/>
    <x v="0"/>
    <n v="0.04"/>
    <n v="0.99"/>
    <n v="0.64"/>
    <n v="0.72"/>
    <n v="0.1"/>
    <n v="7.0000000000000007E-2"/>
    <n v="0.16"/>
    <n v="0.43"/>
    <n v="0.11"/>
    <n v="0.45"/>
    <x v="0"/>
    <s v="High Exposure"/>
  </r>
  <r>
    <x v="1"/>
    <x v="1381"/>
    <n v="2"/>
    <x v="2"/>
    <n v="0"/>
    <n v="0.61"/>
    <x v="41"/>
    <x v="1"/>
    <n v="0.05"/>
    <n v="0.13"/>
    <n v="0.23"/>
    <n v="0.43"/>
    <n v="0.71"/>
    <n v="0.13"/>
    <n v="0.74"/>
    <n v="0.86"/>
    <n v="0.65"/>
    <n v="0.04"/>
    <x v="1"/>
    <s v="Low Exposure"/>
  </r>
  <r>
    <x v="1"/>
    <x v="1382"/>
    <n v="2"/>
    <x v="3"/>
    <n v="0.66"/>
    <n v="1.48"/>
    <x v="21"/>
    <x v="1"/>
    <n v="0.4"/>
    <n v="0.62"/>
    <n v="0.89"/>
    <n v="0.83"/>
    <n v="0.48"/>
    <n v="0.26"/>
    <n v="0.14000000000000001"/>
    <n v="0.49"/>
    <n v="0.72"/>
    <n v="0.97"/>
    <x v="1"/>
    <s v="Medium Exposure"/>
  </r>
  <r>
    <x v="14"/>
    <x v="1383"/>
    <n v="17"/>
    <x v="0"/>
    <n v="0.98"/>
    <n v="1.35"/>
    <x v="2"/>
    <x v="0"/>
    <n v="0.78"/>
    <n v="0.19"/>
    <n v="0.56000000000000005"/>
    <n v="7.0000000000000007E-2"/>
    <n v="0.35"/>
    <n v="0.23"/>
    <n v="0.72"/>
    <n v="0.49"/>
    <n v="0.75"/>
    <n v="0.52"/>
    <x v="0"/>
    <s v="High Exposure"/>
  </r>
  <r>
    <x v="19"/>
    <x v="1384"/>
    <n v="10"/>
    <x v="3"/>
    <n v="0.19"/>
    <n v="1.22"/>
    <x v="87"/>
    <x v="2"/>
    <n v="0.33"/>
    <n v="0.74"/>
    <n v="0.25"/>
    <n v="0.9"/>
    <n v="0.56000000000000005"/>
    <n v="0.54"/>
    <n v="0.26"/>
    <n v="0.84"/>
    <n v="0.56999999999999995"/>
    <n v="0.16"/>
    <x v="2"/>
    <s v="Low Exposure"/>
  </r>
  <r>
    <x v="8"/>
    <x v="1385"/>
    <n v="10"/>
    <x v="3"/>
    <n v="0.2"/>
    <n v="0.56000000000000005"/>
    <x v="43"/>
    <x v="2"/>
    <n v="0.7"/>
    <n v="1"/>
    <n v="0.36"/>
    <n v="0.9"/>
    <n v="0.38"/>
    <n v="0.69"/>
    <n v="0.6"/>
    <n v="0.05"/>
    <n v="0.08"/>
    <n v="0.02"/>
    <x v="2"/>
    <s v="Low Exposure"/>
  </r>
  <r>
    <x v="14"/>
    <x v="1386"/>
    <n v="21"/>
    <x v="1"/>
    <n v="0.75"/>
    <n v="0.67"/>
    <x v="0"/>
    <x v="0"/>
    <n v="0.28999999999999998"/>
    <n v="0.8"/>
    <n v="0.8"/>
    <n v="0.78"/>
    <n v="0.52"/>
    <n v="0.28000000000000003"/>
    <n v="0.81"/>
    <n v="0.19"/>
    <n v="0.28999999999999998"/>
    <n v="0.18"/>
    <x v="0"/>
    <s v="High Exposure"/>
  </r>
  <r>
    <x v="7"/>
    <x v="1387"/>
    <n v="25"/>
    <x v="3"/>
    <n v="0.69"/>
    <n v="1.1499999999999999"/>
    <x v="18"/>
    <x v="1"/>
    <n v="0.1"/>
    <n v="0.91"/>
    <n v="0.51"/>
    <n v="0.41"/>
    <n v="0.59"/>
    <n v="0.19"/>
    <n v="0.13"/>
    <n v="0.41"/>
    <n v="0.23"/>
    <n v="0.24"/>
    <x v="0"/>
    <s v="Medium Exposure"/>
  </r>
  <r>
    <x v="1"/>
    <x v="1388"/>
    <n v="23"/>
    <x v="1"/>
    <n v="0.53"/>
    <n v="0.98"/>
    <x v="29"/>
    <x v="1"/>
    <n v="0.95"/>
    <n v="0.11"/>
    <n v="0.83"/>
    <n v="0.57999999999999996"/>
    <n v="0.15"/>
    <n v="0.3"/>
    <n v="0.48"/>
    <n v="0.69"/>
    <n v="0.24"/>
    <n v="0.53"/>
    <x v="0"/>
    <s v="Medium Exposure"/>
  </r>
  <r>
    <x v="16"/>
    <x v="1389"/>
    <n v="22"/>
    <x v="2"/>
    <n v="0.45"/>
    <n v="1.36"/>
    <x v="24"/>
    <x v="0"/>
    <n v="0.47"/>
    <n v="0.97"/>
    <n v="0.08"/>
    <n v="0"/>
    <n v="0.38"/>
    <n v="0.6"/>
    <n v="0.63"/>
    <n v="0.48"/>
    <n v="0.12"/>
    <n v="0.17"/>
    <x v="0"/>
    <s v="Medium Exposure"/>
  </r>
  <r>
    <x v="14"/>
    <x v="1390"/>
    <n v="1"/>
    <x v="1"/>
    <n v="0.87"/>
    <n v="1.17"/>
    <x v="59"/>
    <x v="0"/>
    <n v="0.6"/>
    <n v="0.2"/>
    <n v="0.43"/>
    <n v="0.7"/>
    <n v="0.54"/>
    <n v="0.02"/>
    <n v="0.95"/>
    <n v="0.84"/>
    <n v="0.26"/>
    <n v="0.62"/>
    <x v="1"/>
    <s v="High Exposure"/>
  </r>
  <r>
    <x v="0"/>
    <x v="1391"/>
    <n v="15"/>
    <x v="0"/>
    <n v="0.1"/>
    <n v="1"/>
    <x v="2"/>
    <x v="0"/>
    <n v="0.41"/>
    <n v="0.84"/>
    <n v="0.38"/>
    <n v="0.06"/>
    <n v="7.0000000000000007E-2"/>
    <n v="0.04"/>
    <n v="0.41"/>
    <n v="0.72"/>
    <n v="0.2"/>
    <n v="0.65"/>
    <x v="2"/>
    <s v="Low Exposure"/>
  </r>
  <r>
    <x v="12"/>
    <x v="1392"/>
    <n v="23"/>
    <x v="0"/>
    <n v="0.26"/>
    <n v="1.1000000000000001"/>
    <x v="64"/>
    <x v="2"/>
    <n v="0.47"/>
    <n v="0.34"/>
    <n v="0.62"/>
    <n v="0.98"/>
    <n v="0.43"/>
    <n v="0.39"/>
    <n v="0.46"/>
    <n v="0.08"/>
    <n v="0.55000000000000004"/>
    <n v="0.33"/>
    <x v="0"/>
    <s v="Low Exposure"/>
  </r>
  <r>
    <x v="11"/>
    <x v="1393"/>
    <n v="11"/>
    <x v="3"/>
    <n v="0.47"/>
    <n v="0.5"/>
    <x v="36"/>
    <x v="2"/>
    <n v="0.11"/>
    <n v="0.02"/>
    <n v="0.82"/>
    <n v="0.92"/>
    <n v="0.21"/>
    <n v="0.54"/>
    <n v="0.28000000000000003"/>
    <n v="0.49"/>
    <n v="0.44"/>
    <n v="0.27"/>
    <x v="2"/>
    <s v="Medium Exposure"/>
  </r>
  <r>
    <x v="4"/>
    <x v="1394"/>
    <n v="9"/>
    <x v="3"/>
    <n v="0.13"/>
    <n v="0.55000000000000004"/>
    <x v="45"/>
    <x v="2"/>
    <n v="0.67"/>
    <n v="0.5"/>
    <n v="0.47"/>
    <n v="0.5"/>
    <n v="0.44"/>
    <n v="0.39"/>
    <n v="0.5"/>
    <n v="0.53"/>
    <n v="0.69"/>
    <n v="0.71"/>
    <x v="2"/>
    <s v="Low Exposure"/>
  </r>
  <r>
    <x v="0"/>
    <x v="1395"/>
    <n v="16"/>
    <x v="2"/>
    <n v="0.41"/>
    <n v="0.87"/>
    <x v="35"/>
    <x v="0"/>
    <n v="0.45"/>
    <n v="0.89"/>
    <n v="0.7"/>
    <n v="0.9"/>
    <n v="0.71"/>
    <n v="0.97"/>
    <n v="0.64"/>
    <n v="0.96"/>
    <n v="0.16"/>
    <n v="0.05"/>
    <x v="0"/>
    <s v="Medium Exposure"/>
  </r>
  <r>
    <x v="12"/>
    <x v="1396"/>
    <n v="4"/>
    <x v="0"/>
    <n v="0.98"/>
    <n v="0.92"/>
    <x v="48"/>
    <x v="2"/>
    <n v="0.52"/>
    <n v="0.65"/>
    <n v="0.32"/>
    <n v="0.71"/>
    <n v="0.98"/>
    <n v="0.9"/>
    <n v="0.28999999999999998"/>
    <n v="0.33"/>
    <n v="0.37"/>
    <n v="0.39"/>
    <x v="1"/>
    <s v="High Exposure"/>
  </r>
  <r>
    <x v="12"/>
    <x v="889"/>
    <n v="25"/>
    <x v="2"/>
    <n v="0.76"/>
    <n v="0.87"/>
    <x v="38"/>
    <x v="2"/>
    <n v="0.93"/>
    <n v="0.02"/>
    <n v="0.99"/>
    <n v="0.71"/>
    <n v="0.52"/>
    <n v="0.39"/>
    <n v="0.52"/>
    <n v="0.32"/>
    <n v="0.62"/>
    <n v="0.09"/>
    <x v="0"/>
    <s v="High Exposure"/>
  </r>
  <r>
    <x v="0"/>
    <x v="1397"/>
    <n v="14"/>
    <x v="0"/>
    <n v="0.2"/>
    <n v="1.19"/>
    <x v="73"/>
    <x v="0"/>
    <n v="0.56000000000000005"/>
    <n v="0.65"/>
    <n v="0.9"/>
    <n v="0.45"/>
    <n v="0.78"/>
    <n v="0.17"/>
    <n v="0.16"/>
    <n v="0.52"/>
    <n v="0.6"/>
    <n v="0.63"/>
    <x v="2"/>
    <s v="Low Exposure"/>
  </r>
  <r>
    <x v="5"/>
    <x v="1398"/>
    <n v="2"/>
    <x v="0"/>
    <n v="0.28999999999999998"/>
    <n v="1.1200000000000001"/>
    <x v="5"/>
    <x v="1"/>
    <n v="0.22"/>
    <n v="7.0000000000000007E-2"/>
    <n v="0.75"/>
    <n v="0.51"/>
    <n v="0.24"/>
    <n v="0.56000000000000005"/>
    <n v="0.35"/>
    <n v="0.84"/>
    <n v="0.53"/>
    <n v="0.03"/>
    <x v="1"/>
    <s v="Low Exposure"/>
  </r>
  <r>
    <x v="8"/>
    <x v="1399"/>
    <n v="4"/>
    <x v="3"/>
    <n v="7.0000000000000007E-2"/>
    <n v="1.2"/>
    <x v="25"/>
    <x v="2"/>
    <n v="0.25"/>
    <n v="0.68"/>
    <n v="0.13"/>
    <n v="0.86"/>
    <n v="0.25"/>
    <n v="0.36"/>
    <n v="0.63"/>
    <n v="0"/>
    <n v="0.47"/>
    <n v="0.89"/>
    <x v="1"/>
    <s v="Low Exposure"/>
  </r>
  <r>
    <x v="4"/>
    <x v="1400"/>
    <n v="27"/>
    <x v="1"/>
    <n v="0.39"/>
    <n v="1.1599999999999999"/>
    <x v="79"/>
    <x v="2"/>
    <n v="0.19"/>
    <n v="0.53"/>
    <n v="0.23"/>
    <n v="0.85"/>
    <n v="0.72"/>
    <n v="0.8"/>
    <n v="0.94"/>
    <n v="0.23"/>
    <n v="0.05"/>
    <n v="0.28999999999999998"/>
    <x v="0"/>
    <s v="Medium Exposure"/>
  </r>
  <r>
    <x v="9"/>
    <x v="1401"/>
    <n v="6"/>
    <x v="1"/>
    <n v="0.89"/>
    <n v="1.49"/>
    <x v="56"/>
    <x v="0"/>
    <n v="0.77"/>
    <n v="0.86"/>
    <n v="0.7"/>
    <n v="0.04"/>
    <n v="0.16"/>
    <n v="7.0000000000000007E-2"/>
    <n v="0.01"/>
    <n v="0.31"/>
    <n v="0.39"/>
    <n v="0.24"/>
    <x v="2"/>
    <s v="High Exposure"/>
  </r>
  <r>
    <x v="3"/>
    <x v="1402"/>
    <n v="6"/>
    <x v="0"/>
    <n v="0.2"/>
    <n v="0.64"/>
    <x v="87"/>
    <x v="2"/>
    <n v="0.57999999999999996"/>
    <n v="0.6"/>
    <n v="0.59"/>
    <n v="0.12"/>
    <n v="0.6"/>
    <n v="0.41"/>
    <n v="0.9"/>
    <n v="0.91"/>
    <n v="0.77"/>
    <n v="0.7"/>
    <x v="2"/>
    <s v="Low Exposure"/>
  </r>
  <r>
    <x v="2"/>
    <x v="1403"/>
    <n v="4"/>
    <x v="1"/>
    <n v="0.08"/>
    <n v="1.34"/>
    <x v="2"/>
    <x v="0"/>
    <n v="0.45"/>
    <n v="0.85"/>
    <n v="0.62"/>
    <n v="0.18"/>
    <n v="0.21"/>
    <n v="0.01"/>
    <n v="0.71"/>
    <n v="0.49"/>
    <n v="0.95"/>
    <n v="0.71"/>
    <x v="1"/>
    <s v="Low Exposure"/>
  </r>
  <r>
    <x v="3"/>
    <x v="1404"/>
    <n v="2"/>
    <x v="1"/>
    <n v="0.16"/>
    <n v="1"/>
    <x v="79"/>
    <x v="2"/>
    <n v="0.25"/>
    <n v="0.83"/>
    <n v="0.31"/>
    <n v="0.27"/>
    <n v="0.9"/>
    <n v="0.05"/>
    <n v="0.66"/>
    <n v="0.04"/>
    <n v="0.8"/>
    <n v="0.83"/>
    <x v="1"/>
    <s v="Low Exposure"/>
  </r>
  <r>
    <x v="4"/>
    <x v="1405"/>
    <n v="24"/>
    <x v="2"/>
    <n v="0.19"/>
    <n v="0.62"/>
    <x v="11"/>
    <x v="2"/>
    <n v="0.27"/>
    <n v="0.61"/>
    <n v="0.51"/>
    <n v="0.14000000000000001"/>
    <n v="0.74"/>
    <n v="0.8"/>
    <n v="0.96"/>
    <n v="0.4"/>
    <n v="0.34"/>
    <n v="0.19"/>
    <x v="0"/>
    <s v="Low Exposure"/>
  </r>
  <r>
    <x v="18"/>
    <x v="1406"/>
    <n v="23"/>
    <x v="0"/>
    <n v="0.32"/>
    <n v="1.48"/>
    <x v="34"/>
    <x v="1"/>
    <n v="0.26"/>
    <n v="0.09"/>
    <n v="0.27"/>
    <n v="0.09"/>
    <n v="0.51"/>
    <n v="0.44"/>
    <n v="0.17"/>
    <n v="0.17"/>
    <n v="0.63"/>
    <n v="0.39"/>
    <x v="0"/>
    <s v="Medium Exposure"/>
  </r>
  <r>
    <x v="14"/>
    <x v="1407"/>
    <n v="22"/>
    <x v="2"/>
    <n v="0.92"/>
    <n v="0.9"/>
    <x v="0"/>
    <x v="0"/>
    <n v="0.89"/>
    <n v="0.4"/>
    <n v="0.82"/>
    <n v="0.91"/>
    <n v="0.17"/>
    <n v="0.89"/>
    <n v="0.12"/>
    <n v="0.28000000000000003"/>
    <n v="0.81"/>
    <n v="0.9"/>
    <x v="0"/>
    <s v="High Exposure"/>
  </r>
  <r>
    <x v="18"/>
    <x v="1408"/>
    <n v="16"/>
    <x v="1"/>
    <n v="0.1"/>
    <n v="1.02"/>
    <x v="27"/>
    <x v="1"/>
    <n v="0.28000000000000003"/>
    <n v="0.99"/>
    <n v="0.34"/>
    <n v="0.21"/>
    <n v="0.11"/>
    <n v="0.38"/>
    <n v="0.69"/>
    <n v="0.23"/>
    <n v="0.77"/>
    <n v="0.14000000000000001"/>
    <x v="0"/>
    <s v="Low Exposure"/>
  </r>
  <r>
    <x v="19"/>
    <x v="1409"/>
    <n v="18"/>
    <x v="2"/>
    <n v="0.7"/>
    <n v="0.64"/>
    <x v="22"/>
    <x v="2"/>
    <n v="0.8"/>
    <n v="0.6"/>
    <n v="0.51"/>
    <n v="0.84"/>
    <n v="0.99"/>
    <n v="0.18"/>
    <n v="0.69"/>
    <n v="0.08"/>
    <n v="0.04"/>
    <n v="0.28000000000000003"/>
    <x v="0"/>
    <s v="High Exposure"/>
  </r>
  <r>
    <x v="16"/>
    <x v="1410"/>
    <n v="18"/>
    <x v="1"/>
    <n v="0.55000000000000004"/>
    <n v="0.77"/>
    <x v="67"/>
    <x v="0"/>
    <n v="0.92"/>
    <n v="0.36"/>
    <n v="0.31"/>
    <n v="0.86"/>
    <n v="0.6"/>
    <n v="0.17"/>
    <n v="0.42"/>
    <n v="0.93"/>
    <n v="0.9"/>
    <n v="7.0000000000000007E-2"/>
    <x v="0"/>
    <s v="Medium Exposure"/>
  </r>
  <r>
    <x v="2"/>
    <x v="1411"/>
    <n v="16"/>
    <x v="0"/>
    <n v="0.89"/>
    <n v="0.97"/>
    <x v="32"/>
    <x v="0"/>
    <n v="0.33"/>
    <n v="0.34"/>
    <n v="0.9"/>
    <n v="0.43"/>
    <n v="0.79"/>
    <n v="0.24"/>
    <n v="0.95"/>
    <n v="0.56999999999999995"/>
    <n v="0.76"/>
    <n v="0.09"/>
    <x v="0"/>
    <s v="High Exposure"/>
  </r>
  <r>
    <x v="4"/>
    <x v="1412"/>
    <n v="0"/>
    <x v="3"/>
    <n v="0.9"/>
    <n v="1.38"/>
    <x v="86"/>
    <x v="2"/>
    <n v="0.3"/>
    <n v="0.44"/>
    <n v="0.17"/>
    <n v="0.73"/>
    <n v="0.18"/>
    <n v="0.35"/>
    <n v="0.66"/>
    <n v="0.48"/>
    <n v="0.74"/>
    <n v="0.96"/>
    <x v="1"/>
    <s v="High Exposure"/>
  </r>
  <r>
    <x v="14"/>
    <x v="1413"/>
    <n v="18"/>
    <x v="1"/>
    <n v="0.71"/>
    <n v="0.73"/>
    <x v="9"/>
    <x v="0"/>
    <n v="0.03"/>
    <n v="0.14000000000000001"/>
    <n v="0.32"/>
    <n v="0.34"/>
    <n v="0.9"/>
    <n v="0.74"/>
    <n v="0.97"/>
    <n v="0.6"/>
    <n v="0.24"/>
    <n v="0.33"/>
    <x v="0"/>
    <s v="High Exposure"/>
  </r>
  <r>
    <x v="3"/>
    <x v="1414"/>
    <n v="17"/>
    <x v="2"/>
    <n v="0.33"/>
    <n v="1.17"/>
    <x v="50"/>
    <x v="2"/>
    <n v="0.39"/>
    <n v="0.15"/>
    <n v="0.02"/>
    <n v="0.22"/>
    <n v="0.11"/>
    <n v="0.79"/>
    <n v="0.11"/>
    <n v="0.72"/>
    <n v="0.39"/>
    <n v="7.0000000000000007E-2"/>
    <x v="0"/>
    <s v="Medium Exposure"/>
  </r>
  <r>
    <x v="5"/>
    <x v="1415"/>
    <n v="27"/>
    <x v="3"/>
    <n v="0.57999999999999996"/>
    <n v="0.74"/>
    <x v="15"/>
    <x v="1"/>
    <n v="0.05"/>
    <n v="0.2"/>
    <n v="0.75"/>
    <n v="0.71"/>
    <n v="0.28999999999999998"/>
    <n v="0.06"/>
    <n v="0.86"/>
    <n v="0.31"/>
    <n v="0.2"/>
    <n v="0.52"/>
    <x v="0"/>
    <s v="Medium Exposure"/>
  </r>
  <r>
    <x v="17"/>
    <x v="1416"/>
    <n v="6"/>
    <x v="1"/>
    <n v="0.04"/>
    <n v="1.27"/>
    <x v="68"/>
    <x v="2"/>
    <n v="0.43"/>
    <n v="0.74"/>
    <n v="0.97"/>
    <n v="0.23"/>
    <n v="0.14000000000000001"/>
    <n v="0.91"/>
    <n v="0.67"/>
    <n v="0.44"/>
    <n v="0.56999999999999995"/>
    <n v="0.75"/>
    <x v="2"/>
    <s v="Low Exposure"/>
  </r>
  <r>
    <x v="11"/>
    <x v="1417"/>
    <n v="27"/>
    <x v="0"/>
    <n v="0.92"/>
    <n v="0.93"/>
    <x v="71"/>
    <x v="2"/>
    <n v="0.64"/>
    <n v="0.42"/>
    <n v="0.59"/>
    <n v="0.42"/>
    <n v="0.15"/>
    <n v="0.47"/>
    <n v="0.69"/>
    <n v="0.8"/>
    <n v="0.49"/>
    <n v="0.17"/>
    <x v="0"/>
    <s v="High Exposure"/>
  </r>
  <r>
    <x v="5"/>
    <x v="1418"/>
    <n v="3"/>
    <x v="2"/>
    <n v="0.79"/>
    <n v="0.91"/>
    <x v="29"/>
    <x v="1"/>
    <n v="0.51"/>
    <n v="0.24"/>
    <n v="0.8"/>
    <n v="0.08"/>
    <n v="0.52"/>
    <n v="0.21"/>
    <n v="7.0000000000000007E-2"/>
    <n v="0.5"/>
    <n v="0.5"/>
    <n v="0.71"/>
    <x v="1"/>
    <s v="High Exposure"/>
  </r>
  <r>
    <x v="13"/>
    <x v="1419"/>
    <n v="3"/>
    <x v="2"/>
    <n v="7.0000000000000007E-2"/>
    <n v="1.1100000000000001"/>
    <x v="86"/>
    <x v="2"/>
    <n v="0.65"/>
    <n v="0.12"/>
    <n v="0.95"/>
    <n v="0.86"/>
    <n v="0.02"/>
    <n v="0.78"/>
    <n v="0.64"/>
    <n v="0.5"/>
    <n v="0.6"/>
    <n v="0.68"/>
    <x v="1"/>
    <s v="Low Exposure"/>
  </r>
  <r>
    <x v="3"/>
    <x v="1420"/>
    <n v="29"/>
    <x v="3"/>
    <n v="0.77"/>
    <n v="1.08"/>
    <x v="12"/>
    <x v="2"/>
    <n v="0.99"/>
    <n v="0.3"/>
    <n v="0.12"/>
    <n v="0.73"/>
    <n v="0.98"/>
    <n v="0.12"/>
    <n v="0.43"/>
    <n v="0.06"/>
    <n v="0.78"/>
    <n v="0.95"/>
    <x v="0"/>
    <s v="High Exposure"/>
  </r>
  <r>
    <x v="19"/>
    <x v="1421"/>
    <n v="19"/>
    <x v="2"/>
    <n v="0.41"/>
    <n v="1.41"/>
    <x v="53"/>
    <x v="2"/>
    <n v="0.89"/>
    <n v="0.39"/>
    <n v="0.56000000000000005"/>
    <n v="0.53"/>
    <n v="0.62"/>
    <n v="0.94"/>
    <n v="0.95"/>
    <n v="0.83"/>
    <n v="0.19"/>
    <n v="0.33"/>
    <x v="0"/>
    <s v="Medium Exposure"/>
  </r>
  <r>
    <x v="2"/>
    <x v="1422"/>
    <n v="0"/>
    <x v="0"/>
    <n v="0.91"/>
    <n v="1.02"/>
    <x v="89"/>
    <x v="0"/>
    <n v="0.98"/>
    <n v="0.6"/>
    <n v="0.88"/>
    <n v="1"/>
    <n v="0.85"/>
    <n v="0.66"/>
    <n v="0.85"/>
    <n v="0.08"/>
    <n v="0.63"/>
    <n v="0.22"/>
    <x v="1"/>
    <s v="High Exposure"/>
  </r>
  <r>
    <x v="12"/>
    <x v="1423"/>
    <n v="0"/>
    <x v="0"/>
    <n v="0.89"/>
    <n v="1.1399999999999999"/>
    <x v="10"/>
    <x v="2"/>
    <n v="0.39"/>
    <n v="0.97"/>
    <n v="0.86"/>
    <n v="0.02"/>
    <n v="0.98"/>
    <n v="0.37"/>
    <n v="0.7"/>
    <n v="0.71"/>
    <n v="0.91"/>
    <n v="0.89"/>
    <x v="1"/>
    <s v="High Exposure"/>
  </r>
  <r>
    <x v="14"/>
    <x v="1424"/>
    <n v="18"/>
    <x v="0"/>
    <n v="0.64"/>
    <n v="0.89"/>
    <x v="35"/>
    <x v="0"/>
    <n v="0.55000000000000004"/>
    <n v="0.4"/>
    <n v="0.46"/>
    <n v="0.21"/>
    <n v="0.61"/>
    <n v="0.76"/>
    <n v="0.43"/>
    <n v="0.98"/>
    <n v="0.06"/>
    <n v="0.59"/>
    <x v="0"/>
    <s v="Medium Exposure"/>
  </r>
  <r>
    <x v="13"/>
    <x v="1425"/>
    <n v="2"/>
    <x v="2"/>
    <n v="0.04"/>
    <n v="0.72"/>
    <x v="72"/>
    <x v="2"/>
    <n v="0.54"/>
    <n v="0.44"/>
    <n v="0.42"/>
    <n v="0.89"/>
    <n v="0.37"/>
    <n v="0.86"/>
    <n v="0.31"/>
    <n v="0.53"/>
    <n v="0.14000000000000001"/>
    <n v="0.83"/>
    <x v="1"/>
    <s v="Low Exposure"/>
  </r>
  <r>
    <x v="10"/>
    <x v="1426"/>
    <n v="22"/>
    <x v="0"/>
    <n v="0.53"/>
    <n v="0.53"/>
    <x v="78"/>
    <x v="2"/>
    <n v="0.23"/>
    <n v="0.41"/>
    <n v="0.86"/>
    <n v="0.77"/>
    <n v="0.24"/>
    <n v="0.98"/>
    <n v="0.9"/>
    <n v="0.53"/>
    <n v="0.53"/>
    <n v="0.9"/>
    <x v="0"/>
    <s v="Medium Exposure"/>
  </r>
  <r>
    <x v="3"/>
    <x v="1427"/>
    <n v="23"/>
    <x v="1"/>
    <n v="0.28000000000000003"/>
    <n v="1.28"/>
    <x v="64"/>
    <x v="2"/>
    <n v="0.6"/>
    <n v="0.19"/>
    <n v="0.22"/>
    <n v="0.05"/>
    <n v="0.24"/>
    <n v="0.35"/>
    <n v="0.83"/>
    <n v="0.37"/>
    <n v="0.75"/>
    <n v="0.44"/>
    <x v="0"/>
    <s v="Low Exposure"/>
  </r>
  <r>
    <x v="13"/>
    <x v="1428"/>
    <n v="19"/>
    <x v="2"/>
    <n v="0.98"/>
    <n v="0.74"/>
    <x v="4"/>
    <x v="2"/>
    <n v="0.62"/>
    <n v="0.82"/>
    <n v="0.65"/>
    <n v="0.42"/>
    <n v="0.23"/>
    <n v="7.0000000000000007E-2"/>
    <n v="0.54"/>
    <n v="0.99"/>
    <n v="0.74"/>
    <n v="0.33"/>
    <x v="0"/>
    <s v="High Exposure"/>
  </r>
  <r>
    <x v="15"/>
    <x v="1429"/>
    <n v="9"/>
    <x v="2"/>
    <n v="0.77"/>
    <n v="0.78"/>
    <x v="1"/>
    <x v="1"/>
    <n v="0.12"/>
    <n v="0.88"/>
    <n v="0.84"/>
    <n v="0.3"/>
    <n v="0.28999999999999998"/>
    <n v="0.79"/>
    <n v="0.94"/>
    <n v="0.78"/>
    <n v="0.61"/>
    <n v="0.24"/>
    <x v="2"/>
    <s v="High Exposure"/>
  </r>
  <r>
    <x v="8"/>
    <x v="1430"/>
    <n v="20"/>
    <x v="0"/>
    <n v="0.23"/>
    <n v="1.31"/>
    <x v="84"/>
    <x v="2"/>
    <n v="0.83"/>
    <n v="0.38"/>
    <n v="0.82"/>
    <n v="0.33"/>
    <n v="0.44"/>
    <n v="0.62"/>
    <n v="7.0000000000000007E-2"/>
    <n v="0.95"/>
    <n v="0.56999999999999995"/>
    <n v="0.51"/>
    <x v="0"/>
    <s v="Low Exposure"/>
  </r>
  <r>
    <x v="18"/>
    <x v="1431"/>
    <n v="17"/>
    <x v="3"/>
    <n v="0.87"/>
    <n v="1.02"/>
    <x v="16"/>
    <x v="1"/>
    <n v="0.06"/>
    <n v="0.11"/>
    <n v="0.6"/>
    <n v="0.35"/>
    <n v="0.46"/>
    <n v="0.33"/>
    <n v="0.4"/>
    <n v="0.82"/>
    <n v="0.59"/>
    <n v="1"/>
    <x v="0"/>
    <s v="High Exposure"/>
  </r>
  <r>
    <x v="5"/>
    <x v="1432"/>
    <n v="3"/>
    <x v="0"/>
    <n v="0.27"/>
    <n v="0.76"/>
    <x v="61"/>
    <x v="1"/>
    <n v="0.84"/>
    <n v="0.03"/>
    <n v="0.23"/>
    <n v="0.9"/>
    <n v="0.64"/>
    <n v="0.23"/>
    <n v="0.22"/>
    <n v="0.86"/>
    <n v="0.89"/>
    <n v="0.26"/>
    <x v="1"/>
    <s v="Low Exposure"/>
  </r>
  <r>
    <x v="3"/>
    <x v="1433"/>
    <n v="19"/>
    <x v="3"/>
    <n v="0.83"/>
    <n v="1.27"/>
    <x v="12"/>
    <x v="2"/>
    <n v="0.52"/>
    <n v="0.91"/>
    <n v="0.33"/>
    <n v="0.16"/>
    <n v="0.71"/>
    <n v="0.54"/>
    <n v="0.85"/>
    <n v="0.08"/>
    <n v="0.84"/>
    <n v="0.28999999999999998"/>
    <x v="0"/>
    <s v="High Exposure"/>
  </r>
  <r>
    <x v="13"/>
    <x v="1434"/>
    <n v="19"/>
    <x v="0"/>
    <n v="0.04"/>
    <n v="1.1100000000000001"/>
    <x v="31"/>
    <x v="2"/>
    <n v="0.37"/>
    <n v="0.22"/>
    <n v="0.54"/>
    <n v="0.83"/>
    <n v="0.32"/>
    <n v="0.25"/>
    <n v="0.28000000000000003"/>
    <n v="0.95"/>
    <n v="0.36"/>
    <n v="0"/>
    <x v="0"/>
    <s v="Low Exposure"/>
  </r>
  <r>
    <x v="2"/>
    <x v="1435"/>
    <n v="16"/>
    <x v="2"/>
    <n v="0.7"/>
    <n v="0.63"/>
    <x v="60"/>
    <x v="0"/>
    <n v="0.61"/>
    <n v="0.5"/>
    <n v="0.38"/>
    <n v="0.9"/>
    <n v="0.24"/>
    <n v="0.28999999999999998"/>
    <n v="0.12"/>
    <n v="0.76"/>
    <n v="0.6"/>
    <n v="0.61"/>
    <x v="0"/>
    <s v="High Exposure"/>
  </r>
  <r>
    <x v="13"/>
    <x v="1436"/>
    <n v="26"/>
    <x v="3"/>
    <n v="0.65"/>
    <n v="1.27"/>
    <x v="30"/>
    <x v="2"/>
    <n v="0.8"/>
    <n v="0.35"/>
    <n v="0.76"/>
    <n v="0.03"/>
    <n v="0.55000000000000004"/>
    <n v="0.97"/>
    <n v="0.98"/>
    <n v="0.28000000000000003"/>
    <n v="0.44"/>
    <n v="0.06"/>
    <x v="0"/>
    <s v="Medium Exposure"/>
  </r>
  <r>
    <x v="11"/>
    <x v="1437"/>
    <n v="22"/>
    <x v="1"/>
    <n v="0.6"/>
    <n v="0.68"/>
    <x v="46"/>
    <x v="2"/>
    <n v="0"/>
    <n v="0.94"/>
    <n v="0.83"/>
    <n v="0.08"/>
    <n v="0.6"/>
    <n v="0.23"/>
    <n v="0.26"/>
    <n v="0.87"/>
    <n v="0.11"/>
    <n v="0.6"/>
    <x v="0"/>
    <s v="Medium Exposure"/>
  </r>
  <r>
    <x v="9"/>
    <x v="1438"/>
    <n v="12"/>
    <x v="1"/>
    <n v="0.19"/>
    <n v="0.95"/>
    <x v="89"/>
    <x v="0"/>
    <n v="0.78"/>
    <n v="0.13"/>
    <n v="0.85"/>
    <n v="0.94"/>
    <n v="0.28000000000000003"/>
    <n v="0.33"/>
    <n v="0.13"/>
    <n v="0.34"/>
    <n v="0.67"/>
    <n v="0.27"/>
    <x v="2"/>
    <s v="Low Exposure"/>
  </r>
  <r>
    <x v="15"/>
    <x v="526"/>
    <n v="20"/>
    <x v="2"/>
    <n v="0.34"/>
    <n v="0.95"/>
    <x v="27"/>
    <x v="1"/>
    <n v="0.68"/>
    <n v="0.06"/>
    <n v="0.47"/>
    <n v="0.27"/>
    <n v="0.95"/>
    <n v="0.36"/>
    <n v="0.1"/>
    <n v="0.04"/>
    <n v="0.27"/>
    <n v="0.18"/>
    <x v="0"/>
    <s v="Medium Exposure"/>
  </r>
  <r>
    <x v="2"/>
    <x v="1439"/>
    <n v="11"/>
    <x v="2"/>
    <n v="0.85"/>
    <n v="0.81"/>
    <x v="56"/>
    <x v="0"/>
    <n v="0.73"/>
    <n v="0.4"/>
    <n v="7.0000000000000007E-2"/>
    <n v="0.23"/>
    <n v="0.88"/>
    <n v="0.82"/>
    <n v="0.09"/>
    <n v="0.22"/>
    <n v="0.77"/>
    <n v="0.49"/>
    <x v="2"/>
    <s v="High Exposure"/>
  </r>
  <r>
    <x v="16"/>
    <x v="1440"/>
    <n v="9"/>
    <x v="3"/>
    <n v="0.21"/>
    <n v="1.45"/>
    <x v="40"/>
    <x v="0"/>
    <n v="0.2"/>
    <n v="0.56000000000000005"/>
    <n v="0.11"/>
    <n v="0.36"/>
    <n v="0.66"/>
    <n v="0.33"/>
    <n v="0.66"/>
    <n v="0.24"/>
    <n v="0.72"/>
    <n v="0.36"/>
    <x v="2"/>
    <s v="Low Exposure"/>
  </r>
  <r>
    <x v="19"/>
    <x v="1060"/>
    <n v="10"/>
    <x v="1"/>
    <n v="0.14000000000000001"/>
    <n v="0.86"/>
    <x v="78"/>
    <x v="2"/>
    <n v="0.42"/>
    <n v="0.43"/>
    <n v="0.44"/>
    <n v="0.99"/>
    <n v="0.19"/>
    <n v="0.77"/>
    <n v="0.55000000000000004"/>
    <n v="0.41"/>
    <n v="0.63"/>
    <n v="0.85"/>
    <x v="2"/>
    <s v="Low Exposure"/>
  </r>
  <r>
    <x v="19"/>
    <x v="1441"/>
    <n v="11"/>
    <x v="1"/>
    <n v="0.86"/>
    <n v="0.59"/>
    <x v="23"/>
    <x v="2"/>
    <n v="0.33"/>
    <n v="0.39"/>
    <n v="0.56999999999999995"/>
    <n v="0.48"/>
    <n v="0.38"/>
    <n v="0.31"/>
    <n v="0.62"/>
    <n v="0.51"/>
    <n v="0.32"/>
    <n v="0.2"/>
    <x v="2"/>
    <s v="High Exposure"/>
  </r>
  <r>
    <x v="15"/>
    <x v="1442"/>
    <n v="10"/>
    <x v="2"/>
    <n v="0.8"/>
    <n v="0.71"/>
    <x v="54"/>
    <x v="1"/>
    <n v="0.24"/>
    <n v="0.88"/>
    <n v="0.77"/>
    <n v="7.0000000000000007E-2"/>
    <n v="0.83"/>
    <n v="0.04"/>
    <n v="0.25"/>
    <n v="0.92"/>
    <n v="0.86"/>
    <n v="0.78"/>
    <x v="2"/>
    <s v="High Exposure"/>
  </r>
  <r>
    <x v="17"/>
    <x v="1443"/>
    <n v="27"/>
    <x v="3"/>
    <n v="0.32"/>
    <n v="1.38"/>
    <x v="23"/>
    <x v="2"/>
    <n v="0.3"/>
    <n v="0.46"/>
    <n v="0.88"/>
    <n v="0.9"/>
    <n v="0.66"/>
    <n v="0.73"/>
    <n v="0.04"/>
    <n v="0.6"/>
    <n v="0.69"/>
    <n v="0.02"/>
    <x v="0"/>
    <s v="Medium Exposure"/>
  </r>
  <r>
    <x v="2"/>
    <x v="1444"/>
    <n v="5"/>
    <x v="0"/>
    <n v="0.93"/>
    <n v="0.74"/>
    <x v="32"/>
    <x v="0"/>
    <n v="0.67"/>
    <n v="0.57999999999999996"/>
    <n v="0.84"/>
    <n v="0.28999999999999998"/>
    <n v="0.79"/>
    <n v="0.31"/>
    <n v="0.79"/>
    <n v="0.45"/>
    <n v="0.12"/>
    <n v="0.38"/>
    <x v="1"/>
    <s v="High Exposure"/>
  </r>
  <r>
    <x v="7"/>
    <x v="1445"/>
    <n v="27"/>
    <x v="3"/>
    <n v="0.1"/>
    <n v="0.61"/>
    <x v="88"/>
    <x v="1"/>
    <n v="0.88"/>
    <n v="0.93"/>
    <n v="0.85"/>
    <n v="0.83"/>
    <n v="7.0000000000000007E-2"/>
    <n v="0.79"/>
    <n v="0.78"/>
    <n v="0.13"/>
    <n v="0.66"/>
    <n v="0.45"/>
    <x v="0"/>
    <s v="Low Exposure"/>
  </r>
  <r>
    <x v="1"/>
    <x v="1446"/>
    <n v="11"/>
    <x v="2"/>
    <n v="0.7"/>
    <n v="1.45"/>
    <x v="47"/>
    <x v="1"/>
    <n v="0.04"/>
    <n v="0.97"/>
    <n v="0.08"/>
    <n v="0.39"/>
    <n v="0.65"/>
    <n v="0.88"/>
    <n v="0.25"/>
    <n v="0.03"/>
    <n v="0.52"/>
    <n v="0.47"/>
    <x v="2"/>
    <s v="High Exposure"/>
  </r>
  <r>
    <x v="5"/>
    <x v="1447"/>
    <n v="9"/>
    <x v="1"/>
    <n v="0.87"/>
    <n v="1.25"/>
    <x v="75"/>
    <x v="1"/>
    <n v="0.16"/>
    <n v="0.69"/>
    <n v="0.98"/>
    <n v="0.61"/>
    <n v="0.17"/>
    <n v="1"/>
    <n v="0.53"/>
    <n v="0.84"/>
    <n v="0.15"/>
    <n v="0.67"/>
    <x v="2"/>
    <s v="High Exposure"/>
  </r>
  <r>
    <x v="10"/>
    <x v="1448"/>
    <n v="24"/>
    <x v="1"/>
    <n v="0.53"/>
    <n v="0.79"/>
    <x v="53"/>
    <x v="2"/>
    <n v="0.3"/>
    <n v="0.35"/>
    <n v="0.71"/>
    <n v="0.18"/>
    <n v="0.11"/>
    <n v="0.39"/>
    <n v="0.46"/>
    <n v="0.63"/>
    <n v="0.71"/>
    <n v="0.89"/>
    <x v="0"/>
    <s v="Medium Exposure"/>
  </r>
  <r>
    <x v="18"/>
    <x v="1449"/>
    <n v="20"/>
    <x v="3"/>
    <n v="0.53"/>
    <n v="0.87"/>
    <x v="1"/>
    <x v="1"/>
    <n v="0.57999999999999996"/>
    <n v="0.82"/>
    <n v="0.04"/>
    <n v="0"/>
    <n v="0.73"/>
    <n v="0.68"/>
    <n v="0.41"/>
    <n v="0.66"/>
    <n v="0.95"/>
    <n v="0.25"/>
    <x v="0"/>
    <s v="Medium Exposure"/>
  </r>
  <r>
    <x v="5"/>
    <x v="1450"/>
    <n v="6"/>
    <x v="3"/>
    <n v="0.19"/>
    <n v="1.22"/>
    <x v="41"/>
    <x v="1"/>
    <n v="0.99"/>
    <n v="0.71"/>
    <n v="0.37"/>
    <n v="0.15"/>
    <n v="0.59"/>
    <n v="0.28999999999999998"/>
    <n v="0.91"/>
    <n v="0.44"/>
    <n v="0.28999999999999998"/>
    <n v="0.59"/>
    <x v="2"/>
    <s v="Low Exposure"/>
  </r>
  <r>
    <x v="1"/>
    <x v="1451"/>
    <n v="19"/>
    <x v="1"/>
    <n v="0.56000000000000005"/>
    <n v="0.56000000000000005"/>
    <x v="42"/>
    <x v="1"/>
    <n v="0.53"/>
    <n v="0.52"/>
    <n v="0.68"/>
    <n v="0.04"/>
    <n v="0.46"/>
    <n v="0.44"/>
    <n v="0.46"/>
    <n v="0.98"/>
    <n v="0.14000000000000001"/>
    <n v="0.69"/>
    <x v="0"/>
    <s v="Medium Exposure"/>
  </r>
  <r>
    <x v="1"/>
    <x v="1452"/>
    <n v="14"/>
    <x v="0"/>
    <n v="0.51"/>
    <n v="1.26"/>
    <x v="63"/>
    <x v="1"/>
    <n v="0.76"/>
    <n v="7.0000000000000007E-2"/>
    <n v="0.48"/>
    <n v="0.74"/>
    <n v="0.19"/>
    <n v="0.77"/>
    <n v="0.17"/>
    <n v="0.8"/>
    <n v="0.47"/>
    <n v="0.68"/>
    <x v="2"/>
    <s v="Medium Exposure"/>
  </r>
  <r>
    <x v="13"/>
    <x v="1453"/>
    <n v="4"/>
    <x v="0"/>
    <n v="0.41"/>
    <n v="0.73"/>
    <x v="38"/>
    <x v="2"/>
    <n v="0.16"/>
    <n v="0.63"/>
    <n v="0.92"/>
    <n v="0.67"/>
    <n v="0.2"/>
    <n v="0.15"/>
    <n v="0.25"/>
    <n v="0.39"/>
    <n v="0.16"/>
    <n v="0.8"/>
    <x v="1"/>
    <s v="Medium Exposure"/>
  </r>
  <r>
    <x v="16"/>
    <x v="1454"/>
    <n v="17"/>
    <x v="1"/>
    <n v="0.94"/>
    <n v="1.34"/>
    <x v="17"/>
    <x v="0"/>
    <n v="0.28999999999999998"/>
    <n v="0.56999999999999995"/>
    <n v="0.32"/>
    <n v="0.26"/>
    <n v="0.61"/>
    <n v="0.82"/>
    <n v="0.09"/>
    <n v="0.28000000000000003"/>
    <n v="0.21"/>
    <n v="0.8"/>
    <x v="0"/>
    <s v="High Exposure"/>
  </r>
  <r>
    <x v="7"/>
    <x v="1455"/>
    <n v="12"/>
    <x v="2"/>
    <n v="0.08"/>
    <n v="0.88"/>
    <x v="16"/>
    <x v="1"/>
    <n v="0.34"/>
    <n v="0.71"/>
    <n v="0.1"/>
    <n v="0.44"/>
    <n v="0.5"/>
    <n v="0.76"/>
    <n v="0.28999999999999998"/>
    <n v="0.26"/>
    <n v="0.3"/>
    <n v="0.56000000000000005"/>
    <x v="2"/>
    <s v="Low Exposure"/>
  </r>
  <r>
    <x v="19"/>
    <x v="1456"/>
    <n v="19"/>
    <x v="1"/>
    <n v="0.83"/>
    <n v="0.56000000000000005"/>
    <x v="38"/>
    <x v="2"/>
    <n v="0.1"/>
    <n v="0.42"/>
    <n v="0.77"/>
    <n v="0.08"/>
    <n v="0.04"/>
    <n v="0.33"/>
    <n v="0.73"/>
    <n v="0.52"/>
    <n v="0.42"/>
    <n v="0.81"/>
    <x v="0"/>
    <s v="High Exposure"/>
  </r>
  <r>
    <x v="15"/>
    <x v="1457"/>
    <n v="19"/>
    <x v="0"/>
    <n v="0.79"/>
    <n v="0.96"/>
    <x v="1"/>
    <x v="1"/>
    <n v="0.17"/>
    <n v="0.74"/>
    <n v="0.75"/>
    <n v="0.97"/>
    <n v="0.19"/>
    <n v="0.12"/>
    <n v="0.14000000000000001"/>
    <n v="0.18"/>
    <n v="0.53"/>
    <n v="0.98"/>
    <x v="0"/>
    <s v="High Exposure"/>
  </r>
  <r>
    <x v="0"/>
    <x v="1458"/>
    <n v="0"/>
    <x v="3"/>
    <n v="0.52"/>
    <n v="1.17"/>
    <x v="28"/>
    <x v="0"/>
    <n v="0.82"/>
    <n v="0.65"/>
    <n v="0.17"/>
    <n v="0.63"/>
    <n v="0.6"/>
    <n v="0.06"/>
    <n v="0.27"/>
    <n v="0.39"/>
    <n v="0.24"/>
    <n v="0.24"/>
    <x v="1"/>
    <s v="Medium Exposure"/>
  </r>
  <r>
    <x v="13"/>
    <x v="1459"/>
    <n v="1"/>
    <x v="2"/>
    <n v="0.47"/>
    <n v="1.17"/>
    <x v="26"/>
    <x v="2"/>
    <n v="0.66"/>
    <n v="0.57999999999999996"/>
    <n v="0.85"/>
    <n v="0.63"/>
    <n v="0.17"/>
    <n v="0.31"/>
    <n v="0.73"/>
    <n v="0.74"/>
    <n v="0.99"/>
    <n v="0.63"/>
    <x v="1"/>
    <s v="Medium Exposure"/>
  </r>
  <r>
    <x v="2"/>
    <x v="1460"/>
    <n v="8"/>
    <x v="3"/>
    <n v="0.05"/>
    <n v="1.07"/>
    <x v="17"/>
    <x v="0"/>
    <n v="0.28999999999999998"/>
    <n v="0.15"/>
    <n v="0.35"/>
    <n v="0.79"/>
    <n v="0.08"/>
    <n v="0.6"/>
    <n v="0.14000000000000001"/>
    <n v="0.44"/>
    <n v="0.97"/>
    <n v="0.2"/>
    <x v="2"/>
    <s v="Low Exposure"/>
  </r>
  <r>
    <x v="18"/>
    <x v="1461"/>
    <n v="8"/>
    <x v="0"/>
    <n v="0.43"/>
    <n v="1.08"/>
    <x v="54"/>
    <x v="1"/>
    <n v="0.54"/>
    <n v="0.95"/>
    <n v="0.31"/>
    <n v="0.31"/>
    <n v="0.48"/>
    <n v="0.52"/>
    <n v="0"/>
    <n v="0.62"/>
    <n v="1"/>
    <n v="0.28999999999999998"/>
    <x v="2"/>
    <s v="Medium Exposure"/>
  </r>
  <r>
    <x v="13"/>
    <x v="800"/>
    <n v="6"/>
    <x v="3"/>
    <n v="0"/>
    <n v="1.1000000000000001"/>
    <x v="8"/>
    <x v="2"/>
    <n v="0.53"/>
    <n v="0.54"/>
    <n v="0.18"/>
    <n v="0.77"/>
    <n v="0.56000000000000005"/>
    <n v="0.27"/>
    <n v="0.94"/>
    <n v="0.01"/>
    <n v="0.73"/>
    <n v="0.38"/>
    <x v="2"/>
    <s v="Low Exposure"/>
  </r>
  <r>
    <x v="14"/>
    <x v="1462"/>
    <n v="12"/>
    <x v="0"/>
    <n v="0.28999999999999998"/>
    <n v="0.82"/>
    <x v="58"/>
    <x v="2"/>
    <n v="0.73"/>
    <n v="0.71"/>
    <n v="0.65"/>
    <n v="0.88"/>
    <n v="0.9"/>
    <n v="0.56000000000000005"/>
    <n v="0.68"/>
    <n v="0.01"/>
    <n v="0.85"/>
    <n v="0.82"/>
    <x v="2"/>
    <s v="Low Exposure"/>
  </r>
  <r>
    <x v="8"/>
    <x v="1463"/>
    <n v="18"/>
    <x v="2"/>
    <n v="0.54"/>
    <n v="1.41"/>
    <x v="49"/>
    <x v="2"/>
    <n v="0.35"/>
    <n v="0.33"/>
    <n v="0.36"/>
    <n v="0.04"/>
    <n v="0.28000000000000003"/>
    <n v="0.28999999999999998"/>
    <n v="0.87"/>
    <n v="0.35"/>
    <n v="0.45"/>
    <n v="0.38"/>
    <x v="0"/>
    <s v="Medium Exposure"/>
  </r>
  <r>
    <x v="15"/>
    <x v="1464"/>
    <n v="21"/>
    <x v="2"/>
    <n v="0.99"/>
    <n v="1.33"/>
    <x v="27"/>
    <x v="1"/>
    <n v="0.48"/>
    <n v="0.65"/>
    <n v="0.33"/>
    <n v="0.05"/>
    <n v="0.4"/>
    <n v="0.98"/>
    <n v="0.18"/>
    <n v="0.53"/>
    <n v="0.01"/>
    <n v="0.12"/>
    <x v="0"/>
    <s v="High Exposure"/>
  </r>
  <r>
    <x v="4"/>
    <x v="1465"/>
    <n v="8"/>
    <x v="2"/>
    <n v="0.3"/>
    <n v="1.41"/>
    <x v="36"/>
    <x v="2"/>
    <n v="0.21"/>
    <n v="0.55000000000000004"/>
    <n v="0.79"/>
    <n v="0.02"/>
    <n v="0.51"/>
    <n v="0.77"/>
    <n v="0.1"/>
    <n v="0.9"/>
    <n v="0.26"/>
    <n v="0.17"/>
    <x v="2"/>
    <s v="Medium Exposure"/>
  </r>
  <r>
    <x v="10"/>
    <x v="1466"/>
    <n v="14"/>
    <x v="3"/>
    <n v="0.18"/>
    <n v="1.18"/>
    <x v="11"/>
    <x v="2"/>
    <n v="0.11"/>
    <n v="0.91"/>
    <n v="0.67"/>
    <n v="0.55000000000000004"/>
    <n v="0.37"/>
    <n v="0.13"/>
    <n v="0.71"/>
    <n v="0.81"/>
    <n v="0.13"/>
    <n v="0.49"/>
    <x v="2"/>
    <s v="Low Exposure"/>
  </r>
  <r>
    <x v="11"/>
    <x v="1467"/>
    <n v="16"/>
    <x v="3"/>
    <n v="0.35"/>
    <n v="1.29"/>
    <x v="55"/>
    <x v="2"/>
    <n v="0.21"/>
    <n v="0"/>
    <n v="0.37"/>
    <n v="0.28999999999999998"/>
    <n v="0.87"/>
    <n v="0.75"/>
    <n v="0.08"/>
    <n v="0.74"/>
    <n v="0.68"/>
    <n v="0.28000000000000003"/>
    <x v="0"/>
    <s v="Medium Exposure"/>
  </r>
  <r>
    <x v="13"/>
    <x v="1468"/>
    <n v="14"/>
    <x v="3"/>
    <n v="0.12"/>
    <n v="0.75"/>
    <x v="12"/>
    <x v="2"/>
    <n v="0.47"/>
    <n v="0.92"/>
    <n v="0.79"/>
    <n v="0.28999999999999998"/>
    <n v="0.85"/>
    <n v="0.12"/>
    <n v="0.04"/>
    <n v="0.61"/>
    <n v="0.34"/>
    <n v="0.33"/>
    <x v="2"/>
    <s v="Low Exposure"/>
  </r>
  <r>
    <x v="5"/>
    <x v="1469"/>
    <n v="26"/>
    <x v="0"/>
    <n v="0.85"/>
    <n v="0.82"/>
    <x v="61"/>
    <x v="1"/>
    <n v="0.53"/>
    <n v="0.65"/>
    <n v="0.2"/>
    <n v="0.91"/>
    <n v="0.65"/>
    <n v="0.63"/>
    <n v="0.9"/>
    <n v="0.91"/>
    <n v="0.14000000000000001"/>
    <n v="0.15"/>
    <x v="0"/>
    <s v="High Exposure"/>
  </r>
  <r>
    <x v="0"/>
    <x v="1470"/>
    <n v="0"/>
    <x v="3"/>
    <n v="0.96"/>
    <n v="1.17"/>
    <x v="9"/>
    <x v="0"/>
    <n v="0.68"/>
    <n v="0.23"/>
    <n v="1"/>
    <n v="0.43"/>
    <n v="0.93"/>
    <n v="0.43"/>
    <n v="0.93"/>
    <n v="0.34"/>
    <n v="0.76"/>
    <n v="0.95"/>
    <x v="1"/>
    <s v="High Exposure"/>
  </r>
  <r>
    <x v="9"/>
    <x v="1471"/>
    <n v="8"/>
    <x v="2"/>
    <n v="0.68"/>
    <n v="0.6"/>
    <x v="90"/>
    <x v="0"/>
    <n v="0.89"/>
    <n v="0.24"/>
    <n v="0.79"/>
    <n v="0.68"/>
    <n v="0.22"/>
    <n v="0.28000000000000003"/>
    <n v="0.43"/>
    <n v="0.13"/>
    <n v="0.91"/>
    <n v="0.74"/>
    <x v="2"/>
    <s v="Medium Exposure"/>
  </r>
  <r>
    <x v="8"/>
    <x v="1472"/>
    <n v="4"/>
    <x v="2"/>
    <n v="0.3"/>
    <n v="1.19"/>
    <x v="25"/>
    <x v="2"/>
    <n v="0.23"/>
    <n v="0.43"/>
    <n v="0.87"/>
    <n v="7.0000000000000007E-2"/>
    <n v="0.37"/>
    <n v="0.96"/>
    <n v="0.01"/>
    <n v="0.89"/>
    <n v="0.37"/>
    <n v="0.19"/>
    <x v="1"/>
    <s v="Medium Exposure"/>
  </r>
  <r>
    <x v="3"/>
    <x v="1473"/>
    <n v="29"/>
    <x v="0"/>
    <n v="7.0000000000000007E-2"/>
    <n v="0.67"/>
    <x v="57"/>
    <x v="2"/>
    <n v="0.34"/>
    <n v="0.04"/>
    <n v="0.69"/>
    <n v="0.82"/>
    <n v="0.89"/>
    <n v="0.55000000000000004"/>
    <n v="0.95"/>
    <n v="0.01"/>
    <n v="0.13"/>
    <n v="0.28999999999999998"/>
    <x v="0"/>
    <s v="Low Exposure"/>
  </r>
  <r>
    <x v="5"/>
    <x v="1474"/>
    <n v="25"/>
    <x v="2"/>
    <n v="0.89"/>
    <n v="1.1200000000000001"/>
    <x v="18"/>
    <x v="1"/>
    <n v="0.67"/>
    <n v="0.18"/>
    <n v="0.46"/>
    <n v="0.51"/>
    <n v="0.1"/>
    <n v="0.03"/>
    <n v="0.75"/>
    <n v="0.53"/>
    <n v="0.33"/>
    <n v="0.44"/>
    <x v="0"/>
    <s v="High Exposure"/>
  </r>
  <r>
    <x v="5"/>
    <x v="1475"/>
    <n v="17"/>
    <x v="3"/>
    <n v="0.38"/>
    <n v="0.6"/>
    <x v="7"/>
    <x v="1"/>
    <n v="0.65"/>
    <n v="0.01"/>
    <n v="0.33"/>
    <n v="0.39"/>
    <n v="0.46"/>
    <n v="0.3"/>
    <n v="0.67"/>
    <n v="0.94"/>
    <n v="0.91"/>
    <n v="0.66"/>
    <x v="0"/>
    <s v="Medium Exposure"/>
  </r>
  <r>
    <x v="10"/>
    <x v="1476"/>
    <n v="1"/>
    <x v="0"/>
    <n v="0.83"/>
    <n v="1.34"/>
    <x v="12"/>
    <x v="2"/>
    <n v="0.16"/>
    <n v="0.03"/>
    <n v="0.98"/>
    <n v="0.96"/>
    <n v="0.56000000000000005"/>
    <n v="0.99"/>
    <n v="0.77"/>
    <n v="0.52"/>
    <n v="0.39"/>
    <n v="0.59"/>
    <x v="1"/>
    <s v="High Exposure"/>
  </r>
  <r>
    <x v="3"/>
    <x v="1477"/>
    <n v="5"/>
    <x v="1"/>
    <n v="0.99"/>
    <n v="0.99"/>
    <x v="12"/>
    <x v="2"/>
    <n v="0.81"/>
    <n v="7.0000000000000007E-2"/>
    <n v="0.09"/>
    <n v="0.66"/>
    <n v="0.26"/>
    <n v="0.66"/>
    <n v="0.14000000000000001"/>
    <n v="0.4"/>
    <n v="0.1"/>
    <n v="0.28000000000000003"/>
    <x v="1"/>
    <s v="High Exposure"/>
  </r>
  <r>
    <x v="18"/>
    <x v="1478"/>
    <n v="19"/>
    <x v="3"/>
    <n v="0.97"/>
    <n v="0.9"/>
    <x v="16"/>
    <x v="1"/>
    <n v="0.97"/>
    <n v="0.91"/>
    <n v="0.45"/>
    <n v="0.78"/>
    <n v="0.15"/>
    <n v="0.09"/>
    <n v="0.88"/>
    <n v="0.03"/>
    <n v="0.97"/>
    <n v="0.67"/>
    <x v="0"/>
    <s v="High Exposure"/>
  </r>
  <r>
    <x v="9"/>
    <x v="1479"/>
    <n v="27"/>
    <x v="1"/>
    <n v="0.14000000000000001"/>
    <n v="1.22"/>
    <x v="56"/>
    <x v="0"/>
    <n v="0.71"/>
    <n v="0.42"/>
    <n v="7.0000000000000007E-2"/>
    <n v="0.31"/>
    <n v="0.32"/>
    <n v="0.01"/>
    <n v="0.01"/>
    <n v="0.33"/>
    <n v="0.73"/>
    <n v="0.62"/>
    <x v="0"/>
    <s v="Low Exposure"/>
  </r>
  <r>
    <x v="9"/>
    <x v="1480"/>
    <n v="16"/>
    <x v="3"/>
    <n v="0.6"/>
    <n v="1.1499999999999999"/>
    <x v="35"/>
    <x v="0"/>
    <n v="0.52"/>
    <n v="0.37"/>
    <n v="0.12"/>
    <n v="0.39"/>
    <n v="0.35"/>
    <n v="0.59"/>
    <n v="0.86"/>
    <n v="0.38"/>
    <n v="0.71"/>
    <n v="0.81"/>
    <x v="0"/>
    <s v="Medium Exposure"/>
  </r>
  <r>
    <x v="9"/>
    <x v="1481"/>
    <n v="25"/>
    <x v="3"/>
    <n v="0.9"/>
    <n v="0.56999999999999995"/>
    <x v="17"/>
    <x v="0"/>
    <n v="0.16"/>
    <n v="0.34"/>
    <n v="0.61"/>
    <n v="0.91"/>
    <n v="0.26"/>
    <n v="0.76"/>
    <n v="0.71"/>
    <n v="0.16"/>
    <n v="0.48"/>
    <n v="0.48"/>
    <x v="0"/>
    <s v="High Exposure"/>
  </r>
  <r>
    <x v="14"/>
    <x v="1482"/>
    <n v="5"/>
    <x v="0"/>
    <n v="0.78"/>
    <n v="1.43"/>
    <x v="51"/>
    <x v="0"/>
    <n v="0.97"/>
    <n v="0.05"/>
    <n v="0.04"/>
    <n v="0.89"/>
    <n v="0.9"/>
    <n v="0.11"/>
    <n v="0.36"/>
    <n v="0.84"/>
    <n v="0.13"/>
    <n v="0.27"/>
    <x v="1"/>
    <s v="High Exposure"/>
  </r>
  <r>
    <x v="14"/>
    <x v="1483"/>
    <n v="25"/>
    <x v="0"/>
    <n v="0.98"/>
    <n v="1.3"/>
    <x v="81"/>
    <x v="0"/>
    <n v="0.34"/>
    <n v="0.66"/>
    <n v="0.11"/>
    <n v="0.99"/>
    <n v="0.48"/>
    <n v="0.64"/>
    <n v="0.88"/>
    <n v="0"/>
    <n v="0.98"/>
    <n v="0.36"/>
    <x v="0"/>
    <s v="High Exposure"/>
  </r>
  <r>
    <x v="9"/>
    <x v="1484"/>
    <n v="9"/>
    <x v="0"/>
    <n v="0.15"/>
    <n v="1.36"/>
    <x v="24"/>
    <x v="0"/>
    <n v="0.02"/>
    <n v="0.06"/>
    <n v="0.92"/>
    <n v="0.12"/>
    <n v="0.62"/>
    <n v="0.62"/>
    <n v="0.87"/>
    <n v="0.56999999999999995"/>
    <n v="0.43"/>
    <n v="0.97"/>
    <x v="2"/>
    <s v="Low Exposure"/>
  </r>
  <r>
    <x v="14"/>
    <x v="1485"/>
    <n v="22"/>
    <x v="3"/>
    <n v="0.26"/>
    <n v="0.57999999999999996"/>
    <x v="89"/>
    <x v="0"/>
    <n v="0.71"/>
    <n v="0.01"/>
    <n v="0.7"/>
    <n v="0.4"/>
    <n v="0.97"/>
    <n v="0.28000000000000003"/>
    <n v="0.71"/>
    <n v="0.63"/>
    <n v="0.01"/>
    <n v="0.89"/>
    <x v="0"/>
    <s v="Low Exposure"/>
  </r>
  <r>
    <x v="13"/>
    <x v="1486"/>
    <n v="15"/>
    <x v="3"/>
    <n v="0.66"/>
    <n v="1.28"/>
    <x v="33"/>
    <x v="2"/>
    <n v="0.1"/>
    <n v="0.98"/>
    <n v="0.24"/>
    <n v="0.63"/>
    <n v="0.8"/>
    <n v="0.94"/>
    <n v="0.6"/>
    <n v="0.26"/>
    <n v="0.84"/>
    <n v="0.16"/>
    <x v="2"/>
    <s v="Medium Exposure"/>
  </r>
  <r>
    <x v="16"/>
    <x v="1487"/>
    <n v="6"/>
    <x v="3"/>
    <n v="0.91"/>
    <n v="1.08"/>
    <x v="28"/>
    <x v="0"/>
    <n v="0.57999999999999996"/>
    <n v="0.15"/>
    <n v="0.03"/>
    <n v="0.12"/>
    <n v="0.78"/>
    <n v="0.76"/>
    <n v="0.6"/>
    <n v="0.21"/>
    <n v="0.74"/>
    <n v="0.41"/>
    <x v="2"/>
    <s v="High Exposure"/>
  </r>
  <r>
    <x v="11"/>
    <x v="1488"/>
    <n v="13"/>
    <x v="2"/>
    <n v="0.42"/>
    <n v="1.08"/>
    <x v="20"/>
    <x v="2"/>
    <n v="0.14000000000000001"/>
    <n v="0.66"/>
    <n v="0.52"/>
    <n v="0.16"/>
    <n v="0.54"/>
    <n v="0.91"/>
    <n v="0.02"/>
    <n v="0.64"/>
    <n v="7.0000000000000007E-2"/>
    <n v="0.01"/>
    <x v="2"/>
    <s v="Medium Exposure"/>
  </r>
  <r>
    <x v="19"/>
    <x v="1489"/>
    <n v="20"/>
    <x v="2"/>
    <n v="0.42"/>
    <n v="1.3"/>
    <x v="6"/>
    <x v="2"/>
    <n v="0.63"/>
    <n v="0.41"/>
    <n v="0.23"/>
    <n v="0.51"/>
    <n v="0.8"/>
    <n v="0.83"/>
    <n v="0.85"/>
    <n v="0.34"/>
    <n v="0.79"/>
    <n v="0.21"/>
    <x v="0"/>
    <s v="Medium Exposure"/>
  </r>
  <r>
    <x v="19"/>
    <x v="1490"/>
    <n v="10"/>
    <x v="2"/>
    <n v="0.95"/>
    <n v="0.51"/>
    <x v="8"/>
    <x v="2"/>
    <n v="0.65"/>
    <n v="0.7"/>
    <n v="0.18"/>
    <n v="0.97"/>
    <n v="0.62"/>
    <n v="0.16"/>
    <n v="0.02"/>
    <n v="0.78"/>
    <n v="0.08"/>
    <n v="0.14000000000000001"/>
    <x v="2"/>
    <s v="High Exposure"/>
  </r>
  <r>
    <x v="16"/>
    <x v="1491"/>
    <n v="0"/>
    <x v="3"/>
    <n v="0.6"/>
    <n v="1.19"/>
    <x v="9"/>
    <x v="0"/>
    <n v="0.77"/>
    <n v="0.97"/>
    <n v="0.27"/>
    <n v="0.7"/>
    <n v="0.93"/>
    <n v="0.69"/>
    <n v="0.68"/>
    <n v="0.22"/>
    <n v="0.54"/>
    <n v="0.56000000000000005"/>
    <x v="1"/>
    <s v="Medium Exposure"/>
  </r>
  <r>
    <x v="17"/>
    <x v="1492"/>
    <n v="16"/>
    <x v="2"/>
    <n v="1"/>
    <n v="0.53"/>
    <x v="20"/>
    <x v="2"/>
    <n v="0.08"/>
    <n v="0.74"/>
    <n v="0.14000000000000001"/>
    <n v="0.62"/>
    <n v="0.32"/>
    <n v="0.46"/>
    <n v="0.22"/>
    <n v="0.87"/>
    <n v="0.59"/>
    <n v="0.94"/>
    <x v="0"/>
    <s v="High Exposure"/>
  </r>
  <r>
    <x v="19"/>
    <x v="1493"/>
    <n v="1"/>
    <x v="2"/>
    <n v="0.12"/>
    <n v="0.67"/>
    <x v="58"/>
    <x v="2"/>
    <n v="0.73"/>
    <n v="0.05"/>
    <n v="0.7"/>
    <n v="0.41"/>
    <n v="0.31"/>
    <n v="0.15"/>
    <n v="0.84"/>
    <n v="0.06"/>
    <n v="0.28999999999999998"/>
    <n v="0.31"/>
    <x v="1"/>
    <s v="Low Exposure"/>
  </r>
  <r>
    <x v="4"/>
    <x v="1494"/>
    <n v="10"/>
    <x v="3"/>
    <n v="0.51"/>
    <n v="0.51"/>
    <x v="71"/>
    <x v="2"/>
    <n v="0.93"/>
    <n v="0.31"/>
    <n v="0.36"/>
    <n v="0.47"/>
    <n v="0.56000000000000005"/>
    <n v="0.81"/>
    <n v="0.19"/>
    <n v="0.87"/>
    <n v="0.76"/>
    <n v="0.72"/>
    <x v="2"/>
    <s v="Medium Exposure"/>
  </r>
  <r>
    <x v="1"/>
    <x v="1495"/>
    <n v="26"/>
    <x v="0"/>
    <n v="0.02"/>
    <n v="1.0900000000000001"/>
    <x v="15"/>
    <x v="1"/>
    <n v="0.57999999999999996"/>
    <n v="0.21"/>
    <n v="0.09"/>
    <n v="0.7"/>
    <n v="0.72"/>
    <n v="0.17"/>
    <n v="0.03"/>
    <n v="0.41"/>
    <n v="0.57999999999999996"/>
    <n v="0.71"/>
    <x v="0"/>
    <s v="Low Exposure"/>
  </r>
  <r>
    <x v="6"/>
    <x v="1496"/>
    <n v="17"/>
    <x v="0"/>
    <n v="0.35"/>
    <n v="0.87"/>
    <x v="48"/>
    <x v="2"/>
    <n v="0.96"/>
    <n v="0.46"/>
    <n v="0.56999999999999995"/>
    <n v="0.45"/>
    <n v="0.25"/>
    <n v="0.81"/>
    <n v="0.03"/>
    <n v="0.69"/>
    <n v="0.59"/>
    <n v="0.14000000000000001"/>
    <x v="0"/>
    <s v="Medium Exposure"/>
  </r>
  <r>
    <x v="13"/>
    <x v="1497"/>
    <n v="4"/>
    <x v="2"/>
    <n v="0.66"/>
    <n v="0.81"/>
    <x v="6"/>
    <x v="2"/>
    <n v="0.06"/>
    <n v="0.77"/>
    <n v="0.88"/>
    <n v="0.82"/>
    <n v="0.47"/>
    <n v="0.53"/>
    <n v="0.24"/>
    <n v="0.17"/>
    <n v="0.82"/>
    <n v="0.8"/>
    <x v="1"/>
    <s v="Medium Exposure"/>
  </r>
  <r>
    <x v="18"/>
    <x v="1498"/>
    <n v="7"/>
    <x v="3"/>
    <n v="0.46"/>
    <n v="1.36"/>
    <x v="16"/>
    <x v="1"/>
    <n v="0.33"/>
    <n v="0.22"/>
    <n v="0.46"/>
    <n v="0.18"/>
    <n v="0.88"/>
    <n v="0.34"/>
    <n v="0.57999999999999996"/>
    <n v="0.59"/>
    <n v="0.51"/>
    <n v="0.16"/>
    <x v="2"/>
    <s v="Medium Exposure"/>
  </r>
  <r>
    <x v="8"/>
    <x v="1499"/>
    <n v="2"/>
    <x v="3"/>
    <n v="0.17"/>
    <n v="1.25"/>
    <x v="69"/>
    <x v="2"/>
    <n v="0.15"/>
    <n v="0.93"/>
    <n v="0.49"/>
    <n v="0.63"/>
    <n v="0.64"/>
    <n v="0.5"/>
    <n v="0.14000000000000001"/>
    <n v="0.75"/>
    <n v="0.57999999999999996"/>
    <n v="0.12"/>
    <x v="1"/>
    <s v="Low Exposure"/>
  </r>
  <r>
    <x v="2"/>
    <x v="1500"/>
    <n v="26"/>
    <x v="0"/>
    <n v="0.7"/>
    <n v="1.05"/>
    <x v="28"/>
    <x v="0"/>
    <n v="0.35"/>
    <n v="0.05"/>
    <n v="0.48"/>
    <n v="0.91"/>
    <n v="0"/>
    <n v="0.27"/>
    <n v="0.8"/>
    <n v="0.01"/>
    <n v="0.01"/>
    <n v="0.61"/>
    <x v="0"/>
    <s v="High Exposure"/>
  </r>
  <r>
    <x v="12"/>
    <x v="1501"/>
    <n v="4"/>
    <x v="3"/>
    <n v="0.78"/>
    <n v="1.28"/>
    <x v="30"/>
    <x v="2"/>
    <n v="0.88"/>
    <n v="0.01"/>
    <n v="0.31"/>
    <n v="0.34"/>
    <n v="0.17"/>
    <n v="0.34"/>
    <n v="0.59"/>
    <n v="0.52"/>
    <n v="0.32"/>
    <n v="0.75"/>
    <x v="1"/>
    <s v="High Exposure"/>
  </r>
  <r>
    <x v="13"/>
    <x v="1502"/>
    <n v="2"/>
    <x v="2"/>
    <n v="0.41"/>
    <n v="1"/>
    <x v="12"/>
    <x v="2"/>
    <n v="0.82"/>
    <n v="0.8"/>
    <n v="0.1"/>
    <n v="0.8"/>
    <n v="0.12"/>
    <n v="0.12"/>
    <n v="0.95"/>
    <n v="0.82"/>
    <n v="0.55000000000000004"/>
    <n v="0.87"/>
    <x v="1"/>
    <s v="Medium Exposure"/>
  </r>
  <r>
    <x v="8"/>
    <x v="1503"/>
    <n v="26"/>
    <x v="2"/>
    <n v="0.61"/>
    <n v="1.1100000000000001"/>
    <x v="3"/>
    <x v="2"/>
    <n v="0.23"/>
    <n v="0.17"/>
    <n v="0.76"/>
    <n v="0.34"/>
    <n v="0.14000000000000001"/>
    <n v="0.31"/>
    <n v="0.36"/>
    <n v="0.97"/>
    <n v="0.7"/>
    <n v="0.53"/>
    <x v="0"/>
    <s v="Medium Exposure"/>
  </r>
  <r>
    <x v="19"/>
    <x v="1504"/>
    <n v="20"/>
    <x v="1"/>
    <n v="0.9"/>
    <n v="1.01"/>
    <x v="72"/>
    <x v="2"/>
    <n v="0.4"/>
    <n v="0.23"/>
    <n v="0.23"/>
    <n v="0.66"/>
    <n v="0.5"/>
    <n v="0.66"/>
    <n v="0.69"/>
    <n v="0.02"/>
    <n v="0.05"/>
    <n v="0.53"/>
    <x v="0"/>
    <s v="High Exposure"/>
  </r>
  <r>
    <x v="4"/>
    <x v="1505"/>
    <n v="18"/>
    <x v="0"/>
    <n v="0.63"/>
    <n v="1.05"/>
    <x v="68"/>
    <x v="2"/>
    <n v="0.3"/>
    <n v="0.64"/>
    <n v="0.83"/>
    <n v="1"/>
    <n v="0.84"/>
    <n v="0.56000000000000005"/>
    <n v="0.19"/>
    <n v="0.68"/>
    <n v="0.94"/>
    <n v="0.21"/>
    <x v="0"/>
    <s v="Medium Exposure"/>
  </r>
  <r>
    <x v="16"/>
    <x v="1506"/>
    <n v="22"/>
    <x v="3"/>
    <n v="0.15"/>
    <n v="1.24"/>
    <x v="9"/>
    <x v="0"/>
    <n v="0.06"/>
    <n v="0.87"/>
    <n v="0.56000000000000005"/>
    <n v="0.33"/>
    <n v="0.34"/>
    <n v="0.28999999999999998"/>
    <n v="0.46"/>
    <n v="0.34"/>
    <n v="0.55000000000000004"/>
    <n v="0.77"/>
    <x v="0"/>
    <s v="Low Exposure"/>
  </r>
  <r>
    <x v="12"/>
    <x v="1507"/>
    <n v="9"/>
    <x v="2"/>
    <n v="0.28999999999999998"/>
    <n v="1.03"/>
    <x v="4"/>
    <x v="2"/>
    <n v="7.0000000000000007E-2"/>
    <n v="0.08"/>
    <n v="0.56000000000000005"/>
    <n v="0.64"/>
    <n v="0.21"/>
    <n v="0.75"/>
    <n v="0.65"/>
    <n v="0.92"/>
    <n v="0.17"/>
    <n v="0.75"/>
    <x v="2"/>
    <s v="Low Exposure"/>
  </r>
  <r>
    <x v="0"/>
    <x v="1508"/>
    <n v="19"/>
    <x v="0"/>
    <n v="0.56999999999999995"/>
    <n v="1.05"/>
    <x v="9"/>
    <x v="0"/>
    <n v="0.84"/>
    <n v="0"/>
    <n v="0.52"/>
    <n v="0.22"/>
    <n v="0.74"/>
    <n v="0.04"/>
    <n v="0.83"/>
    <n v="0.84"/>
    <n v="0.83"/>
    <n v="0.15"/>
    <x v="0"/>
    <s v="Medium Exposure"/>
  </r>
  <r>
    <x v="15"/>
    <x v="1509"/>
    <n v="25"/>
    <x v="1"/>
    <n v="0.01"/>
    <n v="1.35"/>
    <x v="70"/>
    <x v="1"/>
    <n v="0.53"/>
    <n v="0.73"/>
    <n v="0.09"/>
    <n v="0.53"/>
    <n v="0.28999999999999998"/>
    <n v="0.97"/>
    <n v="0.86"/>
    <n v="0.73"/>
    <n v="0.93"/>
    <n v="0.35"/>
    <x v="0"/>
    <s v="Low Exposure"/>
  </r>
  <r>
    <x v="9"/>
    <x v="1510"/>
    <n v="26"/>
    <x v="0"/>
    <n v="0.33"/>
    <n v="1.23"/>
    <x v="51"/>
    <x v="0"/>
    <n v="0.02"/>
    <n v="0.36"/>
    <n v="0.02"/>
    <n v="1"/>
    <n v="0.12"/>
    <n v="0.54"/>
    <n v="0.79"/>
    <n v="0.2"/>
    <n v="0.49"/>
    <n v="0.61"/>
    <x v="0"/>
    <s v="Medium Exposure"/>
  </r>
  <r>
    <x v="16"/>
    <x v="1511"/>
    <n v="28"/>
    <x v="1"/>
    <n v="0.78"/>
    <n v="0.8"/>
    <x v="73"/>
    <x v="0"/>
    <n v="0.56000000000000005"/>
    <n v="0.41"/>
    <n v="0.92"/>
    <n v="0.88"/>
    <n v="0.48"/>
    <n v="0.36"/>
    <n v="0.33"/>
    <n v="0.27"/>
    <n v="0.54"/>
    <n v="0.8"/>
    <x v="0"/>
    <s v="High Exposure"/>
  </r>
  <r>
    <x v="18"/>
    <x v="1512"/>
    <n v="15"/>
    <x v="1"/>
    <n v="0.19"/>
    <n v="0.98"/>
    <x v="34"/>
    <x v="1"/>
    <n v="0.7"/>
    <n v="0.52"/>
    <n v="0.5"/>
    <n v="0.3"/>
    <n v="0.9"/>
    <n v="0.09"/>
    <n v="0.87"/>
    <n v="0.38"/>
    <n v="0.88"/>
    <n v="0.73"/>
    <x v="2"/>
    <s v="Low Exposure"/>
  </r>
  <r>
    <x v="4"/>
    <x v="1513"/>
    <n v="21"/>
    <x v="3"/>
    <n v="0.83"/>
    <n v="1.18"/>
    <x v="57"/>
    <x v="2"/>
    <n v="0.13"/>
    <n v="0.64"/>
    <n v="0.66"/>
    <n v="0.75"/>
    <n v="0.72"/>
    <n v="0.66"/>
    <n v="0.77"/>
    <n v="0.57999999999999996"/>
    <n v="0.26"/>
    <n v="0.91"/>
    <x v="0"/>
    <s v="High Exposure"/>
  </r>
  <r>
    <x v="13"/>
    <x v="1514"/>
    <n v="20"/>
    <x v="1"/>
    <n v="0.37"/>
    <n v="1.23"/>
    <x v="25"/>
    <x v="2"/>
    <n v="0.02"/>
    <n v="7.0000000000000007E-2"/>
    <n v="0.65"/>
    <n v="0.96"/>
    <n v="0.55000000000000004"/>
    <n v="0.51"/>
    <n v="0.32"/>
    <n v="0.26"/>
    <n v="0.02"/>
    <n v="0.27"/>
    <x v="0"/>
    <s v="Medium Exposure"/>
  </r>
  <r>
    <x v="2"/>
    <x v="1515"/>
    <n v="16"/>
    <x v="0"/>
    <n v="0.2"/>
    <n v="0.59"/>
    <x v="51"/>
    <x v="0"/>
    <n v="0.89"/>
    <n v="0.94"/>
    <n v="0.62"/>
    <n v="0.05"/>
    <n v="0.74"/>
    <n v="0.11"/>
    <n v="0.67"/>
    <n v="0.78"/>
    <n v="0.73"/>
    <n v="0.95"/>
    <x v="0"/>
    <s v="Low Exposure"/>
  </r>
  <r>
    <x v="17"/>
    <x v="1516"/>
    <n v="0"/>
    <x v="1"/>
    <n v="0.69"/>
    <n v="0.76"/>
    <x v="79"/>
    <x v="2"/>
    <n v="0.18"/>
    <n v="0.9"/>
    <n v="0.31"/>
    <n v="0.13"/>
    <n v="0.83"/>
    <n v="0"/>
    <n v="0.83"/>
    <n v="0.26"/>
    <n v="0.88"/>
    <n v="0.69"/>
    <x v="1"/>
    <s v="Medium Exposure"/>
  </r>
  <r>
    <x v="8"/>
    <x v="1517"/>
    <n v="26"/>
    <x v="2"/>
    <n v="0.37"/>
    <n v="0.56000000000000005"/>
    <x v="12"/>
    <x v="2"/>
    <n v="0.17"/>
    <n v="0.37"/>
    <n v="0.6"/>
    <n v="0.48"/>
    <n v="0.2"/>
    <n v="0.14000000000000001"/>
    <n v="0.12"/>
    <n v="0.86"/>
    <n v="0.03"/>
    <n v="0.98"/>
    <x v="0"/>
    <s v="Medium Exposure"/>
  </r>
  <r>
    <x v="15"/>
    <x v="1518"/>
    <n v="23"/>
    <x v="1"/>
    <n v="0.11"/>
    <n v="1.08"/>
    <x v="34"/>
    <x v="1"/>
    <n v="0.6"/>
    <n v="0.85"/>
    <n v="0.05"/>
    <n v="0.8"/>
    <n v="0.39"/>
    <n v="0.16"/>
    <n v="0.18"/>
    <n v="0.92"/>
    <n v="0.11"/>
    <n v="0.87"/>
    <x v="0"/>
    <s v="Low Exposure"/>
  </r>
  <r>
    <x v="4"/>
    <x v="1519"/>
    <n v="4"/>
    <x v="2"/>
    <n v="0.04"/>
    <n v="0.96"/>
    <x v="12"/>
    <x v="2"/>
    <n v="0.73"/>
    <n v="0.49"/>
    <n v="0.86"/>
    <n v="0.12"/>
    <n v="0.91"/>
    <n v="0.85"/>
    <n v="0.71"/>
    <n v="0.82"/>
    <n v="0.54"/>
    <n v="0.68"/>
    <x v="1"/>
    <s v="Low Exposure"/>
  </r>
  <r>
    <x v="5"/>
    <x v="1520"/>
    <n v="24"/>
    <x v="0"/>
    <n v="0.36"/>
    <n v="1.07"/>
    <x v="37"/>
    <x v="1"/>
    <n v="0.44"/>
    <n v="0.28000000000000003"/>
    <n v="0.12"/>
    <n v="0.32"/>
    <n v="0.85"/>
    <n v="0.38"/>
    <n v="0.75"/>
    <n v="0.18"/>
    <n v="0.42"/>
    <n v="0.11"/>
    <x v="0"/>
    <s v="Medium Exposure"/>
  </r>
  <r>
    <x v="12"/>
    <x v="1521"/>
    <n v="21"/>
    <x v="1"/>
    <n v="0.62"/>
    <n v="1.1100000000000001"/>
    <x v="65"/>
    <x v="2"/>
    <n v="0.47"/>
    <n v="0.86"/>
    <n v="0.17"/>
    <n v="0.02"/>
    <n v="0.65"/>
    <n v="0.05"/>
    <n v="0.98"/>
    <n v="0.61"/>
    <n v="0.47"/>
    <n v="0.43"/>
    <x v="0"/>
    <s v="Medium Exposure"/>
  </r>
  <r>
    <x v="1"/>
    <x v="1522"/>
    <n v="23"/>
    <x v="0"/>
    <n v="0.09"/>
    <n v="1.43"/>
    <x v="13"/>
    <x v="1"/>
    <n v="0.18"/>
    <n v="0.56000000000000005"/>
    <n v="0.13"/>
    <n v="0.02"/>
    <n v="0.63"/>
    <n v="0.65"/>
    <n v="0.57999999999999996"/>
    <n v="0.18"/>
    <n v="0.6"/>
    <n v="0.06"/>
    <x v="0"/>
    <s v="Low Exposure"/>
  </r>
  <r>
    <x v="18"/>
    <x v="1523"/>
    <n v="21"/>
    <x v="0"/>
    <n v="0.55000000000000004"/>
    <n v="1.1599999999999999"/>
    <x v="15"/>
    <x v="1"/>
    <n v="0.85"/>
    <n v="0.98"/>
    <n v="0.98"/>
    <n v="0.77"/>
    <n v="0.96"/>
    <n v="0.87"/>
    <n v="0.73"/>
    <n v="0.08"/>
    <n v="0.05"/>
    <n v="0.84"/>
    <x v="0"/>
    <s v="Medium Exposure"/>
  </r>
  <r>
    <x v="8"/>
    <x v="1524"/>
    <n v="1"/>
    <x v="2"/>
    <n v="0.81"/>
    <n v="0.81"/>
    <x v="36"/>
    <x v="2"/>
    <n v="0.7"/>
    <n v="0.92"/>
    <n v="0.09"/>
    <n v="0.86"/>
    <n v="0.79"/>
    <n v="0.32"/>
    <n v="0.36"/>
    <n v="0.05"/>
    <n v="0.02"/>
    <n v="0.48"/>
    <x v="1"/>
    <s v="High Exposure"/>
  </r>
  <r>
    <x v="15"/>
    <x v="1525"/>
    <n v="10"/>
    <x v="0"/>
    <n v="0.19"/>
    <n v="1.35"/>
    <x v="27"/>
    <x v="1"/>
    <n v="0.63"/>
    <n v="0.19"/>
    <n v="0.83"/>
    <n v="0.87"/>
    <n v="0.52"/>
    <n v="0.91"/>
    <n v="0.84"/>
    <n v="0.73"/>
    <n v="0.73"/>
    <n v="0.11"/>
    <x v="2"/>
    <s v="Low Exposure"/>
  </r>
  <r>
    <x v="15"/>
    <x v="1526"/>
    <n v="16"/>
    <x v="2"/>
    <n v="7.0000000000000007E-2"/>
    <n v="0.51"/>
    <x v="63"/>
    <x v="1"/>
    <n v="0.88"/>
    <n v="0.24"/>
    <n v="0.97"/>
    <n v="0.6"/>
    <n v="0.24"/>
    <n v="0.5"/>
    <n v="0.22"/>
    <n v="0.98"/>
    <n v="0.85"/>
    <n v="0.03"/>
    <x v="0"/>
    <s v="Low Exposure"/>
  </r>
  <r>
    <x v="8"/>
    <x v="1527"/>
    <n v="4"/>
    <x v="2"/>
    <n v="0.72"/>
    <n v="0.57999999999999996"/>
    <x v="64"/>
    <x v="2"/>
    <n v="0.65"/>
    <n v="0.22"/>
    <n v="0.76"/>
    <n v="0.09"/>
    <n v="0.49"/>
    <n v="0.01"/>
    <n v="0.97"/>
    <n v="0.75"/>
    <n v="0.16"/>
    <n v="0.34"/>
    <x v="1"/>
    <s v="High Exposure"/>
  </r>
  <r>
    <x v="1"/>
    <x v="1528"/>
    <n v="24"/>
    <x v="3"/>
    <n v="0.77"/>
    <n v="0.56000000000000005"/>
    <x v="75"/>
    <x v="1"/>
    <n v="0.94"/>
    <n v="0.68"/>
    <n v="0.21"/>
    <n v="0.36"/>
    <n v="0.48"/>
    <n v="0.6"/>
    <n v="0.67"/>
    <n v="0.55000000000000004"/>
    <n v="0.35"/>
    <n v="0.89"/>
    <x v="0"/>
    <s v="High Exposure"/>
  </r>
  <r>
    <x v="11"/>
    <x v="1529"/>
    <n v="28"/>
    <x v="2"/>
    <n v="0.47"/>
    <n v="1.28"/>
    <x v="86"/>
    <x v="2"/>
    <n v="0.71"/>
    <n v="0.82"/>
    <n v="0.66"/>
    <n v="0.01"/>
    <n v="0.18"/>
    <n v="0.34"/>
    <n v="0.23"/>
    <n v="0.96"/>
    <n v="0.65"/>
    <n v="0.3"/>
    <x v="0"/>
    <s v="Medium Exposure"/>
  </r>
  <r>
    <x v="19"/>
    <x v="1530"/>
    <n v="8"/>
    <x v="2"/>
    <n v="0.74"/>
    <n v="0.78"/>
    <x v="84"/>
    <x v="2"/>
    <n v="0.2"/>
    <n v="0.97"/>
    <n v="0.52"/>
    <n v="0.9"/>
    <n v="0.35"/>
    <n v="0.86"/>
    <n v="0.05"/>
    <n v="0.98"/>
    <n v="0.91"/>
    <n v="0.36"/>
    <x v="2"/>
    <s v="High Exposure"/>
  </r>
  <r>
    <x v="10"/>
    <x v="1531"/>
    <n v="3"/>
    <x v="1"/>
    <n v="0.75"/>
    <n v="1.4"/>
    <x v="71"/>
    <x v="2"/>
    <n v="0.47"/>
    <n v="0.86"/>
    <n v="0.78"/>
    <n v="0.39"/>
    <n v="0.85"/>
    <n v="0.05"/>
    <n v="0.78"/>
    <n v="0.21"/>
    <n v="0.28999999999999998"/>
    <n v="0.49"/>
    <x v="1"/>
    <s v="High Exposure"/>
  </r>
  <r>
    <x v="12"/>
    <x v="1532"/>
    <n v="28"/>
    <x v="3"/>
    <n v="0.52"/>
    <n v="1.04"/>
    <x v="87"/>
    <x v="2"/>
    <n v="0.18"/>
    <n v="0.77"/>
    <n v="0.4"/>
    <n v="0.51"/>
    <n v="0.64"/>
    <n v="0.91"/>
    <n v="0.71"/>
    <n v="0.05"/>
    <n v="0.84"/>
    <n v="0.99"/>
    <x v="0"/>
    <s v="Medium Exposure"/>
  </r>
  <r>
    <x v="3"/>
    <x v="1533"/>
    <n v="0"/>
    <x v="1"/>
    <n v="0.97"/>
    <n v="1.05"/>
    <x v="8"/>
    <x v="2"/>
    <n v="0.33"/>
    <n v="0.66"/>
    <n v="0.23"/>
    <n v="0.1"/>
    <n v="0.03"/>
    <n v="0.28999999999999998"/>
    <n v="0.4"/>
    <n v="0.55000000000000004"/>
    <n v="0.28999999999999998"/>
    <n v="0.98"/>
    <x v="1"/>
    <s v="High Exposure"/>
  </r>
  <r>
    <x v="12"/>
    <x v="1534"/>
    <n v="1"/>
    <x v="1"/>
    <n v="0.44"/>
    <n v="0.6"/>
    <x v="10"/>
    <x v="2"/>
    <n v="0.05"/>
    <n v="0.56000000000000005"/>
    <n v="0.75"/>
    <n v="0.2"/>
    <n v="0.37"/>
    <n v="0.02"/>
    <n v="0.84"/>
    <n v="0.78"/>
    <n v="0.06"/>
    <n v="0.36"/>
    <x v="1"/>
    <s v="Medium Exposure"/>
  </r>
  <r>
    <x v="10"/>
    <x v="1535"/>
    <n v="10"/>
    <x v="1"/>
    <n v="0.39"/>
    <n v="1.03"/>
    <x v="30"/>
    <x v="2"/>
    <n v="0.6"/>
    <n v="0.98"/>
    <n v="1"/>
    <n v="0.77"/>
    <n v="0.4"/>
    <n v="0.49"/>
    <n v="0.36"/>
    <n v="0.99"/>
    <n v="0.71"/>
    <n v="0.45"/>
    <x v="2"/>
    <s v="Medium Exposure"/>
  </r>
  <r>
    <x v="17"/>
    <x v="1536"/>
    <n v="28"/>
    <x v="0"/>
    <n v="0.34"/>
    <n v="1.25"/>
    <x v="69"/>
    <x v="2"/>
    <n v="0.25"/>
    <n v="0.54"/>
    <n v="0.53"/>
    <n v="0.42"/>
    <n v="0.23"/>
    <n v="0.7"/>
    <n v="0.25"/>
    <n v="0.91"/>
    <n v="0.53"/>
    <n v="0.87"/>
    <x v="0"/>
    <s v="Medium Exposure"/>
  </r>
  <r>
    <x v="12"/>
    <x v="1537"/>
    <n v="21"/>
    <x v="3"/>
    <n v="0.81"/>
    <n v="0.61"/>
    <x v="45"/>
    <x v="2"/>
    <n v="0.39"/>
    <n v="0.47"/>
    <n v="0.17"/>
    <n v="0.02"/>
    <n v="0.67"/>
    <n v="0.59"/>
    <n v="0.62"/>
    <n v="0.26"/>
    <n v="0.24"/>
    <n v="0.83"/>
    <x v="0"/>
    <s v="High Exposure"/>
  </r>
  <r>
    <x v="15"/>
    <x v="1538"/>
    <n v="1"/>
    <x v="0"/>
    <n v="0.34"/>
    <n v="1.1399999999999999"/>
    <x v="75"/>
    <x v="1"/>
    <n v="0.89"/>
    <n v="0.01"/>
    <n v="0.81"/>
    <n v="0.35"/>
    <n v="0.72"/>
    <n v="0.37"/>
    <n v="0.61"/>
    <n v="0.65"/>
    <n v="0.4"/>
    <n v="0.51"/>
    <x v="1"/>
    <s v="Medium Exposure"/>
  </r>
  <r>
    <x v="17"/>
    <x v="1539"/>
    <n v="23"/>
    <x v="1"/>
    <n v="0.48"/>
    <n v="0.51"/>
    <x v="57"/>
    <x v="2"/>
    <n v="0.66"/>
    <n v="0.85"/>
    <n v="0.79"/>
    <n v="0.31"/>
    <n v="0.47"/>
    <n v="0.23"/>
    <n v="0.99"/>
    <n v="0.26"/>
    <n v="0.42"/>
    <n v="0.68"/>
    <x v="0"/>
    <s v="Medium Exposure"/>
  </r>
  <r>
    <x v="5"/>
    <x v="1540"/>
    <n v="2"/>
    <x v="1"/>
    <n v="0.05"/>
    <n v="0.8"/>
    <x v="27"/>
    <x v="1"/>
    <n v="0.62"/>
    <n v="7.0000000000000007E-2"/>
    <n v="0.66"/>
    <n v="0.53"/>
    <n v="0.83"/>
    <n v="0.22"/>
    <n v="0.2"/>
    <n v="0.79"/>
    <n v="0.7"/>
    <n v="0.79"/>
    <x v="1"/>
    <s v="Low Exposure"/>
  </r>
  <r>
    <x v="7"/>
    <x v="1541"/>
    <n v="28"/>
    <x v="1"/>
    <n v="0.1"/>
    <n v="0.78"/>
    <x v="54"/>
    <x v="1"/>
    <n v="0.93"/>
    <n v="0.49"/>
    <n v="0.11"/>
    <n v="0.28999999999999998"/>
    <n v="0.87"/>
    <n v="0.85"/>
    <n v="0.9"/>
    <n v="0.39"/>
    <n v="0.64"/>
    <n v="0.28000000000000003"/>
    <x v="0"/>
    <s v="Low Exposure"/>
  </r>
  <r>
    <x v="7"/>
    <x v="1542"/>
    <n v="12"/>
    <x v="2"/>
    <n v="0.02"/>
    <n v="0.72"/>
    <x v="42"/>
    <x v="1"/>
    <n v="0.9"/>
    <n v="0.13"/>
    <n v="0.92"/>
    <n v="0.35"/>
    <n v="0.43"/>
    <n v="0.36"/>
    <n v="0.41"/>
    <n v="0.26"/>
    <n v="0.7"/>
    <n v="0.76"/>
    <x v="2"/>
    <s v="Low Exposure"/>
  </r>
  <r>
    <x v="1"/>
    <x v="1543"/>
    <n v="20"/>
    <x v="0"/>
    <n v="0.34"/>
    <n v="1.26"/>
    <x v="13"/>
    <x v="1"/>
    <n v="0.96"/>
    <n v="0.42"/>
    <n v="0.99"/>
    <n v="0.74"/>
    <n v="0.78"/>
    <n v="0.03"/>
    <n v="0.5"/>
    <n v="0.53"/>
    <n v="0.04"/>
    <n v="0.31"/>
    <x v="0"/>
    <s v="Medium Exposure"/>
  </r>
  <r>
    <x v="10"/>
    <x v="1544"/>
    <n v="10"/>
    <x v="1"/>
    <n v="0.43"/>
    <n v="0.69"/>
    <x v="50"/>
    <x v="2"/>
    <n v="0.03"/>
    <n v="0.52"/>
    <n v="0.59"/>
    <n v="0.36"/>
    <n v="0.76"/>
    <n v="0.14000000000000001"/>
    <n v="0.88"/>
    <n v="0.96"/>
    <n v="0"/>
    <n v="0.84"/>
    <x v="2"/>
    <s v="Medium Exposure"/>
  </r>
  <r>
    <x v="10"/>
    <x v="1545"/>
    <n v="4"/>
    <x v="0"/>
    <n v="0.46"/>
    <n v="0.74"/>
    <x v="8"/>
    <x v="2"/>
    <n v="0.95"/>
    <n v="0.21"/>
    <n v="0.18"/>
    <n v="0.24"/>
    <n v="0.55000000000000004"/>
    <n v="0.93"/>
    <n v="0.56999999999999995"/>
    <n v="0.24"/>
    <n v="0.44"/>
    <n v="0.39"/>
    <x v="1"/>
    <s v="Medium Exposure"/>
  </r>
  <r>
    <x v="0"/>
    <x v="1546"/>
    <n v="0"/>
    <x v="0"/>
    <n v="0.73"/>
    <n v="1.43"/>
    <x v="81"/>
    <x v="0"/>
    <n v="0.44"/>
    <n v="0.15"/>
    <n v="0.81"/>
    <n v="0.46"/>
    <n v="0.08"/>
    <n v="0.72"/>
    <n v="0.28999999999999998"/>
    <n v="0.05"/>
    <n v="0.9"/>
    <n v="0.48"/>
    <x v="1"/>
    <s v="High Exposure"/>
  </r>
  <r>
    <x v="2"/>
    <x v="1547"/>
    <n v="27"/>
    <x v="1"/>
    <n v="0.72"/>
    <n v="1.39"/>
    <x v="58"/>
    <x v="2"/>
    <n v="0.69"/>
    <n v="0.77"/>
    <n v="0.21"/>
    <n v="0.49"/>
    <n v="0.09"/>
    <n v="0.75"/>
    <n v="0.85"/>
    <n v="0.11"/>
    <n v="0.82"/>
    <n v="0.77"/>
    <x v="0"/>
    <s v="High Exposure"/>
  </r>
  <r>
    <x v="17"/>
    <x v="1548"/>
    <n v="13"/>
    <x v="1"/>
    <n v="0.69"/>
    <n v="0.5"/>
    <x v="79"/>
    <x v="2"/>
    <n v="0.55000000000000004"/>
    <n v="0.62"/>
    <n v="0.66"/>
    <n v="0.56000000000000005"/>
    <n v="0.86"/>
    <n v="0.61"/>
    <n v="0.91"/>
    <n v="0.57999999999999996"/>
    <n v="0.17"/>
    <n v="0.91"/>
    <x v="2"/>
    <s v="Medium Exposure"/>
  </r>
  <r>
    <x v="7"/>
    <x v="1549"/>
    <n v="13"/>
    <x v="2"/>
    <n v="0.7"/>
    <n v="1.49"/>
    <x v="34"/>
    <x v="1"/>
    <n v="0.43"/>
    <n v="0.24"/>
    <n v="0.63"/>
    <n v="0.81"/>
    <n v="0.97"/>
    <n v="0.45"/>
    <n v="0.79"/>
    <n v="0.92"/>
    <n v="0.68"/>
    <n v="0.24"/>
    <x v="2"/>
    <s v="High Exposure"/>
  </r>
  <r>
    <x v="14"/>
    <x v="1550"/>
    <n v="12"/>
    <x v="2"/>
    <n v="0.97"/>
    <n v="1.49"/>
    <x v="83"/>
    <x v="0"/>
    <n v="0.89"/>
    <n v="0.2"/>
    <n v="0.25"/>
    <n v="0.95"/>
    <n v="0.14000000000000001"/>
    <n v="0.19"/>
    <n v="0.42"/>
    <n v="0.59"/>
    <n v="0.6"/>
    <n v="0.28999999999999998"/>
    <x v="2"/>
    <s v="High Exposure"/>
  </r>
  <r>
    <x v="1"/>
    <x v="1551"/>
    <n v="10"/>
    <x v="1"/>
    <n v="0.92"/>
    <n v="0.89"/>
    <x v="74"/>
    <x v="1"/>
    <n v="0.7"/>
    <n v="0.66"/>
    <n v="0.38"/>
    <n v="0.41"/>
    <n v="0.35"/>
    <n v="0.24"/>
    <n v="0.46"/>
    <n v="0.69"/>
    <n v="0.74"/>
    <n v="0.78"/>
    <x v="2"/>
    <s v="High Exposure"/>
  </r>
  <r>
    <x v="0"/>
    <x v="1552"/>
    <n v="18"/>
    <x v="3"/>
    <n v="0.76"/>
    <n v="0.51"/>
    <x v="90"/>
    <x v="0"/>
    <n v="0.79"/>
    <n v="0.63"/>
    <n v="0.47"/>
    <n v="0.64"/>
    <n v="0.91"/>
    <n v="0.56999999999999995"/>
    <n v="0.8"/>
    <n v="0.98"/>
    <n v="0.71"/>
    <n v="0.56999999999999995"/>
    <x v="0"/>
    <s v="High Exposure"/>
  </r>
  <r>
    <x v="13"/>
    <x v="1553"/>
    <n v="14"/>
    <x v="1"/>
    <n v="0.37"/>
    <n v="1.07"/>
    <x v="69"/>
    <x v="2"/>
    <n v="0.44"/>
    <n v="0.96"/>
    <n v="0.27"/>
    <n v="0.74"/>
    <n v="0.42"/>
    <n v="0.49"/>
    <n v="0.8"/>
    <n v="0.3"/>
    <n v="0.1"/>
    <n v="0.52"/>
    <x v="2"/>
    <s v="Medium Exposure"/>
  </r>
  <r>
    <x v="8"/>
    <x v="1554"/>
    <n v="19"/>
    <x v="3"/>
    <n v="0.8"/>
    <n v="1.47"/>
    <x v="86"/>
    <x v="2"/>
    <n v="0.59"/>
    <n v="0.68"/>
    <n v="0.99"/>
    <n v="0.94"/>
    <n v="0.71"/>
    <n v="0.52"/>
    <n v="0.16"/>
    <n v="0.38"/>
    <n v="0.59"/>
    <n v="0.73"/>
    <x v="0"/>
    <s v="High Exposure"/>
  </r>
  <r>
    <x v="19"/>
    <x v="1555"/>
    <n v="18"/>
    <x v="0"/>
    <n v="0.71"/>
    <n v="0.93"/>
    <x v="31"/>
    <x v="2"/>
    <n v="0.14000000000000001"/>
    <n v="0.16"/>
    <n v="0.16"/>
    <n v="0.89"/>
    <n v="0.08"/>
    <n v="0.8"/>
    <n v="0.23"/>
    <n v="0.47"/>
    <n v="0.92"/>
    <n v="0.59"/>
    <x v="0"/>
    <s v="High Exposure"/>
  </r>
  <r>
    <x v="4"/>
    <x v="1556"/>
    <n v="28"/>
    <x v="3"/>
    <n v="0.28000000000000003"/>
    <n v="1.42"/>
    <x v="25"/>
    <x v="2"/>
    <n v="0.59"/>
    <n v="0.46"/>
    <n v="0.38"/>
    <n v="0.22"/>
    <n v="0.69"/>
    <n v="0.72"/>
    <n v="0.27"/>
    <n v="0.79"/>
    <n v="0.85"/>
    <n v="0.92"/>
    <x v="0"/>
    <s v="Low Exposure"/>
  </r>
  <r>
    <x v="3"/>
    <x v="1557"/>
    <n v="18"/>
    <x v="3"/>
    <n v="0.3"/>
    <n v="1.36"/>
    <x v="48"/>
    <x v="2"/>
    <n v="0"/>
    <n v="0.87"/>
    <n v="0.33"/>
    <n v="0.41"/>
    <n v="0.45"/>
    <n v="0.85"/>
    <n v="0.34"/>
    <n v="0.89"/>
    <n v="0.62"/>
    <n v="0.53"/>
    <x v="0"/>
    <s v="Medium Exposure"/>
  </r>
  <r>
    <x v="9"/>
    <x v="1558"/>
    <n v="11"/>
    <x v="1"/>
    <n v="0.24"/>
    <n v="1.1200000000000001"/>
    <x v="2"/>
    <x v="0"/>
    <n v="0.91"/>
    <n v="0.49"/>
    <n v="0.51"/>
    <n v="0.42"/>
    <n v="0.79"/>
    <n v="0.42"/>
    <n v="0.27"/>
    <n v="0.86"/>
    <n v="0.6"/>
    <n v="0.59"/>
    <x v="2"/>
    <s v="Low Exposure"/>
  </r>
  <r>
    <x v="4"/>
    <x v="1559"/>
    <n v="18"/>
    <x v="3"/>
    <n v="0.72"/>
    <n v="0.81"/>
    <x v="57"/>
    <x v="2"/>
    <n v="0.81"/>
    <n v="0.13"/>
    <n v="0.72"/>
    <n v="0.08"/>
    <n v="0.38"/>
    <n v="0.06"/>
    <n v="0.52"/>
    <n v="0.65"/>
    <n v="0.17"/>
    <n v="0.37"/>
    <x v="0"/>
    <s v="High Exposure"/>
  </r>
  <r>
    <x v="16"/>
    <x v="1560"/>
    <n v="7"/>
    <x v="0"/>
    <n v="0.44"/>
    <n v="1.3"/>
    <x v="17"/>
    <x v="0"/>
    <n v="0.97"/>
    <n v="0.9"/>
    <n v="0.32"/>
    <n v="0.96"/>
    <n v="0.81"/>
    <n v="0.84"/>
    <n v="0.02"/>
    <n v="0.95"/>
    <n v="0.78"/>
    <n v="0.77"/>
    <x v="2"/>
    <s v="Medium Exposure"/>
  </r>
  <r>
    <x v="3"/>
    <x v="1561"/>
    <n v="8"/>
    <x v="2"/>
    <n v="0.23"/>
    <n v="1.46"/>
    <x v="11"/>
    <x v="2"/>
    <n v="0.4"/>
    <n v="0.84"/>
    <n v="0.09"/>
    <n v="0.42"/>
    <n v="0.38"/>
    <n v="0.35"/>
    <n v="0.31"/>
    <n v="0.21"/>
    <n v="0.17"/>
    <n v="0.64"/>
    <x v="2"/>
    <s v="Low Exposure"/>
  </r>
  <r>
    <x v="4"/>
    <x v="1562"/>
    <n v="14"/>
    <x v="1"/>
    <n v="0.51"/>
    <n v="0.8"/>
    <x v="46"/>
    <x v="2"/>
    <n v="0.83"/>
    <n v="0.97"/>
    <n v="0.35"/>
    <n v="0.28999999999999998"/>
    <n v="0.6"/>
    <n v="0.78"/>
    <n v="0.46"/>
    <n v="0.63"/>
    <n v="0.72"/>
    <n v="0.96"/>
    <x v="2"/>
    <s v="Medium Exposure"/>
  </r>
  <r>
    <x v="17"/>
    <x v="1563"/>
    <n v="4"/>
    <x v="2"/>
    <n v="0.27"/>
    <n v="0.79"/>
    <x v="86"/>
    <x v="2"/>
    <n v="0.28999999999999998"/>
    <n v="0.06"/>
    <n v="0.96"/>
    <n v="0.62"/>
    <n v="0.17"/>
    <n v="0.12"/>
    <n v="0.37"/>
    <n v="0.31"/>
    <n v="0.28000000000000003"/>
    <n v="0.47"/>
    <x v="1"/>
    <s v="Low Exposure"/>
  </r>
  <r>
    <x v="8"/>
    <x v="1564"/>
    <n v="14"/>
    <x v="3"/>
    <n v="0.54"/>
    <n v="0.81"/>
    <x v="11"/>
    <x v="2"/>
    <n v="0.22"/>
    <n v="0.05"/>
    <n v="0.78"/>
    <n v="0.64"/>
    <n v="0.34"/>
    <n v="0.05"/>
    <n v="0.87"/>
    <n v="0.17"/>
    <n v="0.93"/>
    <n v="0.48"/>
    <x v="2"/>
    <s v="Medium Exposure"/>
  </r>
  <r>
    <x v="6"/>
    <x v="1565"/>
    <n v="0"/>
    <x v="2"/>
    <n v="0.74"/>
    <n v="1.38"/>
    <x v="84"/>
    <x v="2"/>
    <n v="0.41"/>
    <n v="0.43"/>
    <n v="0.92"/>
    <n v="0.69"/>
    <n v="0.25"/>
    <n v="0.18"/>
    <n v="0.23"/>
    <n v="0.26"/>
    <n v="0.23"/>
    <n v="0.66"/>
    <x v="1"/>
    <s v="High Exposure"/>
  </r>
  <r>
    <x v="11"/>
    <x v="1566"/>
    <n v="22"/>
    <x v="2"/>
    <n v="0.39"/>
    <n v="1.1299999999999999"/>
    <x v="71"/>
    <x v="2"/>
    <n v="7.0000000000000007E-2"/>
    <n v="0.08"/>
    <n v="0.13"/>
    <n v="0.84"/>
    <n v="0.66"/>
    <n v="0.06"/>
    <n v="0.39"/>
    <n v="0.28000000000000003"/>
    <n v="0.57999999999999996"/>
    <n v="0.52"/>
    <x v="0"/>
    <s v="Medium Exposure"/>
  </r>
  <r>
    <x v="2"/>
    <x v="1567"/>
    <n v="15"/>
    <x v="2"/>
    <n v="0.31"/>
    <n v="0.64"/>
    <x v="81"/>
    <x v="0"/>
    <n v="0.88"/>
    <n v="0.94"/>
    <n v="0.06"/>
    <n v="0.74"/>
    <n v="0.73"/>
    <n v="0.95"/>
    <n v="0.25"/>
    <n v="0.74"/>
    <n v="0.05"/>
    <n v="0.63"/>
    <x v="2"/>
    <s v="Medium Exposure"/>
  </r>
  <r>
    <x v="7"/>
    <x v="1568"/>
    <n v="21"/>
    <x v="0"/>
    <n v="0.77"/>
    <n v="1.36"/>
    <x v="41"/>
    <x v="1"/>
    <n v="0.53"/>
    <n v="0.12"/>
    <n v="0.42"/>
    <n v="0.36"/>
    <n v="0.18"/>
    <n v="0.89"/>
    <n v="0.15"/>
    <n v="0.64"/>
    <n v="0.89"/>
    <n v="0.91"/>
    <x v="0"/>
    <s v="High Exposure"/>
  </r>
  <r>
    <x v="9"/>
    <x v="1569"/>
    <n v="0"/>
    <x v="0"/>
    <n v="0.18"/>
    <n v="1.32"/>
    <x v="62"/>
    <x v="0"/>
    <n v="0.92"/>
    <n v="0.71"/>
    <n v="0.79"/>
    <n v="0.09"/>
    <n v="0.57999999999999996"/>
    <n v="0.82"/>
    <n v="0.86"/>
    <n v="0.03"/>
    <n v="0.94"/>
    <n v="0.04"/>
    <x v="1"/>
    <s v="Low Exposure"/>
  </r>
  <r>
    <x v="1"/>
    <x v="1570"/>
    <n v="24"/>
    <x v="0"/>
    <n v="0.57999999999999996"/>
    <n v="0.59"/>
    <x v="82"/>
    <x v="1"/>
    <n v="0.05"/>
    <n v="0.28999999999999998"/>
    <n v="0.45"/>
    <n v="0.53"/>
    <n v="0.98"/>
    <n v="0.98"/>
    <n v="0.1"/>
    <n v="0.54"/>
    <n v="0.82"/>
    <n v="0.24"/>
    <x v="0"/>
    <s v="Medium Exposure"/>
  </r>
  <r>
    <x v="10"/>
    <x v="1571"/>
    <n v="15"/>
    <x v="3"/>
    <n v="0.88"/>
    <n v="1.1599999999999999"/>
    <x v="87"/>
    <x v="2"/>
    <n v="0.92"/>
    <n v="0.88"/>
    <n v="0.72"/>
    <n v="0.36"/>
    <n v="0.79"/>
    <n v="0.32"/>
    <n v="0.25"/>
    <n v="0.52"/>
    <n v="1"/>
    <n v="0.8"/>
    <x v="2"/>
    <s v="High Exposure"/>
  </r>
  <r>
    <x v="7"/>
    <x v="1572"/>
    <n v="2"/>
    <x v="3"/>
    <n v="0.45"/>
    <n v="0.81"/>
    <x v="75"/>
    <x v="1"/>
    <n v="0.56999999999999995"/>
    <n v="0.81"/>
    <n v="0.49"/>
    <n v="0.75"/>
    <n v="0.87"/>
    <n v="0.39"/>
    <n v="0.01"/>
    <n v="0.25"/>
    <n v="0.91"/>
    <n v="0.69"/>
    <x v="1"/>
    <s v="Medium Exposure"/>
  </r>
  <r>
    <x v="3"/>
    <x v="1573"/>
    <n v="18"/>
    <x v="2"/>
    <n v="0.33"/>
    <n v="1.2"/>
    <x v="23"/>
    <x v="2"/>
    <n v="0.18"/>
    <n v="0.97"/>
    <n v="0.35"/>
    <n v="0.33"/>
    <n v="0.37"/>
    <n v="0.09"/>
    <n v="0.62"/>
    <n v="0.24"/>
    <n v="0.8"/>
    <n v="0.39"/>
    <x v="0"/>
    <s v="Medium Exposure"/>
  </r>
  <r>
    <x v="9"/>
    <x v="1574"/>
    <n v="16"/>
    <x v="0"/>
    <n v="0.65"/>
    <n v="1.26"/>
    <x v="39"/>
    <x v="0"/>
    <n v="0.97"/>
    <n v="0.62"/>
    <n v="0.01"/>
    <n v="0.42"/>
    <n v="0.44"/>
    <n v="0.81"/>
    <n v="0.31"/>
    <n v="0.33"/>
    <n v="7.0000000000000007E-2"/>
    <n v="0.28000000000000003"/>
    <x v="0"/>
    <s v="Medium Exposure"/>
  </r>
  <r>
    <x v="6"/>
    <x v="1575"/>
    <n v="25"/>
    <x v="2"/>
    <n v="0.63"/>
    <n v="0.57999999999999996"/>
    <x v="53"/>
    <x v="2"/>
    <n v="0.38"/>
    <n v="0.74"/>
    <n v="0.83"/>
    <n v="0.01"/>
    <n v="0.33"/>
    <n v="0.42"/>
    <n v="0.91"/>
    <n v="0.5"/>
    <n v="0.27"/>
    <n v="0.39"/>
    <x v="0"/>
    <s v="Medium Exposure"/>
  </r>
  <r>
    <x v="13"/>
    <x v="1576"/>
    <n v="16"/>
    <x v="1"/>
    <n v="0.67"/>
    <n v="0.54"/>
    <x v="36"/>
    <x v="2"/>
    <n v="0.65"/>
    <n v="0.28000000000000003"/>
    <n v="0.59"/>
    <n v="0.36"/>
    <n v="0.76"/>
    <n v="0.06"/>
    <n v="0.92"/>
    <n v="0.17"/>
    <n v="0.16"/>
    <n v="0.84"/>
    <x v="0"/>
    <s v="Medium Exposure"/>
  </r>
  <r>
    <x v="1"/>
    <x v="1577"/>
    <n v="12"/>
    <x v="1"/>
    <n v="0.09"/>
    <n v="1.41"/>
    <x v="54"/>
    <x v="1"/>
    <n v="0.62"/>
    <n v="7.0000000000000007E-2"/>
    <n v="0.38"/>
    <n v="0.45"/>
    <n v="0.6"/>
    <n v="0.53"/>
    <n v="0.46"/>
    <n v="0.96"/>
    <n v="0.19"/>
    <n v="0.16"/>
    <x v="2"/>
    <s v="Low Exposure"/>
  </r>
  <r>
    <x v="3"/>
    <x v="1578"/>
    <n v="15"/>
    <x v="2"/>
    <n v="7.0000000000000007E-2"/>
    <n v="0.98"/>
    <x v="78"/>
    <x v="2"/>
    <n v="0.31"/>
    <n v="0.93"/>
    <n v="0.28000000000000003"/>
    <n v="0.28999999999999998"/>
    <n v="0.23"/>
    <n v="0.15"/>
    <n v="0.36"/>
    <n v="0.68"/>
    <n v="0.74"/>
    <n v="0.81"/>
    <x v="2"/>
    <s v="Low Exposure"/>
  </r>
  <r>
    <x v="0"/>
    <x v="1579"/>
    <n v="20"/>
    <x v="2"/>
    <n v="0.04"/>
    <n v="1.47"/>
    <x v="58"/>
    <x v="2"/>
    <n v="0.96"/>
    <n v="0.83"/>
    <n v="0.91"/>
    <n v="0.39"/>
    <n v="0.2"/>
    <n v="0.61"/>
    <n v="0.74"/>
    <n v="0.13"/>
    <n v="0.8"/>
    <n v="0.21"/>
    <x v="0"/>
    <s v="Low Exposure"/>
  </r>
  <r>
    <x v="13"/>
    <x v="1580"/>
    <n v="11"/>
    <x v="2"/>
    <n v="0.86"/>
    <n v="0.69"/>
    <x v="10"/>
    <x v="2"/>
    <n v="0.06"/>
    <n v="0.15"/>
    <n v="0.15"/>
    <n v="0.2"/>
    <n v="0.28999999999999998"/>
    <n v="0.81"/>
    <n v="0.92"/>
    <n v="0.41"/>
    <n v="0.13"/>
    <n v="0.22"/>
    <x v="2"/>
    <s v="High Exposure"/>
  </r>
  <r>
    <x v="14"/>
    <x v="1581"/>
    <n v="19"/>
    <x v="2"/>
    <n v="0.08"/>
    <n v="1.03"/>
    <x v="40"/>
    <x v="0"/>
    <n v="0.08"/>
    <n v="0.89"/>
    <n v="0.57999999999999996"/>
    <n v="0.95"/>
    <n v="0.15"/>
    <n v="0.99"/>
    <n v="0.64"/>
    <n v="0.56999999999999995"/>
    <n v="0.52"/>
    <n v="0.02"/>
    <x v="0"/>
    <s v="Low Exposure"/>
  </r>
  <r>
    <x v="12"/>
    <x v="1582"/>
    <n v="27"/>
    <x v="3"/>
    <n v="0.64"/>
    <n v="0.59"/>
    <x v="57"/>
    <x v="2"/>
    <n v="0.05"/>
    <n v="0.61"/>
    <n v="0.61"/>
    <n v="0.5"/>
    <n v="0.31"/>
    <n v="0.53"/>
    <n v="0.52"/>
    <n v="0.02"/>
    <n v="0.28000000000000003"/>
    <n v="0.05"/>
    <x v="0"/>
    <s v="Medium Exposure"/>
  </r>
  <r>
    <x v="18"/>
    <x v="1583"/>
    <n v="23"/>
    <x v="1"/>
    <n v="0.73"/>
    <n v="1.5"/>
    <x v="61"/>
    <x v="1"/>
    <n v="0.88"/>
    <n v="0.6"/>
    <n v="0.45"/>
    <n v="0.22"/>
    <n v="0.74"/>
    <n v="0.9"/>
    <n v="0.24"/>
    <n v="0.18"/>
    <n v="0.7"/>
    <n v="0.98"/>
    <x v="0"/>
    <s v="High Exposure"/>
  </r>
  <r>
    <x v="16"/>
    <x v="1584"/>
    <n v="2"/>
    <x v="0"/>
    <n v="0.28000000000000003"/>
    <n v="0.92"/>
    <x v="9"/>
    <x v="0"/>
    <n v="0.85"/>
    <n v="0.77"/>
    <n v="0.59"/>
    <n v="0.27"/>
    <n v="0.94"/>
    <n v="0.65"/>
    <n v="0.97"/>
    <n v="0.57999999999999996"/>
    <n v="0.82"/>
    <n v="0.81"/>
    <x v="1"/>
    <s v="Low Exposure"/>
  </r>
  <r>
    <x v="3"/>
    <x v="1585"/>
    <n v="19"/>
    <x v="0"/>
    <n v="0.96"/>
    <n v="0.52"/>
    <x v="45"/>
    <x v="2"/>
    <n v="0.97"/>
    <n v="0.34"/>
    <n v="0.65"/>
    <n v="0.56000000000000005"/>
    <n v="0.76"/>
    <n v="0.87"/>
    <n v="0.6"/>
    <n v="0.82"/>
    <n v="0.31"/>
    <n v="0.23"/>
    <x v="0"/>
    <s v="High Exposure"/>
  </r>
  <r>
    <x v="4"/>
    <x v="1586"/>
    <n v="2"/>
    <x v="2"/>
    <n v="0.68"/>
    <n v="0.69"/>
    <x v="64"/>
    <x v="2"/>
    <n v="0.39"/>
    <n v="0.8"/>
    <n v="0.04"/>
    <n v="0.67"/>
    <n v="0.65"/>
    <n v="0.94"/>
    <n v="0.71"/>
    <n v="0.8"/>
    <n v="0.9"/>
    <n v="0.68"/>
    <x v="1"/>
    <s v="Medium Exposure"/>
  </r>
  <r>
    <x v="13"/>
    <x v="1587"/>
    <n v="20"/>
    <x v="3"/>
    <n v="0.87"/>
    <n v="1.25"/>
    <x v="25"/>
    <x v="2"/>
    <n v="0.71"/>
    <n v="0.87"/>
    <n v="0.98"/>
    <n v="0.95"/>
    <n v="0.33"/>
    <n v="0.42"/>
    <n v="0.11"/>
    <n v="0.25"/>
    <n v="0.88"/>
    <n v="0.36"/>
    <x v="0"/>
    <s v="High Exposure"/>
  </r>
  <r>
    <x v="10"/>
    <x v="1588"/>
    <n v="24"/>
    <x v="0"/>
    <n v="0.67"/>
    <n v="1.28"/>
    <x v="49"/>
    <x v="2"/>
    <n v="0.3"/>
    <n v="0.45"/>
    <n v="0.36"/>
    <n v="0.98"/>
    <n v="0.83"/>
    <n v="0.48"/>
    <n v="0.88"/>
    <n v="0.35"/>
    <n v="0.79"/>
    <n v="0.22"/>
    <x v="0"/>
    <s v="Medium Exposure"/>
  </r>
  <r>
    <x v="15"/>
    <x v="1589"/>
    <n v="6"/>
    <x v="1"/>
    <n v="0.46"/>
    <n v="0.61"/>
    <x v="54"/>
    <x v="1"/>
    <n v="0.4"/>
    <n v="0.75"/>
    <n v="7.0000000000000007E-2"/>
    <n v="0.66"/>
    <n v="0.72"/>
    <n v="0.65"/>
    <n v="0.76"/>
    <n v="0.18"/>
    <n v="0.59"/>
    <n v="0.94"/>
    <x v="2"/>
    <s v="Medium Exposure"/>
  </r>
  <r>
    <x v="16"/>
    <x v="1590"/>
    <n v="17"/>
    <x v="0"/>
    <n v="0.61"/>
    <n v="1.24"/>
    <x v="80"/>
    <x v="0"/>
    <n v="0.7"/>
    <n v="0.92"/>
    <n v="0.01"/>
    <n v="0.87"/>
    <n v="0.22"/>
    <n v="0.46"/>
    <n v="0.85"/>
    <n v="0.82"/>
    <n v="0.89"/>
    <n v="0.94"/>
    <x v="0"/>
    <s v="Medium Exposure"/>
  </r>
  <r>
    <x v="19"/>
    <x v="1591"/>
    <n v="27"/>
    <x v="1"/>
    <n v="0.66"/>
    <n v="0.89"/>
    <x v="30"/>
    <x v="2"/>
    <n v="0.43"/>
    <n v="0.74"/>
    <n v="0.5"/>
    <n v="0.81"/>
    <n v="0.75"/>
    <n v="0.02"/>
    <n v="0.63"/>
    <n v="0.44"/>
    <n v="0.46"/>
    <n v="0.82"/>
    <x v="0"/>
    <s v="Medium Exposure"/>
  </r>
  <r>
    <x v="1"/>
    <x v="1592"/>
    <n v="3"/>
    <x v="0"/>
    <n v="0.89"/>
    <n v="1.21"/>
    <x v="27"/>
    <x v="1"/>
    <n v="0.75"/>
    <n v="0.04"/>
    <n v="0.03"/>
    <n v="0.08"/>
    <n v="0.44"/>
    <n v="0.24"/>
    <n v="0.98"/>
    <n v="0.54"/>
    <n v="0.66"/>
    <n v="0.28000000000000003"/>
    <x v="1"/>
    <s v="High Exposure"/>
  </r>
  <r>
    <x v="19"/>
    <x v="1593"/>
    <n v="2"/>
    <x v="2"/>
    <n v="0.34"/>
    <n v="1.2"/>
    <x v="78"/>
    <x v="2"/>
    <n v="0.52"/>
    <n v="0.59"/>
    <n v="0.77"/>
    <n v="0.09"/>
    <n v="0.78"/>
    <n v="0.56000000000000005"/>
    <n v="0.67"/>
    <n v="0.33"/>
    <n v="0.41"/>
    <n v="0.23"/>
    <x v="1"/>
    <s v="Medium Exposure"/>
  </r>
  <r>
    <x v="2"/>
    <x v="1594"/>
    <n v="20"/>
    <x v="1"/>
    <n v="0.5"/>
    <n v="1.5"/>
    <x v="90"/>
    <x v="0"/>
    <n v="0.22"/>
    <n v="0.51"/>
    <n v="0.04"/>
    <n v="0.9"/>
    <n v="0.82"/>
    <n v="0.73"/>
    <n v="0.61"/>
    <n v="0.57999999999999996"/>
    <n v="1"/>
    <n v="0.28000000000000003"/>
    <x v="0"/>
    <s v="Medium Exposure"/>
  </r>
  <r>
    <x v="10"/>
    <x v="1595"/>
    <n v="16"/>
    <x v="1"/>
    <n v="0.31"/>
    <n v="0.88"/>
    <x v="11"/>
    <x v="2"/>
    <n v="0.02"/>
    <n v="0.08"/>
    <n v="0.26"/>
    <n v="0.55000000000000004"/>
    <n v="0.77"/>
    <n v="0.69"/>
    <n v="0.56999999999999995"/>
    <n v="0.4"/>
    <n v="0.87"/>
    <n v="0.46"/>
    <x v="0"/>
    <s v="Medium Exposure"/>
  </r>
  <r>
    <x v="15"/>
    <x v="1596"/>
    <n v="15"/>
    <x v="1"/>
    <n v="0.27"/>
    <n v="0.86"/>
    <x v="21"/>
    <x v="1"/>
    <n v="0.24"/>
    <n v="0.1"/>
    <n v="7.0000000000000007E-2"/>
    <n v="0.5"/>
    <n v="0.64"/>
    <n v="0.33"/>
    <n v="0.69"/>
    <n v="0.06"/>
    <n v="0.86"/>
    <n v="0.82"/>
    <x v="2"/>
    <s v="Low Exposure"/>
  </r>
  <r>
    <x v="7"/>
    <x v="1597"/>
    <n v="7"/>
    <x v="0"/>
    <n v="0.94"/>
    <n v="0.86"/>
    <x v="18"/>
    <x v="1"/>
    <n v="0.75"/>
    <n v="0.13"/>
    <n v="0.31"/>
    <n v="0.12"/>
    <n v="0.45"/>
    <n v="0.55000000000000004"/>
    <n v="0.21"/>
    <n v="0.03"/>
    <n v="0.72"/>
    <n v="0.02"/>
    <x v="2"/>
    <s v="High Exposure"/>
  </r>
  <r>
    <x v="12"/>
    <x v="1598"/>
    <n v="29"/>
    <x v="0"/>
    <n v="0.22"/>
    <n v="1.1599999999999999"/>
    <x v="25"/>
    <x v="2"/>
    <n v="0.06"/>
    <n v="0.47"/>
    <n v="0.52"/>
    <n v="0.85"/>
    <n v="0.73"/>
    <n v="0.08"/>
    <n v="0.21"/>
    <n v="0.31"/>
    <n v="0.12"/>
    <n v="0.46"/>
    <x v="0"/>
    <s v="Low Exposure"/>
  </r>
  <r>
    <x v="6"/>
    <x v="1599"/>
    <n v="19"/>
    <x v="3"/>
    <n v="0.51"/>
    <n v="1.24"/>
    <x v="64"/>
    <x v="2"/>
    <n v="0.85"/>
    <n v="0.22"/>
    <n v="0.75"/>
    <n v="0.88"/>
    <n v="0.17"/>
    <n v="0.35"/>
    <n v="0.97"/>
    <n v="0.78"/>
    <n v="0.28000000000000003"/>
    <n v="0.56000000000000005"/>
    <x v="0"/>
    <s v="Medium Exposure"/>
  </r>
  <r>
    <x v="3"/>
    <x v="1600"/>
    <n v="18"/>
    <x v="1"/>
    <n v="0.77"/>
    <n v="0.77"/>
    <x v="64"/>
    <x v="2"/>
    <n v="0.35"/>
    <n v="0.56999999999999995"/>
    <n v="0.38"/>
    <n v="0.3"/>
    <n v="0.86"/>
    <n v="0.75"/>
    <n v="0.35"/>
    <n v="0.43"/>
    <n v="0.69"/>
    <n v="0.81"/>
    <x v="0"/>
    <s v="High Exposure"/>
  </r>
  <r>
    <x v="5"/>
    <x v="1601"/>
    <n v="12"/>
    <x v="2"/>
    <n v="0.54"/>
    <n v="1.45"/>
    <x v="52"/>
    <x v="1"/>
    <n v="0.12"/>
    <n v="0.56000000000000005"/>
    <n v="0.41"/>
    <n v="0.79"/>
    <n v="0.04"/>
    <n v="0.41"/>
    <n v="0.32"/>
    <n v="0.14000000000000001"/>
    <n v="0.38"/>
    <n v="0.67"/>
    <x v="2"/>
    <s v="Medium Exposure"/>
  </r>
  <r>
    <x v="11"/>
    <x v="1602"/>
    <n v="5"/>
    <x v="0"/>
    <n v="0.57999999999999996"/>
    <n v="1.0900000000000001"/>
    <x v="68"/>
    <x v="2"/>
    <n v="0.53"/>
    <n v="0.12"/>
    <n v="0.22"/>
    <n v="0.8"/>
    <n v="0.5"/>
    <n v="0.71"/>
    <n v="0.56999999999999995"/>
    <n v="0.04"/>
    <n v="0.8"/>
    <n v="0.06"/>
    <x v="1"/>
    <s v="Medium Exposure"/>
  </r>
  <r>
    <x v="7"/>
    <x v="1603"/>
    <n v="3"/>
    <x v="0"/>
    <n v="0.09"/>
    <n v="0.89"/>
    <x v="42"/>
    <x v="1"/>
    <n v="0.57999999999999996"/>
    <n v="0.54"/>
    <n v="0.34"/>
    <n v="0.71"/>
    <n v="0.83"/>
    <n v="0.35"/>
    <n v="0.09"/>
    <n v="0.3"/>
    <n v="0.14000000000000001"/>
    <n v="0.47"/>
    <x v="1"/>
    <s v="Low Exposure"/>
  </r>
  <r>
    <x v="0"/>
    <x v="1604"/>
    <n v="10"/>
    <x v="1"/>
    <n v="0.46"/>
    <n v="0.72"/>
    <x v="51"/>
    <x v="0"/>
    <n v="0.03"/>
    <n v="0.55000000000000004"/>
    <n v="0.17"/>
    <n v="0"/>
    <n v="0.87"/>
    <n v="0.67"/>
    <n v="0.1"/>
    <n v="0.66"/>
    <n v="0.61"/>
    <n v="0.47"/>
    <x v="2"/>
    <s v="Medium Exposure"/>
  </r>
  <r>
    <x v="12"/>
    <x v="1605"/>
    <n v="4"/>
    <x v="1"/>
    <n v="0.16"/>
    <n v="0.75"/>
    <x v="72"/>
    <x v="2"/>
    <n v="0.97"/>
    <n v="0.95"/>
    <n v="0.19"/>
    <n v="0.9"/>
    <n v="0.14000000000000001"/>
    <n v="0.51"/>
    <n v="0.64"/>
    <n v="0.46"/>
    <n v="0.95"/>
    <n v="0.33"/>
    <x v="1"/>
    <s v="Low Exposure"/>
  </r>
  <r>
    <x v="12"/>
    <x v="1606"/>
    <n v="22"/>
    <x v="2"/>
    <n v="0.08"/>
    <n v="1.35"/>
    <x v="25"/>
    <x v="2"/>
    <n v="0.7"/>
    <n v="0.68"/>
    <n v="0.68"/>
    <n v="0.51"/>
    <n v="0.28000000000000003"/>
    <n v="0.63"/>
    <n v="0.96"/>
    <n v="0.83"/>
    <n v="0.11"/>
    <n v="0.02"/>
    <x v="0"/>
    <s v="Low Exposure"/>
  </r>
  <r>
    <x v="3"/>
    <x v="1607"/>
    <n v="5"/>
    <x v="3"/>
    <n v="0.78"/>
    <n v="0.81"/>
    <x v="14"/>
    <x v="2"/>
    <n v="0.93"/>
    <n v="0.46"/>
    <n v="0.24"/>
    <n v="0.92"/>
    <n v="0.47"/>
    <n v="0.41"/>
    <n v="0.35"/>
    <n v="0.42"/>
    <n v="0.67"/>
    <n v="0.43"/>
    <x v="1"/>
    <s v="High Exposure"/>
  </r>
  <r>
    <x v="3"/>
    <x v="1608"/>
    <n v="16"/>
    <x v="3"/>
    <n v="0.74"/>
    <n v="0.7"/>
    <x v="48"/>
    <x v="2"/>
    <n v="0.7"/>
    <n v="0.87"/>
    <n v="0.24"/>
    <n v="0.19"/>
    <n v="0.67"/>
    <n v="0.62"/>
    <n v="0.45"/>
    <n v="0.1"/>
    <n v="0.09"/>
    <n v="0.78"/>
    <x v="0"/>
    <s v="High Exposure"/>
  </r>
  <r>
    <x v="3"/>
    <x v="1609"/>
    <n v="24"/>
    <x v="3"/>
    <n v="0.86"/>
    <n v="1.07"/>
    <x v="33"/>
    <x v="2"/>
    <n v="0.93"/>
    <n v="0.16"/>
    <n v="0.54"/>
    <n v="0.06"/>
    <n v="0.36"/>
    <n v="0.15"/>
    <n v="0.19"/>
    <n v="0.93"/>
    <n v="0.61"/>
    <n v="0.89"/>
    <x v="0"/>
    <s v="High Exposure"/>
  </r>
  <r>
    <x v="3"/>
    <x v="1610"/>
    <n v="20"/>
    <x v="1"/>
    <n v="0.6"/>
    <n v="0.53"/>
    <x v="78"/>
    <x v="2"/>
    <n v="0.56000000000000005"/>
    <n v="0.02"/>
    <n v="0.79"/>
    <n v="0.3"/>
    <n v="0.45"/>
    <n v="0.54"/>
    <n v="0.99"/>
    <n v="0.1"/>
    <n v="0.56000000000000005"/>
    <n v="0.53"/>
    <x v="0"/>
    <s v="Medium Exposure"/>
  </r>
  <r>
    <x v="17"/>
    <x v="1611"/>
    <n v="3"/>
    <x v="3"/>
    <n v="0.63"/>
    <n v="0.79"/>
    <x v="55"/>
    <x v="2"/>
    <n v="0.18"/>
    <n v="0.82"/>
    <n v="0.1"/>
    <n v="0.47"/>
    <n v="0.2"/>
    <n v="0.16"/>
    <n v="0.21"/>
    <n v="0.49"/>
    <n v="0.24"/>
    <n v="0.1"/>
    <x v="1"/>
    <s v="Medium Exposure"/>
  </r>
  <r>
    <x v="18"/>
    <x v="1612"/>
    <n v="21"/>
    <x v="3"/>
    <n v="0.54"/>
    <n v="0.66"/>
    <x v="7"/>
    <x v="1"/>
    <n v="7.0000000000000007E-2"/>
    <n v="0.57999999999999996"/>
    <n v="0.34"/>
    <n v="0.1"/>
    <n v="0.18"/>
    <n v="0.35"/>
    <n v="0.81"/>
    <n v="0.17"/>
    <n v="0.11"/>
    <n v="0.52"/>
    <x v="0"/>
    <s v="Medium Exposure"/>
  </r>
  <r>
    <x v="16"/>
    <x v="1613"/>
    <n v="23"/>
    <x v="0"/>
    <n v="0.09"/>
    <n v="0.78"/>
    <x v="62"/>
    <x v="0"/>
    <n v="0.19"/>
    <n v="0.32"/>
    <n v="0.04"/>
    <n v="0.65"/>
    <n v="0.99"/>
    <n v="0.63"/>
    <n v="0.36"/>
    <n v="0.67"/>
    <n v="0.56999999999999995"/>
    <n v="0.85"/>
    <x v="0"/>
    <s v="Low Exposure"/>
  </r>
  <r>
    <x v="2"/>
    <x v="1614"/>
    <n v="11"/>
    <x v="0"/>
    <n v="0.63"/>
    <n v="0.72"/>
    <x v="9"/>
    <x v="0"/>
    <n v="0.34"/>
    <n v="0.01"/>
    <n v="0.31"/>
    <n v="0.49"/>
    <n v="0.6"/>
    <n v="0.93"/>
    <n v="0.24"/>
    <n v="0.15"/>
    <n v="0.87"/>
    <n v="0.94"/>
    <x v="2"/>
    <s v="Medium Exposure"/>
  </r>
  <r>
    <x v="0"/>
    <x v="1615"/>
    <n v="10"/>
    <x v="2"/>
    <n v="0.12"/>
    <n v="0.99"/>
    <x v="67"/>
    <x v="0"/>
    <n v="0.88"/>
    <n v="0.71"/>
    <n v="0.24"/>
    <n v="0.89"/>
    <n v="0.64"/>
    <n v="0.95"/>
    <n v="0.98"/>
    <n v="0"/>
    <n v="0.12"/>
    <n v="0.55000000000000004"/>
    <x v="2"/>
    <s v="Low Exposure"/>
  </r>
  <r>
    <x v="5"/>
    <x v="1616"/>
    <n v="18"/>
    <x v="3"/>
    <n v="0.99"/>
    <n v="1.07"/>
    <x v="63"/>
    <x v="1"/>
    <n v="0.16"/>
    <n v="0.76"/>
    <n v="0.59"/>
    <n v="0.55000000000000004"/>
    <n v="0.47"/>
    <n v="0.73"/>
    <n v="0.86"/>
    <n v="0.3"/>
    <n v="0.22"/>
    <n v="0.67"/>
    <x v="0"/>
    <s v="High Exposure"/>
  </r>
  <r>
    <x v="8"/>
    <x v="1617"/>
    <n v="5"/>
    <x v="2"/>
    <n v="0.6"/>
    <n v="1.48"/>
    <x v="26"/>
    <x v="2"/>
    <n v="0.43"/>
    <n v="0.72"/>
    <n v="0.83"/>
    <n v="0.9"/>
    <n v="7.0000000000000007E-2"/>
    <n v="0.3"/>
    <n v="0.32"/>
    <n v="0.43"/>
    <n v="0.17"/>
    <n v="0.5"/>
    <x v="1"/>
    <s v="Medium Exposure"/>
  </r>
  <r>
    <x v="19"/>
    <x v="1618"/>
    <n v="28"/>
    <x v="1"/>
    <n v="0.5"/>
    <n v="1.17"/>
    <x v="20"/>
    <x v="2"/>
    <n v="0.88"/>
    <n v="0.94"/>
    <n v="0.62"/>
    <n v="0.88"/>
    <n v="0.13"/>
    <n v="0.8"/>
    <n v="0.12"/>
    <n v="0.41"/>
    <n v="0.32"/>
    <n v="0.59"/>
    <x v="0"/>
    <s v="Medium Exposure"/>
  </r>
  <r>
    <x v="10"/>
    <x v="1619"/>
    <n v="15"/>
    <x v="2"/>
    <n v="0.64"/>
    <n v="0.87"/>
    <x v="4"/>
    <x v="2"/>
    <n v="0.63"/>
    <n v="0.22"/>
    <n v="0.34"/>
    <n v="0.85"/>
    <n v="0.39"/>
    <n v="0.54"/>
    <n v="0.65"/>
    <n v="0.35"/>
    <n v="0.28999999999999998"/>
    <n v="0.48"/>
    <x v="2"/>
    <s v="Medium Exposure"/>
  </r>
  <r>
    <x v="9"/>
    <x v="1620"/>
    <n v="18"/>
    <x v="0"/>
    <n v="0.28000000000000003"/>
    <n v="0.56000000000000005"/>
    <x v="80"/>
    <x v="0"/>
    <n v="0.32"/>
    <n v="0.96"/>
    <n v="0.59"/>
    <n v="0.79"/>
    <n v="0.05"/>
    <n v="0.11"/>
    <n v="0.81"/>
    <n v="0.62"/>
    <n v="0.19"/>
    <n v="0.4"/>
    <x v="0"/>
    <s v="Low Exposure"/>
  </r>
  <r>
    <x v="13"/>
    <x v="1621"/>
    <n v="24"/>
    <x v="0"/>
    <n v="0.84"/>
    <n v="0.56000000000000005"/>
    <x v="22"/>
    <x v="2"/>
    <n v="0.72"/>
    <n v="0.98"/>
    <n v="0.81"/>
    <n v="0.28000000000000003"/>
    <n v="0.71"/>
    <n v="0.76"/>
    <n v="0.73"/>
    <n v="0.82"/>
    <n v="0.9"/>
    <n v="0.1"/>
    <x v="0"/>
    <s v="High Exposure"/>
  </r>
  <r>
    <x v="11"/>
    <x v="1622"/>
    <n v="2"/>
    <x v="1"/>
    <n v="0.8"/>
    <n v="0.75"/>
    <x v="86"/>
    <x v="2"/>
    <n v="0.4"/>
    <n v="0.82"/>
    <n v="0.13"/>
    <n v="0.67"/>
    <n v="0"/>
    <n v="0.11"/>
    <n v="0.35"/>
    <n v="0.08"/>
    <n v="0.85"/>
    <n v="0.86"/>
    <x v="1"/>
    <s v="High Exposure"/>
  </r>
  <r>
    <x v="10"/>
    <x v="1294"/>
    <n v="21"/>
    <x v="3"/>
    <n v="0.24"/>
    <n v="1.02"/>
    <x v="49"/>
    <x v="2"/>
    <n v="0.28000000000000003"/>
    <n v="0.52"/>
    <n v="0.74"/>
    <n v="0.09"/>
    <n v="0.3"/>
    <n v="0.93"/>
    <n v="0.43"/>
    <n v="0.94"/>
    <n v="0.99"/>
    <n v="0.53"/>
    <x v="0"/>
    <s v="Low Exposure"/>
  </r>
  <r>
    <x v="7"/>
    <x v="1623"/>
    <n v="19"/>
    <x v="2"/>
    <n v="0.79"/>
    <n v="0.66"/>
    <x v="37"/>
    <x v="1"/>
    <n v="0.78"/>
    <n v="0.43"/>
    <n v="0.2"/>
    <n v="0.65"/>
    <n v="0.73"/>
    <n v="0.13"/>
    <n v="0.28000000000000003"/>
    <n v="0.22"/>
    <n v="0.38"/>
    <n v="0.76"/>
    <x v="0"/>
    <s v="High Exposure"/>
  </r>
  <r>
    <x v="3"/>
    <x v="1624"/>
    <n v="16"/>
    <x v="0"/>
    <n v="0.66"/>
    <n v="0.51"/>
    <x v="46"/>
    <x v="2"/>
    <n v="0.22"/>
    <n v="0.27"/>
    <n v="0.15"/>
    <n v="0.41"/>
    <n v="0.08"/>
    <n v="0.75"/>
    <n v="0.79"/>
    <n v="0.56999999999999995"/>
    <n v="0.09"/>
    <n v="0.89"/>
    <x v="0"/>
    <s v="Medium Exposure"/>
  </r>
  <r>
    <x v="3"/>
    <x v="1625"/>
    <n v="0"/>
    <x v="0"/>
    <n v="0.7"/>
    <n v="1.34"/>
    <x v="43"/>
    <x v="2"/>
    <n v="0.32"/>
    <n v="0.48"/>
    <n v="0.51"/>
    <n v="0.4"/>
    <n v="0.93"/>
    <n v="0.74"/>
    <n v="0.24"/>
    <n v="0.59"/>
    <n v="0.69"/>
    <n v="0.14000000000000001"/>
    <x v="1"/>
    <s v="High Exposure"/>
  </r>
  <r>
    <x v="0"/>
    <x v="1626"/>
    <n v="23"/>
    <x v="2"/>
    <n v="0.91"/>
    <n v="1.07"/>
    <x v="73"/>
    <x v="0"/>
    <n v="0.12"/>
    <n v="0.52"/>
    <n v="0.55000000000000004"/>
    <n v="0.33"/>
    <n v="0.63"/>
    <n v="7.0000000000000007E-2"/>
    <n v="0.15"/>
    <n v="0.55000000000000004"/>
    <n v="0.06"/>
    <n v="0.88"/>
    <x v="0"/>
    <s v="High Exposure"/>
  </r>
  <r>
    <x v="10"/>
    <x v="1627"/>
    <n v="18"/>
    <x v="3"/>
    <n v="0.67"/>
    <n v="0.89"/>
    <x v="36"/>
    <x v="2"/>
    <n v="0.76"/>
    <n v="0.5"/>
    <n v="0.73"/>
    <n v="0.51"/>
    <n v="0.59"/>
    <n v="0.76"/>
    <n v="0.61"/>
    <n v="0.62"/>
    <n v="0.79"/>
    <n v="0.95"/>
    <x v="0"/>
    <s v="Medium Exposure"/>
  </r>
  <r>
    <x v="2"/>
    <x v="1628"/>
    <n v="2"/>
    <x v="3"/>
    <n v="0.57999999999999996"/>
    <n v="0.59"/>
    <x v="77"/>
    <x v="0"/>
    <n v="0.41"/>
    <n v="0.84"/>
    <n v="0.51"/>
    <n v="0.73"/>
    <n v="0.02"/>
    <n v="0.46"/>
    <n v="0.9"/>
    <n v="0.22"/>
    <n v="0.03"/>
    <n v="0.43"/>
    <x v="1"/>
    <s v="Medium Exposure"/>
  </r>
  <r>
    <x v="0"/>
    <x v="1629"/>
    <n v="26"/>
    <x v="3"/>
    <n v="0.45"/>
    <n v="0.96"/>
    <x v="59"/>
    <x v="0"/>
    <n v="0.25"/>
    <n v="0.75"/>
    <n v="0.15"/>
    <n v="0.4"/>
    <n v="0.66"/>
    <n v="0.83"/>
    <n v="0.79"/>
    <n v="0.72"/>
    <n v="0.36"/>
    <n v="0.12"/>
    <x v="0"/>
    <s v="Medium Exposure"/>
  </r>
  <r>
    <x v="18"/>
    <x v="1630"/>
    <n v="5"/>
    <x v="2"/>
    <n v="0.86"/>
    <n v="1.36"/>
    <x v="21"/>
    <x v="1"/>
    <n v="0.08"/>
    <n v="0.54"/>
    <n v="0.65"/>
    <n v="0.71"/>
    <n v="0.64"/>
    <n v="0.77"/>
    <n v="0.36"/>
    <n v="0.18"/>
    <n v="0.2"/>
    <n v="0.01"/>
    <x v="1"/>
    <s v="High Exposure"/>
  </r>
  <r>
    <x v="8"/>
    <x v="1631"/>
    <n v="2"/>
    <x v="2"/>
    <n v="0.09"/>
    <n v="0.82"/>
    <x v="33"/>
    <x v="2"/>
    <n v="0.89"/>
    <n v="0.84"/>
    <n v="0.25"/>
    <n v="0.13"/>
    <n v="0.19"/>
    <n v="0.97"/>
    <n v="0.55000000000000004"/>
    <n v="0.18"/>
    <n v="0.84"/>
    <n v="0.4"/>
    <x v="1"/>
    <s v="Low Exposure"/>
  </r>
  <r>
    <x v="16"/>
    <x v="1632"/>
    <n v="17"/>
    <x v="0"/>
    <n v="0.26"/>
    <n v="0.89"/>
    <x v="35"/>
    <x v="0"/>
    <n v="0.89"/>
    <n v="0.87"/>
    <n v="0.56999999999999995"/>
    <n v="0.22"/>
    <n v="0.4"/>
    <n v="0.98"/>
    <n v="0.61"/>
    <n v="0.78"/>
    <n v="0.45"/>
    <n v="0.53"/>
    <x v="0"/>
    <s v="Low Exposure"/>
  </r>
  <r>
    <x v="7"/>
    <x v="1633"/>
    <n v="9"/>
    <x v="3"/>
    <n v="0.85"/>
    <n v="1.01"/>
    <x v="7"/>
    <x v="1"/>
    <n v="0.34"/>
    <n v="0.18"/>
    <n v="0.94"/>
    <n v="0.32"/>
    <n v="0.8"/>
    <n v="0.72"/>
    <n v="0.79"/>
    <n v="0.94"/>
    <n v="0.62"/>
    <n v="0.9"/>
    <x v="2"/>
    <s v="High Exposure"/>
  </r>
  <r>
    <x v="10"/>
    <x v="1634"/>
    <n v="7"/>
    <x v="2"/>
    <n v="0.63"/>
    <n v="1.27"/>
    <x v="6"/>
    <x v="2"/>
    <n v="0.74"/>
    <n v="0.78"/>
    <n v="0.83"/>
    <n v="0.31"/>
    <n v="0.68"/>
    <n v="0.3"/>
    <n v="0.74"/>
    <n v="0.46"/>
    <n v="0.6"/>
    <n v="0.42"/>
    <x v="2"/>
    <s v="Medium Exposure"/>
  </r>
  <r>
    <x v="2"/>
    <x v="1635"/>
    <n v="20"/>
    <x v="0"/>
    <n v="0.18"/>
    <n v="0.57999999999999996"/>
    <x v="0"/>
    <x v="0"/>
    <n v="0.85"/>
    <n v="0.02"/>
    <n v="7.0000000000000007E-2"/>
    <n v="0.46"/>
    <n v="0.74"/>
    <n v="0.16"/>
    <n v="0.27"/>
    <n v="0.23"/>
    <n v="0.4"/>
    <n v="0.22"/>
    <x v="0"/>
    <s v="Low Exposure"/>
  </r>
  <r>
    <x v="8"/>
    <x v="1636"/>
    <n v="24"/>
    <x v="2"/>
    <n v="0.34"/>
    <n v="0.61"/>
    <x v="86"/>
    <x v="2"/>
    <n v="0.37"/>
    <n v="0.05"/>
    <n v="0.1"/>
    <n v="0.14000000000000001"/>
    <n v="0"/>
    <n v="0.15"/>
    <n v="0.57999999999999996"/>
    <n v="0.82"/>
    <n v="0.19"/>
    <n v="0.08"/>
    <x v="0"/>
    <s v="Medium Exposure"/>
  </r>
  <r>
    <x v="14"/>
    <x v="1637"/>
    <n v="10"/>
    <x v="3"/>
    <n v="0.01"/>
    <n v="1.23"/>
    <x v="67"/>
    <x v="0"/>
    <n v="0.23"/>
    <n v="0.12"/>
    <n v="0.25"/>
    <n v="0.8"/>
    <n v="0.13"/>
    <n v="0.99"/>
    <n v="0.33"/>
    <n v="0.92"/>
    <n v="0.19"/>
    <n v="0.19"/>
    <x v="2"/>
    <s v="Low Exposure"/>
  </r>
  <r>
    <x v="3"/>
    <x v="1638"/>
    <n v="4"/>
    <x v="2"/>
    <n v="0.43"/>
    <n v="0.54"/>
    <x v="46"/>
    <x v="2"/>
    <n v="0.08"/>
    <n v="0.59"/>
    <n v="0.19"/>
    <n v="0.5"/>
    <n v="0.37"/>
    <n v="0.8"/>
    <n v="0.32"/>
    <n v="0.46"/>
    <n v="0.72"/>
    <n v="0.43"/>
    <x v="1"/>
    <s v="Medium Exposure"/>
  </r>
  <r>
    <x v="19"/>
    <x v="1639"/>
    <n v="11"/>
    <x v="3"/>
    <n v="0.66"/>
    <n v="0.91"/>
    <x v="11"/>
    <x v="2"/>
    <n v="0.97"/>
    <n v="0.66"/>
    <n v="0.9"/>
    <n v="0.18"/>
    <n v="0.48"/>
    <n v="0.91"/>
    <n v="0.32"/>
    <n v="0.97"/>
    <n v="0.1"/>
    <n v="0.9"/>
    <x v="2"/>
    <s v="Medium Exposure"/>
  </r>
  <r>
    <x v="18"/>
    <x v="1640"/>
    <n v="22"/>
    <x v="1"/>
    <n v="7.0000000000000007E-2"/>
    <n v="1.38"/>
    <x v="37"/>
    <x v="1"/>
    <n v="0.02"/>
    <n v="0.14000000000000001"/>
    <n v="0.66"/>
    <n v="0.98"/>
    <n v="0.11"/>
    <n v="0.46"/>
    <n v="0.18"/>
    <n v="0.75"/>
    <n v="0.12"/>
    <n v="0.24"/>
    <x v="0"/>
    <s v="Low Exposure"/>
  </r>
  <r>
    <x v="2"/>
    <x v="1641"/>
    <n v="11"/>
    <x v="3"/>
    <n v="0.55000000000000004"/>
    <n v="1.37"/>
    <x v="35"/>
    <x v="0"/>
    <n v="0.06"/>
    <n v="0.56000000000000005"/>
    <n v="0.8"/>
    <n v="0.13"/>
    <n v="7.0000000000000007E-2"/>
    <n v="0.19"/>
    <n v="0.75"/>
    <n v="0.59"/>
    <n v="0.54"/>
    <n v="0.25"/>
    <x v="2"/>
    <s v="Medium Exposure"/>
  </r>
  <r>
    <x v="0"/>
    <x v="1642"/>
    <n v="14"/>
    <x v="2"/>
    <n v="0.97"/>
    <n v="0.74"/>
    <x v="17"/>
    <x v="0"/>
    <n v="0.57999999999999996"/>
    <n v="0.12"/>
    <n v="0.47"/>
    <n v="0.95"/>
    <n v="0.42"/>
    <n v="0.86"/>
    <n v="0.26"/>
    <n v="0.56999999999999995"/>
    <n v="0.84"/>
    <n v="0.92"/>
    <x v="2"/>
    <s v="High Exposure"/>
  </r>
  <r>
    <x v="12"/>
    <x v="1643"/>
    <n v="18"/>
    <x v="1"/>
    <n v="0.64"/>
    <n v="0.5"/>
    <x v="10"/>
    <x v="2"/>
    <n v="0.28000000000000003"/>
    <n v="0.09"/>
    <n v="0.28000000000000003"/>
    <n v="0.32"/>
    <n v="0.97"/>
    <n v="0.67"/>
    <n v="0.43"/>
    <n v="0.99"/>
    <n v="0.15"/>
    <n v="0.48"/>
    <x v="0"/>
    <s v="Medium Exposure"/>
  </r>
  <r>
    <x v="1"/>
    <x v="1644"/>
    <n v="0"/>
    <x v="3"/>
    <n v="0.48"/>
    <n v="1.21"/>
    <x v="5"/>
    <x v="1"/>
    <n v="0.74"/>
    <n v="0.55000000000000004"/>
    <n v="0.1"/>
    <n v="0.56000000000000005"/>
    <n v="7.0000000000000007E-2"/>
    <n v="0.01"/>
    <n v="0.89"/>
    <n v="0.49"/>
    <n v="0.54"/>
    <n v="0.28000000000000003"/>
    <x v="1"/>
    <s v="Medium Exposure"/>
  </r>
  <r>
    <x v="14"/>
    <x v="1645"/>
    <n v="20"/>
    <x v="2"/>
    <n v="0.17"/>
    <n v="1.25"/>
    <x v="32"/>
    <x v="0"/>
    <n v="0.86"/>
    <n v="0.11"/>
    <n v="0.56000000000000005"/>
    <n v="0.81"/>
    <n v="0.13"/>
    <n v="0.1"/>
    <n v="0.82"/>
    <n v="0.8"/>
    <n v="0.45"/>
    <n v="0.11"/>
    <x v="0"/>
    <s v="Low Exposure"/>
  </r>
  <r>
    <x v="12"/>
    <x v="1646"/>
    <n v="21"/>
    <x v="3"/>
    <n v="0.39"/>
    <n v="1.02"/>
    <x v="8"/>
    <x v="2"/>
    <n v="0.56999999999999995"/>
    <n v="0.73"/>
    <n v="0.77"/>
    <n v="0.65"/>
    <n v="0.2"/>
    <n v="0.4"/>
    <n v="7.0000000000000007E-2"/>
    <n v="0.45"/>
    <n v="0.97"/>
    <n v="0.64"/>
    <x v="0"/>
    <s v="Medium Exposure"/>
  </r>
  <r>
    <x v="9"/>
    <x v="1647"/>
    <n v="1"/>
    <x v="2"/>
    <n v="0.27"/>
    <n v="0.56000000000000005"/>
    <x v="73"/>
    <x v="0"/>
    <n v="0.49"/>
    <n v="0.34"/>
    <n v="0.2"/>
    <n v="0.15"/>
    <n v="0.66"/>
    <n v="0.56000000000000005"/>
    <n v="0.84"/>
    <n v="0.18"/>
    <n v="0.85"/>
    <n v="0.57999999999999996"/>
    <x v="1"/>
    <s v="Low Exposure"/>
  </r>
  <r>
    <x v="7"/>
    <x v="1648"/>
    <n v="16"/>
    <x v="2"/>
    <n v="0.27"/>
    <n v="0.89"/>
    <x v="7"/>
    <x v="1"/>
    <n v="0.08"/>
    <n v="0.84"/>
    <n v="0.12"/>
    <n v="0.48"/>
    <n v="0.38"/>
    <n v="0.51"/>
    <n v="0.89"/>
    <n v="0.99"/>
    <n v="0.02"/>
    <n v="0.39"/>
    <x v="0"/>
    <s v="Low Exposure"/>
  </r>
  <r>
    <x v="8"/>
    <x v="1649"/>
    <n v="19"/>
    <x v="2"/>
    <n v="0.33"/>
    <n v="1.1499999999999999"/>
    <x v="58"/>
    <x v="2"/>
    <n v="0.65"/>
    <n v="0.11"/>
    <n v="0.84"/>
    <n v="0.97"/>
    <n v="0.71"/>
    <n v="0.42"/>
    <n v="0.95"/>
    <n v="0.97"/>
    <n v="0.94"/>
    <n v="0.41"/>
    <x v="0"/>
    <s v="Medium Exposure"/>
  </r>
  <r>
    <x v="9"/>
    <x v="1650"/>
    <n v="9"/>
    <x v="3"/>
    <n v="0.65"/>
    <n v="0.68"/>
    <x v="35"/>
    <x v="0"/>
    <n v="0.75"/>
    <n v="0.9"/>
    <n v="0.86"/>
    <n v="0.15"/>
    <n v="0.49"/>
    <n v="0.48"/>
    <n v="0.9"/>
    <n v="0"/>
    <n v="0.74"/>
    <n v="0.62"/>
    <x v="2"/>
    <s v="Medium Exposure"/>
  </r>
  <r>
    <x v="19"/>
    <x v="1651"/>
    <n v="10"/>
    <x v="0"/>
    <n v="0.46"/>
    <n v="1.1599999999999999"/>
    <x v="66"/>
    <x v="2"/>
    <n v="0.74"/>
    <n v="7.0000000000000007E-2"/>
    <n v="0.17"/>
    <n v="0.82"/>
    <n v="0.33"/>
    <n v="0.71"/>
    <n v="0.7"/>
    <n v="0.99"/>
    <n v="0.47"/>
    <n v="0.74"/>
    <x v="2"/>
    <s v="Medium Exposure"/>
  </r>
  <r>
    <x v="11"/>
    <x v="1652"/>
    <n v="26"/>
    <x v="0"/>
    <n v="0.46"/>
    <n v="0.69"/>
    <x v="4"/>
    <x v="2"/>
    <n v="0.84"/>
    <n v="0.24"/>
    <n v="0.32"/>
    <n v="0.7"/>
    <n v="0.74"/>
    <n v="0.66"/>
    <n v="1"/>
    <n v="0.87"/>
    <n v="0.42"/>
    <n v="0.33"/>
    <x v="0"/>
    <s v="Medium Exposure"/>
  </r>
  <r>
    <x v="3"/>
    <x v="1653"/>
    <n v="12"/>
    <x v="0"/>
    <n v="0.82"/>
    <n v="0.98"/>
    <x v="3"/>
    <x v="2"/>
    <n v="0.02"/>
    <n v="0.93"/>
    <n v="0.77"/>
    <n v="0.39"/>
    <n v="0.38"/>
    <n v="0.1"/>
    <n v="0.82"/>
    <n v="0.77"/>
    <n v="0.63"/>
    <n v="0.1"/>
    <x v="2"/>
    <s v="High Exposure"/>
  </r>
  <r>
    <x v="7"/>
    <x v="1654"/>
    <n v="9"/>
    <x v="2"/>
    <n v="0.46"/>
    <n v="0.77"/>
    <x v="74"/>
    <x v="1"/>
    <n v="0.23"/>
    <n v="0.35"/>
    <n v="0.65"/>
    <n v="0.89"/>
    <n v="0.39"/>
    <n v="0.69"/>
    <n v="0.13"/>
    <n v="0.54"/>
    <n v="0.92"/>
    <n v="0.03"/>
    <x v="2"/>
    <s v="Medium Exposure"/>
  </r>
  <r>
    <x v="12"/>
    <x v="1655"/>
    <n v="15"/>
    <x v="1"/>
    <n v="0.13"/>
    <n v="1.03"/>
    <x v="64"/>
    <x v="2"/>
    <n v="0.06"/>
    <n v="7.0000000000000007E-2"/>
    <n v="0.87"/>
    <n v="0.46"/>
    <n v="0.46"/>
    <n v="0.94"/>
    <n v="0.32"/>
    <n v="0.9"/>
    <n v="0.97"/>
    <n v="0.24"/>
    <x v="2"/>
    <s v="Low Exposure"/>
  </r>
  <r>
    <x v="9"/>
    <x v="1656"/>
    <n v="11"/>
    <x v="3"/>
    <n v="0.53"/>
    <n v="1.37"/>
    <x v="80"/>
    <x v="0"/>
    <n v="0.8"/>
    <n v="0.97"/>
    <n v="0.84"/>
    <n v="0.91"/>
    <n v="0.71"/>
    <n v="0.9"/>
    <n v="0.16"/>
    <n v="0.71"/>
    <n v="0.73"/>
    <n v="0.44"/>
    <x v="2"/>
    <s v="Medium Exposure"/>
  </r>
  <r>
    <x v="2"/>
    <x v="1657"/>
    <n v="16"/>
    <x v="2"/>
    <n v="0.43"/>
    <n v="1.48"/>
    <x v="73"/>
    <x v="0"/>
    <n v="0.71"/>
    <n v="0.53"/>
    <n v="0.82"/>
    <n v="0.48"/>
    <n v="0.78"/>
    <n v="0.93"/>
    <n v="0.73"/>
    <n v="0.78"/>
    <n v="7.0000000000000007E-2"/>
    <n v="0.2"/>
    <x v="0"/>
    <s v="Medium Exposure"/>
  </r>
  <r>
    <x v="1"/>
    <x v="1658"/>
    <n v="4"/>
    <x v="0"/>
    <n v="0.73"/>
    <n v="0.99"/>
    <x v="34"/>
    <x v="1"/>
    <n v="0.89"/>
    <n v="0.89"/>
    <n v="0.32"/>
    <n v="0.91"/>
    <n v="0.76"/>
    <n v="0.4"/>
    <n v="0.33"/>
    <n v="0.98"/>
    <n v="0.71"/>
    <n v="0.38"/>
    <x v="1"/>
    <s v="High Exposure"/>
  </r>
  <r>
    <x v="17"/>
    <x v="1659"/>
    <n v="3"/>
    <x v="1"/>
    <n v="0.56999999999999995"/>
    <n v="1.02"/>
    <x v="23"/>
    <x v="2"/>
    <n v="0.54"/>
    <n v="0.65"/>
    <n v="0.91"/>
    <n v="0.99"/>
    <n v="0.71"/>
    <n v="0.93"/>
    <n v="0.86"/>
    <n v="0.3"/>
    <n v="0.93"/>
    <n v="7.0000000000000007E-2"/>
    <x v="1"/>
    <s v="Medium Exposure"/>
  </r>
  <r>
    <x v="3"/>
    <x v="803"/>
    <n v="19"/>
    <x v="2"/>
    <n v="0.64"/>
    <n v="1.03"/>
    <x v="43"/>
    <x v="2"/>
    <n v="0.79"/>
    <n v="0.19"/>
    <n v="0.98"/>
    <n v="0.44"/>
    <n v="0.95"/>
    <n v="0.38"/>
    <n v="0.6"/>
    <n v="0.45"/>
    <n v="0.68"/>
    <n v="0.18"/>
    <x v="0"/>
    <s v="Medium Exposure"/>
  </r>
  <r>
    <x v="18"/>
    <x v="1660"/>
    <n v="8"/>
    <x v="1"/>
    <n v="7.0000000000000007E-2"/>
    <n v="1.1000000000000001"/>
    <x v="21"/>
    <x v="1"/>
    <n v="0.05"/>
    <n v="0.66"/>
    <n v="0.78"/>
    <n v="0.21"/>
    <n v="0.27"/>
    <n v="0.2"/>
    <n v="0.3"/>
    <n v="0.11"/>
    <n v="0.37"/>
    <n v="0.37"/>
    <x v="2"/>
    <s v="Low Exposure"/>
  </r>
  <r>
    <x v="7"/>
    <x v="1661"/>
    <n v="21"/>
    <x v="1"/>
    <n v="0.8"/>
    <n v="1.3"/>
    <x v="27"/>
    <x v="1"/>
    <n v="0.33"/>
    <n v="0.41"/>
    <n v="0.32"/>
    <n v="0.57999999999999996"/>
    <n v="0.94"/>
    <n v="0.28000000000000003"/>
    <n v="0.46"/>
    <n v="0.66"/>
    <n v="0.84"/>
    <n v="0.25"/>
    <x v="0"/>
    <s v="High Exposure"/>
  </r>
  <r>
    <x v="1"/>
    <x v="1662"/>
    <n v="5"/>
    <x v="1"/>
    <n v="0.89"/>
    <n v="0.57999999999999996"/>
    <x v="42"/>
    <x v="1"/>
    <n v="0.86"/>
    <n v="0.92"/>
    <n v="0.01"/>
    <n v="0.37"/>
    <n v="0.26"/>
    <n v="0.56999999999999995"/>
    <n v="0.63"/>
    <n v="1"/>
    <n v="0.51"/>
    <n v="0.55000000000000004"/>
    <x v="1"/>
    <s v="High Exposure"/>
  </r>
  <r>
    <x v="15"/>
    <x v="1663"/>
    <n v="25"/>
    <x v="2"/>
    <n v="0.34"/>
    <n v="0.56000000000000005"/>
    <x v="82"/>
    <x v="1"/>
    <n v="0.6"/>
    <n v="0.01"/>
    <n v="0.1"/>
    <n v="0.21"/>
    <n v="0.35"/>
    <n v="0.54"/>
    <n v="0.28999999999999998"/>
    <n v="0.28000000000000003"/>
    <n v="0.87"/>
    <n v="0.15"/>
    <x v="0"/>
    <s v="Medium Exposure"/>
  </r>
  <r>
    <x v="19"/>
    <x v="1664"/>
    <n v="26"/>
    <x v="2"/>
    <n v="0.95"/>
    <n v="1.1299999999999999"/>
    <x v="31"/>
    <x v="2"/>
    <n v="0.43"/>
    <n v="0.02"/>
    <n v="0.65"/>
    <n v="0.63"/>
    <n v="0.11"/>
    <n v="0.46"/>
    <n v="0.92"/>
    <n v="0.21"/>
    <n v="0.46"/>
    <n v="0.46"/>
    <x v="0"/>
    <s v="High Exposure"/>
  </r>
  <r>
    <x v="19"/>
    <x v="1665"/>
    <n v="6"/>
    <x v="0"/>
    <n v="0.82"/>
    <n v="1.26"/>
    <x v="84"/>
    <x v="2"/>
    <n v="7.0000000000000007E-2"/>
    <n v="0.35"/>
    <n v="0.68"/>
    <n v="0.7"/>
    <n v="0.97"/>
    <n v="0.45"/>
    <n v="0.63"/>
    <n v="0.54"/>
    <n v="0.15"/>
    <n v="0.46"/>
    <x v="2"/>
    <s v="High Exposure"/>
  </r>
  <r>
    <x v="9"/>
    <x v="1666"/>
    <n v="12"/>
    <x v="0"/>
    <n v="0.95"/>
    <n v="0.87"/>
    <x v="60"/>
    <x v="0"/>
    <n v="0.54"/>
    <n v="0.24"/>
    <n v="0.19"/>
    <n v="0.14000000000000001"/>
    <n v="0.45"/>
    <n v="0.02"/>
    <n v="0.45"/>
    <n v="0.99"/>
    <n v="0.67"/>
    <n v="0.76"/>
    <x v="2"/>
    <s v="High Exposure"/>
  </r>
  <r>
    <x v="15"/>
    <x v="1667"/>
    <n v="18"/>
    <x v="0"/>
    <n v="0.47"/>
    <n v="0.79"/>
    <x v="15"/>
    <x v="1"/>
    <n v="0.18"/>
    <n v="0.46"/>
    <n v="0.59"/>
    <n v="0.51"/>
    <n v="0.83"/>
    <n v="0.23"/>
    <n v="0.38"/>
    <n v="0.79"/>
    <n v="0.53"/>
    <n v="0.4"/>
    <x v="0"/>
    <s v="Medium Exposure"/>
  </r>
  <r>
    <x v="15"/>
    <x v="1668"/>
    <n v="14"/>
    <x v="3"/>
    <n v="0.75"/>
    <n v="1.47"/>
    <x v="13"/>
    <x v="1"/>
    <n v="0.86"/>
    <n v="0.52"/>
    <n v="0.23"/>
    <n v="0.01"/>
    <n v="0.65"/>
    <n v="0.49"/>
    <n v="0.78"/>
    <n v="0.69"/>
    <n v="0.99"/>
    <n v="0.51"/>
    <x v="2"/>
    <s v="High Exposure"/>
  </r>
  <r>
    <x v="3"/>
    <x v="1669"/>
    <n v="11"/>
    <x v="2"/>
    <n v="0.28999999999999998"/>
    <n v="0.98"/>
    <x v="38"/>
    <x v="2"/>
    <n v="0.04"/>
    <n v="0.98"/>
    <n v="0.99"/>
    <n v="0.6"/>
    <n v="0.33"/>
    <n v="0.22"/>
    <n v="0.28000000000000003"/>
    <n v="0.05"/>
    <n v="0.48"/>
    <n v="0.06"/>
    <x v="2"/>
    <s v="Low Exposure"/>
  </r>
  <r>
    <x v="12"/>
    <x v="1670"/>
    <n v="14"/>
    <x v="1"/>
    <n v="0.5"/>
    <n v="0.84"/>
    <x v="33"/>
    <x v="2"/>
    <n v="0.84"/>
    <n v="0.06"/>
    <n v="0.97"/>
    <n v="0.1"/>
    <n v="0.51"/>
    <n v="0.56000000000000005"/>
    <n v="0.14000000000000001"/>
    <n v="0.92"/>
    <n v="0.47"/>
    <n v="0.14000000000000001"/>
    <x v="2"/>
    <s v="Medium Exposure"/>
  </r>
  <r>
    <x v="15"/>
    <x v="1671"/>
    <n v="4"/>
    <x v="1"/>
    <n v="0.96"/>
    <n v="0.65"/>
    <x v="21"/>
    <x v="1"/>
    <n v="0.09"/>
    <n v="0.22"/>
    <n v="0.44"/>
    <n v="0.99"/>
    <n v="0.49"/>
    <n v="0.55000000000000004"/>
    <n v="0.69"/>
    <n v="0.97"/>
    <n v="0.78"/>
    <n v="0.22"/>
    <x v="1"/>
    <s v="High Exposure"/>
  </r>
  <r>
    <x v="7"/>
    <x v="1672"/>
    <n v="5"/>
    <x v="0"/>
    <n v="0.1"/>
    <n v="1.1399999999999999"/>
    <x v="5"/>
    <x v="1"/>
    <n v="0.26"/>
    <n v="0.89"/>
    <n v="0.33"/>
    <n v="0.56999999999999995"/>
    <n v="0.4"/>
    <n v="7.0000000000000007E-2"/>
    <n v="0.36"/>
    <n v="0.41"/>
    <n v="0.9"/>
    <n v="0.32"/>
    <x v="1"/>
    <s v="Low Exposure"/>
  </r>
  <r>
    <x v="2"/>
    <x v="1673"/>
    <n v="13"/>
    <x v="2"/>
    <n v="0.55000000000000004"/>
    <n v="0.88"/>
    <x v="67"/>
    <x v="0"/>
    <n v="0.77"/>
    <n v="0.93"/>
    <n v="0.95"/>
    <n v="0.67"/>
    <n v="0.41"/>
    <n v="0.48"/>
    <n v="0.66"/>
    <n v="0.82"/>
    <n v="0.37"/>
    <n v="0.92"/>
    <x v="2"/>
    <s v="Medium Exposure"/>
  </r>
  <r>
    <x v="14"/>
    <x v="1674"/>
    <n v="4"/>
    <x v="3"/>
    <n v="0.53"/>
    <n v="1.46"/>
    <x v="17"/>
    <x v="0"/>
    <n v="0.7"/>
    <n v="0.32"/>
    <n v="0.22"/>
    <n v="0.08"/>
    <n v="0.71"/>
    <n v="0.5"/>
    <n v="0.56999999999999995"/>
    <n v="0.47"/>
    <n v="0.48"/>
    <n v="0.56999999999999995"/>
    <x v="1"/>
    <s v="Medium Exposure"/>
  </r>
  <r>
    <x v="11"/>
    <x v="1675"/>
    <n v="9"/>
    <x v="2"/>
    <n v="0.03"/>
    <n v="1.3"/>
    <x v="36"/>
    <x v="2"/>
    <n v="0.74"/>
    <n v="0.95"/>
    <n v="0.31"/>
    <n v="0.09"/>
    <n v="0.23"/>
    <n v="0.22"/>
    <n v="0.74"/>
    <n v="0.06"/>
    <n v="0.05"/>
    <n v="0.69"/>
    <x v="2"/>
    <s v="Low Exposure"/>
  </r>
  <r>
    <x v="17"/>
    <x v="1676"/>
    <n v="21"/>
    <x v="3"/>
    <n v="0.7"/>
    <n v="0.85"/>
    <x v="8"/>
    <x v="2"/>
    <n v="0.56000000000000005"/>
    <n v="0.69"/>
    <n v="0.24"/>
    <n v="0.84"/>
    <n v="0.72"/>
    <n v="0.23"/>
    <n v="0.97"/>
    <n v="0.66"/>
    <n v="0.45"/>
    <n v="0.16"/>
    <x v="0"/>
    <s v="High Exposure"/>
  </r>
  <r>
    <x v="1"/>
    <x v="1677"/>
    <n v="20"/>
    <x v="1"/>
    <n v="0.16"/>
    <n v="0.93"/>
    <x v="18"/>
    <x v="1"/>
    <n v="0.72"/>
    <n v="0.19"/>
    <n v="0.82"/>
    <n v="0.33"/>
    <n v="0.44"/>
    <n v="0.77"/>
    <n v="0.63"/>
    <n v="0.31"/>
    <n v="0.39"/>
    <n v="0.31"/>
    <x v="0"/>
    <s v="Low Exposure"/>
  </r>
  <r>
    <x v="17"/>
    <x v="1678"/>
    <n v="3"/>
    <x v="2"/>
    <n v="0.33"/>
    <n v="1.23"/>
    <x v="68"/>
    <x v="2"/>
    <n v="0.15"/>
    <n v="0.31"/>
    <n v="0.22"/>
    <n v="0.39"/>
    <n v="0.52"/>
    <n v="0.51"/>
    <n v="0.75"/>
    <n v="0.19"/>
    <n v="0.95"/>
    <n v="0.34"/>
    <x v="1"/>
    <s v="Medium Exposure"/>
  </r>
  <r>
    <x v="17"/>
    <x v="1679"/>
    <n v="16"/>
    <x v="2"/>
    <n v="0.69"/>
    <n v="1.31"/>
    <x v="84"/>
    <x v="2"/>
    <n v="0.75"/>
    <n v="0.88"/>
    <n v="0.77"/>
    <n v="0.03"/>
    <n v="0.83"/>
    <n v="0.77"/>
    <n v="0.67"/>
    <n v="0.76"/>
    <n v="0.98"/>
    <n v="0.43"/>
    <x v="0"/>
    <s v="Medium Exposure"/>
  </r>
  <r>
    <x v="6"/>
    <x v="1680"/>
    <n v="25"/>
    <x v="1"/>
    <n v="0.57999999999999996"/>
    <n v="1.23"/>
    <x v="65"/>
    <x v="2"/>
    <n v="0.26"/>
    <n v="0.23"/>
    <n v="0.69"/>
    <n v="0.35"/>
    <n v="0.41"/>
    <n v="0.71"/>
    <n v="0.97"/>
    <n v="0.16"/>
    <n v="0.06"/>
    <n v="0.19"/>
    <x v="0"/>
    <s v="Medium Exposure"/>
  </r>
  <r>
    <x v="14"/>
    <x v="1681"/>
    <n v="2"/>
    <x v="0"/>
    <n v="0.19"/>
    <n v="1.08"/>
    <x v="0"/>
    <x v="0"/>
    <n v="0.28999999999999998"/>
    <n v="7.0000000000000007E-2"/>
    <n v="0.4"/>
    <n v="0.19"/>
    <n v="0.18"/>
    <n v="0.52"/>
    <n v="0.67"/>
    <n v="0.08"/>
    <n v="0.57999999999999996"/>
    <n v="0.25"/>
    <x v="1"/>
    <s v="Low Exposure"/>
  </r>
  <r>
    <x v="4"/>
    <x v="1682"/>
    <n v="22"/>
    <x v="3"/>
    <n v="0.81"/>
    <n v="1.31"/>
    <x v="84"/>
    <x v="2"/>
    <n v="0.56999999999999995"/>
    <n v="0.79"/>
    <n v="0.06"/>
    <n v="0.61"/>
    <n v="0.84"/>
    <n v="0.37"/>
    <n v="0.46"/>
    <n v="0.7"/>
    <n v="7.0000000000000007E-2"/>
    <n v="0.39"/>
    <x v="0"/>
    <s v="High Exposure"/>
  </r>
  <r>
    <x v="9"/>
    <x v="1683"/>
    <n v="26"/>
    <x v="1"/>
    <n v="0.02"/>
    <n v="0.7"/>
    <x v="9"/>
    <x v="0"/>
    <n v="0.2"/>
    <n v="0.6"/>
    <n v="0.45"/>
    <n v="0.04"/>
    <n v="0.28000000000000003"/>
    <n v="0.02"/>
    <n v="0.36"/>
    <n v="0.26"/>
    <n v="0.69"/>
    <n v="0.31"/>
    <x v="0"/>
    <s v="Low Exposure"/>
  </r>
  <r>
    <x v="13"/>
    <x v="1684"/>
    <n v="24"/>
    <x v="2"/>
    <n v="0.73"/>
    <n v="0.98"/>
    <x v="43"/>
    <x v="2"/>
    <n v="0.84"/>
    <n v="0.21"/>
    <n v="0.99"/>
    <n v="0.9"/>
    <n v="0.28999999999999998"/>
    <n v="0.89"/>
    <n v="0.75"/>
    <n v="0.93"/>
    <n v="0.69"/>
    <n v="0.67"/>
    <x v="0"/>
    <s v="High Exposure"/>
  </r>
  <r>
    <x v="11"/>
    <x v="1685"/>
    <n v="8"/>
    <x v="3"/>
    <n v="0.47"/>
    <n v="0.7"/>
    <x v="87"/>
    <x v="2"/>
    <n v="0.98"/>
    <n v="0.09"/>
    <n v="0.72"/>
    <n v="0.17"/>
    <n v="0.01"/>
    <n v="0.5"/>
    <n v="0.16"/>
    <n v="0.97"/>
    <n v="0.2"/>
    <n v="0.19"/>
    <x v="2"/>
    <s v="Medium Exposure"/>
  </r>
  <r>
    <x v="0"/>
    <x v="1686"/>
    <n v="14"/>
    <x v="2"/>
    <n v="0.33"/>
    <n v="0.52"/>
    <x v="90"/>
    <x v="0"/>
    <n v="0.51"/>
    <n v="0.05"/>
    <n v="0.24"/>
    <n v="0.83"/>
    <n v="0.46"/>
    <n v="0.43"/>
    <n v="0.7"/>
    <n v="0.71"/>
    <n v="0.76"/>
    <n v="0.83"/>
    <x v="2"/>
    <s v="Medium Exposure"/>
  </r>
  <r>
    <x v="15"/>
    <x v="1687"/>
    <n v="25"/>
    <x v="3"/>
    <n v="7.0000000000000007E-2"/>
    <n v="0.88"/>
    <x v="75"/>
    <x v="1"/>
    <n v="0.08"/>
    <n v="0.57999999999999996"/>
    <n v="0.7"/>
    <n v="0.48"/>
    <n v="0.26"/>
    <n v="0.33"/>
    <n v="7.0000000000000007E-2"/>
    <n v="0.28999999999999998"/>
    <n v="0.04"/>
    <n v="0.73"/>
    <x v="0"/>
    <s v="Low Exposure"/>
  </r>
  <r>
    <x v="10"/>
    <x v="1688"/>
    <n v="20"/>
    <x v="3"/>
    <n v="0.63"/>
    <n v="1.1599999999999999"/>
    <x v="78"/>
    <x v="2"/>
    <n v="0.16"/>
    <n v="0.01"/>
    <n v="0.34"/>
    <n v="0.75"/>
    <n v="0.96"/>
    <n v="0.43"/>
    <n v="0.37"/>
    <n v="0.45"/>
    <n v="0.43"/>
    <n v="0.63"/>
    <x v="0"/>
    <s v="Medium Exposure"/>
  </r>
  <r>
    <x v="18"/>
    <x v="1689"/>
    <n v="21"/>
    <x v="1"/>
    <n v="0.78"/>
    <n v="1.1499999999999999"/>
    <x v="74"/>
    <x v="1"/>
    <n v="0.95"/>
    <n v="0.71"/>
    <n v="0.43"/>
    <n v="0.45"/>
    <n v="0.82"/>
    <n v="0.44"/>
    <n v="0.52"/>
    <n v="0.28999999999999998"/>
    <n v="0.84"/>
    <n v="0.52"/>
    <x v="0"/>
    <s v="High Exposure"/>
  </r>
  <r>
    <x v="11"/>
    <x v="1690"/>
    <n v="16"/>
    <x v="3"/>
    <n v="0.66"/>
    <n v="0.78"/>
    <x v="12"/>
    <x v="2"/>
    <n v="0.31"/>
    <n v="0.99"/>
    <n v="0.61"/>
    <n v="0.84"/>
    <n v="7.0000000000000007E-2"/>
    <n v="0.35"/>
    <n v="0.74"/>
    <n v="0.66"/>
    <n v="0.19"/>
    <n v="0.36"/>
    <x v="0"/>
    <s v="Medium Exposure"/>
  </r>
  <r>
    <x v="10"/>
    <x v="1691"/>
    <n v="19"/>
    <x v="3"/>
    <n v="0.61"/>
    <n v="0.84"/>
    <x v="71"/>
    <x v="2"/>
    <n v="0.21"/>
    <n v="0.41"/>
    <n v="0.2"/>
    <n v="0.96"/>
    <n v="0.15"/>
    <n v="0.91"/>
    <n v="0.43"/>
    <n v="0.38"/>
    <n v="0.23"/>
    <n v="0.64"/>
    <x v="0"/>
    <s v="Medium Exposure"/>
  </r>
  <r>
    <x v="7"/>
    <x v="1692"/>
    <n v="19"/>
    <x v="3"/>
    <n v="0.47"/>
    <n v="0.56000000000000005"/>
    <x v="16"/>
    <x v="1"/>
    <n v="0.98"/>
    <n v="0.43"/>
    <n v="0.61"/>
    <n v="0.45"/>
    <n v="0.32"/>
    <n v="0.08"/>
    <n v="0.46"/>
    <n v="0.82"/>
    <n v="0.02"/>
    <n v="0.57999999999999996"/>
    <x v="0"/>
    <s v="Medium Exposure"/>
  </r>
  <r>
    <x v="18"/>
    <x v="1693"/>
    <n v="2"/>
    <x v="0"/>
    <n v="0.22"/>
    <n v="0.68"/>
    <x v="52"/>
    <x v="1"/>
    <n v="0.26"/>
    <n v="0.19"/>
    <n v="0.38"/>
    <n v="0.39"/>
    <n v="0.87"/>
    <n v="0.62"/>
    <n v="0.41"/>
    <n v="0.53"/>
    <n v="0.95"/>
    <n v="0.11"/>
    <x v="1"/>
    <s v="Low Exposure"/>
  </r>
  <r>
    <x v="7"/>
    <x v="1694"/>
    <n v="27"/>
    <x v="2"/>
    <n v="0.96"/>
    <n v="1.46"/>
    <x v="63"/>
    <x v="1"/>
    <n v="0.15"/>
    <n v="0.42"/>
    <n v="0.05"/>
    <n v="0.65"/>
    <n v="0.08"/>
    <n v="0.06"/>
    <n v="0.49"/>
    <n v="0.96"/>
    <n v="0.43"/>
    <n v="0.36"/>
    <x v="0"/>
    <s v="High Exposure"/>
  </r>
  <r>
    <x v="19"/>
    <x v="1695"/>
    <n v="2"/>
    <x v="2"/>
    <n v="0.53"/>
    <n v="0.88"/>
    <x v="84"/>
    <x v="2"/>
    <n v="0.19"/>
    <n v="0.51"/>
    <n v="0.44"/>
    <n v="0.27"/>
    <n v="0.16"/>
    <n v="0.31"/>
    <n v="0.51"/>
    <n v="0.06"/>
    <n v="0.15"/>
    <n v="0.95"/>
    <x v="1"/>
    <s v="Medium Exposure"/>
  </r>
  <r>
    <x v="3"/>
    <x v="1696"/>
    <n v="10"/>
    <x v="0"/>
    <n v="0.06"/>
    <n v="1.19"/>
    <x v="86"/>
    <x v="2"/>
    <n v="0.74"/>
    <n v="0.75"/>
    <n v="0.65"/>
    <n v="0.73"/>
    <n v="0.09"/>
    <n v="0.73"/>
    <n v="0.14000000000000001"/>
    <n v="0.34"/>
    <n v="0.94"/>
    <n v="0.5"/>
    <x v="2"/>
    <s v="Low Exposure"/>
  </r>
  <r>
    <x v="4"/>
    <x v="1697"/>
    <n v="25"/>
    <x v="1"/>
    <n v="0.4"/>
    <n v="1.28"/>
    <x v="23"/>
    <x v="2"/>
    <n v="0.57999999999999996"/>
    <n v="0.9"/>
    <n v="0.02"/>
    <n v="0.16"/>
    <n v="0.62"/>
    <n v="7.0000000000000007E-2"/>
    <n v="0.64"/>
    <n v="0.98"/>
    <n v="0.88"/>
    <n v="0.59"/>
    <x v="0"/>
    <s v="Medium Exposure"/>
  </r>
  <r>
    <x v="17"/>
    <x v="1698"/>
    <n v="27"/>
    <x v="3"/>
    <n v="0.12"/>
    <n v="0.95"/>
    <x v="25"/>
    <x v="2"/>
    <n v="0.34"/>
    <n v="0"/>
    <n v="0.89"/>
    <n v="0.78"/>
    <n v="0.65"/>
    <n v="0.13"/>
    <n v="0.38"/>
    <n v="0.92"/>
    <n v="0.62"/>
    <n v="0.6"/>
    <x v="0"/>
    <s v="Low Exposure"/>
  </r>
  <r>
    <x v="12"/>
    <x v="1699"/>
    <n v="27"/>
    <x v="0"/>
    <n v="0.56000000000000005"/>
    <n v="1.1000000000000001"/>
    <x v="30"/>
    <x v="2"/>
    <n v="0.37"/>
    <n v="0.69"/>
    <n v="0.32"/>
    <n v="0.56000000000000005"/>
    <n v="0.28000000000000003"/>
    <n v="0.17"/>
    <n v="0.45"/>
    <n v="0.22"/>
    <n v="0.9"/>
    <n v="0.3"/>
    <x v="0"/>
    <s v="Medium Exposure"/>
  </r>
  <r>
    <x v="15"/>
    <x v="1700"/>
    <n v="19"/>
    <x v="3"/>
    <n v="0.26"/>
    <n v="0.76"/>
    <x v="41"/>
    <x v="1"/>
    <n v="0.92"/>
    <n v="0.39"/>
    <n v="0.82"/>
    <n v="0.2"/>
    <n v="0.05"/>
    <n v="0.78"/>
    <n v="0.54"/>
    <n v="0.5"/>
    <n v="0.27"/>
    <n v="7.0000000000000007E-2"/>
    <x v="0"/>
    <s v="Low Exposure"/>
  </r>
  <r>
    <x v="3"/>
    <x v="1701"/>
    <n v="12"/>
    <x v="2"/>
    <n v="0.87"/>
    <n v="0.62"/>
    <x v="79"/>
    <x v="2"/>
    <n v="0.27"/>
    <n v="0.53"/>
    <n v="7.0000000000000007E-2"/>
    <n v="0.43"/>
    <n v="0.13"/>
    <n v="0.05"/>
    <n v="0.97"/>
    <n v="0.73"/>
    <n v="0.72"/>
    <n v="0.09"/>
    <x v="2"/>
    <s v="High Exposure"/>
  </r>
  <r>
    <x v="12"/>
    <x v="1702"/>
    <n v="15"/>
    <x v="2"/>
    <n v="0.85"/>
    <n v="0.51"/>
    <x v="71"/>
    <x v="2"/>
    <n v="1"/>
    <n v="0.43"/>
    <n v="0.89"/>
    <n v="0.33"/>
    <n v="0.53"/>
    <n v="0.85"/>
    <n v="0.61"/>
    <n v="0.73"/>
    <n v="0.23"/>
    <n v="0.16"/>
    <x v="2"/>
    <s v="High Exposure"/>
  </r>
  <r>
    <x v="0"/>
    <x v="1703"/>
    <n v="26"/>
    <x v="0"/>
    <n v="0.49"/>
    <n v="1.3"/>
    <x v="77"/>
    <x v="0"/>
    <n v="0.56000000000000005"/>
    <n v="0.8"/>
    <n v="0.24"/>
    <n v="0.88"/>
    <n v="0.95"/>
    <n v="0.04"/>
    <n v="0.06"/>
    <n v="0.09"/>
    <n v="0.78"/>
    <n v="0.19"/>
    <x v="0"/>
    <s v="Medium Exposure"/>
  </r>
  <r>
    <x v="9"/>
    <x v="1704"/>
    <n v="26"/>
    <x v="1"/>
    <n v="0.44"/>
    <n v="1.34"/>
    <x v="40"/>
    <x v="0"/>
    <n v="0.96"/>
    <n v="0.25"/>
    <n v="0.23"/>
    <n v="0.03"/>
    <n v="0.41"/>
    <n v="0.46"/>
    <n v="0.96"/>
    <n v="0.83"/>
    <n v="0.17"/>
    <n v="0.8"/>
    <x v="0"/>
    <s v="Medium Exposure"/>
  </r>
  <r>
    <x v="3"/>
    <x v="1705"/>
    <n v="6"/>
    <x v="0"/>
    <n v="0.08"/>
    <n v="1.34"/>
    <x v="66"/>
    <x v="2"/>
    <n v="0.09"/>
    <n v="0.81"/>
    <n v="0.86"/>
    <n v="0.12"/>
    <n v="0.28000000000000003"/>
    <n v="0.73"/>
    <n v="0.81"/>
    <n v="0.35"/>
    <n v="0.16"/>
    <n v="0.65"/>
    <x v="2"/>
    <s v="Low Exposure"/>
  </r>
  <r>
    <x v="3"/>
    <x v="1706"/>
    <n v="5"/>
    <x v="2"/>
    <n v="0.5"/>
    <n v="0.64"/>
    <x v="4"/>
    <x v="2"/>
    <n v="0.65"/>
    <n v="0.87"/>
    <n v="0.93"/>
    <n v="0.81"/>
    <n v="0.96"/>
    <n v="0.95"/>
    <n v="0.62"/>
    <n v="0.73"/>
    <n v="0.7"/>
    <n v="0.62"/>
    <x v="1"/>
    <s v="Medium Exposure"/>
  </r>
  <r>
    <x v="14"/>
    <x v="1707"/>
    <n v="28"/>
    <x v="2"/>
    <n v="0.36"/>
    <n v="0.6"/>
    <x v="80"/>
    <x v="0"/>
    <n v="7.0000000000000007E-2"/>
    <n v="0.92"/>
    <n v="0.45"/>
    <n v="0.19"/>
    <n v="0.57999999999999996"/>
    <n v="0.2"/>
    <n v="0.8"/>
    <n v="0.31"/>
    <n v="0.31"/>
    <n v="0.87"/>
    <x v="0"/>
    <s v="Medium Exposure"/>
  </r>
  <r>
    <x v="12"/>
    <x v="1708"/>
    <n v="24"/>
    <x v="3"/>
    <n v="0.68"/>
    <n v="0.79"/>
    <x v="57"/>
    <x v="2"/>
    <n v="0.2"/>
    <n v="0.4"/>
    <n v="0.17"/>
    <n v="0.19"/>
    <n v="0.39"/>
    <n v="0.96"/>
    <n v="0.76"/>
    <n v="0.32"/>
    <n v="0.95"/>
    <n v="0.65"/>
    <x v="0"/>
    <s v="Medium Exposure"/>
  </r>
  <r>
    <x v="8"/>
    <x v="1709"/>
    <n v="6"/>
    <x v="2"/>
    <n v="0.47"/>
    <n v="0.91"/>
    <x v="65"/>
    <x v="2"/>
    <n v="0.39"/>
    <n v="0.53"/>
    <n v="0.53"/>
    <n v="0.76"/>
    <n v="0.36"/>
    <n v="0.72"/>
    <n v="0.57999999999999996"/>
    <n v="0.96"/>
    <n v="0.39"/>
    <n v="0.9"/>
    <x v="2"/>
    <s v="Medium Exposure"/>
  </r>
  <r>
    <x v="5"/>
    <x v="1710"/>
    <n v="15"/>
    <x v="2"/>
    <n v="0.64"/>
    <n v="1.1499999999999999"/>
    <x v="34"/>
    <x v="1"/>
    <n v="0.95"/>
    <n v="0.11"/>
    <n v="0.56000000000000005"/>
    <n v="0.33"/>
    <n v="0.43"/>
    <n v="0.61"/>
    <n v="0.91"/>
    <n v="0.46"/>
    <n v="0.99"/>
    <n v="0.59"/>
    <x v="2"/>
    <s v="Medium Exposure"/>
  </r>
  <r>
    <x v="18"/>
    <x v="1711"/>
    <n v="12"/>
    <x v="1"/>
    <n v="0.19"/>
    <n v="1.22"/>
    <x v="19"/>
    <x v="1"/>
    <n v="0.48"/>
    <n v="0.15"/>
    <n v="0.43"/>
    <n v="0.75"/>
    <n v="0.46"/>
    <n v="0.16"/>
    <n v="0.25"/>
    <n v="0.37"/>
    <n v="7.0000000000000007E-2"/>
    <n v="0.57999999999999996"/>
    <x v="2"/>
    <s v="Low Exposure"/>
  </r>
  <r>
    <x v="0"/>
    <x v="1712"/>
    <n v="19"/>
    <x v="2"/>
    <n v="0.06"/>
    <n v="0.9"/>
    <x v="9"/>
    <x v="0"/>
    <n v="0.33"/>
    <n v="0.56000000000000005"/>
    <n v="0.35"/>
    <n v="0.42"/>
    <n v="0.8"/>
    <n v="0.16"/>
    <n v="0.62"/>
    <n v="0.51"/>
    <n v="0.31"/>
    <n v="0.73"/>
    <x v="0"/>
    <s v="Low Exposure"/>
  </r>
  <r>
    <x v="5"/>
    <x v="1713"/>
    <n v="12"/>
    <x v="2"/>
    <n v="0.48"/>
    <n v="1.17"/>
    <x v="88"/>
    <x v="1"/>
    <n v="0.97"/>
    <n v="0.63"/>
    <n v="0.87"/>
    <n v="0"/>
    <n v="0.53"/>
    <n v="0.21"/>
    <n v="0.09"/>
    <n v="0.53"/>
    <n v="0.75"/>
    <n v="0.41"/>
    <x v="2"/>
    <s v="Medium Exposure"/>
  </r>
  <r>
    <x v="8"/>
    <x v="1714"/>
    <n v="24"/>
    <x v="2"/>
    <n v="0.49"/>
    <n v="0.94"/>
    <x v="71"/>
    <x v="2"/>
    <n v="0.38"/>
    <n v="0.35"/>
    <n v="0.65"/>
    <n v="0.12"/>
    <n v="0.09"/>
    <n v="0.66"/>
    <n v="0.55000000000000004"/>
    <n v="0.43"/>
    <n v="0.15"/>
    <n v="0.41"/>
    <x v="0"/>
    <s v="Medium Exposure"/>
  </r>
  <r>
    <x v="7"/>
    <x v="1715"/>
    <n v="22"/>
    <x v="0"/>
    <n v="0.7"/>
    <n v="0.56000000000000005"/>
    <x v="29"/>
    <x v="1"/>
    <n v="0.24"/>
    <n v="0.32"/>
    <n v="0.2"/>
    <n v="0.78"/>
    <n v="0.65"/>
    <n v="0.61"/>
    <n v="0.67"/>
    <n v="0.24"/>
    <n v="0.44"/>
    <n v="0.63"/>
    <x v="0"/>
    <s v="High Exposure"/>
  </r>
  <r>
    <x v="13"/>
    <x v="1716"/>
    <n v="26"/>
    <x v="1"/>
    <n v="0.79"/>
    <n v="0.79"/>
    <x v="45"/>
    <x v="2"/>
    <n v="0.44"/>
    <n v="0.67"/>
    <n v="0.46"/>
    <n v="0.95"/>
    <n v="0.18"/>
    <n v="0.68"/>
    <n v="0.57999999999999996"/>
    <n v="0.17"/>
    <n v="7.0000000000000007E-2"/>
    <n v="0.8"/>
    <x v="0"/>
    <s v="High Exposure"/>
  </r>
  <r>
    <x v="15"/>
    <x v="1717"/>
    <n v="26"/>
    <x v="2"/>
    <n v="0.19"/>
    <n v="1.48"/>
    <x v="70"/>
    <x v="1"/>
    <n v="0.25"/>
    <n v="0.59"/>
    <n v="0.53"/>
    <n v="0.84"/>
    <n v="0.73"/>
    <n v="0.83"/>
    <n v="0.21"/>
    <n v="0.64"/>
    <n v="0.04"/>
    <n v="7.0000000000000007E-2"/>
    <x v="0"/>
    <s v="Low Exposure"/>
  </r>
  <r>
    <x v="1"/>
    <x v="1718"/>
    <n v="5"/>
    <x v="3"/>
    <n v="0.02"/>
    <n v="1.08"/>
    <x v="75"/>
    <x v="1"/>
    <n v="0.38"/>
    <n v="0.04"/>
    <n v="0.71"/>
    <n v="0.93"/>
    <n v="0.72"/>
    <n v="0.57999999999999996"/>
    <n v="0.23"/>
    <n v="0.02"/>
    <n v="0.69"/>
    <n v="0.23"/>
    <x v="1"/>
    <s v="Low Exposure"/>
  </r>
  <r>
    <x v="4"/>
    <x v="1719"/>
    <n v="2"/>
    <x v="3"/>
    <n v="0.47"/>
    <n v="1.03"/>
    <x v="3"/>
    <x v="2"/>
    <n v="0.78"/>
    <n v="0.64"/>
    <n v="0.94"/>
    <n v="0.98"/>
    <n v="0.95"/>
    <n v="0.82"/>
    <n v="0.71"/>
    <n v="0.66"/>
    <n v="0.1"/>
    <n v="0.27"/>
    <x v="1"/>
    <s v="Medium Exposure"/>
  </r>
  <r>
    <x v="19"/>
    <x v="1720"/>
    <n v="7"/>
    <x v="2"/>
    <n v="0.14000000000000001"/>
    <n v="0.94"/>
    <x v="46"/>
    <x v="2"/>
    <n v="0.9"/>
    <n v="0.81"/>
    <n v="7.0000000000000007E-2"/>
    <n v="0.25"/>
    <n v="0.82"/>
    <n v="0.8"/>
    <n v="0.95"/>
    <n v="1"/>
    <n v="0.98"/>
    <n v="0.41"/>
    <x v="2"/>
    <s v="Low Exposure"/>
  </r>
  <r>
    <x v="18"/>
    <x v="1721"/>
    <n v="0"/>
    <x v="3"/>
    <n v="0.76"/>
    <n v="0.8"/>
    <x v="88"/>
    <x v="1"/>
    <n v="0.53"/>
    <n v="0.79"/>
    <n v="0.28000000000000003"/>
    <n v="0.51"/>
    <n v="0.56000000000000005"/>
    <n v="0.94"/>
    <n v="0.27"/>
    <n v="0.94"/>
    <n v="0.8"/>
    <n v="0.73"/>
    <x v="1"/>
    <s v="High Exposure"/>
  </r>
  <r>
    <x v="16"/>
    <x v="1722"/>
    <n v="1"/>
    <x v="3"/>
    <n v="0.61"/>
    <n v="0.74"/>
    <x v="73"/>
    <x v="0"/>
    <n v="0.87"/>
    <n v="0.73"/>
    <n v="0.21"/>
    <n v="0.62"/>
    <n v="0.45"/>
    <n v="0.16"/>
    <n v="0.53"/>
    <n v="0.28000000000000003"/>
    <n v="0.1"/>
    <n v="0.47"/>
    <x v="1"/>
    <s v="Medium Exposure"/>
  </r>
  <r>
    <x v="17"/>
    <x v="1723"/>
    <n v="20"/>
    <x v="2"/>
    <n v="0.05"/>
    <n v="0.9"/>
    <x v="10"/>
    <x v="2"/>
    <n v="0.03"/>
    <n v="0.13"/>
    <n v="0.14000000000000001"/>
    <n v="0.18"/>
    <n v="0.8"/>
    <n v="0.44"/>
    <n v="0.15"/>
    <n v="0.1"/>
    <n v="0.3"/>
    <n v="0.8"/>
    <x v="0"/>
    <s v="Low Exposure"/>
  </r>
  <r>
    <x v="3"/>
    <x v="1724"/>
    <n v="27"/>
    <x v="2"/>
    <n v="0.16"/>
    <n v="0.9"/>
    <x v="43"/>
    <x v="2"/>
    <n v="0.03"/>
    <n v="0.63"/>
    <n v="0.4"/>
    <n v="0.01"/>
    <n v="0.67"/>
    <n v="0.71"/>
    <n v="0.63"/>
    <n v="0.34"/>
    <n v="0.53"/>
    <n v="0.39"/>
    <x v="0"/>
    <s v="Low Exposure"/>
  </r>
  <r>
    <x v="10"/>
    <x v="1725"/>
    <n v="1"/>
    <x v="2"/>
    <n v="0.7"/>
    <n v="0.71"/>
    <x v="6"/>
    <x v="2"/>
    <n v="0.56999999999999995"/>
    <n v="0.45"/>
    <n v="0.74"/>
    <n v="0.38"/>
    <n v="0.86"/>
    <n v="0.43"/>
    <n v="0.04"/>
    <n v="0.02"/>
    <n v="0.65"/>
    <n v="0.54"/>
    <x v="1"/>
    <s v="High Exposure"/>
  </r>
  <r>
    <x v="16"/>
    <x v="1726"/>
    <n v="1"/>
    <x v="0"/>
    <n v="0.79"/>
    <n v="0.88"/>
    <x v="60"/>
    <x v="0"/>
    <n v="0.95"/>
    <n v="0.01"/>
    <n v="0.9"/>
    <n v="0.68"/>
    <n v="0.5"/>
    <n v="0.57999999999999996"/>
    <n v="0.84"/>
    <n v="0.95"/>
    <n v="0.56000000000000005"/>
    <n v="0.18"/>
    <x v="1"/>
    <s v="High Exposure"/>
  </r>
  <r>
    <x v="0"/>
    <x v="1727"/>
    <n v="24"/>
    <x v="1"/>
    <n v="0.08"/>
    <n v="1.1399999999999999"/>
    <x v="40"/>
    <x v="0"/>
    <n v="0.35"/>
    <n v="7.0000000000000007E-2"/>
    <n v="0.69"/>
    <n v="0.34"/>
    <n v="0.25"/>
    <n v="0.69"/>
    <n v="0.97"/>
    <n v="0.75"/>
    <n v="0.49"/>
    <n v="0.6"/>
    <x v="0"/>
    <s v="Low Exposure"/>
  </r>
  <r>
    <x v="3"/>
    <x v="1728"/>
    <n v="7"/>
    <x v="2"/>
    <n v="0.81"/>
    <n v="1.1000000000000001"/>
    <x v="66"/>
    <x v="2"/>
    <n v="0.98"/>
    <n v="0.35"/>
    <n v="0.99"/>
    <n v="0.96"/>
    <n v="0.64"/>
    <n v="0.33"/>
    <n v="0.75"/>
    <n v="0.27"/>
    <n v="0.63"/>
    <n v="0.02"/>
    <x v="2"/>
    <s v="High Exposure"/>
  </r>
  <r>
    <x v="2"/>
    <x v="1729"/>
    <n v="24"/>
    <x v="2"/>
    <n v="0.95"/>
    <n v="0.74"/>
    <x v="81"/>
    <x v="0"/>
    <n v="0.28999999999999998"/>
    <n v="0.71"/>
    <n v="0.7"/>
    <n v="0.18"/>
    <n v="0.6"/>
    <n v="0.86"/>
    <n v="0.38"/>
    <n v="0.71"/>
    <n v="0.67"/>
    <n v="0.26"/>
    <x v="0"/>
    <s v="High Exposure"/>
  </r>
  <r>
    <x v="15"/>
    <x v="1730"/>
    <n v="3"/>
    <x v="1"/>
    <n v="0.56000000000000005"/>
    <n v="0.86"/>
    <x v="63"/>
    <x v="1"/>
    <n v="0.47"/>
    <n v="0.73"/>
    <n v="0.62"/>
    <n v="0.73"/>
    <n v="0.79"/>
    <n v="0.44"/>
    <n v="0.52"/>
    <n v="0.99"/>
    <n v="0.97"/>
    <n v="0.41"/>
    <x v="1"/>
    <s v="Medium Exposure"/>
  </r>
  <r>
    <x v="4"/>
    <x v="1731"/>
    <n v="2"/>
    <x v="2"/>
    <n v="0.77"/>
    <n v="1.1499999999999999"/>
    <x v="71"/>
    <x v="2"/>
    <n v="0.49"/>
    <n v="0.04"/>
    <n v="0.19"/>
    <n v="0.42"/>
    <n v="0.83"/>
    <n v="0.48"/>
    <n v="0.59"/>
    <n v="0.87"/>
    <n v="0.31"/>
    <n v="0.7"/>
    <x v="1"/>
    <s v="High Exposure"/>
  </r>
  <r>
    <x v="1"/>
    <x v="1732"/>
    <n v="11"/>
    <x v="2"/>
    <n v="0.2"/>
    <n v="0.86"/>
    <x v="21"/>
    <x v="1"/>
    <n v="0.98"/>
    <n v="0.22"/>
    <n v="7.0000000000000007E-2"/>
    <n v="0.27"/>
    <n v="0.4"/>
    <n v="0.44"/>
    <n v="0.62"/>
    <n v="0.9"/>
    <n v="0.33"/>
    <n v="0.85"/>
    <x v="2"/>
    <s v="Low Exposure"/>
  </r>
  <r>
    <x v="13"/>
    <x v="1733"/>
    <n v="20"/>
    <x v="3"/>
    <n v="0.04"/>
    <n v="1"/>
    <x v="86"/>
    <x v="2"/>
    <n v="0.39"/>
    <n v="0.9"/>
    <n v="0.24"/>
    <n v="0.71"/>
    <n v="0.3"/>
    <n v="0.04"/>
    <n v="0.56000000000000005"/>
    <n v="0.83"/>
    <n v="0.41"/>
    <n v="0.62"/>
    <x v="0"/>
    <s v="Low Exposure"/>
  </r>
  <r>
    <x v="16"/>
    <x v="1734"/>
    <n v="6"/>
    <x v="2"/>
    <n v="0.19"/>
    <n v="1.23"/>
    <x v="35"/>
    <x v="0"/>
    <n v="0.75"/>
    <n v="0.49"/>
    <n v="0.13"/>
    <n v="0.56999999999999995"/>
    <n v="0.49"/>
    <n v="0.52"/>
    <n v="0.88"/>
    <n v="0.89"/>
    <n v="0.45"/>
    <n v="0.46"/>
    <x v="2"/>
    <s v="Low Exposure"/>
  </r>
  <r>
    <x v="12"/>
    <x v="1735"/>
    <n v="29"/>
    <x v="0"/>
    <n v="0.52"/>
    <n v="1.45"/>
    <x v="23"/>
    <x v="2"/>
    <n v="0.28000000000000003"/>
    <n v="0.53"/>
    <n v="0.63"/>
    <n v="0.64"/>
    <n v="0.59"/>
    <n v="0.18"/>
    <n v="0.03"/>
    <n v="0.34"/>
    <n v="0.43"/>
    <n v="0.06"/>
    <x v="0"/>
    <s v="Medium Exposure"/>
  </r>
  <r>
    <x v="18"/>
    <x v="1736"/>
    <n v="16"/>
    <x v="1"/>
    <n v="0.34"/>
    <n v="1.41"/>
    <x v="63"/>
    <x v="1"/>
    <n v="0.06"/>
    <n v="0.48"/>
    <n v="0.19"/>
    <n v="0.94"/>
    <n v="0.01"/>
    <n v="0.41"/>
    <n v="0.93"/>
    <n v="0.38"/>
    <n v="0.09"/>
    <n v="0.3"/>
    <x v="0"/>
    <s v="Medium Exposure"/>
  </r>
  <r>
    <x v="2"/>
    <x v="1194"/>
    <n v="16"/>
    <x v="1"/>
    <n v="0.19"/>
    <n v="0.97"/>
    <x v="32"/>
    <x v="0"/>
    <n v="0.87"/>
    <n v="0.05"/>
    <n v="0.16"/>
    <n v="0.28000000000000003"/>
    <n v="0.59"/>
    <n v="0.36"/>
    <n v="0.84"/>
    <n v="0.72"/>
    <n v="0.1"/>
    <n v="0.62"/>
    <x v="0"/>
    <s v="Low Exposure"/>
  </r>
  <r>
    <x v="1"/>
    <x v="1737"/>
    <n v="23"/>
    <x v="0"/>
    <n v="0.26"/>
    <n v="0.68"/>
    <x v="63"/>
    <x v="1"/>
    <n v="0.62"/>
    <n v="0.56000000000000005"/>
    <n v="0.18"/>
    <n v="0.99"/>
    <n v="0.42"/>
    <n v="0.1"/>
    <n v="0.12"/>
    <n v="0.57999999999999996"/>
    <n v="0.98"/>
    <n v="0.56999999999999995"/>
    <x v="0"/>
    <s v="Low Exposure"/>
  </r>
  <r>
    <x v="14"/>
    <x v="1738"/>
    <n v="21"/>
    <x v="2"/>
    <n v="0.44"/>
    <n v="0.94"/>
    <x v="35"/>
    <x v="0"/>
    <n v="0.7"/>
    <n v="0.37"/>
    <n v="0.86"/>
    <n v="0.03"/>
    <n v="0.44"/>
    <n v="0.51"/>
    <n v="0.61"/>
    <n v="0.28000000000000003"/>
    <n v="0.43"/>
    <n v="0.48"/>
    <x v="0"/>
    <s v="Medium Exposure"/>
  </r>
  <r>
    <x v="4"/>
    <x v="1739"/>
    <n v="8"/>
    <x v="1"/>
    <n v="0.77"/>
    <n v="1.24"/>
    <x v="30"/>
    <x v="2"/>
    <n v="1"/>
    <n v="0.85"/>
    <n v="0.26"/>
    <n v="0.2"/>
    <n v="0.31"/>
    <n v="0.45"/>
    <n v="0.85"/>
    <n v="0.78"/>
    <n v="0.85"/>
    <n v="0.27"/>
    <x v="2"/>
    <s v="High Exposure"/>
  </r>
  <r>
    <x v="3"/>
    <x v="1740"/>
    <n v="21"/>
    <x v="3"/>
    <n v="0.28000000000000003"/>
    <n v="0.61"/>
    <x v="64"/>
    <x v="2"/>
    <n v="0.14000000000000001"/>
    <n v="0.67"/>
    <n v="0.65"/>
    <n v="0.81"/>
    <n v="0.14000000000000001"/>
    <n v="0.78"/>
    <n v="1"/>
    <n v="0.85"/>
    <n v="0.75"/>
    <n v="0.66"/>
    <x v="0"/>
    <s v="Low Exposure"/>
  </r>
  <r>
    <x v="4"/>
    <x v="1741"/>
    <n v="16"/>
    <x v="3"/>
    <n v="0.84"/>
    <n v="1.04"/>
    <x v="3"/>
    <x v="2"/>
    <n v="0.79"/>
    <n v="0.51"/>
    <n v="0.54"/>
    <n v="0.2"/>
    <n v="0.24"/>
    <n v="0.9"/>
    <n v="0.84"/>
    <n v="0.01"/>
    <n v="0.87"/>
    <n v="0.03"/>
    <x v="0"/>
    <s v="High Exposure"/>
  </r>
  <r>
    <x v="6"/>
    <x v="1742"/>
    <n v="14"/>
    <x v="1"/>
    <n v="0.28999999999999998"/>
    <n v="0.98"/>
    <x v="36"/>
    <x v="2"/>
    <n v="0.93"/>
    <n v="0.04"/>
    <n v="0.68"/>
    <n v="0.85"/>
    <n v="0.96"/>
    <n v="0.18"/>
    <n v="0.53"/>
    <n v="0.04"/>
    <n v="0.5"/>
    <n v="0.13"/>
    <x v="2"/>
    <s v="Low Exposure"/>
  </r>
  <r>
    <x v="1"/>
    <x v="1743"/>
    <n v="17"/>
    <x v="0"/>
    <n v="0.11"/>
    <n v="1.01"/>
    <x v="82"/>
    <x v="1"/>
    <n v="0.97"/>
    <n v="0.65"/>
    <n v="0.28999999999999998"/>
    <n v="0.24"/>
    <n v="0.13"/>
    <n v="0.76"/>
    <n v="0.69"/>
    <n v="0.61"/>
    <n v="0.04"/>
    <n v="0.76"/>
    <x v="0"/>
    <s v="Low Exposure"/>
  </r>
  <r>
    <x v="15"/>
    <x v="91"/>
    <n v="25"/>
    <x v="0"/>
    <n v="0.96"/>
    <n v="1.0900000000000001"/>
    <x v="61"/>
    <x v="1"/>
    <n v="0.38"/>
    <n v="0.18"/>
    <n v="0.72"/>
    <n v="0.71"/>
    <n v="0.2"/>
    <n v="0.16"/>
    <n v="0.08"/>
    <n v="0.91"/>
    <n v="0.23"/>
    <n v="0.34"/>
    <x v="0"/>
    <s v="High Exposure"/>
  </r>
  <r>
    <x v="0"/>
    <x v="1744"/>
    <n v="4"/>
    <x v="2"/>
    <n v="0.41"/>
    <n v="1.21"/>
    <x v="24"/>
    <x v="0"/>
    <n v="0.18"/>
    <n v="0.69"/>
    <n v="0.35"/>
    <n v="0.98"/>
    <n v="0.3"/>
    <n v="0.01"/>
    <n v="0.52"/>
    <n v="0.15"/>
    <n v="0.04"/>
    <n v="0.7"/>
    <x v="1"/>
    <s v="Medium Exposure"/>
  </r>
  <r>
    <x v="14"/>
    <x v="1745"/>
    <n v="25"/>
    <x v="0"/>
    <n v="0.46"/>
    <n v="1.18"/>
    <x v="35"/>
    <x v="0"/>
    <n v="0.63"/>
    <n v="0.6"/>
    <n v="0.67"/>
    <n v="0.2"/>
    <n v="0.27"/>
    <n v="0.44"/>
    <n v="0.45"/>
    <n v="0.77"/>
    <n v="0.37"/>
    <n v="0.16"/>
    <x v="0"/>
    <s v="Medium Exposure"/>
  </r>
  <r>
    <x v="16"/>
    <x v="1746"/>
    <n v="10"/>
    <x v="1"/>
    <n v="0.21"/>
    <n v="1.23"/>
    <x v="90"/>
    <x v="0"/>
    <n v="0.71"/>
    <n v="0.42"/>
    <n v="0.89"/>
    <n v="0.98"/>
    <n v="0.67"/>
    <n v="0.86"/>
    <n v="0.51"/>
    <n v="0.93"/>
    <n v="0.83"/>
    <n v="0.99"/>
    <x v="2"/>
    <s v="Low Exposure"/>
  </r>
  <r>
    <x v="14"/>
    <x v="1747"/>
    <n v="12"/>
    <x v="1"/>
    <n v="0.78"/>
    <n v="1.04"/>
    <x v="39"/>
    <x v="0"/>
    <n v="0.35"/>
    <n v="0.89"/>
    <n v="0.06"/>
    <n v="0.59"/>
    <n v="0.37"/>
    <n v="0.39"/>
    <n v="0.88"/>
    <n v="0.85"/>
    <n v="0.6"/>
    <n v="0.27"/>
    <x v="2"/>
    <s v="High Exposure"/>
  </r>
  <r>
    <x v="3"/>
    <x v="1748"/>
    <n v="14"/>
    <x v="1"/>
    <n v="0.41"/>
    <n v="0.85"/>
    <x v="55"/>
    <x v="2"/>
    <n v="0.54"/>
    <n v="0.3"/>
    <n v="0.66"/>
    <n v="0.32"/>
    <n v="0.43"/>
    <n v="0.05"/>
    <n v="0.99"/>
    <n v="0.51"/>
    <n v="0.02"/>
    <n v="0.54"/>
    <x v="2"/>
    <s v="Medium Exposure"/>
  </r>
  <r>
    <x v="10"/>
    <x v="1749"/>
    <n v="7"/>
    <x v="3"/>
    <n v="0.77"/>
    <n v="1.2"/>
    <x v="46"/>
    <x v="2"/>
    <n v="0.66"/>
    <n v="0.77"/>
    <n v="0.56999999999999995"/>
    <n v="0.89"/>
    <n v="0.28000000000000003"/>
    <n v="0.24"/>
    <n v="0.87"/>
    <n v="0.63"/>
    <n v="0"/>
    <n v="0.35"/>
    <x v="2"/>
    <s v="High Exposure"/>
  </r>
  <r>
    <x v="2"/>
    <x v="1750"/>
    <n v="5"/>
    <x v="0"/>
    <n v="0.03"/>
    <n v="0.5"/>
    <x v="62"/>
    <x v="0"/>
    <n v="0.91"/>
    <n v="0.9"/>
    <n v="0.52"/>
    <n v="0.55000000000000004"/>
    <n v="0.33"/>
    <n v="0.24"/>
    <n v="0.82"/>
    <n v="0.11"/>
    <n v="0.49"/>
    <n v="0.63"/>
    <x v="1"/>
    <s v="Low Exposure"/>
  </r>
  <r>
    <x v="1"/>
    <x v="1751"/>
    <n v="3"/>
    <x v="0"/>
    <n v="0.52"/>
    <n v="1.08"/>
    <x v="52"/>
    <x v="1"/>
    <n v="0.23"/>
    <n v="0.28999999999999998"/>
    <n v="0.56999999999999995"/>
    <n v="0.98"/>
    <n v="0.22"/>
    <n v="0.99"/>
    <n v="0.71"/>
    <n v="0.83"/>
    <n v="0.09"/>
    <n v="0.3"/>
    <x v="1"/>
    <s v="Medium Exposure"/>
  </r>
  <r>
    <x v="5"/>
    <x v="1752"/>
    <n v="25"/>
    <x v="3"/>
    <n v="0.37"/>
    <n v="1.48"/>
    <x v="47"/>
    <x v="1"/>
    <n v="0.56000000000000005"/>
    <n v="0.01"/>
    <n v="0.71"/>
    <n v="0.2"/>
    <n v="0.13"/>
    <n v="0.34"/>
    <n v="0.77"/>
    <n v="0.11"/>
    <n v="0.23"/>
    <n v="0.01"/>
    <x v="0"/>
    <s v="Medium Exposure"/>
  </r>
  <r>
    <x v="11"/>
    <x v="1753"/>
    <n v="24"/>
    <x v="1"/>
    <n v="0.59"/>
    <n v="1.22"/>
    <x v="23"/>
    <x v="2"/>
    <n v="0.14000000000000001"/>
    <n v="0.59"/>
    <n v="0.13"/>
    <n v="0.4"/>
    <n v="0.56999999999999995"/>
    <n v="0.56000000000000005"/>
    <n v="0.12"/>
    <n v="0.03"/>
    <n v="0.8"/>
    <n v="0.73"/>
    <x v="0"/>
    <s v="Medium Exposure"/>
  </r>
  <r>
    <x v="14"/>
    <x v="1754"/>
    <n v="1"/>
    <x v="2"/>
    <n v="0.13"/>
    <n v="1.39"/>
    <x v="81"/>
    <x v="0"/>
    <n v="1"/>
    <n v="0.25"/>
    <n v="0.49"/>
    <n v="0.24"/>
    <n v="0.62"/>
    <n v="0.12"/>
    <n v="0.13"/>
    <n v="7.0000000000000007E-2"/>
    <n v="0.69"/>
    <n v="0.49"/>
    <x v="1"/>
    <s v="Low Exposure"/>
  </r>
  <r>
    <x v="12"/>
    <x v="1755"/>
    <n v="28"/>
    <x v="3"/>
    <n v="0.88"/>
    <n v="1.24"/>
    <x v="8"/>
    <x v="2"/>
    <n v="0.98"/>
    <n v="0.46"/>
    <n v="0.11"/>
    <n v="0.99"/>
    <n v="0.02"/>
    <n v="0.55000000000000004"/>
    <n v="0.31"/>
    <n v="0.5"/>
    <n v="0.56000000000000005"/>
    <n v="0.24"/>
    <x v="0"/>
    <s v="High Exposure"/>
  </r>
  <r>
    <x v="5"/>
    <x v="1756"/>
    <n v="20"/>
    <x v="0"/>
    <n v="0.68"/>
    <n v="1.34"/>
    <x v="7"/>
    <x v="1"/>
    <n v="0.83"/>
    <n v="0.78"/>
    <n v="0.67"/>
    <n v="0.45"/>
    <n v="0.27"/>
    <n v="0.86"/>
    <n v="0.65"/>
    <n v="0.8"/>
    <n v="0.55000000000000004"/>
    <n v="0.17"/>
    <x v="0"/>
    <s v="Medium Exposure"/>
  </r>
  <r>
    <x v="7"/>
    <x v="1757"/>
    <n v="9"/>
    <x v="3"/>
    <n v="0.04"/>
    <n v="1.43"/>
    <x v="5"/>
    <x v="1"/>
    <n v="0.91"/>
    <n v="0.06"/>
    <n v="0.95"/>
    <n v="0.2"/>
    <n v="0.3"/>
    <n v="0.49"/>
    <n v="0.38"/>
    <n v="0.67"/>
    <n v="0.97"/>
    <n v="0.61"/>
    <x v="2"/>
    <s v="Low Exposure"/>
  </r>
  <r>
    <x v="4"/>
    <x v="1758"/>
    <n v="26"/>
    <x v="1"/>
    <n v="0.75"/>
    <n v="1.34"/>
    <x v="79"/>
    <x v="2"/>
    <n v="0.57999999999999996"/>
    <n v="0.78"/>
    <n v="0.49"/>
    <n v="0.04"/>
    <n v="0.16"/>
    <n v="0.13"/>
    <n v="0.17"/>
    <n v="0.01"/>
    <n v="0.86"/>
    <n v="0.56000000000000005"/>
    <x v="0"/>
    <s v="High Exposure"/>
  </r>
  <r>
    <x v="10"/>
    <x v="1759"/>
    <n v="22"/>
    <x v="1"/>
    <n v="0.41"/>
    <n v="0.96"/>
    <x v="20"/>
    <x v="2"/>
    <n v="0.27"/>
    <n v="0.85"/>
    <n v="0.74"/>
    <n v="0.56000000000000005"/>
    <n v="0.48"/>
    <n v="0.26"/>
    <n v="0.47"/>
    <n v="0.6"/>
    <n v="0.71"/>
    <n v="0.17"/>
    <x v="0"/>
    <s v="Medium Exposure"/>
  </r>
  <r>
    <x v="9"/>
    <x v="1760"/>
    <n v="9"/>
    <x v="2"/>
    <n v="0.5"/>
    <n v="1.1100000000000001"/>
    <x v="90"/>
    <x v="0"/>
    <n v="0.56999999999999995"/>
    <n v="0.11"/>
    <n v="0.43"/>
    <n v="0.28000000000000003"/>
    <n v="0.09"/>
    <n v="0.19"/>
    <n v="0.6"/>
    <n v="0.2"/>
    <n v="0.18"/>
    <n v="0.55000000000000004"/>
    <x v="2"/>
    <s v="Medium Exposure"/>
  </r>
  <r>
    <x v="14"/>
    <x v="1761"/>
    <n v="11"/>
    <x v="1"/>
    <n v="0.79"/>
    <n v="1.41"/>
    <x v="0"/>
    <x v="0"/>
    <n v="0.41"/>
    <n v="0.73"/>
    <n v="0.26"/>
    <n v="0.08"/>
    <n v="0.34"/>
    <n v="0.3"/>
    <n v="0.68"/>
    <n v="0.55000000000000004"/>
    <n v="0.14000000000000001"/>
    <n v="0.91"/>
    <x v="2"/>
    <s v="High Exposure"/>
  </r>
  <r>
    <x v="9"/>
    <x v="1762"/>
    <n v="21"/>
    <x v="1"/>
    <n v="0.46"/>
    <n v="1.44"/>
    <x v="28"/>
    <x v="0"/>
    <n v="0.79"/>
    <n v="0.36"/>
    <n v="0.7"/>
    <n v="0.93"/>
    <n v="0.52"/>
    <n v="0.02"/>
    <n v="0.03"/>
    <n v="0.33"/>
    <n v="0.78"/>
    <n v="0.28999999999999998"/>
    <x v="0"/>
    <s v="Medium Exposure"/>
  </r>
  <r>
    <x v="0"/>
    <x v="1763"/>
    <n v="26"/>
    <x v="3"/>
    <n v="0.78"/>
    <n v="0.62"/>
    <x v="32"/>
    <x v="0"/>
    <n v="0.27"/>
    <n v="0.05"/>
    <n v="0.12"/>
    <n v="0.95"/>
    <n v="0.45"/>
    <n v="0.26"/>
    <n v="0.52"/>
    <n v="0.68"/>
    <n v="0.32"/>
    <n v="0.73"/>
    <x v="0"/>
    <s v="High Exposure"/>
  </r>
  <r>
    <x v="13"/>
    <x v="1764"/>
    <n v="21"/>
    <x v="0"/>
    <n v="0.11"/>
    <n v="1.05"/>
    <x v="46"/>
    <x v="2"/>
    <n v="0.94"/>
    <n v="0"/>
    <n v="0.76"/>
    <n v="0.28000000000000003"/>
    <n v="0.85"/>
    <n v="0.06"/>
    <n v="0.95"/>
    <n v="0.1"/>
    <n v="0.79"/>
    <n v="0.52"/>
    <x v="0"/>
    <s v="Low Exposure"/>
  </r>
  <r>
    <x v="11"/>
    <x v="1765"/>
    <n v="22"/>
    <x v="2"/>
    <n v="0.28000000000000003"/>
    <n v="1.34"/>
    <x v="48"/>
    <x v="2"/>
    <n v="0.72"/>
    <n v="0.45"/>
    <n v="1"/>
    <n v="0.61"/>
    <n v="0.1"/>
    <n v="0.42"/>
    <n v="7.0000000000000007E-2"/>
    <n v="0.28999999999999998"/>
    <n v="0.34"/>
    <n v="0.85"/>
    <x v="0"/>
    <s v="Low Exposure"/>
  </r>
  <r>
    <x v="10"/>
    <x v="1766"/>
    <n v="29"/>
    <x v="1"/>
    <n v="0.01"/>
    <n v="1.03"/>
    <x v="65"/>
    <x v="2"/>
    <n v="0.32"/>
    <n v="0.02"/>
    <n v="0.75"/>
    <n v="0.95"/>
    <n v="0.22"/>
    <n v="0.34"/>
    <n v="0.21"/>
    <n v="0.93"/>
    <n v="0.01"/>
    <n v="0.57999999999999996"/>
    <x v="0"/>
    <s v="Low Exposure"/>
  </r>
  <r>
    <x v="7"/>
    <x v="1767"/>
    <n v="29"/>
    <x v="3"/>
    <n v="0.19"/>
    <n v="1.0900000000000001"/>
    <x v="19"/>
    <x v="1"/>
    <n v="0.81"/>
    <n v="0.27"/>
    <n v="0.99"/>
    <n v="0.92"/>
    <n v="0.73"/>
    <n v="0.5"/>
    <n v="0.77"/>
    <n v="0.13"/>
    <n v="0.31"/>
    <n v="0.03"/>
    <x v="0"/>
    <s v="Low Exposure"/>
  </r>
  <r>
    <x v="11"/>
    <x v="1768"/>
    <n v="7"/>
    <x v="3"/>
    <n v="0.81"/>
    <n v="1.45"/>
    <x v="64"/>
    <x v="2"/>
    <n v="0.73"/>
    <n v="0.9"/>
    <n v="0.94"/>
    <n v="0.49"/>
    <n v="0.11"/>
    <n v="0.47"/>
    <n v="0.56000000000000005"/>
    <n v="0.63"/>
    <n v="0.99"/>
    <n v="0.92"/>
    <x v="2"/>
    <s v="High Exposure"/>
  </r>
  <r>
    <x v="8"/>
    <x v="1769"/>
    <n v="6"/>
    <x v="2"/>
    <n v="0.11"/>
    <n v="0.71"/>
    <x v="49"/>
    <x v="2"/>
    <n v="0.36"/>
    <n v="0.88"/>
    <n v="0.44"/>
    <n v="0.56999999999999995"/>
    <n v="0.18"/>
    <n v="0.49"/>
    <n v="0.87"/>
    <n v="0.77"/>
    <n v="0.08"/>
    <n v="0.86"/>
    <x v="2"/>
    <s v="Low Exposure"/>
  </r>
  <r>
    <x v="13"/>
    <x v="1770"/>
    <n v="3"/>
    <x v="0"/>
    <n v="0.67"/>
    <n v="0.65"/>
    <x v="64"/>
    <x v="2"/>
    <n v="0.04"/>
    <n v="0.6"/>
    <n v="0.65"/>
    <n v="0.24"/>
    <n v="0.94"/>
    <n v="0.05"/>
    <n v="0.89"/>
    <n v="0.38"/>
    <n v="0.71"/>
    <n v="0.65"/>
    <x v="1"/>
    <s v="Medium Exposure"/>
  </r>
  <r>
    <x v="8"/>
    <x v="1771"/>
    <n v="5"/>
    <x v="2"/>
    <n v="0.32"/>
    <n v="1.03"/>
    <x v="4"/>
    <x v="2"/>
    <n v="0.95"/>
    <n v="0.02"/>
    <n v="0.35"/>
    <n v="0.67"/>
    <n v="0.53"/>
    <n v="0.94"/>
    <n v="0.02"/>
    <n v="0.44"/>
    <n v="0.67"/>
    <n v="0.22"/>
    <x v="1"/>
    <s v="Medium Exposure"/>
  </r>
  <r>
    <x v="8"/>
    <x v="1772"/>
    <n v="12"/>
    <x v="2"/>
    <n v="0.08"/>
    <n v="0.95"/>
    <x v="64"/>
    <x v="2"/>
    <n v="0.27"/>
    <n v="7.0000000000000007E-2"/>
    <n v="0.96"/>
    <n v="0.91"/>
    <n v="0.93"/>
    <n v="0.98"/>
    <n v="0.18"/>
    <n v="0.16"/>
    <n v="0.03"/>
    <n v="0.89"/>
    <x v="2"/>
    <s v="Low Exposure"/>
  </r>
  <r>
    <x v="4"/>
    <x v="1773"/>
    <n v="27"/>
    <x v="3"/>
    <n v="0.63"/>
    <n v="1.43"/>
    <x v="68"/>
    <x v="2"/>
    <n v="0.13"/>
    <n v="0.18"/>
    <n v="0.13"/>
    <n v="0.31"/>
    <n v="0.38"/>
    <n v="0.8"/>
    <n v="0.19"/>
    <n v="0.73"/>
    <n v="0.49"/>
    <n v="1"/>
    <x v="0"/>
    <s v="Medium Exposure"/>
  </r>
  <r>
    <x v="13"/>
    <x v="1774"/>
    <n v="11"/>
    <x v="3"/>
    <n v="0.97"/>
    <n v="0.84"/>
    <x v="53"/>
    <x v="2"/>
    <n v="0.51"/>
    <n v="0.12"/>
    <n v="0.49"/>
    <n v="0.27"/>
    <n v="0.49"/>
    <n v="0.95"/>
    <n v="0.28999999999999998"/>
    <n v="0.99"/>
    <n v="0.23"/>
    <n v="0.21"/>
    <x v="2"/>
    <s v="High Exposure"/>
  </r>
  <r>
    <x v="17"/>
    <x v="1775"/>
    <n v="26"/>
    <x v="2"/>
    <n v="0.84"/>
    <n v="1.25"/>
    <x v="31"/>
    <x v="2"/>
    <n v="0.28000000000000003"/>
    <n v="0.02"/>
    <n v="0.16"/>
    <n v="0.35"/>
    <n v="0.97"/>
    <n v="0.92"/>
    <n v="0.2"/>
    <n v="0.73"/>
    <n v="0.57999999999999996"/>
    <n v="0.05"/>
    <x v="0"/>
    <s v="High Exposure"/>
  </r>
  <r>
    <x v="0"/>
    <x v="1776"/>
    <n v="5"/>
    <x v="3"/>
    <n v="7.0000000000000007E-2"/>
    <n v="0.61"/>
    <x v="83"/>
    <x v="0"/>
    <n v="0.76"/>
    <n v="0.32"/>
    <n v="0.49"/>
    <n v="0.95"/>
    <n v="0.95"/>
    <n v="0.31"/>
    <n v="0.81"/>
    <n v="0.59"/>
    <n v="0.98"/>
    <n v="0.48"/>
    <x v="1"/>
    <s v="Low Exposure"/>
  </r>
  <r>
    <x v="3"/>
    <x v="1777"/>
    <n v="19"/>
    <x v="1"/>
    <n v="0.77"/>
    <n v="1"/>
    <x v="69"/>
    <x v="2"/>
    <n v="0.26"/>
    <n v="0.12"/>
    <n v="0.43"/>
    <n v="0.94"/>
    <n v="0.5"/>
    <n v="0.64"/>
    <n v="0.62"/>
    <n v="0.13"/>
    <n v="0.39"/>
    <n v="0.71"/>
    <x v="0"/>
    <s v="High Exposure"/>
  </r>
  <r>
    <x v="6"/>
    <x v="1778"/>
    <n v="27"/>
    <x v="0"/>
    <n v="0.17"/>
    <n v="0.91"/>
    <x v="55"/>
    <x v="2"/>
    <n v="0.24"/>
    <n v="0.38"/>
    <n v="0.54"/>
    <n v="0.23"/>
    <n v="0.23"/>
    <n v="0.78"/>
    <n v="0.96"/>
    <n v="0.32"/>
    <n v="0.69"/>
    <n v="0.26"/>
    <x v="0"/>
    <s v="Low Exposure"/>
  </r>
  <r>
    <x v="16"/>
    <x v="1779"/>
    <n v="11"/>
    <x v="3"/>
    <n v="0.67"/>
    <n v="1.3"/>
    <x v="76"/>
    <x v="0"/>
    <n v="0.6"/>
    <n v="0.53"/>
    <n v="0.28999999999999998"/>
    <n v="0.26"/>
    <n v="0.57999999999999996"/>
    <n v="0.71"/>
    <n v="0.03"/>
    <n v="0.56999999999999995"/>
    <n v="0.17"/>
    <n v="0.14000000000000001"/>
    <x v="2"/>
    <s v="Medium Exposure"/>
  </r>
  <r>
    <x v="19"/>
    <x v="1780"/>
    <n v="28"/>
    <x v="1"/>
    <n v="0.31"/>
    <n v="0.94"/>
    <x v="30"/>
    <x v="2"/>
    <n v="0.65"/>
    <n v="0.47"/>
    <n v="0.96"/>
    <n v="0.35"/>
    <n v="0.74"/>
    <n v="0.26"/>
    <n v="0.51"/>
    <n v="0.55000000000000004"/>
    <n v="0.33"/>
    <n v="0.47"/>
    <x v="0"/>
    <s v="Medium Exposure"/>
  </r>
  <r>
    <x v="10"/>
    <x v="1781"/>
    <n v="21"/>
    <x v="1"/>
    <n v="0.01"/>
    <n v="0.72"/>
    <x v="14"/>
    <x v="2"/>
    <n v="0.77"/>
    <n v="0.28000000000000003"/>
    <n v="0.41"/>
    <n v="0.04"/>
    <n v="0.24"/>
    <n v="0.78"/>
    <n v="0.61"/>
    <n v="0.21"/>
    <n v="0.26"/>
    <n v="0.82"/>
    <x v="0"/>
    <s v="Low Exposure"/>
  </r>
  <r>
    <x v="15"/>
    <x v="1782"/>
    <n v="9"/>
    <x v="3"/>
    <n v="0.33"/>
    <n v="1.1599999999999999"/>
    <x v="27"/>
    <x v="1"/>
    <n v="0.46"/>
    <n v="0.9"/>
    <n v="0.22"/>
    <n v="0.74"/>
    <n v="0.16"/>
    <n v="0.62"/>
    <n v="0.87"/>
    <n v="0.46"/>
    <n v="0.72"/>
    <n v="0.82"/>
    <x v="2"/>
    <s v="Medium Exposure"/>
  </r>
  <r>
    <x v="19"/>
    <x v="1783"/>
    <n v="9"/>
    <x v="3"/>
    <n v="0.71"/>
    <n v="1.42"/>
    <x v="68"/>
    <x v="2"/>
    <n v="0.19"/>
    <n v="0.13"/>
    <n v="0.26"/>
    <n v="0.1"/>
    <n v="0.51"/>
    <n v="7.0000000000000007E-2"/>
    <n v="0.22"/>
    <n v="0.44"/>
    <n v="0.47"/>
    <n v="0.56999999999999995"/>
    <x v="2"/>
    <s v="High Exposure"/>
  </r>
  <r>
    <x v="11"/>
    <x v="170"/>
    <n v="3"/>
    <x v="3"/>
    <n v="0.05"/>
    <n v="0.57999999999999996"/>
    <x v="86"/>
    <x v="2"/>
    <n v="0.42"/>
    <n v="0.04"/>
    <n v="0.75"/>
    <n v="0.22"/>
    <n v="0.94"/>
    <n v="0.49"/>
    <n v="0.45"/>
    <n v="0.78"/>
    <n v="0.71"/>
    <n v="0.61"/>
    <x v="1"/>
    <s v="Low Exposure"/>
  </r>
  <r>
    <x v="10"/>
    <x v="1784"/>
    <n v="6"/>
    <x v="3"/>
    <n v="0.64"/>
    <n v="1.04"/>
    <x v="22"/>
    <x v="2"/>
    <n v="0.68"/>
    <n v="0.17"/>
    <n v="0.3"/>
    <n v="0.74"/>
    <n v="0.16"/>
    <n v="0.34"/>
    <n v="0.67"/>
    <n v="0.94"/>
    <n v="0.08"/>
    <n v="0.52"/>
    <x v="2"/>
    <s v="Medium Exposure"/>
  </r>
  <r>
    <x v="17"/>
    <x v="1785"/>
    <n v="22"/>
    <x v="0"/>
    <n v="0.38"/>
    <n v="0.68"/>
    <x v="23"/>
    <x v="2"/>
    <n v="0.76"/>
    <n v="0.25"/>
    <n v="0.71"/>
    <n v="0.45"/>
    <n v="0.28000000000000003"/>
    <n v="0.52"/>
    <n v="0.38"/>
    <n v="0.23"/>
    <n v="0.76"/>
    <n v="0.8"/>
    <x v="0"/>
    <s v="Medium Exposure"/>
  </r>
  <r>
    <x v="3"/>
    <x v="1786"/>
    <n v="1"/>
    <x v="0"/>
    <n v="0.38"/>
    <n v="0.67"/>
    <x v="4"/>
    <x v="2"/>
    <n v="0.33"/>
    <n v="0.75"/>
    <n v="0.82"/>
    <n v="0.77"/>
    <n v="0.39"/>
    <n v="0.94"/>
    <n v="0.66"/>
    <n v="0.57999999999999996"/>
    <n v="0.7"/>
    <n v="0.04"/>
    <x v="1"/>
    <s v="Medium Exposure"/>
  </r>
  <r>
    <x v="3"/>
    <x v="1787"/>
    <n v="26"/>
    <x v="0"/>
    <n v="0.88"/>
    <n v="0.66"/>
    <x v="25"/>
    <x v="2"/>
    <n v="0.41"/>
    <n v="0.36"/>
    <n v="0.56000000000000005"/>
    <n v="1"/>
    <n v="0.26"/>
    <n v="0.7"/>
    <n v="0.76"/>
    <n v="0.57999999999999996"/>
    <n v="0.1"/>
    <n v="0.56999999999999995"/>
    <x v="0"/>
    <s v="High Exposure"/>
  </r>
  <r>
    <x v="5"/>
    <x v="1788"/>
    <n v="19"/>
    <x v="1"/>
    <n v="0.34"/>
    <n v="1.1399999999999999"/>
    <x v="21"/>
    <x v="1"/>
    <n v="0.8"/>
    <n v="0.69"/>
    <n v="0.97"/>
    <n v="0.17"/>
    <n v="0.77"/>
    <n v="0.41"/>
    <n v="0.36"/>
    <n v="0.52"/>
    <n v="0.03"/>
    <n v="0.31"/>
    <x v="0"/>
    <s v="Medium Exposure"/>
  </r>
  <r>
    <x v="15"/>
    <x v="1789"/>
    <n v="17"/>
    <x v="3"/>
    <n v="0.14000000000000001"/>
    <n v="0.84"/>
    <x v="88"/>
    <x v="1"/>
    <n v="0.2"/>
    <n v="0.53"/>
    <n v="0.75"/>
    <n v="0.24"/>
    <n v="0.92"/>
    <n v="0.87"/>
    <n v="0.25"/>
    <n v="0.99"/>
    <n v="0.67"/>
    <n v="0.28999999999999998"/>
    <x v="0"/>
    <s v="Low Exposure"/>
  </r>
  <r>
    <x v="15"/>
    <x v="1790"/>
    <n v="5"/>
    <x v="0"/>
    <n v="0.67"/>
    <n v="1.1100000000000001"/>
    <x v="70"/>
    <x v="1"/>
    <n v="0.27"/>
    <n v="0.98"/>
    <n v="0.86"/>
    <n v="0.75"/>
    <n v="0.03"/>
    <n v="0.59"/>
    <n v="0.71"/>
    <n v="0.85"/>
    <n v="0.95"/>
    <n v="0.92"/>
    <x v="1"/>
    <s v="Medium Exposure"/>
  </r>
  <r>
    <x v="12"/>
    <x v="1791"/>
    <n v="3"/>
    <x v="2"/>
    <n v="0.6"/>
    <n v="0.97"/>
    <x v="87"/>
    <x v="2"/>
    <n v="0.37"/>
    <n v="0.37"/>
    <n v="0.97"/>
    <n v="0.23"/>
    <n v="0.82"/>
    <n v="0.71"/>
    <n v="0.01"/>
    <n v="0.99"/>
    <n v="0.76"/>
    <n v="0.68"/>
    <x v="1"/>
    <s v="Medium Exposure"/>
  </r>
  <r>
    <x v="13"/>
    <x v="1792"/>
    <n v="10"/>
    <x v="1"/>
    <n v="0.56000000000000005"/>
    <n v="0.75"/>
    <x v="57"/>
    <x v="2"/>
    <n v="0.84"/>
    <n v="0.9"/>
    <n v="0.16"/>
    <n v="0.79"/>
    <n v="0.74"/>
    <n v="0.18"/>
    <n v="0.42"/>
    <n v="0.42"/>
    <n v="0.76"/>
    <n v="0.84"/>
    <x v="2"/>
    <s v="Medium Exposure"/>
  </r>
  <r>
    <x v="6"/>
    <x v="1793"/>
    <n v="29"/>
    <x v="1"/>
    <n v="0.56000000000000005"/>
    <n v="1.26"/>
    <x v="45"/>
    <x v="2"/>
    <n v="0.15"/>
    <n v="0.53"/>
    <n v="0.86"/>
    <n v="0.32"/>
    <n v="0.43"/>
    <n v="0.8"/>
    <n v="0.09"/>
    <n v="0.86"/>
    <n v="0.31"/>
    <n v="0"/>
    <x v="0"/>
    <s v="Medium Exposure"/>
  </r>
  <r>
    <x v="8"/>
    <x v="1794"/>
    <n v="14"/>
    <x v="1"/>
    <n v="0.68"/>
    <n v="0.82"/>
    <x v="53"/>
    <x v="2"/>
    <n v="0.62"/>
    <n v="0.22"/>
    <n v="0.68"/>
    <n v="0.84"/>
    <n v="0.12"/>
    <n v="0.44"/>
    <n v="0.44"/>
    <n v="0.63"/>
    <n v="0.33"/>
    <n v="0.42"/>
    <x v="2"/>
    <s v="Medium Exposure"/>
  </r>
  <r>
    <x v="6"/>
    <x v="1795"/>
    <n v="19"/>
    <x v="1"/>
    <n v="0.65"/>
    <n v="0.78"/>
    <x v="69"/>
    <x v="2"/>
    <n v="0.67"/>
    <n v="0.65"/>
    <n v="0.42"/>
    <n v="0.96"/>
    <n v="0.27"/>
    <n v="0.57999999999999996"/>
    <n v="0.31"/>
    <n v="0.74"/>
    <n v="0.05"/>
    <n v="0.05"/>
    <x v="0"/>
    <s v="Medium Exposure"/>
  </r>
  <r>
    <x v="4"/>
    <x v="1796"/>
    <n v="6"/>
    <x v="0"/>
    <n v="0.43"/>
    <n v="0.84"/>
    <x v="22"/>
    <x v="2"/>
    <n v="0.7"/>
    <n v="0.2"/>
    <n v="0.19"/>
    <n v="0.96"/>
    <n v="0.59"/>
    <n v="0.39"/>
    <n v="0.8"/>
    <n v="0.53"/>
    <n v="0.24"/>
    <n v="0.21"/>
    <x v="2"/>
    <s v="Medium Exposure"/>
  </r>
  <r>
    <x v="14"/>
    <x v="1797"/>
    <n v="22"/>
    <x v="1"/>
    <n v="0.86"/>
    <n v="0.56000000000000005"/>
    <x v="73"/>
    <x v="0"/>
    <n v="0.89"/>
    <n v="0.12"/>
    <n v="0.63"/>
    <n v="0.21"/>
    <n v="0.61"/>
    <n v="0.38"/>
    <n v="0.1"/>
    <n v="0.57999999999999996"/>
    <n v="0.68"/>
    <n v="0.68"/>
    <x v="0"/>
    <s v="High Exposure"/>
  </r>
  <r>
    <x v="10"/>
    <x v="1798"/>
    <n v="4"/>
    <x v="0"/>
    <n v="0.5"/>
    <n v="1.02"/>
    <x v="33"/>
    <x v="2"/>
    <n v="0.69"/>
    <n v="0.65"/>
    <n v="0.59"/>
    <n v="0.16"/>
    <n v="0.21"/>
    <n v="0.26"/>
    <n v="0.92"/>
    <n v="0.76"/>
    <n v="0.55000000000000004"/>
    <n v="0.25"/>
    <x v="1"/>
    <s v="Medium Exposure"/>
  </r>
  <r>
    <x v="16"/>
    <x v="1799"/>
    <n v="1"/>
    <x v="3"/>
    <n v="0.9"/>
    <n v="1.39"/>
    <x v="67"/>
    <x v="0"/>
    <n v="0.8"/>
    <n v="0.45"/>
    <n v="0.32"/>
    <n v="0.74"/>
    <n v="0.61"/>
    <n v="0.78"/>
    <n v="7.0000000000000007E-2"/>
    <n v="0.32"/>
    <n v="0.32"/>
    <n v="0.33"/>
    <x v="1"/>
    <s v="High Exposure"/>
  </r>
  <r>
    <x v="4"/>
    <x v="1800"/>
    <n v="5"/>
    <x v="1"/>
    <n v="0.28000000000000003"/>
    <n v="0.94"/>
    <x v="84"/>
    <x v="2"/>
    <n v="0.74"/>
    <n v="0.6"/>
    <n v="0.65"/>
    <n v="0.21"/>
    <n v="0.33"/>
    <n v="0.02"/>
    <n v="0.11"/>
    <n v="0.27"/>
    <n v="7.0000000000000007E-2"/>
    <n v="0.6"/>
    <x v="1"/>
    <s v="Low Exposure"/>
  </r>
  <r>
    <x v="13"/>
    <x v="1801"/>
    <n v="13"/>
    <x v="2"/>
    <n v="0.1"/>
    <n v="1.32"/>
    <x v="53"/>
    <x v="2"/>
    <n v="0.67"/>
    <n v="0.64"/>
    <n v="0.9"/>
    <n v="0.11"/>
    <n v="0.32"/>
    <n v="0.09"/>
    <n v="0.41"/>
    <n v="0.91"/>
    <n v="0.78"/>
    <n v="0.72"/>
    <x v="2"/>
    <s v="Low Exposure"/>
  </r>
  <r>
    <x v="9"/>
    <x v="1802"/>
    <n v="26"/>
    <x v="0"/>
    <n v="0.88"/>
    <n v="0.95"/>
    <x v="44"/>
    <x v="0"/>
    <n v="0.84"/>
    <n v="0.28000000000000003"/>
    <n v="0.05"/>
    <n v="0.13"/>
    <n v="0.61"/>
    <n v="0.61"/>
    <n v="0.26"/>
    <n v="0.73"/>
    <n v="0.77"/>
    <n v="0.92"/>
    <x v="0"/>
    <s v="High Exposure"/>
  </r>
  <r>
    <x v="4"/>
    <x v="1803"/>
    <n v="8"/>
    <x v="1"/>
    <n v="0.78"/>
    <n v="1.25"/>
    <x v="10"/>
    <x v="2"/>
    <n v="0.31"/>
    <n v="0.48"/>
    <n v="0.02"/>
    <n v="0.3"/>
    <n v="0.47"/>
    <n v="0.11"/>
    <n v="0.13"/>
    <n v="0.46"/>
    <n v="0.73"/>
    <n v="0.83"/>
    <x v="2"/>
    <s v="High Exposure"/>
  </r>
  <r>
    <x v="16"/>
    <x v="1804"/>
    <n v="21"/>
    <x v="2"/>
    <n v="0.47"/>
    <n v="0.88"/>
    <x v="73"/>
    <x v="0"/>
    <n v="0.15"/>
    <n v="0.79"/>
    <n v="0.47"/>
    <n v="0.79"/>
    <n v="0.7"/>
    <n v="0.19"/>
    <n v="0.51"/>
    <n v="0.44"/>
    <n v="0.42"/>
    <n v="0.54"/>
    <x v="0"/>
    <s v="Medium Exposure"/>
  </r>
  <r>
    <x v="4"/>
    <x v="1805"/>
    <n v="18"/>
    <x v="0"/>
    <n v="0.31"/>
    <n v="0.84"/>
    <x v="50"/>
    <x v="2"/>
    <n v="0.31"/>
    <n v="0.89"/>
    <n v="0.44"/>
    <n v="0.28999999999999998"/>
    <n v="0.16"/>
    <n v="0.67"/>
    <n v="0.03"/>
    <n v="0.45"/>
    <n v="0.55000000000000004"/>
    <n v="0.34"/>
    <x v="0"/>
    <s v="Medium Exposure"/>
  </r>
  <r>
    <x v="0"/>
    <x v="1806"/>
    <n v="17"/>
    <x v="1"/>
    <n v="0.68"/>
    <n v="1.47"/>
    <x v="35"/>
    <x v="0"/>
    <n v="0.54"/>
    <n v="0.25"/>
    <n v="0.39"/>
    <n v="0.03"/>
    <n v="0.69"/>
    <n v="0.31"/>
    <n v="0.54"/>
    <n v="0.25"/>
    <n v="0.62"/>
    <n v="0.45"/>
    <x v="0"/>
    <s v="Medium Exposure"/>
  </r>
  <r>
    <x v="15"/>
    <x v="1807"/>
    <n v="9"/>
    <x v="1"/>
    <n v="0.94"/>
    <n v="1.21"/>
    <x v="54"/>
    <x v="1"/>
    <n v="0.5"/>
    <n v="0.47"/>
    <n v="0.8"/>
    <n v="0.83"/>
    <n v="0.28000000000000003"/>
    <n v="0.82"/>
    <n v="0.18"/>
    <n v="0.76"/>
    <n v="0.25"/>
    <n v="0.3"/>
    <x v="2"/>
    <s v="High Exposure"/>
  </r>
  <r>
    <x v="6"/>
    <x v="1808"/>
    <n v="28"/>
    <x v="1"/>
    <n v="0.42"/>
    <n v="1.49"/>
    <x v="46"/>
    <x v="2"/>
    <n v="0.46"/>
    <n v="0.73"/>
    <n v="0.01"/>
    <n v="0.15"/>
    <n v="0.02"/>
    <n v="0.99"/>
    <n v="0.76"/>
    <n v="0.37"/>
    <n v="0.16"/>
    <n v="0.09"/>
    <x v="0"/>
    <s v="Medium Exposure"/>
  </r>
  <r>
    <x v="18"/>
    <x v="1809"/>
    <n v="14"/>
    <x v="1"/>
    <n v="0.98"/>
    <n v="1.17"/>
    <x v="41"/>
    <x v="1"/>
    <n v="0.5"/>
    <n v="1"/>
    <n v="0.52"/>
    <n v="0.96"/>
    <n v="0.02"/>
    <n v="0.72"/>
    <n v="0.63"/>
    <n v="0.69"/>
    <n v="0.56999999999999995"/>
    <n v="0.04"/>
    <x v="2"/>
    <s v="High Exposure"/>
  </r>
  <r>
    <x v="18"/>
    <x v="1810"/>
    <n v="18"/>
    <x v="2"/>
    <n v="0.92"/>
    <n v="0.73"/>
    <x v="85"/>
    <x v="1"/>
    <n v="0.68"/>
    <n v="0.44"/>
    <n v="0.92"/>
    <n v="0.79"/>
    <n v="0.43"/>
    <n v="7.0000000000000007E-2"/>
    <n v="0.87"/>
    <n v="0.77"/>
    <n v="0.79"/>
    <n v="0.74"/>
    <x v="0"/>
    <s v="High Exposure"/>
  </r>
  <r>
    <x v="11"/>
    <x v="631"/>
    <n v="3"/>
    <x v="2"/>
    <n v="0"/>
    <n v="0.74"/>
    <x v="86"/>
    <x v="2"/>
    <n v="0.11"/>
    <n v="0.53"/>
    <n v="0.04"/>
    <n v="0.18"/>
    <n v="0.23"/>
    <n v="0.66"/>
    <n v="0.47"/>
    <n v="0.46"/>
    <n v="0.77"/>
    <n v="0.46"/>
    <x v="1"/>
    <s v="Low Exposure"/>
  </r>
  <r>
    <x v="17"/>
    <x v="1811"/>
    <n v="23"/>
    <x v="2"/>
    <n v="0.65"/>
    <n v="0.65"/>
    <x v="33"/>
    <x v="2"/>
    <n v="0.85"/>
    <n v="0.12"/>
    <n v="0.9"/>
    <n v="0.08"/>
    <n v="0.35"/>
    <n v="0.61"/>
    <n v="0.56000000000000005"/>
    <n v="0.1"/>
    <n v="0.8"/>
    <n v="0.97"/>
    <x v="0"/>
    <s v="Medium Exposure"/>
  </r>
  <r>
    <x v="17"/>
    <x v="1812"/>
    <n v="5"/>
    <x v="1"/>
    <n v="0.9"/>
    <n v="1.06"/>
    <x v="79"/>
    <x v="2"/>
    <n v="0.18"/>
    <n v="0.79"/>
    <n v="0.06"/>
    <n v="0.88"/>
    <n v="0.67"/>
    <n v="0.37"/>
    <n v="0.19"/>
    <n v="0.82"/>
    <n v="0.6"/>
    <n v="0.36"/>
    <x v="1"/>
    <s v="High Exposure"/>
  </r>
  <r>
    <x v="18"/>
    <x v="1813"/>
    <n v="21"/>
    <x v="2"/>
    <n v="0.83"/>
    <n v="0.84"/>
    <x v="34"/>
    <x v="1"/>
    <n v="0.91"/>
    <n v="0.39"/>
    <n v="0.35"/>
    <n v="0.2"/>
    <n v="0.9"/>
    <n v="0.22"/>
    <n v="0.64"/>
    <n v="0.88"/>
    <n v="0.03"/>
    <n v="0.83"/>
    <x v="0"/>
    <s v="High Exposure"/>
  </r>
  <r>
    <x v="18"/>
    <x v="1814"/>
    <n v="29"/>
    <x v="2"/>
    <n v="0.66"/>
    <n v="0.87"/>
    <x v="29"/>
    <x v="1"/>
    <n v="0.25"/>
    <n v="0.02"/>
    <n v="0.95"/>
    <n v="0.02"/>
    <n v="0.82"/>
    <n v="0.17"/>
    <n v="0.39"/>
    <n v="0.82"/>
    <n v="0.21"/>
    <n v="0.87"/>
    <x v="0"/>
    <s v="Medium Exposure"/>
  </r>
  <r>
    <x v="18"/>
    <x v="1815"/>
    <n v="26"/>
    <x v="0"/>
    <n v="0.37"/>
    <n v="1.1599999999999999"/>
    <x v="41"/>
    <x v="1"/>
    <n v="0.35"/>
    <n v="0.73"/>
    <n v="0.31"/>
    <n v="0.2"/>
    <n v="0.81"/>
    <n v="0.81"/>
    <n v="0.5"/>
    <n v="0.53"/>
    <n v="0.7"/>
    <n v="0.51"/>
    <x v="0"/>
    <s v="Medium Exposure"/>
  </r>
  <r>
    <x v="11"/>
    <x v="1816"/>
    <n v="11"/>
    <x v="1"/>
    <n v="0.99"/>
    <n v="0.65"/>
    <x v="22"/>
    <x v="2"/>
    <n v="0.89"/>
    <n v="0.69"/>
    <n v="0.88"/>
    <n v="0.34"/>
    <n v="0.27"/>
    <n v="0.85"/>
    <n v="0.39"/>
    <n v="0.71"/>
    <n v="0.15"/>
    <n v="0.76"/>
    <x v="2"/>
    <s v="High Exposure"/>
  </r>
  <r>
    <x v="19"/>
    <x v="1817"/>
    <n v="27"/>
    <x v="1"/>
    <n v="0.27"/>
    <n v="0.99"/>
    <x v="14"/>
    <x v="2"/>
    <n v="0.01"/>
    <n v="0.64"/>
    <n v="0.54"/>
    <n v="0.22"/>
    <n v="0.75"/>
    <n v="0.3"/>
    <n v="0.28000000000000003"/>
    <n v="0.47"/>
    <n v="0.68"/>
    <n v="0.93"/>
    <x v="0"/>
    <s v="Low Exposure"/>
  </r>
  <r>
    <x v="1"/>
    <x v="1818"/>
    <n v="16"/>
    <x v="1"/>
    <n v="0.39"/>
    <n v="1.41"/>
    <x v="15"/>
    <x v="1"/>
    <n v="0.2"/>
    <n v="0.38"/>
    <n v="0.56000000000000005"/>
    <n v="0.85"/>
    <n v="0.53"/>
    <n v="0.97"/>
    <n v="0.8"/>
    <n v="0.95"/>
    <n v="0.73"/>
    <n v="0.88"/>
    <x v="0"/>
    <s v="Medium Exposure"/>
  </r>
  <r>
    <x v="17"/>
    <x v="1819"/>
    <n v="24"/>
    <x v="0"/>
    <n v="0.25"/>
    <n v="0.73"/>
    <x v="38"/>
    <x v="2"/>
    <n v="0.08"/>
    <n v="0.41"/>
    <n v="0.82"/>
    <n v="0.81"/>
    <n v="0.14000000000000001"/>
    <n v="0.49"/>
    <n v="0.48"/>
    <n v="0.32"/>
    <n v="0.92"/>
    <n v="0.65"/>
    <x v="0"/>
    <s v="Low Exposure"/>
  </r>
  <r>
    <x v="18"/>
    <x v="1820"/>
    <n v="28"/>
    <x v="2"/>
    <n v="7.0000000000000007E-2"/>
    <n v="0.89"/>
    <x v="75"/>
    <x v="1"/>
    <n v="0.42"/>
    <n v="0.26"/>
    <n v="1"/>
    <n v="0.87"/>
    <n v="0.55000000000000004"/>
    <n v="0.56000000000000005"/>
    <n v="0.01"/>
    <n v="0.98"/>
    <n v="0.81"/>
    <n v="0.04"/>
    <x v="0"/>
    <s v="Low Exposure"/>
  </r>
  <r>
    <x v="18"/>
    <x v="1821"/>
    <n v="21"/>
    <x v="1"/>
    <n v="0.35"/>
    <n v="1.03"/>
    <x v="42"/>
    <x v="1"/>
    <n v="0.61"/>
    <n v="0.73"/>
    <n v="0.66"/>
    <n v="7.0000000000000007E-2"/>
    <n v="0.46"/>
    <n v="0.66"/>
    <n v="0.3"/>
    <n v="0.31"/>
    <n v="0.12"/>
    <n v="0.42"/>
    <x v="0"/>
    <s v="Medium Exposure"/>
  </r>
  <r>
    <x v="18"/>
    <x v="1822"/>
    <n v="8"/>
    <x v="3"/>
    <n v="0.28999999999999998"/>
    <n v="1.03"/>
    <x v="52"/>
    <x v="1"/>
    <n v="0.01"/>
    <n v="0.9"/>
    <n v="0.39"/>
    <n v="0.87"/>
    <n v="0.04"/>
    <n v="0.15"/>
    <n v="0.32"/>
    <n v="0.35"/>
    <n v="0.85"/>
    <n v="0.01"/>
    <x v="2"/>
    <s v="Low Exposure"/>
  </r>
  <r>
    <x v="18"/>
    <x v="1823"/>
    <n v="14"/>
    <x v="3"/>
    <n v="0.84"/>
    <n v="0.79"/>
    <x v="75"/>
    <x v="1"/>
    <n v="0.48"/>
    <n v="0.18"/>
    <n v="0.8"/>
    <n v="0.38"/>
    <n v="0.71"/>
    <n v="0.84"/>
    <n v="0.96"/>
    <n v="0.09"/>
    <n v="0.01"/>
    <n v="0.55000000000000004"/>
    <x v="2"/>
    <s v="High Exposure"/>
  </r>
  <r>
    <x v="13"/>
    <x v="1824"/>
    <n v="19"/>
    <x v="0"/>
    <n v="0.47"/>
    <n v="0.56999999999999995"/>
    <x v="11"/>
    <x v="2"/>
    <n v="0.12"/>
    <n v="0.84"/>
    <n v="0.76"/>
    <n v="7.0000000000000007E-2"/>
    <n v="0.84"/>
    <n v="0.32"/>
    <n v="0.35"/>
    <n v="0.18"/>
    <n v="0.84"/>
    <n v="0.4"/>
    <x v="0"/>
    <s v="Medium Exposure"/>
  </r>
  <r>
    <x v="14"/>
    <x v="1825"/>
    <n v="20"/>
    <x v="1"/>
    <n v="0.97"/>
    <n v="0.76"/>
    <x v="17"/>
    <x v="0"/>
    <n v="0.3"/>
    <n v="0.83"/>
    <n v="0.66"/>
    <n v="0.86"/>
    <n v="0.98"/>
    <n v="0.87"/>
    <n v="0.4"/>
    <n v="0.81"/>
    <n v="0.71"/>
    <n v="0.06"/>
    <x v="0"/>
    <s v="High Exposure"/>
  </r>
  <r>
    <x v="13"/>
    <x v="1826"/>
    <n v="18"/>
    <x v="2"/>
    <n v="0.47"/>
    <n v="0.63"/>
    <x v="25"/>
    <x v="2"/>
    <n v="0.6"/>
    <n v="0.56999999999999995"/>
    <n v="0.56999999999999995"/>
    <n v="0.26"/>
    <n v="0.63"/>
    <n v="0.91"/>
    <n v="0.39"/>
    <n v="0.63"/>
    <n v="0.24"/>
    <n v="0.05"/>
    <x v="0"/>
    <s v="Medium Exposure"/>
  </r>
  <r>
    <x v="15"/>
    <x v="1827"/>
    <n v="20"/>
    <x v="2"/>
    <n v="0.05"/>
    <n v="1.22"/>
    <x v="29"/>
    <x v="1"/>
    <n v="0.37"/>
    <n v="0.41"/>
    <n v="0.92"/>
    <n v="0.01"/>
    <n v="0.56000000000000005"/>
    <n v="0.92"/>
    <n v="0.91"/>
    <n v="0.57999999999999996"/>
    <n v="0.38"/>
    <n v="0.1"/>
    <x v="0"/>
    <s v="Low Exposure"/>
  </r>
  <r>
    <x v="1"/>
    <x v="1828"/>
    <n v="0"/>
    <x v="0"/>
    <n v="0.68"/>
    <n v="0.52"/>
    <x v="15"/>
    <x v="1"/>
    <n v="0.59"/>
    <n v="0.05"/>
    <n v="0.24"/>
    <n v="0.59"/>
    <n v="0.04"/>
    <n v="0.78"/>
    <n v="0.92"/>
    <n v="0.96"/>
    <n v="0.73"/>
    <n v="0.86"/>
    <x v="1"/>
    <s v="Medium Exposure"/>
  </r>
  <r>
    <x v="15"/>
    <x v="1829"/>
    <n v="4"/>
    <x v="0"/>
    <n v="0.46"/>
    <n v="1.21"/>
    <x v="37"/>
    <x v="1"/>
    <n v="0.11"/>
    <n v="0.76"/>
    <n v="0.96"/>
    <n v="0.57999999999999996"/>
    <n v="0.48"/>
    <n v="0.53"/>
    <n v="0.48"/>
    <n v="0.44"/>
    <n v="0.95"/>
    <n v="0.48"/>
    <x v="1"/>
    <s v="Medium Exposure"/>
  </r>
  <r>
    <x v="0"/>
    <x v="1830"/>
    <n v="19"/>
    <x v="3"/>
    <n v="0.77"/>
    <n v="0.89"/>
    <x v="51"/>
    <x v="0"/>
    <n v="0.57999999999999996"/>
    <n v="0.71"/>
    <n v="0.06"/>
    <n v="0.03"/>
    <n v="0.38"/>
    <n v="0.69"/>
    <n v="0.22"/>
    <n v="0.43"/>
    <n v="0.98"/>
    <n v="0.21"/>
    <x v="0"/>
    <s v="High Exposure"/>
  </r>
  <r>
    <x v="4"/>
    <x v="1831"/>
    <n v="17"/>
    <x v="0"/>
    <n v="0.83"/>
    <n v="1.39"/>
    <x v="79"/>
    <x v="2"/>
    <n v="0.51"/>
    <n v="0.68"/>
    <n v="0.62"/>
    <n v="0.31"/>
    <n v="0.28000000000000003"/>
    <n v="0.34"/>
    <n v="0.22"/>
    <n v="0.76"/>
    <n v="0.96"/>
    <n v="0.87"/>
    <x v="0"/>
    <s v="High Exposure"/>
  </r>
  <r>
    <x v="10"/>
    <x v="1832"/>
    <n v="29"/>
    <x v="1"/>
    <n v="0.05"/>
    <n v="1.26"/>
    <x v="36"/>
    <x v="2"/>
    <n v="0.82"/>
    <n v="0.78"/>
    <n v="0.63"/>
    <n v="0.26"/>
    <n v="0.1"/>
    <n v="0.25"/>
    <n v="0.51"/>
    <n v="0.98"/>
    <n v="0.06"/>
    <n v="0.2"/>
    <x v="0"/>
    <s v="Low Exposure"/>
  </r>
  <r>
    <x v="14"/>
    <x v="1833"/>
    <n v="3"/>
    <x v="3"/>
    <n v="0.3"/>
    <n v="1.36"/>
    <x v="67"/>
    <x v="0"/>
    <n v="0.96"/>
    <n v="0.91"/>
    <n v="0.89"/>
    <n v="0.17"/>
    <n v="0.33"/>
    <n v="0.8"/>
    <n v="0.81"/>
    <n v="0.71"/>
    <n v="0.45"/>
    <n v="0.31"/>
    <x v="1"/>
    <s v="Medium Exposure"/>
  </r>
  <r>
    <x v="0"/>
    <x v="1834"/>
    <n v="6"/>
    <x v="2"/>
    <n v="0.14000000000000001"/>
    <n v="0.54"/>
    <x v="58"/>
    <x v="2"/>
    <n v="0.78"/>
    <n v="0.06"/>
    <n v="0.54"/>
    <n v="0.37"/>
    <n v="0.15"/>
    <n v="0.74"/>
    <n v="0.06"/>
    <n v="0.32"/>
    <n v="0.56000000000000005"/>
    <n v="0.4"/>
    <x v="2"/>
    <s v="Low Exposure"/>
  </r>
  <r>
    <x v="4"/>
    <x v="1835"/>
    <n v="16"/>
    <x v="3"/>
    <n v="0.93"/>
    <n v="1.43"/>
    <x v="25"/>
    <x v="2"/>
    <n v="0.39"/>
    <n v="0.31"/>
    <n v="0.86"/>
    <n v="0.56999999999999995"/>
    <n v="0.09"/>
    <n v="0.85"/>
    <n v="0.53"/>
    <n v="0.42"/>
    <n v="0.34"/>
    <n v="0.1"/>
    <x v="0"/>
    <s v="High Exposure"/>
  </r>
  <r>
    <x v="5"/>
    <x v="1836"/>
    <n v="13"/>
    <x v="0"/>
    <n v="0.74"/>
    <n v="0.63"/>
    <x v="82"/>
    <x v="1"/>
    <n v="0.56000000000000005"/>
    <n v="0.17"/>
    <n v="0.43"/>
    <n v="0.65"/>
    <n v="0.28000000000000003"/>
    <n v="0.33"/>
    <n v="0.12"/>
    <n v="0.41"/>
    <n v="0.57999999999999996"/>
    <n v="0.12"/>
    <x v="2"/>
    <s v="High Exposure"/>
  </r>
  <r>
    <x v="15"/>
    <x v="1837"/>
    <n v="22"/>
    <x v="1"/>
    <n v="0.4"/>
    <n v="1.18"/>
    <x v="61"/>
    <x v="1"/>
    <n v="0.56999999999999995"/>
    <n v="0.61"/>
    <n v="0.69"/>
    <n v="0.76"/>
    <n v="0.14000000000000001"/>
    <n v="0.97"/>
    <n v="0.84"/>
    <n v="0.56000000000000005"/>
    <n v="0.89"/>
    <n v="0.38"/>
    <x v="0"/>
    <s v="Medium Exposure"/>
  </r>
  <r>
    <x v="11"/>
    <x v="1838"/>
    <n v="27"/>
    <x v="1"/>
    <n v="0.73"/>
    <n v="1.44"/>
    <x v="46"/>
    <x v="2"/>
    <n v="0.64"/>
    <n v="0.81"/>
    <n v="0.91"/>
    <n v="0.28000000000000003"/>
    <n v="0.13"/>
    <n v="0.25"/>
    <n v="0.57999999999999996"/>
    <n v="0.92"/>
    <n v="0.57999999999999996"/>
    <n v="0.92"/>
    <x v="0"/>
    <s v="High Exposure"/>
  </r>
  <r>
    <x v="10"/>
    <x v="1839"/>
    <n v="14"/>
    <x v="3"/>
    <n v="0.6"/>
    <n v="0.52"/>
    <x v="87"/>
    <x v="2"/>
    <n v="0.06"/>
    <n v="0.32"/>
    <n v="0.06"/>
    <n v="0.17"/>
    <n v="0.41"/>
    <n v="0.51"/>
    <n v="0.22"/>
    <n v="0.73"/>
    <n v="0.59"/>
    <n v="0.69"/>
    <x v="2"/>
    <s v="Medium Exposure"/>
  </r>
  <r>
    <x v="7"/>
    <x v="1840"/>
    <n v="17"/>
    <x v="3"/>
    <n v="0.73"/>
    <n v="1.44"/>
    <x v="37"/>
    <x v="1"/>
    <n v="0.27"/>
    <n v="0.09"/>
    <n v="0.59"/>
    <n v="0.4"/>
    <n v="0.5"/>
    <n v="0.17"/>
    <n v="0.65"/>
    <n v="0.62"/>
    <n v="0.26"/>
    <n v="0.47"/>
    <x v="0"/>
    <s v="High Exposure"/>
  </r>
  <r>
    <x v="11"/>
    <x v="1841"/>
    <n v="11"/>
    <x v="3"/>
    <n v="0.77"/>
    <n v="0.73"/>
    <x v="38"/>
    <x v="2"/>
    <n v="7.0000000000000007E-2"/>
    <n v="0.41"/>
    <n v="0.08"/>
    <n v="0.92"/>
    <n v="0.04"/>
    <n v="0.15"/>
    <n v="0.92"/>
    <n v="0.57999999999999996"/>
    <n v="0.8"/>
    <n v="0.02"/>
    <x v="2"/>
    <s v="High Exposure"/>
  </r>
  <r>
    <x v="7"/>
    <x v="1842"/>
    <n v="21"/>
    <x v="3"/>
    <n v="0.98"/>
    <n v="1.08"/>
    <x v="75"/>
    <x v="1"/>
    <n v="0.96"/>
    <n v="0.69"/>
    <n v="0.33"/>
    <n v="0.31"/>
    <n v="7.0000000000000007E-2"/>
    <n v="0.43"/>
    <n v="0.92"/>
    <n v="0.48"/>
    <n v="0.91"/>
    <n v="0.82"/>
    <x v="0"/>
    <s v="High Exposure"/>
  </r>
  <r>
    <x v="1"/>
    <x v="1843"/>
    <n v="16"/>
    <x v="2"/>
    <n v="0.95"/>
    <n v="1.21"/>
    <x v="15"/>
    <x v="1"/>
    <n v="0.75"/>
    <n v="0.7"/>
    <n v="0.72"/>
    <n v="0.72"/>
    <n v="0.38"/>
    <n v="0.42"/>
    <n v="0.28999999999999998"/>
    <n v="0.15"/>
    <n v="0.46"/>
    <n v="0.9"/>
    <x v="0"/>
    <s v="High Exposure"/>
  </r>
  <r>
    <x v="4"/>
    <x v="526"/>
    <n v="28"/>
    <x v="1"/>
    <n v="0.06"/>
    <n v="1.31"/>
    <x v="79"/>
    <x v="2"/>
    <n v="0.83"/>
    <n v="0.73"/>
    <n v="0.15"/>
    <n v="0.35"/>
    <n v="0.56999999999999995"/>
    <n v="0.08"/>
    <n v="0.11"/>
    <n v="0.93"/>
    <n v="0.7"/>
    <n v="0.28000000000000003"/>
    <x v="0"/>
    <s v="Low Exposure"/>
  </r>
  <r>
    <x v="13"/>
    <x v="1844"/>
    <n v="27"/>
    <x v="1"/>
    <n v="0.8"/>
    <n v="0.83"/>
    <x v="30"/>
    <x v="2"/>
    <n v="0.34"/>
    <n v="0.5"/>
    <n v="0.7"/>
    <n v="0.77"/>
    <n v="0.39"/>
    <n v="0.66"/>
    <n v="0.72"/>
    <n v="0.3"/>
    <n v="0.1"/>
    <n v="0.89"/>
    <x v="0"/>
    <s v="High Exposure"/>
  </r>
  <r>
    <x v="18"/>
    <x v="1845"/>
    <n v="14"/>
    <x v="1"/>
    <n v="0.65"/>
    <n v="0.56000000000000005"/>
    <x v="88"/>
    <x v="1"/>
    <n v="0.56999999999999995"/>
    <n v="0.85"/>
    <n v="0.97"/>
    <n v="0.96"/>
    <n v="0.86"/>
    <n v="0.01"/>
    <n v="0.89"/>
    <n v="0.08"/>
    <n v="0.85"/>
    <n v="0.28000000000000003"/>
    <x v="2"/>
    <s v="Medium Exposure"/>
  </r>
  <r>
    <x v="10"/>
    <x v="1846"/>
    <n v="26"/>
    <x v="2"/>
    <n v="0.49"/>
    <n v="0.63"/>
    <x v="79"/>
    <x v="2"/>
    <n v="0.32"/>
    <n v="0.19"/>
    <n v="0.48"/>
    <n v="0.04"/>
    <n v="0.25"/>
    <n v="7.0000000000000007E-2"/>
    <n v="0.13"/>
    <n v="0.11"/>
    <n v="0.87"/>
    <n v="0.93"/>
    <x v="0"/>
    <s v="Medium Exposure"/>
  </r>
  <r>
    <x v="8"/>
    <x v="1847"/>
    <n v="22"/>
    <x v="1"/>
    <n v="0.63"/>
    <n v="1.2"/>
    <x v="36"/>
    <x v="2"/>
    <n v="0.37"/>
    <n v="0.68"/>
    <n v="0.38"/>
    <n v="0.57999999999999996"/>
    <n v="0.52"/>
    <n v="0.52"/>
    <n v="0.83"/>
    <n v="0.7"/>
    <n v="0.96"/>
    <n v="0.79"/>
    <x v="0"/>
    <s v="Medium Exposure"/>
  </r>
  <r>
    <x v="3"/>
    <x v="1848"/>
    <n v="6"/>
    <x v="2"/>
    <n v="0.74"/>
    <n v="1.17"/>
    <x v="23"/>
    <x v="2"/>
    <n v="0.48"/>
    <n v="0.06"/>
    <n v="0.95"/>
    <n v="0.85"/>
    <n v="0.49"/>
    <n v="0.16"/>
    <n v="0.82"/>
    <n v="0.43"/>
    <n v="0.39"/>
    <n v="0.67"/>
    <x v="2"/>
    <s v="High Exposure"/>
  </r>
  <r>
    <x v="7"/>
    <x v="1849"/>
    <n v="28"/>
    <x v="2"/>
    <n v="0.06"/>
    <n v="1.27"/>
    <x v="70"/>
    <x v="1"/>
    <n v="0.59"/>
    <n v="0.34"/>
    <n v="0.16"/>
    <n v="0.1"/>
    <n v="0"/>
    <n v="0.21"/>
    <n v="0.41"/>
    <n v="0.24"/>
    <n v="0.31"/>
    <n v="0.39"/>
    <x v="0"/>
    <s v="Low Exposure"/>
  </r>
  <r>
    <x v="5"/>
    <x v="1850"/>
    <n v="10"/>
    <x v="2"/>
    <n v="0.72"/>
    <n v="0.99"/>
    <x v="1"/>
    <x v="1"/>
    <n v="0.23"/>
    <n v="0.71"/>
    <n v="0.3"/>
    <n v="0.92"/>
    <n v="0.71"/>
    <n v="0.28999999999999998"/>
    <n v="0.52"/>
    <n v="0.67"/>
    <n v="0.19"/>
    <n v="0.25"/>
    <x v="2"/>
    <s v="High Exposure"/>
  </r>
  <r>
    <x v="0"/>
    <x v="1851"/>
    <n v="11"/>
    <x v="0"/>
    <n v="0.92"/>
    <n v="0.84"/>
    <x v="9"/>
    <x v="0"/>
    <n v="0.19"/>
    <n v="0.59"/>
    <n v="0.74"/>
    <n v="0.44"/>
    <n v="0.75"/>
    <n v="0.3"/>
    <n v="0.71"/>
    <n v="0.26"/>
    <n v="0.78"/>
    <n v="0.83"/>
    <x v="2"/>
    <s v="High Exposure"/>
  </r>
  <r>
    <x v="19"/>
    <x v="1852"/>
    <n v="12"/>
    <x v="3"/>
    <n v="0.22"/>
    <n v="1.19"/>
    <x v="43"/>
    <x v="2"/>
    <n v="0.99"/>
    <n v="0.36"/>
    <n v="0.77"/>
    <n v="0.37"/>
    <n v="0.4"/>
    <n v="0.11"/>
    <n v="0.24"/>
    <n v="0.16"/>
    <n v="0.16"/>
    <n v="0.01"/>
    <x v="2"/>
    <s v="Low Exposure"/>
  </r>
  <r>
    <x v="14"/>
    <x v="1853"/>
    <n v="27"/>
    <x v="1"/>
    <n v="0.47"/>
    <n v="1.3"/>
    <x v="0"/>
    <x v="0"/>
    <n v="0.83"/>
    <n v="0.5"/>
    <n v="0.09"/>
    <n v="0.62"/>
    <n v="0.68"/>
    <n v="0.63"/>
    <n v="0.8"/>
    <n v="0.73"/>
    <n v="0.43"/>
    <n v="0.82"/>
    <x v="0"/>
    <s v="Medium Exposure"/>
  </r>
  <r>
    <x v="3"/>
    <x v="1854"/>
    <n v="2"/>
    <x v="0"/>
    <n v="0.12"/>
    <n v="1.04"/>
    <x v="31"/>
    <x v="2"/>
    <n v="0.55000000000000004"/>
    <n v="0.95"/>
    <n v="0.1"/>
    <n v="0.72"/>
    <n v="0.82"/>
    <n v="0.7"/>
    <n v="0.39"/>
    <n v="0.39"/>
    <n v="0.59"/>
    <n v="0.4"/>
    <x v="1"/>
    <s v="Low Exposure"/>
  </r>
  <r>
    <x v="16"/>
    <x v="1855"/>
    <n v="24"/>
    <x v="0"/>
    <n v="0.11"/>
    <n v="1.1399999999999999"/>
    <x v="67"/>
    <x v="0"/>
    <n v="0.54"/>
    <n v="0.72"/>
    <n v="0.17"/>
    <n v="0.7"/>
    <n v="0.14000000000000001"/>
    <n v="0.62"/>
    <n v="0.51"/>
    <n v="0.3"/>
    <n v="0.11"/>
    <n v="0.74"/>
    <x v="0"/>
    <s v="Low Exposure"/>
  </r>
  <r>
    <x v="12"/>
    <x v="1856"/>
    <n v="15"/>
    <x v="0"/>
    <n v="0.33"/>
    <n v="0.71"/>
    <x v="6"/>
    <x v="2"/>
    <n v="0.43"/>
    <n v="0.18"/>
    <n v="0.96"/>
    <n v="0.11"/>
    <n v="0.99"/>
    <n v="0.84"/>
    <n v="0.42"/>
    <n v="0.74"/>
    <n v="0.67"/>
    <n v="0.21"/>
    <x v="2"/>
    <s v="Medium Exposure"/>
  </r>
  <r>
    <x v="17"/>
    <x v="1857"/>
    <n v="10"/>
    <x v="3"/>
    <n v="0.56999999999999995"/>
    <n v="1.1399999999999999"/>
    <x v="26"/>
    <x v="2"/>
    <n v="0.39"/>
    <n v="0.3"/>
    <n v="0.04"/>
    <n v="0.15"/>
    <n v="0.11"/>
    <n v="0.34"/>
    <n v="0.61"/>
    <n v="0.05"/>
    <n v="0.73"/>
    <n v="0.4"/>
    <x v="2"/>
    <s v="Medium Exposure"/>
  </r>
  <r>
    <x v="2"/>
    <x v="1858"/>
    <n v="6"/>
    <x v="2"/>
    <n v="0.56999999999999995"/>
    <n v="1.27"/>
    <x v="24"/>
    <x v="0"/>
    <n v="0.89"/>
    <n v="0.52"/>
    <n v="0.4"/>
    <n v="0.56000000000000005"/>
    <n v="0.4"/>
    <n v="0.24"/>
    <n v="0.32"/>
    <n v="0.23"/>
    <n v="0.27"/>
    <n v="0.09"/>
    <x v="2"/>
    <s v="Medium Exposure"/>
  </r>
  <r>
    <x v="2"/>
    <x v="1859"/>
    <n v="10"/>
    <x v="2"/>
    <n v="0.24"/>
    <n v="0.95"/>
    <x v="40"/>
    <x v="0"/>
    <n v="0.45"/>
    <n v="0.95"/>
    <n v="0.15"/>
    <n v="0.85"/>
    <n v="0.25"/>
    <n v="0.93"/>
    <n v="0.23"/>
    <n v="0.75"/>
    <n v="0.06"/>
    <n v="0.63"/>
    <x v="2"/>
    <s v="Low Exposure"/>
  </r>
  <r>
    <x v="2"/>
    <x v="1860"/>
    <n v="7"/>
    <x v="3"/>
    <n v="0.67"/>
    <n v="1.1399999999999999"/>
    <x v="17"/>
    <x v="0"/>
    <n v="0.63"/>
    <n v="0.41"/>
    <n v="0.19"/>
    <n v="0.66"/>
    <n v="0.12"/>
    <n v="0.83"/>
    <n v="0.25"/>
    <n v="0.52"/>
    <n v="0.6"/>
    <n v="0.36"/>
    <x v="2"/>
    <s v="Medium Exposure"/>
  </r>
  <r>
    <x v="12"/>
    <x v="1861"/>
    <n v="26"/>
    <x v="0"/>
    <n v="0.25"/>
    <n v="0.53"/>
    <x v="26"/>
    <x v="2"/>
    <n v="0.32"/>
    <n v="0.71"/>
    <n v="0.51"/>
    <n v="0.67"/>
    <n v="0.11"/>
    <n v="0.52"/>
    <n v="0.39"/>
    <n v="0.45"/>
    <n v="0.97"/>
    <n v="0.14000000000000001"/>
    <x v="0"/>
    <s v="Low Exposure"/>
  </r>
  <r>
    <x v="13"/>
    <x v="1862"/>
    <n v="7"/>
    <x v="2"/>
    <n v="0.33"/>
    <n v="0.79"/>
    <x v="6"/>
    <x v="2"/>
    <n v="0.35"/>
    <n v="0.36"/>
    <n v="0.27"/>
    <n v="0.67"/>
    <n v="0.05"/>
    <n v="0.33"/>
    <n v="0.28000000000000003"/>
    <n v="0.75"/>
    <n v="0.15"/>
    <n v="0.94"/>
    <x v="2"/>
    <s v="Medium Exposure"/>
  </r>
  <r>
    <x v="19"/>
    <x v="1863"/>
    <n v="17"/>
    <x v="3"/>
    <n v="0.37"/>
    <n v="0.7"/>
    <x v="6"/>
    <x v="2"/>
    <n v="0.76"/>
    <n v="0.48"/>
    <n v="0.16"/>
    <n v="0.05"/>
    <n v="0.23"/>
    <n v="0.95"/>
    <n v="0.85"/>
    <n v="0.44"/>
    <n v="0.48"/>
    <n v="0.9"/>
    <x v="0"/>
    <s v="Medium Exposure"/>
  </r>
  <r>
    <x v="15"/>
    <x v="1864"/>
    <n v="11"/>
    <x v="3"/>
    <n v="0.38"/>
    <n v="0.63"/>
    <x v="88"/>
    <x v="1"/>
    <n v="0.94"/>
    <n v="0.39"/>
    <n v="0.73"/>
    <n v="0.41"/>
    <n v="0.5"/>
    <n v="0.84"/>
    <n v="0.08"/>
    <n v="0.53"/>
    <n v="0.21"/>
    <n v="0.34"/>
    <x v="2"/>
    <s v="Medium Exposure"/>
  </r>
  <r>
    <x v="7"/>
    <x v="1865"/>
    <n v="3"/>
    <x v="1"/>
    <n v="0.03"/>
    <n v="1.0900000000000001"/>
    <x v="54"/>
    <x v="1"/>
    <n v="0.67"/>
    <n v="0.14000000000000001"/>
    <n v="0.74"/>
    <n v="0.65"/>
    <n v="0.97"/>
    <n v="0.91"/>
    <n v="0.28000000000000003"/>
    <n v="0.03"/>
    <n v="0.66"/>
    <n v="0.6"/>
    <x v="1"/>
    <s v="Low Exposure"/>
  </r>
  <r>
    <x v="18"/>
    <x v="1866"/>
    <n v="2"/>
    <x v="0"/>
    <n v="0.12"/>
    <n v="1.08"/>
    <x v="16"/>
    <x v="1"/>
    <n v="0.91"/>
    <n v="0.15"/>
    <n v="0.38"/>
    <n v="0.04"/>
    <n v="0.47"/>
    <n v="0.75"/>
    <n v="0.79"/>
    <n v="0.5"/>
    <n v="0.1"/>
    <n v="0.38"/>
    <x v="1"/>
    <s v="Low Exposure"/>
  </r>
  <r>
    <x v="1"/>
    <x v="1867"/>
    <n v="0"/>
    <x v="1"/>
    <n v="0.66"/>
    <n v="1.29"/>
    <x v="29"/>
    <x v="1"/>
    <n v="0.79"/>
    <n v="0.57999999999999996"/>
    <n v="0.86"/>
    <n v="0.55000000000000004"/>
    <n v="0.23"/>
    <n v="0.54"/>
    <n v="0.71"/>
    <n v="0.65"/>
    <n v="0.24"/>
    <n v="0.04"/>
    <x v="1"/>
    <s v="Medium Exposure"/>
  </r>
  <r>
    <x v="2"/>
    <x v="1868"/>
    <n v="19"/>
    <x v="1"/>
    <n v="0.98"/>
    <n v="0.68"/>
    <x v="90"/>
    <x v="0"/>
    <n v="0.64"/>
    <n v="0.88"/>
    <n v="0.76"/>
    <n v="0.91"/>
    <n v="0.6"/>
    <n v="0.87"/>
    <n v="0.26"/>
    <n v="0.43"/>
    <n v="0.84"/>
    <n v="0.33"/>
    <x v="0"/>
    <s v="High Exposure"/>
  </r>
  <r>
    <x v="12"/>
    <x v="1869"/>
    <n v="15"/>
    <x v="1"/>
    <n v="0.36"/>
    <n v="0.86"/>
    <x v="71"/>
    <x v="2"/>
    <n v="0.55000000000000004"/>
    <n v="0.13"/>
    <n v="0.04"/>
    <n v="0.9"/>
    <n v="0.93"/>
    <n v="0.08"/>
    <n v="0.55000000000000004"/>
    <n v="0.54"/>
    <n v="0.37"/>
    <n v="0.56999999999999995"/>
    <x v="2"/>
    <s v="Medium Exposure"/>
  </r>
  <r>
    <x v="19"/>
    <x v="1870"/>
    <n v="25"/>
    <x v="3"/>
    <n v="0.49"/>
    <n v="1.26"/>
    <x v="50"/>
    <x v="2"/>
    <n v="0.32"/>
    <n v="0.57999999999999996"/>
    <n v="0.64"/>
    <n v="0.66"/>
    <n v="0.62"/>
    <n v="0.66"/>
    <n v="0.31"/>
    <n v="0.45"/>
    <n v="0.67"/>
    <n v="0.75"/>
    <x v="0"/>
    <s v="Medium Exposure"/>
  </r>
  <r>
    <x v="16"/>
    <x v="1871"/>
    <n v="1"/>
    <x v="1"/>
    <n v="0.22"/>
    <n v="0.99"/>
    <x v="2"/>
    <x v="0"/>
    <n v="0.92"/>
    <n v="0.36"/>
    <n v="0.94"/>
    <n v="0.46"/>
    <n v="0.96"/>
    <n v="0.74"/>
    <n v="0.83"/>
    <n v="0.1"/>
    <n v="0.59"/>
    <n v="0.14000000000000001"/>
    <x v="1"/>
    <s v="Low Exposure"/>
  </r>
  <r>
    <x v="4"/>
    <x v="1872"/>
    <n v="19"/>
    <x v="2"/>
    <n v="0.62"/>
    <n v="1.23"/>
    <x v="86"/>
    <x v="2"/>
    <n v="0.53"/>
    <n v="0.56999999999999995"/>
    <n v="0.08"/>
    <n v="0.5"/>
    <n v="0.71"/>
    <n v="0.05"/>
    <n v="0.76"/>
    <n v="0.57999999999999996"/>
    <n v="0.83"/>
    <n v="0.22"/>
    <x v="0"/>
    <s v="Medium Exposure"/>
  </r>
  <r>
    <x v="12"/>
    <x v="1873"/>
    <n v="22"/>
    <x v="1"/>
    <n v="0.26"/>
    <n v="0.86"/>
    <x v="11"/>
    <x v="2"/>
    <n v="0.79"/>
    <n v="0.17"/>
    <n v="0.11"/>
    <n v="0.15"/>
    <n v="0.22"/>
    <n v="0.06"/>
    <n v="0.93"/>
    <n v="0.32"/>
    <n v="0.18"/>
    <n v="0.64"/>
    <x v="0"/>
    <s v="Low Exposure"/>
  </r>
  <r>
    <x v="15"/>
    <x v="1874"/>
    <n v="22"/>
    <x v="1"/>
    <n v="0.36"/>
    <n v="1.01"/>
    <x v="7"/>
    <x v="1"/>
    <n v="0.6"/>
    <n v="0.96"/>
    <n v="0.89"/>
    <n v="0.11"/>
    <n v="0.27"/>
    <n v="0.83"/>
    <n v="0.82"/>
    <n v="0.28000000000000003"/>
    <n v="0.73"/>
    <n v="0.67"/>
    <x v="0"/>
    <s v="Medium Exposure"/>
  </r>
  <r>
    <x v="18"/>
    <x v="1875"/>
    <n v="14"/>
    <x v="1"/>
    <n v="0.2"/>
    <n v="1.39"/>
    <x v="29"/>
    <x v="1"/>
    <n v="0.17"/>
    <n v="0.7"/>
    <n v="0.74"/>
    <n v="0.89"/>
    <n v="0.22"/>
    <n v="0.99"/>
    <n v="0.15"/>
    <n v="0.6"/>
    <n v="0.66"/>
    <n v="0.42"/>
    <x v="2"/>
    <s v="Low Exposure"/>
  </r>
  <r>
    <x v="2"/>
    <x v="1876"/>
    <n v="3"/>
    <x v="1"/>
    <n v="0.03"/>
    <n v="0.54"/>
    <x v="2"/>
    <x v="0"/>
    <n v="0.66"/>
    <n v="0.39"/>
    <n v="1"/>
    <n v="0.2"/>
    <n v="0.01"/>
    <n v="0.19"/>
    <n v="0.89"/>
    <n v="0.15"/>
    <n v="0.48"/>
    <n v="0.42"/>
    <x v="1"/>
    <s v="Low Exposure"/>
  </r>
  <r>
    <x v="11"/>
    <x v="1877"/>
    <n v="3"/>
    <x v="1"/>
    <n v="0.05"/>
    <n v="1.1599999999999999"/>
    <x v="30"/>
    <x v="2"/>
    <n v="0.93"/>
    <n v="0.85"/>
    <n v="0.4"/>
    <n v="0.99"/>
    <n v="0.05"/>
    <n v="0.79"/>
    <n v="0.43"/>
    <n v="0.43"/>
    <n v="0.17"/>
    <n v="0.51"/>
    <x v="1"/>
    <s v="Low Exposure"/>
  </r>
  <r>
    <x v="11"/>
    <x v="1878"/>
    <n v="0"/>
    <x v="2"/>
    <n v="0.62"/>
    <n v="0.74"/>
    <x v="31"/>
    <x v="2"/>
    <n v="0.61"/>
    <n v="0.75"/>
    <n v="0.75"/>
    <n v="0.2"/>
    <n v="0"/>
    <n v="0.37"/>
    <n v="0.92"/>
    <n v="0.57999999999999996"/>
    <n v="0.73"/>
    <n v="0.88"/>
    <x v="1"/>
    <s v="Medium Exposure"/>
  </r>
  <r>
    <x v="17"/>
    <x v="1879"/>
    <n v="12"/>
    <x v="0"/>
    <n v="0.67"/>
    <n v="1.1200000000000001"/>
    <x v="79"/>
    <x v="2"/>
    <n v="0.52"/>
    <n v="0.47"/>
    <n v="0.21"/>
    <n v="0.76"/>
    <n v="0.14000000000000001"/>
    <n v="0.49"/>
    <n v="0.42"/>
    <n v="0.66"/>
    <n v="0.92"/>
    <n v="0.95"/>
    <x v="2"/>
    <s v="Medium Exposure"/>
  </r>
  <r>
    <x v="7"/>
    <x v="1880"/>
    <n v="9"/>
    <x v="2"/>
    <n v="0.26"/>
    <n v="1.31"/>
    <x v="82"/>
    <x v="1"/>
    <n v="0.45"/>
    <n v="0.71"/>
    <n v="0.6"/>
    <n v="0.97"/>
    <n v="0.57999999999999996"/>
    <n v="0.47"/>
    <n v="0.54"/>
    <n v="0.81"/>
    <n v="0.61"/>
    <n v="0.65"/>
    <x v="2"/>
    <s v="Low Exposure"/>
  </r>
  <r>
    <x v="18"/>
    <x v="1881"/>
    <n v="28"/>
    <x v="0"/>
    <n v="0.62"/>
    <n v="0.88"/>
    <x v="29"/>
    <x v="1"/>
    <n v="0.66"/>
    <n v="0.01"/>
    <n v="0.47"/>
    <n v="0.74"/>
    <n v="0.5"/>
    <n v="0.78"/>
    <n v="0.45"/>
    <n v="0.98"/>
    <n v="0.28999999999999998"/>
    <n v="0.09"/>
    <x v="0"/>
    <s v="Medium Exposure"/>
  </r>
  <r>
    <x v="14"/>
    <x v="1882"/>
    <n v="7"/>
    <x v="1"/>
    <n v="0.54"/>
    <n v="0.85"/>
    <x v="39"/>
    <x v="0"/>
    <n v="0.67"/>
    <n v="0.38"/>
    <n v="0.63"/>
    <n v="0.78"/>
    <n v="0.76"/>
    <n v="0.38"/>
    <n v="0.56999999999999995"/>
    <n v="0.45"/>
    <n v="0.87"/>
    <n v="0.88"/>
    <x v="2"/>
    <s v="Medium Exposure"/>
  </r>
  <r>
    <x v="9"/>
    <x v="1883"/>
    <n v="22"/>
    <x v="2"/>
    <n v="0.09"/>
    <n v="0.67"/>
    <x v="77"/>
    <x v="0"/>
    <n v="0.56000000000000005"/>
    <n v="0.66"/>
    <n v="0.33"/>
    <n v="0.67"/>
    <n v="0.94"/>
    <n v="0.65"/>
    <n v="0.16"/>
    <n v="0.57999999999999996"/>
    <n v="0.54"/>
    <n v="0.87"/>
    <x v="0"/>
    <s v="Low Exposure"/>
  </r>
  <r>
    <x v="9"/>
    <x v="1884"/>
    <n v="16"/>
    <x v="2"/>
    <n v="0.85"/>
    <n v="0.77"/>
    <x v="32"/>
    <x v="0"/>
    <n v="0.43"/>
    <n v="0.6"/>
    <n v="0.79"/>
    <n v="0.04"/>
    <n v="0.82"/>
    <n v="0.14000000000000001"/>
    <n v="0.36"/>
    <n v="0.47"/>
    <n v="0.9"/>
    <n v="0.02"/>
    <x v="0"/>
    <s v="High Exposure"/>
  </r>
  <r>
    <x v="14"/>
    <x v="1885"/>
    <n v="21"/>
    <x v="3"/>
    <n v="0.32"/>
    <n v="0.79"/>
    <x v="90"/>
    <x v="0"/>
    <n v="0.19"/>
    <n v="0.47"/>
    <n v="0.77"/>
    <n v="0.85"/>
    <n v="0.39"/>
    <n v="0.62"/>
    <n v="0"/>
    <n v="0.55000000000000004"/>
    <n v="0.98"/>
    <n v="0.31"/>
    <x v="0"/>
    <s v="Medium Exposure"/>
  </r>
  <r>
    <x v="14"/>
    <x v="1886"/>
    <n v="4"/>
    <x v="2"/>
    <n v="0.62"/>
    <n v="1.08"/>
    <x v="73"/>
    <x v="0"/>
    <n v="0.8"/>
    <n v="0.04"/>
    <n v="0.81"/>
    <n v="0.03"/>
    <n v="0.66"/>
    <n v="0.08"/>
    <n v="0.25"/>
    <n v="0.72"/>
    <n v="0.28000000000000003"/>
    <n v="0.51"/>
    <x v="1"/>
    <s v="Medium Exposure"/>
  </r>
  <r>
    <x v="4"/>
    <x v="1887"/>
    <n v="14"/>
    <x v="1"/>
    <n v="0.05"/>
    <n v="1.31"/>
    <x v="20"/>
    <x v="2"/>
    <n v="0.13"/>
    <n v="0.12"/>
    <n v="0.99"/>
    <n v="0.18"/>
    <n v="0.9"/>
    <n v="0.99"/>
    <n v="0.38"/>
    <n v="0.63"/>
    <n v="0.78"/>
    <n v="0.39"/>
    <x v="2"/>
    <s v="Low Exposure"/>
  </r>
  <r>
    <x v="18"/>
    <x v="1888"/>
    <n v="5"/>
    <x v="2"/>
    <n v="0.43"/>
    <n v="1.27"/>
    <x v="88"/>
    <x v="1"/>
    <n v="0.23"/>
    <n v="0.17"/>
    <n v="0.92"/>
    <n v="0.04"/>
    <n v="0.73"/>
    <n v="0.05"/>
    <n v="0.84"/>
    <n v="0.91"/>
    <n v="0.3"/>
    <n v="7.0000000000000007E-2"/>
    <x v="1"/>
    <s v="Medium Exposure"/>
  </r>
  <r>
    <x v="9"/>
    <x v="1889"/>
    <n v="25"/>
    <x v="2"/>
    <n v="0.3"/>
    <n v="0.92"/>
    <x v="59"/>
    <x v="0"/>
    <n v="0.21"/>
    <n v="0.36"/>
    <n v="0.78"/>
    <n v="0.64"/>
    <n v="0.33"/>
    <n v="0.66"/>
    <n v="0.77"/>
    <n v="0.59"/>
    <n v="0.24"/>
    <n v="0"/>
    <x v="0"/>
    <s v="Medium Exposure"/>
  </r>
  <r>
    <x v="8"/>
    <x v="1890"/>
    <n v="3"/>
    <x v="1"/>
    <n v="0.82"/>
    <n v="1.2"/>
    <x v="20"/>
    <x v="2"/>
    <n v="0.59"/>
    <n v="0.82"/>
    <n v="0.39"/>
    <n v="0.2"/>
    <n v="0.59"/>
    <n v="0.83"/>
    <n v="0.05"/>
    <n v="0.6"/>
    <n v="0.64"/>
    <n v="0.6"/>
    <x v="1"/>
    <s v="High Exposure"/>
  </r>
  <r>
    <x v="3"/>
    <x v="1891"/>
    <n v="4"/>
    <x v="0"/>
    <n v="0.63"/>
    <n v="0.63"/>
    <x v="65"/>
    <x v="2"/>
    <n v="0.62"/>
    <n v="0.02"/>
    <n v="0.63"/>
    <n v="0.67"/>
    <n v="0.24"/>
    <n v="0.6"/>
    <n v="0.53"/>
    <n v="0.26"/>
    <n v="0.46"/>
    <n v="0.91"/>
    <x v="1"/>
    <s v="Medium Exposure"/>
  </r>
  <r>
    <x v="16"/>
    <x v="1892"/>
    <n v="23"/>
    <x v="3"/>
    <n v="0.41"/>
    <n v="1.38"/>
    <x v="2"/>
    <x v="0"/>
    <n v="0.87"/>
    <n v="0.13"/>
    <n v="0.64"/>
    <n v="0.68"/>
    <n v="0.66"/>
    <n v="0.45"/>
    <n v="0.68"/>
    <n v="0.24"/>
    <n v="0.6"/>
    <n v="0.55000000000000004"/>
    <x v="0"/>
    <s v="Medium Exposure"/>
  </r>
  <r>
    <x v="1"/>
    <x v="1893"/>
    <n v="19"/>
    <x v="3"/>
    <n v="0.78"/>
    <n v="0.57999999999999996"/>
    <x v="63"/>
    <x v="1"/>
    <n v="0.47"/>
    <n v="0.89"/>
    <n v="0.57999999999999996"/>
    <n v="0.84"/>
    <n v="0.52"/>
    <n v="0.79"/>
    <n v="0.33"/>
    <n v="0.82"/>
    <n v="0.4"/>
    <n v="0.56000000000000005"/>
    <x v="0"/>
    <s v="High Exposure"/>
  </r>
  <r>
    <x v="2"/>
    <x v="1894"/>
    <n v="15"/>
    <x v="2"/>
    <n v="0.92"/>
    <n v="1.2"/>
    <x v="32"/>
    <x v="0"/>
    <n v="0.21"/>
    <n v="7.0000000000000007E-2"/>
    <n v="0.34"/>
    <n v="0.52"/>
    <n v="0.8"/>
    <n v="0.4"/>
    <n v="0.27"/>
    <n v="0.37"/>
    <n v="0.7"/>
    <n v="0.34"/>
    <x v="2"/>
    <s v="High Exposure"/>
  </r>
  <r>
    <x v="8"/>
    <x v="1895"/>
    <n v="18"/>
    <x v="3"/>
    <n v="0.17"/>
    <n v="1.25"/>
    <x v="22"/>
    <x v="2"/>
    <n v="0.23"/>
    <n v="0.75"/>
    <n v="0.45"/>
    <n v="0.68"/>
    <n v="0.66"/>
    <n v="0.11"/>
    <n v="0.84"/>
    <n v="0.68"/>
    <n v="0.78"/>
    <n v="0.45"/>
    <x v="0"/>
    <s v="Low Exposure"/>
  </r>
  <r>
    <x v="12"/>
    <x v="1896"/>
    <n v="4"/>
    <x v="3"/>
    <n v="0"/>
    <n v="1.2"/>
    <x v="43"/>
    <x v="2"/>
    <n v="0.21"/>
    <n v="0.23"/>
    <n v="0.81"/>
    <n v="0.5"/>
    <n v="0.7"/>
    <n v="0.45"/>
    <n v="0.24"/>
    <n v="0.97"/>
    <n v="0.56999999999999995"/>
    <n v="0.13"/>
    <x v="1"/>
    <s v="Low Exposure"/>
  </r>
  <r>
    <x v="7"/>
    <x v="1897"/>
    <n v="23"/>
    <x v="0"/>
    <n v="0.33"/>
    <n v="0.71"/>
    <x v="16"/>
    <x v="1"/>
    <n v="0.88"/>
    <n v="0.2"/>
    <n v="0.35"/>
    <n v="0.76"/>
    <n v="0.21"/>
    <n v="0.59"/>
    <n v="0.7"/>
    <n v="0.65"/>
    <n v="0.71"/>
    <n v="0.71"/>
    <x v="0"/>
    <s v="Medium Exposure"/>
  </r>
  <r>
    <x v="6"/>
    <x v="1898"/>
    <n v="28"/>
    <x v="2"/>
    <n v="0.35"/>
    <n v="1.38"/>
    <x v="57"/>
    <x v="2"/>
    <n v="0.28999999999999998"/>
    <n v="0.05"/>
    <n v="0.65"/>
    <n v="0.1"/>
    <n v="0.85"/>
    <n v="0.65"/>
    <n v="0.03"/>
    <n v="0.71"/>
    <n v="0.86"/>
    <n v="0.66"/>
    <x v="0"/>
    <s v="Medium Exposure"/>
  </r>
  <r>
    <x v="3"/>
    <x v="1899"/>
    <n v="10"/>
    <x v="3"/>
    <n v="0.86"/>
    <n v="1.23"/>
    <x v="84"/>
    <x v="2"/>
    <n v="0.33"/>
    <n v="0.48"/>
    <n v="0.87"/>
    <n v="0.25"/>
    <n v="0.1"/>
    <n v="0.86"/>
    <n v="0.03"/>
    <n v="0.91"/>
    <n v="0.31"/>
    <n v="0.51"/>
    <x v="2"/>
    <s v="High Exposure"/>
  </r>
  <r>
    <x v="16"/>
    <x v="1900"/>
    <n v="17"/>
    <x v="0"/>
    <n v="0.9"/>
    <n v="1.25"/>
    <x v="17"/>
    <x v="0"/>
    <n v="0.68"/>
    <n v="0.18"/>
    <n v="0.31"/>
    <n v="0.49"/>
    <n v="0.61"/>
    <n v="0.93"/>
    <n v="0.38"/>
    <n v="0.7"/>
    <n v="0.96"/>
    <n v="0.15"/>
    <x v="0"/>
    <s v="High Exposure"/>
  </r>
  <r>
    <x v="11"/>
    <x v="1901"/>
    <n v="22"/>
    <x v="3"/>
    <n v="0.42"/>
    <n v="1.23"/>
    <x v="71"/>
    <x v="2"/>
    <n v="0.33"/>
    <n v="0.03"/>
    <n v="0.97"/>
    <n v="0.81"/>
    <n v="0.09"/>
    <n v="1"/>
    <n v="0.61"/>
    <n v="0.85"/>
    <n v="7.0000000000000007E-2"/>
    <n v="0.39"/>
    <x v="0"/>
    <s v="Medium Exposure"/>
  </r>
  <r>
    <x v="6"/>
    <x v="1902"/>
    <n v="29"/>
    <x v="1"/>
    <n v="0.11"/>
    <n v="0.99"/>
    <x v="8"/>
    <x v="2"/>
    <n v="0.22"/>
    <n v="0.3"/>
    <n v="0.97"/>
    <n v="0.28999999999999998"/>
    <n v="0.21"/>
    <n v="0.54"/>
    <n v="0.67"/>
    <n v="0.73"/>
    <n v="0.75"/>
    <n v="0.04"/>
    <x v="0"/>
    <s v="Low Exposure"/>
  </r>
  <r>
    <x v="3"/>
    <x v="1903"/>
    <n v="14"/>
    <x v="2"/>
    <n v="0.77"/>
    <n v="1.4"/>
    <x v="22"/>
    <x v="2"/>
    <n v="0.05"/>
    <n v="0.4"/>
    <n v="7.0000000000000007E-2"/>
    <n v="0.75"/>
    <n v="0.06"/>
    <n v="0.19"/>
    <n v="0.42"/>
    <n v="0.46"/>
    <n v="0.41"/>
    <n v="0.46"/>
    <x v="2"/>
    <s v="High Exposure"/>
  </r>
  <r>
    <x v="5"/>
    <x v="1904"/>
    <n v="18"/>
    <x v="0"/>
    <n v="0.37"/>
    <n v="1.05"/>
    <x v="61"/>
    <x v="1"/>
    <n v="0.35"/>
    <n v="0.61"/>
    <n v="0.49"/>
    <n v="0.72"/>
    <n v="0.56000000000000005"/>
    <n v="0.8"/>
    <n v="0.44"/>
    <n v="0.49"/>
    <n v="0.67"/>
    <n v="0.22"/>
    <x v="0"/>
    <s v="Medium Exposure"/>
  </r>
  <r>
    <x v="18"/>
    <x v="1905"/>
    <n v="22"/>
    <x v="3"/>
    <n v="0.62"/>
    <n v="0.53"/>
    <x v="74"/>
    <x v="1"/>
    <n v="0.6"/>
    <n v="0.97"/>
    <n v="0.88"/>
    <n v="0.28000000000000003"/>
    <n v="0.51"/>
    <n v="0.06"/>
    <n v="0.24"/>
    <n v="0.77"/>
    <n v="0.12"/>
    <n v="0.26"/>
    <x v="0"/>
    <s v="Medium Exposure"/>
  </r>
  <r>
    <x v="17"/>
    <x v="1906"/>
    <n v="9"/>
    <x v="2"/>
    <n v="0.82"/>
    <n v="1.28"/>
    <x v="38"/>
    <x v="2"/>
    <n v="0.75"/>
    <n v="0.12"/>
    <n v="0.52"/>
    <n v="0.44"/>
    <n v="0.31"/>
    <n v="0.83"/>
    <n v="0.46"/>
    <n v="0.06"/>
    <n v="0.27"/>
    <n v="0.23"/>
    <x v="2"/>
    <s v="High Exposure"/>
  </r>
  <r>
    <x v="19"/>
    <x v="1907"/>
    <n v="19"/>
    <x v="1"/>
    <n v="0.65"/>
    <n v="1.06"/>
    <x v="11"/>
    <x v="2"/>
    <n v="0.65"/>
    <n v="0.75"/>
    <n v="0.55000000000000004"/>
    <n v="0.94"/>
    <n v="0.98"/>
    <n v="1"/>
    <n v="0.67"/>
    <n v="0.93"/>
    <n v="0.4"/>
    <n v="0.86"/>
    <x v="0"/>
    <s v="Medium Exposure"/>
  </r>
  <r>
    <x v="16"/>
    <x v="1908"/>
    <n v="29"/>
    <x v="2"/>
    <n v="0.9"/>
    <n v="1.33"/>
    <x v="9"/>
    <x v="0"/>
    <n v="0.16"/>
    <n v="0.33"/>
    <n v="0.77"/>
    <n v="0.23"/>
    <n v="0.48"/>
    <n v="0.56999999999999995"/>
    <n v="0.6"/>
    <n v="0.94"/>
    <n v="0.66"/>
    <n v="0.79"/>
    <x v="0"/>
    <s v="High Exposure"/>
  </r>
  <r>
    <x v="13"/>
    <x v="1909"/>
    <n v="13"/>
    <x v="0"/>
    <n v="0.5"/>
    <n v="0.6"/>
    <x v="10"/>
    <x v="2"/>
    <n v="0.35"/>
    <n v="0.64"/>
    <n v="0.25"/>
    <n v="0.23"/>
    <n v="0.28999999999999998"/>
    <n v="0.59"/>
    <n v="0.49"/>
    <n v="0.84"/>
    <n v="0.7"/>
    <n v="0.67"/>
    <x v="2"/>
    <s v="Medium Exposure"/>
  </r>
  <r>
    <x v="19"/>
    <x v="1910"/>
    <n v="29"/>
    <x v="0"/>
    <n v="0.06"/>
    <n v="1.01"/>
    <x v="20"/>
    <x v="2"/>
    <n v="0.36"/>
    <n v="0.03"/>
    <n v="0.18"/>
    <n v="0.11"/>
    <n v="0.8"/>
    <n v="0.35"/>
    <n v="0.08"/>
    <n v="0.27"/>
    <n v="0.68"/>
    <n v="0.75"/>
    <x v="0"/>
    <s v="Low Exposure"/>
  </r>
  <r>
    <x v="10"/>
    <x v="1911"/>
    <n v="20"/>
    <x v="0"/>
    <n v="0.66"/>
    <n v="0.81"/>
    <x v="6"/>
    <x v="2"/>
    <n v="0.81"/>
    <n v="0.98"/>
    <n v="0.77"/>
    <n v="0.52"/>
    <n v="0.44"/>
    <n v="0.54"/>
    <n v="0.46"/>
    <n v="0.5"/>
    <n v="0.2"/>
    <n v="0.9"/>
    <x v="0"/>
    <s v="Medium Exposure"/>
  </r>
  <r>
    <x v="5"/>
    <x v="1912"/>
    <n v="1"/>
    <x v="0"/>
    <n v="0.68"/>
    <n v="1.45"/>
    <x v="54"/>
    <x v="1"/>
    <n v="0.08"/>
    <n v="0.83"/>
    <n v="1"/>
    <n v="0.57999999999999996"/>
    <n v="0.06"/>
    <n v="0.78"/>
    <n v="7.0000000000000007E-2"/>
    <n v="0.54"/>
    <n v="0.28000000000000003"/>
    <n v="0.92"/>
    <x v="1"/>
    <s v="Medium Exposure"/>
  </r>
  <r>
    <x v="0"/>
    <x v="1913"/>
    <n v="5"/>
    <x v="3"/>
    <n v="0.9"/>
    <n v="0.8"/>
    <x v="9"/>
    <x v="0"/>
    <n v="0.95"/>
    <n v="0.2"/>
    <n v="0.57999999999999996"/>
    <n v="0.39"/>
    <n v="0.77"/>
    <n v="0.13"/>
    <n v="0.44"/>
    <n v="0.7"/>
    <n v="0.41"/>
    <n v="0.06"/>
    <x v="1"/>
    <s v="High Exposure"/>
  </r>
  <r>
    <x v="16"/>
    <x v="1914"/>
    <n v="22"/>
    <x v="2"/>
    <n v="0.5"/>
    <n v="0.51"/>
    <x v="0"/>
    <x v="0"/>
    <n v="0.92"/>
    <n v="0.11"/>
    <n v="0.59"/>
    <n v="0.73"/>
    <n v="7.0000000000000007E-2"/>
    <n v="0.02"/>
    <n v="0.46"/>
    <n v="0.79"/>
    <n v="0.16"/>
    <n v="0.84"/>
    <x v="0"/>
    <s v="Medium Exposure"/>
  </r>
  <r>
    <x v="0"/>
    <x v="1915"/>
    <n v="15"/>
    <x v="1"/>
    <n v="0.33"/>
    <n v="1.02"/>
    <x v="89"/>
    <x v="0"/>
    <n v="0.22"/>
    <n v="0.5"/>
    <n v="0.62"/>
    <n v="0.14000000000000001"/>
    <n v="0.04"/>
    <n v="0.01"/>
    <n v="0.32"/>
    <n v="7.0000000000000007E-2"/>
    <n v="0.8"/>
    <n v="1"/>
    <x v="2"/>
    <s v="Medium Exposure"/>
  </r>
  <r>
    <x v="0"/>
    <x v="1916"/>
    <n v="28"/>
    <x v="2"/>
    <n v="0.43"/>
    <n v="0.53"/>
    <x v="67"/>
    <x v="0"/>
    <n v="0.32"/>
    <n v="0.39"/>
    <n v="0.94"/>
    <n v="0.4"/>
    <n v="0.5"/>
    <n v="0.25"/>
    <n v="0"/>
    <n v="0.9"/>
    <n v="0.08"/>
    <n v="0.96"/>
    <x v="0"/>
    <s v="Medium Exposure"/>
  </r>
  <r>
    <x v="18"/>
    <x v="1917"/>
    <n v="22"/>
    <x v="2"/>
    <n v="0.6"/>
    <n v="1.5"/>
    <x v="47"/>
    <x v="1"/>
    <n v="0.42"/>
    <n v="0.78"/>
    <n v="0.03"/>
    <n v="0.69"/>
    <n v="0.08"/>
    <n v="0.24"/>
    <n v="0.16"/>
    <n v="0.91"/>
    <n v="0.18"/>
    <n v="0.04"/>
    <x v="0"/>
    <s v="Medium Exposure"/>
  </r>
  <r>
    <x v="13"/>
    <x v="1918"/>
    <n v="8"/>
    <x v="3"/>
    <n v="0.35"/>
    <n v="0.91"/>
    <x v="53"/>
    <x v="2"/>
    <n v="0.75"/>
    <n v="0.6"/>
    <n v="0.36"/>
    <n v="0.17"/>
    <n v="0.59"/>
    <n v="0.78"/>
    <n v="0.31"/>
    <n v="0.03"/>
    <n v="0.21"/>
    <n v="0.68"/>
    <x v="2"/>
    <s v="Medium Exposure"/>
  </r>
  <r>
    <x v="14"/>
    <x v="1919"/>
    <n v="25"/>
    <x v="0"/>
    <n v="0.01"/>
    <n v="0.81"/>
    <x v="28"/>
    <x v="0"/>
    <n v="0.32"/>
    <n v="0.41"/>
    <n v="0.92"/>
    <n v="0.08"/>
    <n v="0.78"/>
    <n v="0.4"/>
    <n v="0.81"/>
    <n v="0.51"/>
    <n v="0.04"/>
    <n v="0.95"/>
    <x v="0"/>
    <s v="Low Exposure"/>
  </r>
  <r>
    <x v="2"/>
    <x v="1920"/>
    <n v="13"/>
    <x v="3"/>
    <n v="0.6"/>
    <n v="1.38"/>
    <x v="28"/>
    <x v="0"/>
    <n v="0.55000000000000004"/>
    <n v="0.82"/>
    <n v="0.99"/>
    <n v="0.72"/>
    <n v="0.28000000000000003"/>
    <n v="0.7"/>
    <n v="0.71"/>
    <n v="0.7"/>
    <n v="0.85"/>
    <n v="0.09"/>
    <x v="2"/>
    <s v="Medium Exposure"/>
  </r>
  <r>
    <x v="11"/>
    <x v="1921"/>
    <n v="14"/>
    <x v="1"/>
    <n v="0.64"/>
    <n v="1.45"/>
    <x v="78"/>
    <x v="2"/>
    <n v="0.96"/>
    <n v="0.94"/>
    <n v="0.9"/>
    <n v="0.91"/>
    <n v="0.9"/>
    <n v="0.82"/>
    <n v="0.69"/>
    <n v="0.02"/>
    <n v="0.13"/>
    <n v="0.13"/>
    <x v="2"/>
    <s v="Medium Exposure"/>
  </r>
  <r>
    <x v="12"/>
    <x v="1922"/>
    <n v="16"/>
    <x v="0"/>
    <n v="0.12"/>
    <n v="1.42"/>
    <x v="64"/>
    <x v="2"/>
    <n v="0.31"/>
    <n v="0.79"/>
    <n v="0.49"/>
    <n v="0.14000000000000001"/>
    <n v="0.88"/>
    <n v="0.34"/>
    <n v="0.7"/>
    <n v="0.28999999999999998"/>
    <n v="0.5"/>
    <n v="0.82"/>
    <x v="0"/>
    <s v="Low Exposure"/>
  </r>
  <r>
    <x v="2"/>
    <x v="1923"/>
    <n v="18"/>
    <x v="1"/>
    <n v="0.98"/>
    <n v="0.56999999999999995"/>
    <x v="35"/>
    <x v="0"/>
    <n v="0.92"/>
    <n v="0.95"/>
    <n v="0.23"/>
    <n v="0.14000000000000001"/>
    <n v="0.72"/>
    <n v="0.04"/>
    <n v="0.49"/>
    <n v="0.8"/>
    <n v="0.56000000000000005"/>
    <n v="0.19"/>
    <x v="0"/>
    <s v="High Exposure"/>
  </r>
  <r>
    <x v="14"/>
    <x v="1924"/>
    <n v="20"/>
    <x v="3"/>
    <n v="0.92"/>
    <n v="1.1200000000000001"/>
    <x v="51"/>
    <x v="0"/>
    <n v="0.34"/>
    <n v="0.19"/>
    <n v="0.26"/>
    <n v="0.53"/>
    <n v="0.28000000000000003"/>
    <n v="0.54"/>
    <n v="0.71"/>
    <n v="0.73"/>
    <n v="0.16"/>
    <n v="0.75"/>
    <x v="0"/>
    <s v="High Exposure"/>
  </r>
  <r>
    <x v="9"/>
    <x v="1925"/>
    <n v="0"/>
    <x v="3"/>
    <n v="0.01"/>
    <n v="0.56000000000000005"/>
    <x v="83"/>
    <x v="0"/>
    <n v="0.38"/>
    <n v="0.15"/>
    <n v="0.04"/>
    <n v="0.16"/>
    <n v="0.96"/>
    <n v="0.73"/>
    <n v="0.53"/>
    <n v="0.94"/>
    <n v="0.62"/>
    <n v="0.73"/>
    <x v="1"/>
    <s v="Low Exposure"/>
  </r>
  <r>
    <x v="1"/>
    <x v="1926"/>
    <n v="27"/>
    <x v="0"/>
    <n v="0.14000000000000001"/>
    <n v="0.9"/>
    <x v="19"/>
    <x v="1"/>
    <n v="0.22"/>
    <n v="7.0000000000000007E-2"/>
    <n v="0.39"/>
    <n v="0.84"/>
    <n v="0.38"/>
    <n v="0.83"/>
    <n v="0.66"/>
    <n v="0.51"/>
    <n v="0.24"/>
    <n v="0.92"/>
    <x v="0"/>
    <s v="Low Exposure"/>
  </r>
  <r>
    <x v="18"/>
    <x v="1927"/>
    <n v="12"/>
    <x v="1"/>
    <n v="0.69"/>
    <n v="1.1200000000000001"/>
    <x v="74"/>
    <x v="1"/>
    <n v="0.24"/>
    <n v="0.43"/>
    <n v="0.87"/>
    <n v="0.84"/>
    <n v="0.94"/>
    <n v="0.31"/>
    <n v="0.39"/>
    <n v="0.02"/>
    <n v="0.94"/>
    <n v="0.33"/>
    <x v="2"/>
    <s v="Medium Exposure"/>
  </r>
  <r>
    <x v="18"/>
    <x v="1928"/>
    <n v="28"/>
    <x v="0"/>
    <n v="0.91"/>
    <n v="1.03"/>
    <x v="27"/>
    <x v="1"/>
    <n v="0.18"/>
    <n v="0.5"/>
    <n v="0.92"/>
    <n v="0.56000000000000005"/>
    <n v="0.26"/>
    <n v="0.03"/>
    <n v="0.34"/>
    <n v="0.56999999999999995"/>
    <n v="0.04"/>
    <n v="0.61"/>
    <x v="0"/>
    <s v="High Exposure"/>
  </r>
  <r>
    <x v="17"/>
    <x v="1929"/>
    <n v="0"/>
    <x v="3"/>
    <n v="0.78"/>
    <n v="0.53"/>
    <x v="45"/>
    <x v="2"/>
    <n v="0.52"/>
    <n v="0.37"/>
    <n v="0.97"/>
    <n v="0.16"/>
    <n v="0.54"/>
    <n v="0.32"/>
    <n v="0.53"/>
    <n v="0.55000000000000004"/>
    <n v="0.09"/>
    <n v="0.66"/>
    <x v="1"/>
    <s v="High Exposure"/>
  </r>
  <r>
    <x v="15"/>
    <x v="1930"/>
    <n v="28"/>
    <x v="0"/>
    <n v="0.77"/>
    <n v="0.59"/>
    <x v="54"/>
    <x v="1"/>
    <n v="0.65"/>
    <n v="0.14000000000000001"/>
    <n v="0.68"/>
    <n v="0.06"/>
    <n v="0.33"/>
    <n v="0.85"/>
    <n v="0.77"/>
    <n v="0.64"/>
    <n v="0.87"/>
    <n v="0.71"/>
    <x v="0"/>
    <s v="High Exposure"/>
  </r>
  <r>
    <x v="7"/>
    <x v="1931"/>
    <n v="23"/>
    <x v="1"/>
    <n v="0.98"/>
    <n v="1.19"/>
    <x v="42"/>
    <x v="1"/>
    <n v="0.41"/>
    <n v="0.9"/>
    <n v="0.3"/>
    <n v="0.01"/>
    <n v="0.2"/>
    <n v="0.11"/>
    <n v="0.32"/>
    <n v="0.83"/>
    <n v="0.65"/>
    <n v="0.17"/>
    <x v="0"/>
    <s v="High Exposure"/>
  </r>
  <r>
    <x v="4"/>
    <x v="1932"/>
    <n v="0"/>
    <x v="2"/>
    <n v="0.5"/>
    <n v="1.01"/>
    <x v="30"/>
    <x v="2"/>
    <n v="0.86"/>
    <n v="0.32"/>
    <n v="0.09"/>
    <n v="0.3"/>
    <n v="0.72"/>
    <n v="0.66"/>
    <n v="0.19"/>
    <n v="0.11"/>
    <n v="0.66"/>
    <n v="0.68"/>
    <x v="1"/>
    <s v="Medium Exposure"/>
  </r>
  <r>
    <x v="2"/>
    <x v="1933"/>
    <n v="26"/>
    <x v="2"/>
    <n v="0.97"/>
    <n v="1.17"/>
    <x v="17"/>
    <x v="0"/>
    <n v="0.13"/>
    <n v="0.98"/>
    <n v="0.03"/>
    <n v="0.53"/>
    <n v="0.28999999999999998"/>
    <n v="0.81"/>
    <n v="0.22"/>
    <n v="0.01"/>
    <n v="0.41"/>
    <n v="0.06"/>
    <x v="0"/>
    <s v="High Exposure"/>
  </r>
  <r>
    <x v="10"/>
    <x v="1934"/>
    <n v="21"/>
    <x v="3"/>
    <n v="0.64"/>
    <n v="0.79"/>
    <x v="10"/>
    <x v="2"/>
    <n v="0.16"/>
    <n v="0.14000000000000001"/>
    <n v="0.53"/>
    <n v="0.68"/>
    <n v="0.45"/>
    <n v="0.12"/>
    <n v="0.65"/>
    <n v="0.56000000000000005"/>
    <n v="0.38"/>
    <n v="0.33"/>
    <x v="0"/>
    <s v="Medium Exposure"/>
  </r>
  <r>
    <x v="6"/>
    <x v="1935"/>
    <n v="22"/>
    <x v="0"/>
    <n v="0.15"/>
    <n v="0.84"/>
    <x v="86"/>
    <x v="2"/>
    <n v="0.44"/>
    <n v="0.6"/>
    <n v="0.94"/>
    <n v="0.63"/>
    <n v="0.62"/>
    <n v="0.37"/>
    <n v="0.13"/>
    <n v="0.45"/>
    <n v="0.6"/>
    <n v="0.72"/>
    <x v="0"/>
    <s v="Low Exposure"/>
  </r>
  <r>
    <x v="7"/>
    <x v="1936"/>
    <n v="12"/>
    <x v="0"/>
    <n v="0.26"/>
    <n v="0.74"/>
    <x v="27"/>
    <x v="1"/>
    <n v="0.56999999999999995"/>
    <n v="0.22"/>
    <n v="0.59"/>
    <n v="0.35"/>
    <n v="0.64"/>
    <n v="0.28999999999999998"/>
    <n v="0.59"/>
    <n v="0.77"/>
    <n v="0.98"/>
    <n v="0.91"/>
    <x v="2"/>
    <s v="Low Exposure"/>
  </r>
  <r>
    <x v="0"/>
    <x v="1937"/>
    <n v="21"/>
    <x v="2"/>
    <n v="0.43"/>
    <n v="0.84"/>
    <x v="73"/>
    <x v="0"/>
    <n v="0.6"/>
    <n v="0.95"/>
    <n v="0.36"/>
    <n v="0.88"/>
    <n v="0.15"/>
    <n v="0.94"/>
    <n v="0.35"/>
    <n v="0.38"/>
    <n v="0.46"/>
    <n v="0.72"/>
    <x v="0"/>
    <s v="Medium Exposure"/>
  </r>
  <r>
    <x v="8"/>
    <x v="1938"/>
    <n v="24"/>
    <x v="1"/>
    <n v="0.48"/>
    <n v="1.02"/>
    <x v="57"/>
    <x v="2"/>
    <n v="0.3"/>
    <n v="0.35"/>
    <n v="0.56000000000000005"/>
    <n v="0.56000000000000005"/>
    <n v="0.71"/>
    <n v="0.72"/>
    <n v="0.24"/>
    <n v="0.77"/>
    <n v="0.02"/>
    <n v="0.72"/>
    <x v="0"/>
    <s v="Medium Exposure"/>
  </r>
  <r>
    <x v="12"/>
    <x v="1939"/>
    <n v="5"/>
    <x v="0"/>
    <n v="0.73"/>
    <n v="1.03"/>
    <x v="25"/>
    <x v="2"/>
    <n v="0.69"/>
    <n v="0.04"/>
    <n v="0.22"/>
    <n v="0.62"/>
    <n v="0.85"/>
    <n v="0.38"/>
    <n v="0.26"/>
    <n v="0.52"/>
    <n v="0.62"/>
    <n v="0.42"/>
    <x v="1"/>
    <s v="High Exposure"/>
  </r>
  <r>
    <x v="19"/>
    <x v="1940"/>
    <n v="9"/>
    <x v="2"/>
    <n v="0.52"/>
    <n v="0.54"/>
    <x v="65"/>
    <x v="2"/>
    <n v="0.45"/>
    <n v="0.7"/>
    <n v="0.22"/>
    <n v="0.98"/>
    <n v="0.32"/>
    <n v="0.53"/>
    <n v="0.02"/>
    <n v="0.88"/>
    <n v="0.79"/>
    <n v="0.2"/>
    <x v="2"/>
    <s v="Medium Exposure"/>
  </r>
  <r>
    <x v="17"/>
    <x v="1941"/>
    <n v="9"/>
    <x v="2"/>
    <n v="0.32"/>
    <n v="1.19"/>
    <x v="12"/>
    <x v="2"/>
    <n v="0.74"/>
    <n v="0.92"/>
    <n v="0.86"/>
    <n v="0.99"/>
    <n v="0.18"/>
    <n v="0.3"/>
    <n v="0.64"/>
    <n v="0.73"/>
    <n v="0.53"/>
    <n v="7.0000000000000007E-2"/>
    <x v="2"/>
    <s v="Medium Exposure"/>
  </r>
  <r>
    <x v="13"/>
    <x v="1942"/>
    <n v="18"/>
    <x v="2"/>
    <n v="0.96"/>
    <n v="0.91"/>
    <x v="65"/>
    <x v="2"/>
    <n v="0.02"/>
    <n v="0.24"/>
    <n v="0.7"/>
    <n v="0.91"/>
    <n v="0.09"/>
    <n v="0.55000000000000004"/>
    <n v="0.7"/>
    <n v="0.28000000000000003"/>
    <n v="0.56999999999999995"/>
    <n v="0.72"/>
    <x v="0"/>
    <s v="High Exposure"/>
  </r>
  <r>
    <x v="2"/>
    <x v="1943"/>
    <n v="15"/>
    <x v="0"/>
    <n v="0.45"/>
    <n v="1.25"/>
    <x v="80"/>
    <x v="0"/>
    <n v="0.21"/>
    <n v="0.19"/>
    <n v="0.36"/>
    <n v="0.04"/>
    <n v="0.28000000000000003"/>
    <n v="0.65"/>
    <n v="0.65"/>
    <n v="7.0000000000000007E-2"/>
    <n v="0.28999999999999998"/>
    <n v="0.56999999999999995"/>
    <x v="2"/>
    <s v="Medium Exposure"/>
  </r>
  <r>
    <x v="3"/>
    <x v="1944"/>
    <n v="0"/>
    <x v="1"/>
    <n v="0.42"/>
    <n v="1.21"/>
    <x v="85"/>
    <x v="1"/>
    <n v="0.28000000000000003"/>
    <n v="0.14000000000000001"/>
    <n v="0.13"/>
    <n v="0.96"/>
    <n v="0.38"/>
    <n v="0.53"/>
    <n v="0.73"/>
    <n v="0.05"/>
    <n v="0.24"/>
    <n v="0.83"/>
    <x v="1"/>
    <s v="Medium Exposure"/>
  </r>
  <r>
    <x v="6"/>
    <x v="1945"/>
    <n v="11"/>
    <x v="2"/>
    <n v="0.37"/>
    <n v="0.87"/>
    <x v="3"/>
    <x v="2"/>
    <n v="0.3"/>
    <n v="0.12"/>
    <n v="0.26"/>
    <n v="0.39"/>
    <n v="0.05"/>
    <n v="0.48"/>
    <n v="0.74"/>
    <n v="0.51"/>
    <n v="7.0000000000000007E-2"/>
    <n v="0.44"/>
    <x v="2"/>
    <s v="Medium Exposure"/>
  </r>
  <r>
    <x v="3"/>
    <x v="1946"/>
    <n v="17"/>
    <x v="2"/>
    <n v="0.06"/>
    <n v="0.56000000000000005"/>
    <x v="84"/>
    <x v="2"/>
    <n v="0.19"/>
    <n v="0.93"/>
    <n v="0.57999999999999996"/>
    <n v="0.28999999999999998"/>
    <n v="0.7"/>
    <n v="0.37"/>
    <n v="0.13"/>
    <n v="0.24"/>
    <n v="0.64"/>
    <n v="0.05"/>
    <x v="0"/>
    <s v="Low Exposure"/>
  </r>
  <r>
    <x v="5"/>
    <x v="1947"/>
    <n v="24"/>
    <x v="0"/>
    <n v="0.25"/>
    <n v="1.08"/>
    <x v="29"/>
    <x v="1"/>
    <n v="0.31"/>
    <n v="0.69"/>
    <n v="0.34"/>
    <n v="0.63"/>
    <n v="0.63"/>
    <n v="0.28000000000000003"/>
    <n v="0.64"/>
    <n v="0.38"/>
    <n v="0.34"/>
    <n v="0.28999999999999998"/>
    <x v="0"/>
    <s v="Low Exposure"/>
  </r>
  <r>
    <x v="19"/>
    <x v="1948"/>
    <n v="29"/>
    <x v="2"/>
    <n v="0.93"/>
    <n v="0.89"/>
    <x v="86"/>
    <x v="2"/>
    <n v="0.71"/>
    <n v="0.28999999999999998"/>
    <n v="0.25"/>
    <n v="0.32"/>
    <n v="0.72"/>
    <n v="0.82"/>
    <n v="0.59"/>
    <n v="0.32"/>
    <n v="0.31"/>
    <n v="0.12"/>
    <x v="0"/>
    <s v="High Exposure"/>
  </r>
  <r>
    <x v="7"/>
    <x v="1949"/>
    <n v="29"/>
    <x v="1"/>
    <n v="0.64"/>
    <n v="0.53"/>
    <x v="29"/>
    <x v="1"/>
    <n v="0.45"/>
    <n v="0.97"/>
    <n v="0.82"/>
    <n v="0.17"/>
    <n v="0.72"/>
    <n v="0.49"/>
    <n v="0.19"/>
    <n v="0.7"/>
    <n v="0.55000000000000004"/>
    <n v="0.03"/>
    <x v="0"/>
    <s v="Medium Exposure"/>
  </r>
  <r>
    <x v="10"/>
    <x v="1950"/>
    <n v="21"/>
    <x v="2"/>
    <n v="0.63"/>
    <n v="0.64"/>
    <x v="30"/>
    <x v="2"/>
    <n v="0.59"/>
    <n v="0.14000000000000001"/>
    <n v="0.85"/>
    <n v="0.03"/>
    <n v="0.1"/>
    <n v="0.12"/>
    <n v="0.53"/>
    <n v="0.62"/>
    <n v="0.4"/>
    <n v="0.28999999999999998"/>
    <x v="0"/>
    <s v="Medium Exposure"/>
  </r>
  <r>
    <x v="14"/>
    <x v="1951"/>
    <n v="25"/>
    <x v="2"/>
    <n v="7.0000000000000007E-2"/>
    <n v="0.78"/>
    <x v="76"/>
    <x v="0"/>
    <n v="0.01"/>
    <n v="0.35"/>
    <n v="0.19"/>
    <n v="0.27"/>
    <n v="0.82"/>
    <n v="0.16"/>
    <n v="0.78"/>
    <n v="0.68"/>
    <n v="0.33"/>
    <n v="0.55000000000000004"/>
    <x v="0"/>
    <s v="Low Exposure"/>
  </r>
  <r>
    <x v="17"/>
    <x v="1952"/>
    <n v="24"/>
    <x v="0"/>
    <n v="0.13"/>
    <n v="1.41"/>
    <x v="68"/>
    <x v="2"/>
    <n v="0.88"/>
    <n v="0.82"/>
    <n v="0.08"/>
    <n v="0.21"/>
    <n v="0.15"/>
    <n v="0.83"/>
    <n v="0.86"/>
    <n v="0.53"/>
    <n v="0.1"/>
    <n v="0.14000000000000001"/>
    <x v="0"/>
    <s v="Low Exposure"/>
  </r>
  <r>
    <x v="7"/>
    <x v="1953"/>
    <n v="18"/>
    <x v="0"/>
    <n v="0.93"/>
    <n v="0.7"/>
    <x v="1"/>
    <x v="1"/>
    <n v="0.33"/>
    <n v="0.03"/>
    <n v="0.83"/>
    <n v="0.49"/>
    <n v="0.64"/>
    <n v="0.41"/>
    <n v="0.35"/>
    <n v="0.22"/>
    <n v="0.77"/>
    <n v="0.7"/>
    <x v="0"/>
    <s v="High Exposure"/>
  </r>
  <r>
    <x v="1"/>
    <x v="1954"/>
    <n v="11"/>
    <x v="3"/>
    <n v="0.32"/>
    <n v="0.5"/>
    <x v="34"/>
    <x v="1"/>
    <n v="0.62"/>
    <n v="0.51"/>
    <n v="0.43"/>
    <n v="0.83"/>
    <n v="0.5"/>
    <n v="0.38"/>
    <n v="0.16"/>
    <n v="0.82"/>
    <n v="0.57999999999999996"/>
    <n v="0.09"/>
    <x v="2"/>
    <s v="Medium Exposure"/>
  </r>
  <r>
    <x v="7"/>
    <x v="1955"/>
    <n v="11"/>
    <x v="3"/>
    <n v="0.43"/>
    <n v="1.31"/>
    <x v="16"/>
    <x v="1"/>
    <n v="0.6"/>
    <n v="0.73"/>
    <n v="0.06"/>
    <n v="0.56000000000000005"/>
    <n v="0.76"/>
    <n v="0.5"/>
    <n v="0.59"/>
    <n v="0.9"/>
    <n v="0.2"/>
    <n v="0.1"/>
    <x v="2"/>
    <s v="Medium Exposure"/>
  </r>
  <r>
    <x v="17"/>
    <x v="1956"/>
    <n v="6"/>
    <x v="1"/>
    <n v="0.82"/>
    <n v="1.35"/>
    <x v="23"/>
    <x v="2"/>
    <n v="0.83"/>
    <n v="0.7"/>
    <n v="0.09"/>
    <n v="0.76"/>
    <n v="0.18"/>
    <n v="0.24"/>
    <n v="0.39"/>
    <n v="0.31"/>
    <n v="0.32"/>
    <n v="0.17"/>
    <x v="2"/>
    <s v="High Exposure"/>
  </r>
  <r>
    <x v="12"/>
    <x v="1957"/>
    <n v="4"/>
    <x v="2"/>
    <n v="0.02"/>
    <n v="0.97"/>
    <x v="45"/>
    <x v="2"/>
    <n v="0.86"/>
    <n v="0.82"/>
    <n v="0.42"/>
    <n v="0.73"/>
    <n v="0.28999999999999998"/>
    <n v="0.06"/>
    <n v="0.68"/>
    <n v="0.65"/>
    <n v="0.8"/>
    <n v="0.62"/>
    <x v="1"/>
    <s v="Low Exposure"/>
  </r>
  <r>
    <x v="7"/>
    <x v="1958"/>
    <n v="2"/>
    <x v="0"/>
    <n v="0.88"/>
    <n v="0.59"/>
    <x v="16"/>
    <x v="1"/>
    <n v="0.93"/>
    <n v="0.73"/>
    <n v="0.9"/>
    <n v="0.77"/>
    <n v="0.53"/>
    <n v="0.6"/>
    <n v="0.63"/>
    <n v="0.13"/>
    <n v="0.19"/>
    <n v="0.52"/>
    <x v="1"/>
    <s v="High Exposure"/>
  </r>
  <r>
    <x v="1"/>
    <x v="1959"/>
    <n v="21"/>
    <x v="0"/>
    <n v="0.96"/>
    <n v="1.01"/>
    <x v="18"/>
    <x v="1"/>
    <n v="0.16"/>
    <n v="0.42"/>
    <n v="0.3"/>
    <n v="0.09"/>
    <n v="0.97"/>
    <n v="0.26"/>
    <n v="0.69"/>
    <n v="0.09"/>
    <n v="0.91"/>
    <n v="0.59"/>
    <x v="0"/>
    <s v="High Exposure"/>
  </r>
  <r>
    <x v="8"/>
    <x v="1960"/>
    <n v="23"/>
    <x v="3"/>
    <n v="0.67"/>
    <n v="1.27"/>
    <x v="66"/>
    <x v="2"/>
    <n v="0.89"/>
    <n v="0.79"/>
    <n v="0.69"/>
    <n v="0.56999999999999995"/>
    <n v="0.12"/>
    <n v="0.17"/>
    <n v="0.82"/>
    <n v="0.8"/>
    <n v="0.61"/>
    <n v="0.44"/>
    <x v="0"/>
    <s v="Medium Exposure"/>
  </r>
  <r>
    <x v="0"/>
    <x v="1961"/>
    <n v="8"/>
    <x v="3"/>
    <n v="0.33"/>
    <n v="0.92"/>
    <x v="90"/>
    <x v="0"/>
    <n v="0.93"/>
    <n v="0.11"/>
    <n v="0.52"/>
    <n v="0.37"/>
    <n v="0.99"/>
    <n v="0.86"/>
    <n v="0.44"/>
    <n v="1"/>
    <n v="0.51"/>
    <n v="0.17"/>
    <x v="2"/>
    <s v="Medium Exposure"/>
  </r>
  <r>
    <x v="15"/>
    <x v="1962"/>
    <n v="11"/>
    <x v="2"/>
    <n v="0.23"/>
    <n v="1.1399999999999999"/>
    <x v="16"/>
    <x v="1"/>
    <n v="0.79"/>
    <n v="0.27"/>
    <n v="0.3"/>
    <n v="7.0000000000000007E-2"/>
    <n v="0.28999999999999998"/>
    <n v="0.09"/>
    <n v="0.5"/>
    <n v="0.71"/>
    <n v="0.75"/>
    <n v="0.06"/>
    <x v="2"/>
    <s v="Low Exposure"/>
  </r>
  <r>
    <x v="10"/>
    <x v="1963"/>
    <n v="27"/>
    <x v="3"/>
    <n v="0.28999999999999998"/>
    <n v="0.6"/>
    <x v="30"/>
    <x v="2"/>
    <n v="0.3"/>
    <n v="0.63"/>
    <n v="0.88"/>
    <n v="0.45"/>
    <n v="0.75"/>
    <n v="0.15"/>
    <n v="0.89"/>
    <n v="0.15"/>
    <n v="0.19"/>
    <n v="0.11"/>
    <x v="0"/>
    <s v="Low Exposure"/>
  </r>
  <r>
    <x v="0"/>
    <x v="1964"/>
    <n v="6"/>
    <x v="1"/>
    <n v="0.55000000000000004"/>
    <n v="1.49"/>
    <x v="40"/>
    <x v="0"/>
    <n v="0.38"/>
    <n v="0.57999999999999996"/>
    <n v="0.62"/>
    <n v="0.82"/>
    <n v="0.74"/>
    <n v="0.56999999999999995"/>
    <n v="0.67"/>
    <n v="0.75"/>
    <n v="0.13"/>
    <n v="0.2"/>
    <x v="2"/>
    <s v="Medium Exposure"/>
  </r>
  <r>
    <x v="0"/>
    <x v="1965"/>
    <n v="16"/>
    <x v="3"/>
    <n v="0.85"/>
    <n v="0.91"/>
    <x v="89"/>
    <x v="0"/>
    <n v="0.22"/>
    <n v="0.42"/>
    <n v="0.38"/>
    <n v="0.93"/>
    <n v="0.28999999999999998"/>
    <n v="0.47"/>
    <n v="0.19"/>
    <n v="0.52"/>
    <n v="0.86"/>
    <n v="0.3"/>
    <x v="0"/>
    <s v="High Exposure"/>
  </r>
  <r>
    <x v="18"/>
    <x v="1966"/>
    <n v="11"/>
    <x v="3"/>
    <n v="0.91"/>
    <n v="0.56999999999999995"/>
    <x v="52"/>
    <x v="1"/>
    <n v="0.26"/>
    <n v="0.18"/>
    <n v="0.6"/>
    <n v="0.71"/>
    <n v="0.39"/>
    <n v="0.04"/>
    <n v="0.91"/>
    <n v="0.73"/>
    <n v="0.27"/>
    <n v="0.5"/>
    <x v="2"/>
    <s v="High Exposure"/>
  </r>
  <r>
    <x v="7"/>
    <x v="1967"/>
    <n v="9"/>
    <x v="0"/>
    <n v="0.34"/>
    <n v="1.02"/>
    <x v="82"/>
    <x v="1"/>
    <n v="0.21"/>
    <n v="0.78"/>
    <n v="0.3"/>
    <n v="0.57999999999999996"/>
    <n v="0.27"/>
    <n v="0.43"/>
    <n v="0.21"/>
    <n v="0.63"/>
    <n v="0.43"/>
    <n v="0.02"/>
    <x v="2"/>
    <s v="Medium Exposure"/>
  </r>
  <r>
    <x v="12"/>
    <x v="1968"/>
    <n v="0"/>
    <x v="1"/>
    <n v="0.47"/>
    <n v="0.68"/>
    <x v="68"/>
    <x v="2"/>
    <n v="0.41"/>
    <n v="0.65"/>
    <n v="0.95"/>
    <n v="0.53"/>
    <n v="0.79"/>
    <n v="0.75"/>
    <n v="0.92"/>
    <n v="0.21"/>
    <n v="0.83"/>
    <n v="0.91"/>
    <x v="1"/>
    <s v="Medium Exposure"/>
  </r>
  <r>
    <x v="4"/>
    <x v="1969"/>
    <n v="28"/>
    <x v="3"/>
    <n v="0.31"/>
    <n v="1.45"/>
    <x v="33"/>
    <x v="2"/>
    <n v="0.38"/>
    <n v="0.79"/>
    <n v="0.3"/>
    <n v="0.18"/>
    <n v="0.54"/>
    <n v="0.56999999999999995"/>
    <n v="0.83"/>
    <n v="0.46"/>
    <n v="0.81"/>
    <n v="0.31"/>
    <x v="0"/>
    <s v="Medium Exposure"/>
  </r>
  <r>
    <x v="12"/>
    <x v="1970"/>
    <n v="4"/>
    <x v="1"/>
    <n v="0.21"/>
    <n v="0.89"/>
    <x v="4"/>
    <x v="2"/>
    <n v="0.22"/>
    <n v="0.81"/>
    <n v="0.28000000000000003"/>
    <n v="0.03"/>
    <n v="0.11"/>
    <n v="0.75"/>
    <n v="0.26"/>
    <n v="0.65"/>
    <n v="0.7"/>
    <n v="0.35"/>
    <x v="1"/>
    <s v="Low Exposure"/>
  </r>
  <r>
    <x v="19"/>
    <x v="1971"/>
    <n v="0"/>
    <x v="3"/>
    <n v="0.4"/>
    <n v="1.45"/>
    <x v="87"/>
    <x v="2"/>
    <n v="0.18"/>
    <n v="0.37"/>
    <n v="0.67"/>
    <n v="0.7"/>
    <n v="0.92"/>
    <n v="0.88"/>
    <n v="0.28999999999999998"/>
    <n v="0.46"/>
    <n v="0.75"/>
    <n v="0.92"/>
    <x v="1"/>
    <s v="Medium Exposure"/>
  </r>
  <r>
    <x v="7"/>
    <x v="1972"/>
    <n v="11"/>
    <x v="2"/>
    <n v="0.44"/>
    <n v="1.4"/>
    <x v="41"/>
    <x v="1"/>
    <n v="0.48"/>
    <n v="0.9"/>
    <n v="0.8"/>
    <n v="0.24"/>
    <n v="0.32"/>
    <n v="0.35"/>
    <n v="0.91"/>
    <n v="1"/>
    <n v="0.77"/>
    <n v="0.48"/>
    <x v="2"/>
    <s v="Medium Exposure"/>
  </r>
  <r>
    <x v="7"/>
    <x v="1973"/>
    <n v="21"/>
    <x v="3"/>
    <n v="0.7"/>
    <n v="0.89"/>
    <x v="13"/>
    <x v="1"/>
    <n v="0.61"/>
    <n v="0.48"/>
    <n v="0.94"/>
    <n v="0.02"/>
    <n v="0.71"/>
    <n v="0.41"/>
    <n v="0.71"/>
    <n v="0.68"/>
    <n v="0.01"/>
    <n v="0.28999999999999998"/>
    <x v="0"/>
    <s v="High Exposure"/>
  </r>
  <r>
    <x v="7"/>
    <x v="1974"/>
    <n v="20"/>
    <x v="0"/>
    <n v="0.17"/>
    <n v="1.23"/>
    <x v="37"/>
    <x v="1"/>
    <n v="0.47"/>
    <n v="0.25"/>
    <n v="0.57999999999999996"/>
    <n v="0.72"/>
    <n v="0.33"/>
    <n v="0.6"/>
    <n v="0.82"/>
    <n v="0.09"/>
    <n v="0.71"/>
    <n v="0.32"/>
    <x v="0"/>
    <s v="Low Exposure"/>
  </r>
  <r>
    <x v="14"/>
    <x v="1975"/>
    <n v="21"/>
    <x v="2"/>
    <n v="0.02"/>
    <n v="0.92"/>
    <x v="59"/>
    <x v="0"/>
    <n v="0.52"/>
    <n v="0.6"/>
    <n v="0.33"/>
    <n v="0.18"/>
    <n v="0.81"/>
    <n v="0.91"/>
    <n v="0.51"/>
    <n v="0.31"/>
    <n v="0.51"/>
    <n v="0.88"/>
    <x v="0"/>
    <s v="Low Exposure"/>
  </r>
  <r>
    <x v="7"/>
    <x v="1976"/>
    <n v="21"/>
    <x v="1"/>
    <n v="0.86"/>
    <n v="0.83"/>
    <x v="70"/>
    <x v="1"/>
    <n v="0.65"/>
    <n v="0.56999999999999995"/>
    <n v="0.53"/>
    <n v="0.55000000000000004"/>
    <n v="0.85"/>
    <n v="0.92"/>
    <n v="0.11"/>
    <n v="0.56999999999999995"/>
    <n v="0.92"/>
    <n v="0.13"/>
    <x v="0"/>
    <s v="High Exposure"/>
  </r>
  <r>
    <x v="6"/>
    <x v="1977"/>
    <n v="7"/>
    <x v="3"/>
    <n v="0.09"/>
    <n v="0.61"/>
    <x v="72"/>
    <x v="2"/>
    <n v="0.45"/>
    <n v="0.69"/>
    <n v="0.14000000000000001"/>
    <n v="0.02"/>
    <n v="0.89"/>
    <n v="0.56999999999999995"/>
    <n v="0.02"/>
    <n v="0.99"/>
    <n v="0.49"/>
    <n v="0.48"/>
    <x v="2"/>
    <s v="Low Exposure"/>
  </r>
  <r>
    <x v="10"/>
    <x v="1978"/>
    <n v="0"/>
    <x v="2"/>
    <n v="0.01"/>
    <n v="1.07"/>
    <x v="33"/>
    <x v="2"/>
    <n v="0.3"/>
    <n v="0.73"/>
    <n v="0.38"/>
    <n v="0.72"/>
    <n v="0.14000000000000001"/>
    <n v="0.91"/>
    <n v="0.88"/>
    <n v="0.15"/>
    <n v="0.94"/>
    <n v="0.56000000000000005"/>
    <x v="1"/>
    <s v="Low Exposure"/>
  </r>
  <r>
    <x v="16"/>
    <x v="1979"/>
    <n v="9"/>
    <x v="1"/>
    <n v="0.84"/>
    <n v="0.57999999999999996"/>
    <x v="44"/>
    <x v="0"/>
    <n v="0.28999999999999998"/>
    <n v="0.48"/>
    <n v="0.35"/>
    <n v="0.51"/>
    <n v="0.19"/>
    <n v="0.68"/>
    <n v="0.06"/>
    <n v="0.36"/>
    <n v="0.18"/>
    <n v="0.73"/>
    <x v="2"/>
    <s v="High Exposure"/>
  </r>
  <r>
    <x v="11"/>
    <x v="1980"/>
    <n v="19"/>
    <x v="1"/>
    <n v="0.08"/>
    <n v="1.29"/>
    <x v="72"/>
    <x v="2"/>
    <n v="0.97"/>
    <n v="0.57999999999999996"/>
    <n v="0.33"/>
    <n v="0.32"/>
    <n v="0.38"/>
    <n v="0.61"/>
    <n v="0.49"/>
    <n v="0.65"/>
    <n v="0.04"/>
    <n v="0.11"/>
    <x v="0"/>
    <s v="Low Exposure"/>
  </r>
  <r>
    <x v="8"/>
    <x v="1981"/>
    <n v="25"/>
    <x v="1"/>
    <n v="1"/>
    <n v="1.25"/>
    <x v="10"/>
    <x v="2"/>
    <n v="0.95"/>
    <n v="0.21"/>
    <n v="0.73"/>
    <n v="0.12"/>
    <n v="0.65"/>
    <n v="0.76"/>
    <n v="0.86"/>
    <n v="0.73"/>
    <n v="0.92"/>
    <n v="0.52"/>
    <x v="0"/>
    <s v="High Exposure"/>
  </r>
  <r>
    <x v="10"/>
    <x v="1982"/>
    <n v="10"/>
    <x v="0"/>
    <n v="0.8"/>
    <n v="0.78"/>
    <x v="6"/>
    <x v="2"/>
    <n v="0.83"/>
    <n v="0.15"/>
    <n v="0.62"/>
    <n v="0.96"/>
    <n v="0.84"/>
    <n v="0.06"/>
    <n v="0.32"/>
    <n v="0.14000000000000001"/>
    <n v="0.95"/>
    <n v="0.99"/>
    <x v="2"/>
    <s v="High Exposure"/>
  </r>
  <r>
    <x v="11"/>
    <x v="1983"/>
    <n v="6"/>
    <x v="1"/>
    <n v="0.67"/>
    <n v="1.34"/>
    <x v="65"/>
    <x v="2"/>
    <n v="0.19"/>
    <n v="0.01"/>
    <n v="0.41"/>
    <n v="0.9"/>
    <n v="0.9"/>
    <n v="0.13"/>
    <n v="0.2"/>
    <n v="0.41"/>
    <n v="0.78"/>
    <n v="0.61"/>
    <x v="2"/>
    <s v="Medium Exposure"/>
  </r>
  <r>
    <x v="11"/>
    <x v="1984"/>
    <n v="23"/>
    <x v="0"/>
    <n v="0.59"/>
    <n v="0.6"/>
    <x v="78"/>
    <x v="2"/>
    <n v="0.99"/>
    <n v="0.09"/>
    <n v="0.52"/>
    <n v="0.3"/>
    <n v="0.54"/>
    <n v="0.56999999999999995"/>
    <n v="0.57999999999999996"/>
    <n v="0.85"/>
    <n v="0.39"/>
    <n v="0.52"/>
    <x v="0"/>
    <s v="Medium Exposure"/>
  </r>
  <r>
    <x v="2"/>
    <x v="1985"/>
    <n v="3"/>
    <x v="1"/>
    <n v="0.79"/>
    <n v="0.76"/>
    <x v="40"/>
    <x v="0"/>
    <n v="0.27"/>
    <n v="0.01"/>
    <n v="0.15"/>
    <n v="0.99"/>
    <n v="0.32"/>
    <n v="0.11"/>
    <n v="0.12"/>
    <n v="0.31"/>
    <n v="0.04"/>
    <n v="0.51"/>
    <x v="1"/>
    <s v="High Exposure"/>
  </r>
  <r>
    <x v="14"/>
    <x v="1986"/>
    <n v="14"/>
    <x v="2"/>
    <n v="0.52"/>
    <n v="0.64"/>
    <x v="2"/>
    <x v="0"/>
    <n v="0.6"/>
    <n v="0.06"/>
    <n v="0.4"/>
    <n v="0.3"/>
    <n v="0.24"/>
    <n v="0.6"/>
    <n v="0.59"/>
    <n v="0.63"/>
    <n v="0.16"/>
    <n v="0.28999999999999998"/>
    <x v="2"/>
    <s v="Medium Exposure"/>
  </r>
  <r>
    <x v="2"/>
    <x v="1987"/>
    <n v="7"/>
    <x v="3"/>
    <n v="0.54"/>
    <n v="0.96"/>
    <x v="80"/>
    <x v="0"/>
    <n v="0.79"/>
    <n v="0.09"/>
    <n v="0.97"/>
    <n v="0.12"/>
    <n v="0.77"/>
    <n v="0.37"/>
    <n v="0.87"/>
    <n v="7.0000000000000007E-2"/>
    <n v="0.37"/>
    <n v="0.34"/>
    <x v="2"/>
    <s v="Medium Exposure"/>
  </r>
  <r>
    <x v="5"/>
    <x v="1988"/>
    <n v="27"/>
    <x v="0"/>
    <n v="0.99"/>
    <n v="0.69"/>
    <x v="13"/>
    <x v="1"/>
    <n v="0.54"/>
    <n v="0.15"/>
    <n v="0.17"/>
    <n v="0.99"/>
    <n v="0.45"/>
    <n v="0.13"/>
    <n v="0.21"/>
    <n v="0.27"/>
    <n v="0.51"/>
    <n v="0.34"/>
    <x v="0"/>
    <s v="High Exposure"/>
  </r>
  <r>
    <x v="7"/>
    <x v="1989"/>
    <n v="2"/>
    <x v="0"/>
    <n v="0.17"/>
    <n v="0.83"/>
    <x v="34"/>
    <x v="1"/>
    <n v="0.89"/>
    <n v="0.2"/>
    <n v="0.76"/>
    <n v="0.35"/>
    <n v="0.47"/>
    <n v="0.28999999999999998"/>
    <n v="0.7"/>
    <n v="0.84"/>
    <n v="0.28999999999999998"/>
    <n v="0.24"/>
    <x v="1"/>
    <s v="Low Exposure"/>
  </r>
  <r>
    <x v="2"/>
    <x v="1990"/>
    <n v="9"/>
    <x v="2"/>
    <n v="0.2"/>
    <n v="1.1399999999999999"/>
    <x v="28"/>
    <x v="0"/>
    <n v="0.62"/>
    <n v="0.51"/>
    <n v="0.11"/>
    <n v="0.65"/>
    <n v="0.45"/>
    <n v="0.22"/>
    <n v="0.35"/>
    <n v="0.49"/>
    <n v="0.09"/>
    <n v="0.96"/>
    <x v="2"/>
    <s v="Low Exposure"/>
  </r>
  <r>
    <x v="2"/>
    <x v="1991"/>
    <n v="26"/>
    <x v="2"/>
    <n v="0.1"/>
    <n v="1.32"/>
    <x v="80"/>
    <x v="0"/>
    <n v="0.6"/>
    <n v="0.28000000000000003"/>
    <n v="0.73"/>
    <n v="0.72"/>
    <n v="0.55000000000000004"/>
    <n v="0.24"/>
    <n v="0.25"/>
    <n v="0.38"/>
    <n v="0.15"/>
    <n v="0.34"/>
    <x v="0"/>
    <s v="Low Exposure"/>
  </r>
  <r>
    <x v="14"/>
    <x v="1992"/>
    <n v="0"/>
    <x v="1"/>
    <n v="0.81"/>
    <n v="0.9"/>
    <x v="81"/>
    <x v="0"/>
    <n v="0.1"/>
    <n v="0.88"/>
    <n v="0.28999999999999998"/>
    <n v="0.4"/>
    <n v="0.8"/>
    <n v="0.64"/>
    <n v="0.31"/>
    <n v="0.23"/>
    <n v="0.96"/>
    <n v="0.09"/>
    <x v="1"/>
    <s v="High Exposure"/>
  </r>
  <r>
    <x v="2"/>
    <x v="1993"/>
    <n v="3"/>
    <x v="1"/>
    <n v="0.67"/>
    <n v="1.1100000000000001"/>
    <x v="51"/>
    <x v="0"/>
    <n v="0.73"/>
    <n v="0.86"/>
    <n v="0.92"/>
    <n v="0.78"/>
    <n v="0.23"/>
    <n v="0.46"/>
    <n v="0.64"/>
    <n v="0.54"/>
    <n v="0.16"/>
    <n v="0.59"/>
    <x v="1"/>
    <s v="Medium Exposure"/>
  </r>
  <r>
    <x v="3"/>
    <x v="1994"/>
    <n v="0"/>
    <x v="0"/>
    <n v="0.42"/>
    <n v="1.17"/>
    <x v="33"/>
    <x v="2"/>
    <n v="0.38"/>
    <n v="0.56999999999999995"/>
    <n v="0.21"/>
    <n v="0.55000000000000004"/>
    <n v="0.8"/>
    <n v="0.76"/>
    <n v="0.36"/>
    <n v="0.11"/>
    <n v="0.8"/>
    <n v="0.27"/>
    <x v="1"/>
    <s v="Medium Exposure"/>
  </r>
  <r>
    <x v="13"/>
    <x v="1995"/>
    <n v="19"/>
    <x v="0"/>
    <n v="0.45"/>
    <n v="1.24"/>
    <x v="69"/>
    <x v="2"/>
    <n v="0.98"/>
    <n v="0.19"/>
    <n v="0.28999999999999998"/>
    <n v="0.61"/>
    <n v="0.81"/>
    <n v="0.23"/>
    <n v="0.41"/>
    <n v="0.41"/>
    <n v="0.77"/>
    <n v="0.24"/>
    <x v="0"/>
    <s v="Medium Exposure"/>
  </r>
  <r>
    <x v="5"/>
    <x v="1996"/>
    <n v="18"/>
    <x v="2"/>
    <n v="0.51"/>
    <n v="0.78"/>
    <x v="54"/>
    <x v="1"/>
    <n v="0.02"/>
    <n v="0.69"/>
    <n v="0.78"/>
    <n v="0.03"/>
    <n v="0.59"/>
    <n v="0.78"/>
    <n v="0.38"/>
    <n v="0.43"/>
    <n v="0.36"/>
    <n v="0.32"/>
    <x v="0"/>
    <s v="Medium Exposure"/>
  </r>
  <r>
    <x v="7"/>
    <x v="1997"/>
    <n v="8"/>
    <x v="2"/>
    <n v="0.17"/>
    <n v="0.94"/>
    <x v="21"/>
    <x v="1"/>
    <n v="0.03"/>
    <n v="0.16"/>
    <n v="0.78"/>
    <n v="0.13"/>
    <n v="0.27"/>
    <n v="0.45"/>
    <n v="0.94"/>
    <n v="0.18"/>
    <n v="0.92"/>
    <n v="0.72"/>
    <x v="2"/>
    <s v="Low Exposure"/>
  </r>
  <r>
    <x v="3"/>
    <x v="1998"/>
    <n v="25"/>
    <x v="0"/>
    <n v="0.72"/>
    <n v="0.53"/>
    <x v="55"/>
    <x v="2"/>
    <n v="0.33"/>
    <n v="7.0000000000000007E-2"/>
    <n v="0.99"/>
    <n v="0.57999999999999996"/>
    <n v="0.49"/>
    <n v="0.79"/>
    <n v="0.98"/>
    <n v="0.96"/>
    <n v="0.79"/>
    <n v="0.38"/>
    <x v="0"/>
    <s v="High Exposure"/>
  </r>
  <r>
    <x v="16"/>
    <x v="1999"/>
    <n v="23"/>
    <x v="2"/>
    <n v="0.1"/>
    <n v="0.5"/>
    <x v="58"/>
    <x v="2"/>
    <n v="0.94"/>
    <n v="0.93"/>
    <n v="0.67"/>
    <n v="0.73"/>
    <n v="0.51"/>
    <n v="0.24"/>
    <n v="0.91"/>
    <n v="0.28000000000000003"/>
    <n v="0.74"/>
    <n v="0.25"/>
    <x v="0"/>
    <s v="Low Exposure"/>
  </r>
  <r>
    <x v="2"/>
    <x v="2000"/>
    <n v="1"/>
    <x v="0"/>
    <n v="0.65"/>
    <n v="1.1399999999999999"/>
    <x v="28"/>
    <x v="0"/>
    <n v="0.42"/>
    <n v="0.52"/>
    <n v="0.28999999999999998"/>
    <n v="0.88"/>
    <n v="0.84"/>
    <n v="0.49"/>
    <n v="0.34"/>
    <n v="0.8"/>
    <n v="0.2"/>
    <n v="7.0000000000000007E-2"/>
    <x v="1"/>
    <s v="Medium Exposure"/>
  </r>
  <r>
    <x v="11"/>
    <x v="2001"/>
    <n v="12"/>
    <x v="2"/>
    <n v="0.04"/>
    <n v="0.99"/>
    <x v="10"/>
    <x v="2"/>
    <n v="0.69"/>
    <n v="0.65"/>
    <n v="0.54"/>
    <n v="0.35"/>
    <n v="0.85"/>
    <n v="0.71"/>
    <n v="0.27"/>
    <n v="0.5"/>
    <n v="0.16"/>
    <n v="0.33"/>
    <x v="2"/>
    <s v="Low Exposure"/>
  </r>
  <r>
    <x v="19"/>
    <x v="2002"/>
    <n v="9"/>
    <x v="0"/>
    <n v="0.22"/>
    <n v="1.2"/>
    <x v="10"/>
    <x v="2"/>
    <n v="0.94"/>
    <n v="0.31"/>
    <n v="0.35"/>
    <n v="0.59"/>
    <n v="0.59"/>
    <n v="0.57999999999999996"/>
    <n v="0.56999999999999995"/>
    <n v="0.31"/>
    <n v="0.43"/>
    <n v="0.59"/>
    <x v="2"/>
    <s v="Low Exposure"/>
  </r>
  <r>
    <x v="10"/>
    <x v="2003"/>
    <n v="24"/>
    <x v="3"/>
    <n v="0.25"/>
    <n v="1.2"/>
    <x v="79"/>
    <x v="2"/>
    <n v="0.76"/>
    <n v="0.08"/>
    <n v="0.47"/>
    <n v="0.44"/>
    <n v="0.34"/>
    <n v="0.49"/>
    <n v="0.44"/>
    <n v="0.01"/>
    <n v="0.24"/>
    <n v="0.21"/>
    <x v="0"/>
    <s v="Low Exposure"/>
  </r>
  <r>
    <x v="12"/>
    <x v="2004"/>
    <n v="11"/>
    <x v="3"/>
    <n v="0.17"/>
    <n v="0.56999999999999995"/>
    <x v="48"/>
    <x v="2"/>
    <n v="0.85"/>
    <n v="0.8"/>
    <n v="0.44"/>
    <n v="0.88"/>
    <n v="0.23"/>
    <n v="0.57999999999999996"/>
    <n v="0.14000000000000001"/>
    <n v="0.83"/>
    <n v="0.13"/>
    <n v="0.03"/>
    <x v="2"/>
    <s v="Low Exposure"/>
  </r>
  <r>
    <x v="18"/>
    <x v="2005"/>
    <n v="8"/>
    <x v="2"/>
    <n v="0.9"/>
    <n v="0.63"/>
    <x v="61"/>
    <x v="1"/>
    <n v="0.32"/>
    <n v="0.8"/>
    <n v="0.42"/>
    <n v="0.61"/>
    <n v="0.4"/>
    <n v="0.55000000000000004"/>
    <n v="0.06"/>
    <n v="0.37"/>
    <n v="0.86"/>
    <n v="0.69"/>
    <x v="2"/>
    <s v="High Exposure"/>
  </r>
  <r>
    <x v="8"/>
    <x v="2006"/>
    <n v="19"/>
    <x v="2"/>
    <n v="0.79"/>
    <n v="0.95"/>
    <x v="64"/>
    <x v="2"/>
    <n v="0.78"/>
    <n v="0.27"/>
    <n v="0.06"/>
    <n v="0.41"/>
    <n v="0.14000000000000001"/>
    <n v="0.28000000000000003"/>
    <n v="0.95"/>
    <n v="0.85"/>
    <n v="0.59"/>
    <n v="0.4"/>
    <x v="0"/>
    <s v="High Exposure"/>
  </r>
  <r>
    <x v="12"/>
    <x v="2007"/>
    <n v="5"/>
    <x v="0"/>
    <n v="0.56999999999999995"/>
    <n v="1.03"/>
    <x v="45"/>
    <x v="2"/>
    <n v="0.93"/>
    <n v="0.33"/>
    <n v="0.21"/>
    <n v="0.4"/>
    <n v="0.44"/>
    <n v="0.04"/>
    <n v="0.86"/>
    <n v="1"/>
    <n v="0.92"/>
    <n v="0.86"/>
    <x v="1"/>
    <s v="Medium Exposure"/>
  </r>
  <r>
    <x v="18"/>
    <x v="2008"/>
    <n v="25"/>
    <x v="3"/>
    <n v="0.91"/>
    <n v="1.19"/>
    <x v="63"/>
    <x v="1"/>
    <n v="0.16"/>
    <n v="0.05"/>
    <n v="0.41"/>
    <n v="0.81"/>
    <n v="0.49"/>
    <n v="0.37"/>
    <n v="0.11"/>
    <n v="0.05"/>
    <n v="0.4"/>
    <n v="0.1"/>
    <x v="0"/>
    <s v="High Exposure"/>
  </r>
  <r>
    <x v="2"/>
    <x v="2009"/>
    <n v="26"/>
    <x v="0"/>
    <n v="0.4"/>
    <n v="1"/>
    <x v="73"/>
    <x v="0"/>
    <n v="0.68"/>
    <n v="0.42"/>
    <n v="0.09"/>
    <n v="0.64"/>
    <n v="0.36"/>
    <n v="0.05"/>
    <n v="0.95"/>
    <n v="0.56999999999999995"/>
    <n v="0.48"/>
    <n v="0.86"/>
    <x v="0"/>
    <s v="Medium Exposure"/>
  </r>
  <r>
    <x v="5"/>
    <x v="2010"/>
    <n v="9"/>
    <x v="1"/>
    <n v="0.22"/>
    <n v="1.31"/>
    <x v="75"/>
    <x v="1"/>
    <n v="0.05"/>
    <n v="0.71"/>
    <n v="0.06"/>
    <n v="0.59"/>
    <n v="0.67"/>
    <n v="0.37"/>
    <n v="0.88"/>
    <n v="0.8"/>
    <n v="0.93"/>
    <n v="0.31"/>
    <x v="2"/>
    <s v="Low Exposure"/>
  </r>
  <r>
    <x v="9"/>
    <x v="2011"/>
    <n v="0"/>
    <x v="3"/>
    <n v="0.81"/>
    <n v="0.72"/>
    <x v="90"/>
    <x v="0"/>
    <n v="0.82"/>
    <n v="0.22"/>
    <n v="0.31"/>
    <n v="0.44"/>
    <n v="0.27"/>
    <n v="0.46"/>
    <n v="0.01"/>
    <n v="0.21"/>
    <n v="0.83"/>
    <n v="0.41"/>
    <x v="1"/>
    <s v="High Exposure"/>
  </r>
  <r>
    <x v="18"/>
    <x v="2012"/>
    <n v="13"/>
    <x v="0"/>
    <n v="0.89"/>
    <n v="1.32"/>
    <x v="27"/>
    <x v="1"/>
    <n v="0.47"/>
    <n v="0.65"/>
    <n v="0.47"/>
    <n v="0.64"/>
    <n v="0.31"/>
    <n v="0.84"/>
    <n v="0.7"/>
    <n v="0.33"/>
    <n v="0.83"/>
    <n v="0.49"/>
    <x v="2"/>
    <s v="High Exposure"/>
  </r>
  <r>
    <x v="13"/>
    <x v="2013"/>
    <n v="10"/>
    <x v="2"/>
    <n v="0.08"/>
    <n v="1.2"/>
    <x v="38"/>
    <x v="2"/>
    <n v="0.81"/>
    <n v="0.66"/>
    <n v="0.14000000000000001"/>
    <n v="0.09"/>
    <n v="0.35"/>
    <n v="0.85"/>
    <n v="0.96"/>
    <n v="0.24"/>
    <n v="0.76"/>
    <n v="0.56999999999999995"/>
    <x v="2"/>
    <s v="Low Exposure"/>
  </r>
  <r>
    <x v="14"/>
    <x v="2014"/>
    <n v="21"/>
    <x v="3"/>
    <n v="0.54"/>
    <n v="1.31"/>
    <x v="62"/>
    <x v="0"/>
    <n v="0.9"/>
    <n v="0.24"/>
    <n v="0.08"/>
    <n v="0.16"/>
    <n v="0.84"/>
    <n v="0.42"/>
    <n v="0.8"/>
    <n v="0.53"/>
    <n v="0.48"/>
    <n v="0.81"/>
    <x v="0"/>
    <s v="Medium Exposure"/>
  </r>
  <r>
    <x v="10"/>
    <x v="2015"/>
    <n v="18"/>
    <x v="1"/>
    <n v="0.8"/>
    <n v="0.6"/>
    <x v="33"/>
    <x v="2"/>
    <n v="0.7"/>
    <n v="0.9"/>
    <n v="0.22"/>
    <n v="0.6"/>
    <n v="0.43"/>
    <n v="0.38"/>
    <n v="0.11"/>
    <n v="0.13"/>
    <n v="0.84"/>
    <n v="0.75"/>
    <x v="0"/>
    <s v="High Exposure"/>
  </r>
  <r>
    <x v="16"/>
    <x v="2016"/>
    <n v="8"/>
    <x v="0"/>
    <n v="0.83"/>
    <n v="0.57999999999999996"/>
    <x v="83"/>
    <x v="0"/>
    <n v="0.87"/>
    <n v="0.84"/>
    <n v="0.37"/>
    <n v="0.75"/>
    <n v="0.43"/>
    <n v="0.84"/>
    <n v="0.53"/>
    <n v="0.76"/>
    <n v="0.08"/>
    <n v="0.59"/>
    <x v="2"/>
    <s v="High Exposure"/>
  </r>
  <r>
    <x v="15"/>
    <x v="2017"/>
    <n v="8"/>
    <x v="2"/>
    <n v="0.61"/>
    <n v="1.2"/>
    <x v="16"/>
    <x v="1"/>
    <n v="0.79"/>
    <n v="0.22"/>
    <n v="0.83"/>
    <n v="0.12"/>
    <n v="0.62"/>
    <n v="0.88"/>
    <n v="0.1"/>
    <n v="0.85"/>
    <n v="0.8"/>
    <n v="0.5"/>
    <x v="2"/>
    <s v="Medium Exposure"/>
  </r>
  <r>
    <x v="17"/>
    <x v="2018"/>
    <n v="16"/>
    <x v="2"/>
    <n v="0.82"/>
    <n v="0.68"/>
    <x v="31"/>
    <x v="2"/>
    <n v="0.65"/>
    <n v="0.06"/>
    <n v="0.02"/>
    <n v="0.35"/>
    <n v="0.69"/>
    <n v="0.33"/>
    <n v="0.67"/>
    <n v="0.67"/>
    <n v="0.81"/>
    <n v="0.1"/>
    <x v="0"/>
    <s v="High Exposure"/>
  </r>
  <r>
    <x v="4"/>
    <x v="2019"/>
    <n v="13"/>
    <x v="2"/>
    <n v="0.06"/>
    <n v="0.68"/>
    <x v="87"/>
    <x v="2"/>
    <n v="0.71"/>
    <n v="0.97"/>
    <n v="0.34"/>
    <n v="0.52"/>
    <n v="0.26"/>
    <n v="0.68"/>
    <n v="0.37"/>
    <n v="0.48"/>
    <n v="0.56999999999999995"/>
    <n v="0.69"/>
    <x v="2"/>
    <s v="Low Exposure"/>
  </r>
  <r>
    <x v="2"/>
    <x v="2020"/>
    <n v="25"/>
    <x v="2"/>
    <n v="0.55000000000000004"/>
    <n v="0.93"/>
    <x v="67"/>
    <x v="0"/>
    <n v="0.21"/>
    <n v="0.88"/>
    <n v="0.87"/>
    <n v="0.03"/>
    <n v="0.69"/>
    <n v="0.55000000000000004"/>
    <n v="0.94"/>
    <n v="0.91"/>
    <n v="0.57999999999999996"/>
    <n v="0.14000000000000001"/>
    <x v="0"/>
    <s v="Medium Exposure"/>
  </r>
  <r>
    <x v="11"/>
    <x v="2021"/>
    <n v="6"/>
    <x v="1"/>
    <n v="0.73"/>
    <n v="1.45"/>
    <x v="84"/>
    <x v="2"/>
    <n v="0.78"/>
    <n v="0.68"/>
    <n v="0.08"/>
    <n v="0.56000000000000005"/>
    <n v="0.18"/>
    <n v="0.68"/>
    <n v="0.61"/>
    <n v="0.97"/>
    <n v="0.94"/>
    <n v="0.01"/>
    <x v="2"/>
    <s v="High Exposure"/>
  </r>
  <r>
    <x v="11"/>
    <x v="2022"/>
    <n v="0"/>
    <x v="1"/>
    <n v="0.77"/>
    <n v="1.19"/>
    <x v="69"/>
    <x v="2"/>
    <n v="0.27"/>
    <n v="0.85"/>
    <n v="0.44"/>
    <n v="0.26"/>
    <n v="0.01"/>
    <n v="0.87"/>
    <n v="0.54"/>
    <n v="0.98"/>
    <n v="0.71"/>
    <n v="0.08"/>
    <x v="1"/>
    <s v="High Exposure"/>
  </r>
  <r>
    <x v="11"/>
    <x v="2023"/>
    <n v="29"/>
    <x v="3"/>
    <n v="0.02"/>
    <n v="1.06"/>
    <x v="30"/>
    <x v="2"/>
    <n v="0.64"/>
    <n v="0.54"/>
    <n v="0.26"/>
    <n v="0.16"/>
    <n v="0.4"/>
    <n v="0.99"/>
    <n v="0.44"/>
    <n v="0.75"/>
    <n v="0.06"/>
    <n v="0.38"/>
    <x v="0"/>
    <s v="Low Exposure"/>
  </r>
  <r>
    <x v="12"/>
    <x v="2024"/>
    <n v="29"/>
    <x v="0"/>
    <n v="0.75"/>
    <n v="1.03"/>
    <x v="50"/>
    <x v="2"/>
    <n v="0.76"/>
    <n v="0.31"/>
    <n v="0.09"/>
    <n v="0.35"/>
    <n v="0.16"/>
    <n v="0.97"/>
    <n v="0.57999999999999996"/>
    <n v="0.45"/>
    <n v="0.91"/>
    <n v="0.9"/>
    <x v="0"/>
    <s v="High Exposure"/>
  </r>
  <r>
    <x v="2"/>
    <x v="2025"/>
    <n v="27"/>
    <x v="2"/>
    <n v="0.87"/>
    <n v="0.56000000000000005"/>
    <x v="24"/>
    <x v="0"/>
    <n v="0.31"/>
    <n v="0.56999999999999995"/>
    <n v="0.27"/>
    <n v="0.98"/>
    <n v="7.0000000000000007E-2"/>
    <n v="0.45"/>
    <n v="0.62"/>
    <n v="0.62"/>
    <n v="0.74"/>
    <n v="0.72"/>
    <x v="0"/>
    <s v="High Exposure"/>
  </r>
  <r>
    <x v="5"/>
    <x v="2026"/>
    <n v="12"/>
    <x v="0"/>
    <n v="0.23"/>
    <n v="0.87"/>
    <x v="18"/>
    <x v="1"/>
    <n v="0.96"/>
    <n v="0.41"/>
    <n v="0.22"/>
    <n v="0.63"/>
    <n v="0.43"/>
    <n v="0.25"/>
    <n v="0.72"/>
    <n v="0.19"/>
    <n v="0.63"/>
    <n v="0.43"/>
    <x v="2"/>
    <s v="Low Exposure"/>
  </r>
  <r>
    <x v="8"/>
    <x v="2027"/>
    <n v="13"/>
    <x v="3"/>
    <n v="0.95"/>
    <n v="0.82"/>
    <x v="30"/>
    <x v="2"/>
    <n v="0.87"/>
    <n v="0.13"/>
    <n v="0.11"/>
    <n v="0.28000000000000003"/>
    <n v="0.59"/>
    <n v="0.38"/>
    <n v="0.61"/>
    <n v="0.16"/>
    <n v="0.26"/>
    <n v="0.56999999999999995"/>
    <x v="2"/>
    <s v="High Exposure"/>
  </r>
  <r>
    <x v="12"/>
    <x v="2028"/>
    <n v="2"/>
    <x v="2"/>
    <n v="0.42"/>
    <n v="1.07"/>
    <x v="66"/>
    <x v="2"/>
    <n v="0.08"/>
    <n v="0.46"/>
    <n v="0.4"/>
    <n v="0.82"/>
    <n v="0.9"/>
    <n v="0.91"/>
    <n v="0.38"/>
    <n v="0.3"/>
    <n v="0.45"/>
    <n v="0.34"/>
    <x v="1"/>
    <s v="Medium Exposure"/>
  </r>
  <r>
    <x v="4"/>
    <x v="2029"/>
    <n v="10"/>
    <x v="0"/>
    <n v="0.91"/>
    <n v="0.73"/>
    <x v="68"/>
    <x v="2"/>
    <n v="0.36"/>
    <n v="0.66"/>
    <n v="0.56000000000000005"/>
    <n v="0.92"/>
    <n v="0.1"/>
    <n v="0.22"/>
    <n v="0.77"/>
    <n v="0.37"/>
    <n v="0.17"/>
    <n v="0.5"/>
    <x v="2"/>
    <s v="High Exposure"/>
  </r>
  <r>
    <x v="1"/>
    <x v="2030"/>
    <n v="18"/>
    <x v="0"/>
    <n v="0.04"/>
    <n v="0.79"/>
    <x v="88"/>
    <x v="1"/>
    <n v="0.52"/>
    <n v="0.04"/>
    <n v="0.28000000000000003"/>
    <n v="0.64"/>
    <n v="0.2"/>
    <n v="0.83"/>
    <n v="0.68"/>
    <n v="0.47"/>
    <n v="0.92"/>
    <n v="0.39"/>
    <x v="0"/>
    <s v="Low Exposure"/>
  </r>
  <r>
    <x v="8"/>
    <x v="2031"/>
    <n v="22"/>
    <x v="2"/>
    <n v="0.66"/>
    <n v="1.07"/>
    <x v="87"/>
    <x v="2"/>
    <n v="0.34"/>
    <n v="0.4"/>
    <n v="0.28999999999999998"/>
    <n v="0.71"/>
    <n v="0.65"/>
    <n v="0.44"/>
    <n v="0.4"/>
    <n v="0.37"/>
    <n v="0.28000000000000003"/>
    <n v="0.09"/>
    <x v="0"/>
    <s v="Medium Exposure"/>
  </r>
  <r>
    <x v="1"/>
    <x v="2032"/>
    <n v="27"/>
    <x v="2"/>
    <n v="0.32"/>
    <n v="1.05"/>
    <x v="52"/>
    <x v="1"/>
    <n v="0.4"/>
    <n v="0.94"/>
    <n v="0.83"/>
    <n v="0.98"/>
    <n v="0.88"/>
    <n v="0.62"/>
    <n v="0.6"/>
    <n v="0.13"/>
    <n v="0.72"/>
    <n v="0.6"/>
    <x v="0"/>
    <s v="Medium Exposure"/>
  </r>
  <r>
    <x v="14"/>
    <x v="2033"/>
    <n v="29"/>
    <x v="1"/>
    <n v="0.69"/>
    <n v="0.94"/>
    <x v="35"/>
    <x v="0"/>
    <n v="0.4"/>
    <n v="0.72"/>
    <n v="0.88"/>
    <n v="0.84"/>
    <n v="0.79"/>
    <n v="0.01"/>
    <n v="0.91"/>
    <n v="0.27"/>
    <n v="0.89"/>
    <n v="0.2"/>
    <x v="0"/>
    <s v="Medium Exposure"/>
  </r>
  <r>
    <x v="6"/>
    <x v="2034"/>
    <n v="6"/>
    <x v="0"/>
    <n v="0.75"/>
    <n v="1.1399999999999999"/>
    <x v="25"/>
    <x v="2"/>
    <n v="0.68"/>
    <n v="0.55000000000000004"/>
    <n v="0.28000000000000003"/>
    <n v="0.65"/>
    <n v="0.2"/>
    <n v="0.69"/>
    <n v="0"/>
    <n v="0.55000000000000004"/>
    <n v="0.4"/>
    <n v="0.3"/>
    <x v="2"/>
    <s v="High Exposure"/>
  </r>
  <r>
    <x v="0"/>
    <x v="2035"/>
    <n v="26"/>
    <x v="2"/>
    <n v="0.65"/>
    <n v="1.47"/>
    <x v="32"/>
    <x v="0"/>
    <n v="0.72"/>
    <n v="0.48"/>
    <n v="0.39"/>
    <n v="0.03"/>
    <n v="0.36"/>
    <n v="0.85"/>
    <n v="0.38"/>
    <n v="0.46"/>
    <n v="0.27"/>
    <n v="0.27"/>
    <x v="0"/>
    <s v="Medium Exposure"/>
  </r>
  <r>
    <x v="2"/>
    <x v="2036"/>
    <n v="1"/>
    <x v="2"/>
    <n v="0.61"/>
    <n v="0.95"/>
    <x v="0"/>
    <x v="0"/>
    <n v="0.55000000000000004"/>
    <n v="0.8"/>
    <n v="0.75"/>
    <n v="0.77"/>
    <n v="0.5"/>
    <n v="0.35"/>
    <n v="0.93"/>
    <n v="0.05"/>
    <n v="0.15"/>
    <n v="0.42"/>
    <x v="1"/>
    <s v="Medium Exposure"/>
  </r>
  <r>
    <x v="4"/>
    <x v="2037"/>
    <n v="14"/>
    <x v="1"/>
    <n v="0.01"/>
    <n v="1.22"/>
    <x v="43"/>
    <x v="2"/>
    <n v="0.48"/>
    <n v="0.42"/>
    <n v="0.52"/>
    <n v="0.16"/>
    <n v="0.11"/>
    <n v="0.28999999999999998"/>
    <n v="0.71"/>
    <n v="0.59"/>
    <n v="0.48"/>
    <n v="0.56999999999999995"/>
    <x v="2"/>
    <s v="Low Exposure"/>
  </r>
  <r>
    <x v="13"/>
    <x v="2038"/>
    <n v="4"/>
    <x v="2"/>
    <n v="0.31"/>
    <n v="0.6"/>
    <x v="72"/>
    <x v="2"/>
    <n v="0.6"/>
    <n v="0.7"/>
    <n v="0.46"/>
    <n v="0.76"/>
    <n v="0.57999999999999996"/>
    <n v="0.05"/>
    <n v="0.89"/>
    <n v="0.31"/>
    <n v="0.14000000000000001"/>
    <n v="0.09"/>
    <x v="1"/>
    <s v="Medium Exposure"/>
  </r>
  <r>
    <x v="17"/>
    <x v="2039"/>
    <n v="18"/>
    <x v="3"/>
    <n v="0.7"/>
    <n v="1.2"/>
    <x v="79"/>
    <x v="2"/>
    <n v="0.35"/>
    <n v="0.56000000000000005"/>
    <n v="0.62"/>
    <n v="0.98"/>
    <n v="0.31"/>
    <n v="0.96"/>
    <n v="0.15"/>
    <n v="0.76"/>
    <n v="0.63"/>
    <n v="0.82"/>
    <x v="0"/>
    <s v="High Exposure"/>
  </r>
  <r>
    <x v="2"/>
    <x v="2040"/>
    <n v="5"/>
    <x v="1"/>
    <n v="7.0000000000000007E-2"/>
    <n v="0.68"/>
    <x v="17"/>
    <x v="0"/>
    <n v="0.12"/>
    <n v="0.57999999999999996"/>
    <n v="0.32"/>
    <n v="0.56000000000000005"/>
    <n v="0.23"/>
    <n v="0.44"/>
    <n v="0.87"/>
    <n v="0.38"/>
    <n v="0.35"/>
    <n v="0.45"/>
    <x v="1"/>
    <s v="Low Exposure"/>
  </r>
  <r>
    <x v="13"/>
    <x v="2041"/>
    <n v="9"/>
    <x v="2"/>
    <n v="0.59"/>
    <n v="1.46"/>
    <x v="55"/>
    <x v="2"/>
    <n v="0.12"/>
    <n v="0.7"/>
    <n v="0.67"/>
    <n v="0.25"/>
    <n v="0.81"/>
    <n v="0.13"/>
    <n v="0.93"/>
    <n v="0.2"/>
    <n v="0.08"/>
    <n v="0.34"/>
    <x v="2"/>
    <s v="Medium Exposure"/>
  </r>
  <r>
    <x v="15"/>
    <x v="2042"/>
    <n v="10"/>
    <x v="1"/>
    <n v="0.53"/>
    <n v="1.19"/>
    <x v="7"/>
    <x v="1"/>
    <n v="0.66"/>
    <n v="0.36"/>
    <n v="0.03"/>
    <n v="0.97"/>
    <n v="0.82"/>
    <n v="7.0000000000000007E-2"/>
    <n v="0.45"/>
    <n v="0.64"/>
    <n v="0.19"/>
    <n v="0.57999999999999996"/>
    <x v="2"/>
    <s v="Medium Exposure"/>
  </r>
  <r>
    <x v="0"/>
    <x v="2043"/>
    <n v="9"/>
    <x v="3"/>
    <n v="0.21"/>
    <n v="0.64"/>
    <x v="81"/>
    <x v="0"/>
    <n v="0.32"/>
    <n v="0.24"/>
    <n v="0.74"/>
    <n v="0.74"/>
    <n v="0.28000000000000003"/>
    <n v="0.87"/>
    <n v="0.69"/>
    <n v="0.35"/>
    <n v="0.43"/>
    <n v="0.73"/>
    <x v="2"/>
    <s v="Low Exposure"/>
  </r>
  <r>
    <x v="18"/>
    <x v="2044"/>
    <n v="11"/>
    <x v="1"/>
    <n v="0.47"/>
    <n v="1.1499999999999999"/>
    <x v="82"/>
    <x v="1"/>
    <n v="0.61"/>
    <n v="0.55000000000000004"/>
    <n v="0.2"/>
    <n v="0.41"/>
    <n v="0.53"/>
    <n v="0.78"/>
    <n v="0.65"/>
    <n v="0.43"/>
    <n v="0.97"/>
    <n v="0.11"/>
    <x v="2"/>
    <s v="Medium Exposure"/>
  </r>
  <r>
    <x v="15"/>
    <x v="2045"/>
    <n v="1"/>
    <x v="0"/>
    <n v="0.34"/>
    <n v="0.73"/>
    <x v="13"/>
    <x v="1"/>
    <n v="0.04"/>
    <n v="0.18"/>
    <n v="0.28999999999999998"/>
    <n v="0.68"/>
    <n v="0.88"/>
    <n v="0.8"/>
    <n v="0.18"/>
    <n v="0.56999999999999995"/>
    <n v="0.03"/>
    <n v="0.31"/>
    <x v="1"/>
    <s v="Medium Exposure"/>
  </r>
  <r>
    <x v="3"/>
    <x v="2046"/>
    <n v="7"/>
    <x v="1"/>
    <n v="0.46"/>
    <n v="0.65"/>
    <x v="8"/>
    <x v="2"/>
    <n v="0.2"/>
    <n v="0.39"/>
    <n v="0.49"/>
    <n v="0.35"/>
    <n v="0.94"/>
    <n v="0.56000000000000005"/>
    <n v="0.84"/>
    <n v="0.76"/>
    <n v="0.66"/>
    <n v="0.5"/>
    <x v="2"/>
    <s v="Medium Exposure"/>
  </r>
  <r>
    <x v="0"/>
    <x v="2047"/>
    <n v="29"/>
    <x v="0"/>
    <n v="0.61"/>
    <n v="0.86"/>
    <x v="67"/>
    <x v="0"/>
    <n v="0.44"/>
    <n v="0.74"/>
    <n v="0.96"/>
    <n v="0.37"/>
    <n v="0.54"/>
    <n v="0.85"/>
    <n v="0.33"/>
    <n v="0.14000000000000001"/>
    <n v="0.28000000000000003"/>
    <n v="0.9"/>
    <x v="0"/>
    <s v="Medium Exposure"/>
  </r>
  <r>
    <x v="1"/>
    <x v="2048"/>
    <n v="13"/>
    <x v="3"/>
    <n v="0.82"/>
    <n v="1.31"/>
    <x v="5"/>
    <x v="1"/>
    <n v="0.45"/>
    <n v="0.32"/>
    <n v="0.97"/>
    <n v="0.88"/>
    <n v="0.25"/>
    <n v="0.31"/>
    <n v="0.53"/>
    <n v="0.28000000000000003"/>
    <n v="0.82"/>
    <n v="0.82"/>
    <x v="2"/>
    <s v="High Exposure"/>
  </r>
  <r>
    <x v="10"/>
    <x v="2049"/>
    <n v="20"/>
    <x v="0"/>
    <n v="0.69"/>
    <n v="1.05"/>
    <x v="30"/>
    <x v="2"/>
    <n v="0.84"/>
    <n v="0.86"/>
    <n v="0.05"/>
    <n v="0.4"/>
    <n v="0.03"/>
    <n v="0.84"/>
    <n v="0.18"/>
    <n v="0.67"/>
    <n v="0.36"/>
    <n v="0.82"/>
    <x v="0"/>
    <s v="Medium Exposure"/>
  </r>
  <r>
    <x v="8"/>
    <x v="2050"/>
    <n v="9"/>
    <x v="3"/>
    <n v="0.32"/>
    <n v="0.82"/>
    <x v="87"/>
    <x v="2"/>
    <n v="0.79"/>
    <n v="0.71"/>
    <n v="0.32"/>
    <n v="0.49"/>
    <n v="0.08"/>
    <n v="0.83"/>
    <n v="0.27"/>
    <n v="0.89"/>
    <n v="0.6"/>
    <n v="0.56999999999999995"/>
    <x v="2"/>
    <s v="Medium Exposure"/>
  </r>
  <r>
    <x v="3"/>
    <x v="2051"/>
    <n v="29"/>
    <x v="0"/>
    <n v="0.98"/>
    <n v="1.45"/>
    <x v="4"/>
    <x v="2"/>
    <n v="0.85"/>
    <n v="0.66"/>
    <n v="0.83"/>
    <n v="0.21"/>
    <n v="0.39"/>
    <n v="0.64"/>
    <n v="0.87"/>
    <n v="0.66"/>
    <n v="0.84"/>
    <n v="0.47"/>
    <x v="0"/>
    <s v="High Exposure"/>
  </r>
  <r>
    <x v="15"/>
    <x v="2052"/>
    <n v="2"/>
    <x v="1"/>
    <n v="0.98"/>
    <n v="0.65"/>
    <x v="16"/>
    <x v="1"/>
    <n v="0.52"/>
    <n v="0.64"/>
    <n v="0.88"/>
    <n v="0.41"/>
    <n v="0.42"/>
    <n v="0.53"/>
    <n v="0.02"/>
    <n v="0.5"/>
    <n v="0.28999999999999998"/>
    <n v="0.93"/>
    <x v="1"/>
    <s v="High Exposure"/>
  </r>
  <r>
    <x v="13"/>
    <x v="2053"/>
    <n v="14"/>
    <x v="1"/>
    <n v="0.46"/>
    <n v="1.45"/>
    <x v="72"/>
    <x v="2"/>
    <n v="0.7"/>
    <n v="0.59"/>
    <n v="0.28000000000000003"/>
    <n v="0.37"/>
    <n v="0.09"/>
    <n v="0.79"/>
    <n v="0.32"/>
    <n v="0.67"/>
    <n v="0.36"/>
    <n v="0.46"/>
    <x v="2"/>
    <s v="Medium Exposure"/>
  </r>
  <r>
    <x v="15"/>
    <x v="2054"/>
    <n v="27"/>
    <x v="3"/>
    <n v="0.8"/>
    <n v="0.71"/>
    <x v="18"/>
    <x v="1"/>
    <n v="0.13"/>
    <n v="0.08"/>
    <n v="0.6"/>
    <n v="0.19"/>
    <n v="0.06"/>
    <n v="0.9"/>
    <n v="0.53"/>
    <n v="0.13"/>
    <n v="0.05"/>
    <n v="0.12"/>
    <x v="0"/>
    <s v="High Exposure"/>
  </r>
  <r>
    <x v="12"/>
    <x v="2055"/>
    <n v="26"/>
    <x v="2"/>
    <n v="0.67"/>
    <n v="1.1399999999999999"/>
    <x v="46"/>
    <x v="2"/>
    <n v="0.63"/>
    <n v="0.4"/>
    <n v="0.46"/>
    <n v="0.8"/>
    <n v="0.33"/>
    <n v="0.15"/>
    <n v="0.87"/>
    <n v="0.21"/>
    <n v="0.28999999999999998"/>
    <n v="0.71"/>
    <x v="0"/>
    <s v="Medium Exposure"/>
  </r>
  <r>
    <x v="14"/>
    <x v="2056"/>
    <n v="24"/>
    <x v="0"/>
    <n v="0.8"/>
    <n v="0.68"/>
    <x v="77"/>
    <x v="0"/>
    <n v="0.13"/>
    <n v="0.54"/>
    <n v="0.28999999999999998"/>
    <n v="0.69"/>
    <n v="0"/>
    <n v="0.06"/>
    <n v="0.43"/>
    <n v="0.96"/>
    <n v="0.89"/>
    <n v="0.99"/>
    <x v="0"/>
    <s v="High Exposure"/>
  </r>
  <r>
    <x v="14"/>
    <x v="2057"/>
    <n v="25"/>
    <x v="0"/>
    <n v="0.05"/>
    <n v="0.81"/>
    <x v="59"/>
    <x v="0"/>
    <n v="0.14000000000000001"/>
    <n v="0.3"/>
    <n v="0.06"/>
    <n v="0.47"/>
    <n v="0.21"/>
    <n v="0.09"/>
    <n v="0.41"/>
    <n v="0.35"/>
    <n v="0.54"/>
    <n v="0.75"/>
    <x v="0"/>
    <s v="Low Exposure"/>
  </r>
  <r>
    <x v="16"/>
    <x v="2058"/>
    <n v="9"/>
    <x v="0"/>
    <n v="0.79"/>
    <n v="0.53"/>
    <x v="2"/>
    <x v="0"/>
    <n v="0.59"/>
    <n v="0.96"/>
    <n v="0.56999999999999995"/>
    <n v="0.16"/>
    <n v="0.52"/>
    <n v="0.4"/>
    <n v="0.48"/>
    <n v="0.2"/>
    <n v="0.5"/>
    <n v="0.15"/>
    <x v="2"/>
    <s v="High Exposure"/>
  </r>
  <r>
    <x v="12"/>
    <x v="2059"/>
    <n v="14"/>
    <x v="2"/>
    <n v="0.89"/>
    <n v="0.85"/>
    <x v="64"/>
    <x v="2"/>
    <n v="0.12"/>
    <n v="0.74"/>
    <n v="0.17"/>
    <n v="0.69"/>
    <n v="0.42"/>
    <n v="0.93"/>
    <n v="0.46"/>
    <n v="0.03"/>
    <n v="0.48"/>
    <n v="0.8"/>
    <x v="2"/>
    <s v="High Exposure"/>
  </r>
  <r>
    <x v="9"/>
    <x v="2060"/>
    <n v="5"/>
    <x v="1"/>
    <n v="0.97"/>
    <n v="1.34"/>
    <x v="35"/>
    <x v="0"/>
    <n v="0.21"/>
    <n v="0"/>
    <n v="0.98"/>
    <n v="0.94"/>
    <n v="0.27"/>
    <n v="0.64"/>
    <n v="0.73"/>
    <n v="0.57999999999999996"/>
    <n v="0.84"/>
    <n v="0.08"/>
    <x v="1"/>
    <s v="High Exposure"/>
  </r>
  <r>
    <x v="8"/>
    <x v="2061"/>
    <n v="10"/>
    <x v="2"/>
    <n v="0.39"/>
    <n v="0.98"/>
    <x v="8"/>
    <x v="2"/>
    <n v="0.53"/>
    <n v="0.6"/>
    <n v="0.71"/>
    <n v="0.52"/>
    <n v="0.68"/>
    <n v="0.34"/>
    <n v="0.94"/>
    <n v="0.06"/>
    <n v="0.55000000000000004"/>
    <n v="0.09"/>
    <x v="2"/>
    <s v="Medium Exposure"/>
  </r>
  <r>
    <x v="16"/>
    <x v="2062"/>
    <n v="29"/>
    <x v="0"/>
    <n v="0.26"/>
    <n v="1.44"/>
    <x v="58"/>
    <x v="2"/>
    <n v="0.39"/>
    <n v="0.78"/>
    <n v="0.19"/>
    <n v="0.82"/>
    <n v="0.86"/>
    <n v="0.71"/>
    <n v="0.21"/>
    <n v="0.27"/>
    <n v="0.17"/>
    <n v="0.18"/>
    <x v="0"/>
    <s v="Low Exposure"/>
  </r>
  <r>
    <x v="7"/>
    <x v="2063"/>
    <n v="17"/>
    <x v="3"/>
    <n v="0.86"/>
    <n v="1.03"/>
    <x v="61"/>
    <x v="1"/>
    <n v="0.28999999999999998"/>
    <n v="0.54"/>
    <n v="0.33"/>
    <n v="0.86"/>
    <n v="0.21"/>
    <n v="0.88"/>
    <n v="0.66"/>
    <n v="0.96"/>
    <n v="0.02"/>
    <n v="0.06"/>
    <x v="0"/>
    <s v="High Exposure"/>
  </r>
  <r>
    <x v="9"/>
    <x v="2064"/>
    <n v="25"/>
    <x v="1"/>
    <n v="0.91"/>
    <n v="1.23"/>
    <x v="83"/>
    <x v="0"/>
    <n v="0.03"/>
    <n v="0.35"/>
    <n v="0.35"/>
    <n v="0.54"/>
    <n v="0.26"/>
    <n v="0.27"/>
    <n v="0.62"/>
    <n v="0.94"/>
    <n v="0.66"/>
    <n v="0.67"/>
    <x v="0"/>
    <s v="High Exposure"/>
  </r>
  <r>
    <x v="7"/>
    <x v="2065"/>
    <n v="17"/>
    <x v="2"/>
    <n v="0.15"/>
    <n v="0.53"/>
    <x v="52"/>
    <x v="1"/>
    <n v="0.44"/>
    <n v="0.43"/>
    <n v="0.23"/>
    <n v="0.51"/>
    <n v="0.44"/>
    <n v="0.35"/>
    <n v="0.44"/>
    <n v="0.38"/>
    <n v="0.94"/>
    <n v="0.98"/>
    <x v="0"/>
    <s v="Low Exposure"/>
  </r>
  <r>
    <x v="14"/>
    <x v="2066"/>
    <n v="1"/>
    <x v="0"/>
    <n v="0.99"/>
    <n v="0.77"/>
    <x v="32"/>
    <x v="0"/>
    <n v="0.41"/>
    <n v="0.75"/>
    <n v="0.2"/>
    <n v="0.81"/>
    <n v="0.08"/>
    <n v="0.27"/>
    <n v="0.82"/>
    <n v="0.75"/>
    <n v="0.5"/>
    <n v="0.67"/>
    <x v="1"/>
    <s v="High Exposure"/>
  </r>
  <r>
    <x v="7"/>
    <x v="2067"/>
    <n v="29"/>
    <x v="2"/>
    <n v="0.67"/>
    <n v="0.51"/>
    <x v="75"/>
    <x v="1"/>
    <n v="0.52"/>
    <n v="0.94"/>
    <n v="0.48"/>
    <n v="0.43"/>
    <n v="0.45"/>
    <n v="0.36"/>
    <n v="0.17"/>
    <n v="0.84"/>
    <n v="0.39"/>
    <n v="0.53"/>
    <x v="0"/>
    <s v="Medium Exposure"/>
  </r>
  <r>
    <x v="15"/>
    <x v="2068"/>
    <n v="24"/>
    <x v="1"/>
    <n v="0.06"/>
    <n v="1.1000000000000001"/>
    <x v="15"/>
    <x v="1"/>
    <n v="0.49"/>
    <n v="0.16"/>
    <n v="0.12"/>
    <n v="0.9"/>
    <n v="0.7"/>
    <n v="0.97"/>
    <n v="0.08"/>
    <n v="0.9"/>
    <n v="0.85"/>
    <n v="0.89"/>
    <x v="0"/>
    <s v="Low Exposure"/>
  </r>
  <r>
    <x v="7"/>
    <x v="290"/>
    <n v="4"/>
    <x v="2"/>
    <n v="0.55000000000000004"/>
    <n v="1"/>
    <x v="61"/>
    <x v="1"/>
    <n v="0.72"/>
    <n v="0.54"/>
    <n v="0.93"/>
    <n v="0.24"/>
    <n v="0.31"/>
    <n v="0.32"/>
    <n v="0.81"/>
    <n v="0.1"/>
    <n v="0.46"/>
    <n v="0.43"/>
    <x v="1"/>
    <s v="Medium Exposure"/>
  </r>
  <r>
    <x v="9"/>
    <x v="2069"/>
    <n v="20"/>
    <x v="0"/>
    <n v="0.41"/>
    <n v="1.01"/>
    <x v="28"/>
    <x v="0"/>
    <n v="0.51"/>
    <n v="0.96"/>
    <n v="0.98"/>
    <n v="0.53"/>
    <n v="0.52"/>
    <n v="0.28999999999999998"/>
    <n v="1"/>
    <n v="0.27"/>
    <n v="0.45"/>
    <n v="0"/>
    <x v="0"/>
    <s v="Medium Exposure"/>
  </r>
  <r>
    <x v="13"/>
    <x v="2070"/>
    <n v="4"/>
    <x v="3"/>
    <n v="7.0000000000000007E-2"/>
    <n v="1.24"/>
    <x v="43"/>
    <x v="2"/>
    <n v="0.56999999999999995"/>
    <n v="0.28999999999999998"/>
    <n v="0.81"/>
    <n v="0"/>
    <n v="0.33"/>
    <n v="0.66"/>
    <n v="0.91"/>
    <n v="0.23"/>
    <n v="0.54"/>
    <n v="0.54"/>
    <x v="1"/>
    <s v="Low Exposure"/>
  </r>
  <r>
    <x v="18"/>
    <x v="2071"/>
    <n v="25"/>
    <x v="0"/>
    <n v="0.18"/>
    <n v="0.52"/>
    <x v="63"/>
    <x v="1"/>
    <n v="0.98"/>
    <n v="0.21"/>
    <n v="0.94"/>
    <n v="0.21"/>
    <n v="0.93"/>
    <n v="0.65"/>
    <n v="0.11"/>
    <n v="0.57999999999999996"/>
    <n v="0.32"/>
    <n v="0.38"/>
    <x v="0"/>
    <s v="Low Exposure"/>
  </r>
  <r>
    <x v="15"/>
    <x v="2072"/>
    <n v="14"/>
    <x v="0"/>
    <n v="0.42"/>
    <n v="1.1599999999999999"/>
    <x v="52"/>
    <x v="1"/>
    <n v="0.33"/>
    <n v="0.92"/>
    <n v="0.94"/>
    <n v="0.04"/>
    <n v="0.01"/>
    <n v="0.43"/>
    <n v="0.59"/>
    <n v="0.28000000000000003"/>
    <n v="0.26"/>
    <n v="0.68"/>
    <x v="2"/>
    <s v="Medium Exposure"/>
  </r>
  <r>
    <x v="7"/>
    <x v="2073"/>
    <n v="15"/>
    <x v="1"/>
    <n v="0.17"/>
    <n v="1.38"/>
    <x v="29"/>
    <x v="1"/>
    <n v="0.36"/>
    <n v="0.68"/>
    <n v="0.11"/>
    <n v="0.47"/>
    <n v="0.17"/>
    <n v="0.04"/>
    <n v="0.34"/>
    <n v="0.15"/>
    <n v="0.63"/>
    <n v="0.67"/>
    <x v="2"/>
    <s v="Low Exposure"/>
  </r>
  <r>
    <x v="11"/>
    <x v="2074"/>
    <n v="5"/>
    <x v="0"/>
    <n v="0.02"/>
    <n v="1.29"/>
    <x v="85"/>
    <x v="1"/>
    <n v="0.34"/>
    <n v="0.49"/>
    <n v="0.82"/>
    <n v="0.84"/>
    <n v="0.72"/>
    <n v="0.25"/>
    <n v="0.72"/>
    <n v="0.25"/>
    <n v="0.21"/>
    <n v="0.55000000000000004"/>
    <x v="1"/>
    <s v="Low Exposure"/>
  </r>
  <r>
    <x v="5"/>
    <x v="2075"/>
    <n v="12"/>
    <x v="3"/>
    <n v="0.05"/>
    <n v="0.56000000000000005"/>
    <x v="88"/>
    <x v="1"/>
    <n v="0.86"/>
    <n v="0.6"/>
    <n v="0.43"/>
    <n v="0.85"/>
    <n v="0.73"/>
    <n v="0.57999999999999996"/>
    <n v="0.32"/>
    <n v="0.2"/>
    <n v="0.42"/>
    <n v="0.28999999999999998"/>
    <x v="2"/>
    <s v="Low Exposure"/>
  </r>
  <r>
    <x v="17"/>
    <x v="2076"/>
    <n v="26"/>
    <x v="1"/>
    <n v="0.52"/>
    <n v="0.67"/>
    <x v="69"/>
    <x v="2"/>
    <n v="0.15"/>
    <n v="0.48"/>
    <n v="0.75"/>
    <n v="0.49"/>
    <n v="0.36"/>
    <n v="0.47"/>
    <n v="0.85"/>
    <n v="0.99"/>
    <n v="0.63"/>
    <n v="0.79"/>
    <x v="0"/>
    <s v="Medium Exposure"/>
  </r>
  <r>
    <x v="12"/>
    <x v="2077"/>
    <n v="26"/>
    <x v="1"/>
    <n v="0.88"/>
    <n v="1.45"/>
    <x v="68"/>
    <x v="2"/>
    <n v="0.75"/>
    <n v="0.51"/>
    <n v="0.28999999999999998"/>
    <n v="0.85"/>
    <n v="0.6"/>
    <n v="0.57999999999999996"/>
    <n v="0.66"/>
    <n v="0.86"/>
    <n v="0.73"/>
    <n v="0.21"/>
    <x v="0"/>
    <s v="High Exposure"/>
  </r>
  <r>
    <x v="7"/>
    <x v="2078"/>
    <n v="28"/>
    <x v="2"/>
    <n v="0.98"/>
    <n v="1.05"/>
    <x v="16"/>
    <x v="1"/>
    <n v="0.81"/>
    <n v="0.67"/>
    <n v="0.35"/>
    <n v="0.3"/>
    <n v="0.64"/>
    <n v="0.43"/>
    <n v="0.8"/>
    <n v="0.76"/>
    <n v="0.31"/>
    <n v="0.7"/>
    <x v="0"/>
    <s v="High Exposure"/>
  </r>
  <r>
    <x v="7"/>
    <x v="2079"/>
    <n v="18"/>
    <x v="0"/>
    <n v="0.32"/>
    <n v="0.91"/>
    <x v="15"/>
    <x v="1"/>
    <n v="0.36"/>
    <n v="0.28999999999999998"/>
    <n v="0.35"/>
    <n v="0.21"/>
    <n v="0.54"/>
    <n v="0.15"/>
    <n v="0.82"/>
    <n v="0.23"/>
    <n v="0.6"/>
    <n v="0.13"/>
    <x v="0"/>
    <s v="Medium Exposure"/>
  </r>
  <r>
    <x v="14"/>
    <x v="2080"/>
    <n v="6"/>
    <x v="2"/>
    <n v="0.82"/>
    <n v="1.27"/>
    <x v="51"/>
    <x v="0"/>
    <n v="0.83"/>
    <n v="0.1"/>
    <n v="0.68"/>
    <n v="0.27"/>
    <n v="0.79"/>
    <n v="0.96"/>
    <n v="0.9"/>
    <n v="0.11"/>
    <n v="0.37"/>
    <n v="0.36"/>
    <x v="2"/>
    <s v="High Exposure"/>
  </r>
  <r>
    <x v="5"/>
    <x v="2081"/>
    <n v="27"/>
    <x v="2"/>
    <n v="0.1"/>
    <n v="0.88"/>
    <x v="85"/>
    <x v="1"/>
    <n v="0.56999999999999995"/>
    <n v="0.62"/>
    <n v="0.47"/>
    <n v="0.66"/>
    <n v="0.96"/>
    <n v="0.59"/>
    <n v="7.0000000000000007E-2"/>
    <n v="0.49"/>
    <n v="0.99"/>
    <n v="0.39"/>
    <x v="0"/>
    <s v="Low Exposure"/>
  </r>
  <r>
    <x v="3"/>
    <x v="2082"/>
    <n v="26"/>
    <x v="3"/>
    <n v="0.11"/>
    <n v="0.64"/>
    <x v="38"/>
    <x v="2"/>
    <n v="0.3"/>
    <n v="0.31"/>
    <n v="0.39"/>
    <n v="0.97"/>
    <n v="0.08"/>
    <n v="0.82"/>
    <n v="0.34"/>
    <n v="0.85"/>
    <n v="0.99"/>
    <n v="0.35"/>
    <x v="0"/>
    <s v="Low Exposure"/>
  </r>
  <r>
    <x v="17"/>
    <x v="2083"/>
    <n v="14"/>
    <x v="3"/>
    <n v="0.14000000000000001"/>
    <n v="1.26"/>
    <x v="46"/>
    <x v="2"/>
    <n v="0.26"/>
    <n v="0.2"/>
    <n v="0.36"/>
    <n v="7.0000000000000007E-2"/>
    <n v="0.86"/>
    <n v="0.86"/>
    <n v="0.41"/>
    <n v="0.61"/>
    <n v="0.64"/>
    <n v="0.75"/>
    <x v="2"/>
    <s v="Low Exposure"/>
  </r>
  <r>
    <x v="6"/>
    <x v="2084"/>
    <n v="17"/>
    <x v="3"/>
    <n v="0.54"/>
    <n v="1.17"/>
    <x v="30"/>
    <x v="2"/>
    <n v="0.72"/>
    <n v="0.32"/>
    <n v="0.4"/>
    <n v="0.67"/>
    <n v="0.38"/>
    <n v="0.2"/>
    <n v="0.87"/>
    <n v="0.92"/>
    <n v="0.63"/>
    <n v="0.81"/>
    <x v="0"/>
    <s v="Medium Exposure"/>
  </r>
  <r>
    <x v="10"/>
    <x v="2085"/>
    <n v="29"/>
    <x v="2"/>
    <n v="0.61"/>
    <n v="1.41"/>
    <x v="30"/>
    <x v="2"/>
    <n v="0.7"/>
    <n v="0.06"/>
    <n v="0.79"/>
    <n v="0.83"/>
    <n v="0.4"/>
    <n v="0.64"/>
    <n v="0.86"/>
    <n v="0.88"/>
    <n v="0.11"/>
    <n v="0.83"/>
    <x v="0"/>
    <s v="Medium Exposure"/>
  </r>
  <r>
    <x v="16"/>
    <x v="2086"/>
    <n v="19"/>
    <x v="2"/>
    <n v="0.73"/>
    <n v="0.83"/>
    <x v="76"/>
    <x v="0"/>
    <n v="0.21"/>
    <n v="0.41"/>
    <n v="0.74"/>
    <n v="0.1"/>
    <n v="0.81"/>
    <n v="1"/>
    <n v="0.79"/>
    <n v="0.47"/>
    <n v="0.56999999999999995"/>
    <n v="0.01"/>
    <x v="0"/>
    <s v="High Exposure"/>
  </r>
  <r>
    <x v="15"/>
    <x v="2087"/>
    <n v="13"/>
    <x v="3"/>
    <n v="0.9"/>
    <n v="0.52"/>
    <x v="16"/>
    <x v="1"/>
    <n v="0.11"/>
    <n v="0.13"/>
    <n v="0.18"/>
    <n v="0.8"/>
    <n v="0.48"/>
    <n v="0.15"/>
    <n v="0.69"/>
    <n v="0.94"/>
    <n v="0.56999999999999995"/>
    <n v="0.1"/>
    <x v="2"/>
    <s v="High Exposure"/>
  </r>
  <r>
    <x v="3"/>
    <x v="2088"/>
    <n v="6"/>
    <x v="2"/>
    <n v="0.8"/>
    <n v="1.1299999999999999"/>
    <x v="79"/>
    <x v="2"/>
    <n v="0.55000000000000004"/>
    <n v="0.06"/>
    <n v="0.4"/>
    <n v="0.66"/>
    <n v="0.38"/>
    <n v="1"/>
    <n v="0.41"/>
    <n v="0.55000000000000004"/>
    <n v="0.23"/>
    <n v="0.15"/>
    <x v="2"/>
    <s v="High Exposure"/>
  </r>
  <r>
    <x v="5"/>
    <x v="2089"/>
    <n v="10"/>
    <x v="0"/>
    <n v="0.59"/>
    <n v="0.5"/>
    <x v="54"/>
    <x v="1"/>
    <n v="0.64"/>
    <n v="0.81"/>
    <n v="0.31"/>
    <n v="0.65"/>
    <n v="0.27"/>
    <n v="0.69"/>
    <n v="0.7"/>
    <n v="0.13"/>
    <n v="0.67"/>
    <n v="0.33"/>
    <x v="2"/>
    <s v="Medium Exposure"/>
  </r>
  <r>
    <x v="8"/>
    <x v="2090"/>
    <n v="10"/>
    <x v="3"/>
    <n v="0.5"/>
    <n v="0.95"/>
    <x v="45"/>
    <x v="2"/>
    <n v="0.08"/>
    <n v="0.79"/>
    <n v="0.11"/>
    <n v="0.21"/>
    <n v="0.52"/>
    <n v="0.46"/>
    <n v="0.99"/>
    <n v="0.59"/>
    <n v="0.33"/>
    <n v="0.9"/>
    <x v="2"/>
    <s v="Medium Exposure"/>
  </r>
  <r>
    <x v="0"/>
    <x v="2091"/>
    <n v="13"/>
    <x v="0"/>
    <n v="0.27"/>
    <n v="0.99"/>
    <x v="17"/>
    <x v="0"/>
    <n v="0.71"/>
    <n v="0.68"/>
    <n v="0.73"/>
    <n v="0.66"/>
    <n v="0.76"/>
    <n v="0.19"/>
    <n v="0.18"/>
    <n v="0.36"/>
    <n v="0.85"/>
    <n v="0.71"/>
    <x v="2"/>
    <s v="Low Exposure"/>
  </r>
  <r>
    <x v="17"/>
    <x v="2092"/>
    <n v="28"/>
    <x v="2"/>
    <n v="0.02"/>
    <n v="0.74"/>
    <x v="69"/>
    <x v="2"/>
    <n v="0.24"/>
    <n v="0.73"/>
    <n v="0.18"/>
    <n v="0.61"/>
    <n v="0.63"/>
    <n v="0.75"/>
    <n v="0.44"/>
    <n v="0.63"/>
    <n v="0.49"/>
    <n v="0.95"/>
    <x v="0"/>
    <s v="Low Exposure"/>
  </r>
  <r>
    <x v="13"/>
    <x v="2093"/>
    <n v="19"/>
    <x v="3"/>
    <n v="0.67"/>
    <n v="0.99"/>
    <x v="64"/>
    <x v="2"/>
    <n v="0.82"/>
    <n v="0.69"/>
    <n v="0.62"/>
    <n v="0.85"/>
    <n v="0.9"/>
    <n v="0.39"/>
    <n v="0.17"/>
    <n v="0.82"/>
    <n v="0.21"/>
    <n v="0.93"/>
    <x v="0"/>
    <s v="Medium Exposure"/>
  </r>
  <r>
    <x v="12"/>
    <x v="2094"/>
    <n v="27"/>
    <x v="2"/>
    <n v="0.92"/>
    <n v="1.0900000000000001"/>
    <x v="45"/>
    <x v="2"/>
    <n v="0.4"/>
    <n v="0.99"/>
    <n v="0.23"/>
    <n v="0.26"/>
    <n v="0.05"/>
    <n v="0.94"/>
    <n v="0.46"/>
    <n v="0.67"/>
    <n v="0.69"/>
    <n v="0.87"/>
    <x v="0"/>
    <s v="High Exposure"/>
  </r>
  <r>
    <x v="15"/>
    <x v="2095"/>
    <n v="5"/>
    <x v="3"/>
    <n v="0.56000000000000005"/>
    <n v="1.21"/>
    <x v="52"/>
    <x v="1"/>
    <n v="0.19"/>
    <n v="0.11"/>
    <n v="7.0000000000000007E-2"/>
    <n v="0.37"/>
    <n v="0.5"/>
    <n v="0.62"/>
    <n v="0.96"/>
    <n v="0.33"/>
    <n v="0.76"/>
    <n v="0.53"/>
    <x v="1"/>
    <s v="Medium Exposure"/>
  </r>
  <r>
    <x v="18"/>
    <x v="2096"/>
    <n v="17"/>
    <x v="2"/>
    <n v="0.62"/>
    <n v="1.47"/>
    <x v="47"/>
    <x v="1"/>
    <n v="0.51"/>
    <n v="0.05"/>
    <n v="0.32"/>
    <n v="0.62"/>
    <n v="0.84"/>
    <n v="0.73"/>
    <n v="0.46"/>
    <n v="0.91"/>
    <n v="0.3"/>
    <n v="0.75"/>
    <x v="0"/>
    <s v="Medium Exposure"/>
  </r>
  <r>
    <x v="1"/>
    <x v="2097"/>
    <n v="15"/>
    <x v="1"/>
    <n v="0.9"/>
    <n v="1.3"/>
    <x v="16"/>
    <x v="1"/>
    <n v="0.21"/>
    <n v="0.67"/>
    <n v="0.74"/>
    <n v="0.74"/>
    <n v="0.5"/>
    <n v="0.01"/>
    <n v="0.26"/>
    <n v="0.32"/>
    <n v="0.85"/>
    <n v="0.84"/>
    <x v="2"/>
    <s v="High Exposure"/>
  </r>
  <r>
    <x v="8"/>
    <x v="2098"/>
    <n v="20"/>
    <x v="2"/>
    <n v="0.02"/>
    <n v="0.81"/>
    <x v="53"/>
    <x v="2"/>
    <n v="0.15"/>
    <n v="0.28999999999999998"/>
    <n v="7.0000000000000007E-2"/>
    <n v="0.24"/>
    <n v="0.96"/>
    <n v="0.31"/>
    <n v="0.16"/>
    <n v="0.72"/>
    <n v="0.83"/>
    <n v="0.31"/>
    <x v="0"/>
    <s v="Low Exposure"/>
  </r>
  <r>
    <x v="18"/>
    <x v="2099"/>
    <n v="24"/>
    <x v="0"/>
    <n v="0.24"/>
    <n v="0.89"/>
    <x v="34"/>
    <x v="1"/>
    <n v="0.67"/>
    <n v="0.82"/>
    <n v="0.66"/>
    <n v="0.42"/>
    <n v="0.28999999999999998"/>
    <n v="0.41"/>
    <n v="0.42"/>
    <n v="0.67"/>
    <n v="0.93"/>
    <n v="7.0000000000000007E-2"/>
    <x v="0"/>
    <s v="Low Exposure"/>
  </r>
  <r>
    <x v="10"/>
    <x v="2100"/>
    <n v="12"/>
    <x v="3"/>
    <n v="0.91"/>
    <n v="0.62"/>
    <x v="49"/>
    <x v="2"/>
    <n v="0.31"/>
    <n v="0.56000000000000005"/>
    <n v="0.13"/>
    <n v="0.2"/>
    <n v="0.9"/>
    <n v="0.11"/>
    <n v="0.4"/>
    <n v="0.76"/>
    <n v="0.89"/>
    <n v="0.34"/>
    <x v="2"/>
    <s v="High Exposure"/>
  </r>
  <r>
    <x v="2"/>
    <x v="2101"/>
    <n v="7"/>
    <x v="1"/>
    <n v="0.74"/>
    <n v="1.27"/>
    <x v="60"/>
    <x v="0"/>
    <n v="0.14000000000000001"/>
    <n v="0.71"/>
    <n v="0.42"/>
    <n v="0.91"/>
    <n v="0.41"/>
    <n v="0.45"/>
    <n v="0.13"/>
    <n v="0.32"/>
    <n v="0.4"/>
    <n v="0.02"/>
    <x v="2"/>
    <s v="High Exposure"/>
  </r>
  <r>
    <x v="4"/>
    <x v="2102"/>
    <n v="21"/>
    <x v="1"/>
    <n v="0.34"/>
    <n v="1.3"/>
    <x v="55"/>
    <x v="2"/>
    <n v="0.76"/>
    <n v="0.71"/>
    <n v="0.24"/>
    <n v="0.08"/>
    <n v="0.84"/>
    <n v="0.25"/>
    <n v="0.15"/>
    <n v="0.36"/>
    <n v="0.4"/>
    <n v="0.33"/>
    <x v="0"/>
    <s v="Medium Exposure"/>
  </r>
  <r>
    <x v="6"/>
    <x v="2103"/>
    <n v="25"/>
    <x v="2"/>
    <n v="0.88"/>
    <n v="1.37"/>
    <x v="36"/>
    <x v="2"/>
    <n v="0.96"/>
    <n v="0.68"/>
    <n v="0.83"/>
    <n v="0.5"/>
    <n v="0.16"/>
    <n v="0.89"/>
    <n v="0.49"/>
    <n v="0.97"/>
    <n v="0.25"/>
    <n v="0.99"/>
    <x v="0"/>
    <s v="High Exposure"/>
  </r>
  <r>
    <x v="9"/>
    <x v="2104"/>
    <n v="8"/>
    <x v="1"/>
    <n v="0.37"/>
    <n v="1.0900000000000001"/>
    <x v="59"/>
    <x v="0"/>
    <n v="0.72"/>
    <n v="0.48"/>
    <n v="0.08"/>
    <n v="0.5"/>
    <n v="0.33"/>
    <n v="0.66"/>
    <n v="0.18"/>
    <n v="0.39"/>
    <n v="0.97"/>
    <n v="0.09"/>
    <x v="2"/>
    <s v="Medium Exposure"/>
  </r>
  <r>
    <x v="3"/>
    <x v="2105"/>
    <n v="10"/>
    <x v="2"/>
    <n v="0.09"/>
    <n v="0.66"/>
    <x v="22"/>
    <x v="2"/>
    <n v="0.44"/>
    <n v="0.55000000000000004"/>
    <n v="0.88"/>
    <n v="0.82"/>
    <n v="0.89"/>
    <n v="0.62"/>
    <n v="0.49"/>
    <n v="0.46"/>
    <n v="0.74"/>
    <n v="0.52"/>
    <x v="2"/>
    <s v="Low Exposure"/>
  </r>
  <r>
    <x v="11"/>
    <x v="2106"/>
    <n v="22"/>
    <x v="0"/>
    <n v="0.14000000000000001"/>
    <n v="0.86"/>
    <x v="20"/>
    <x v="2"/>
    <n v="0.24"/>
    <n v="0.66"/>
    <n v="0.01"/>
    <n v="0.6"/>
    <n v="0.77"/>
    <n v="0.17"/>
    <n v="0.18"/>
    <n v="0.03"/>
    <n v="0.51"/>
    <n v="0.65"/>
    <x v="0"/>
    <s v="Low Exposure"/>
  </r>
  <r>
    <x v="1"/>
    <x v="2107"/>
    <n v="21"/>
    <x v="3"/>
    <n v="0.39"/>
    <n v="0.95"/>
    <x v="88"/>
    <x v="1"/>
    <n v="0.03"/>
    <n v="0.78"/>
    <n v="0.67"/>
    <n v="0.24"/>
    <n v="0.52"/>
    <n v="0.05"/>
    <n v="0.38"/>
    <n v="0.17"/>
    <n v="0.02"/>
    <n v="0.36"/>
    <x v="0"/>
    <s v="Medium Exposure"/>
  </r>
  <r>
    <x v="7"/>
    <x v="2108"/>
    <n v="18"/>
    <x v="2"/>
    <n v="0.92"/>
    <n v="1.1599999999999999"/>
    <x v="18"/>
    <x v="1"/>
    <n v="1"/>
    <n v="0.28000000000000003"/>
    <n v="0.19"/>
    <n v="0.46"/>
    <n v="0.5"/>
    <n v="0.35"/>
    <n v="0.7"/>
    <n v="0.18"/>
    <n v="0.51"/>
    <n v="0.5"/>
    <x v="0"/>
    <s v="High Exposure"/>
  </r>
  <r>
    <x v="17"/>
    <x v="2109"/>
    <n v="15"/>
    <x v="1"/>
    <n v="0.93"/>
    <n v="1.1599999999999999"/>
    <x v="71"/>
    <x v="2"/>
    <n v="0.69"/>
    <n v="0.25"/>
    <n v="0.97"/>
    <n v="0.82"/>
    <n v="0.43"/>
    <n v="0.78"/>
    <n v="0.41"/>
    <n v="7.0000000000000007E-2"/>
    <n v="0.71"/>
    <n v="0.4"/>
    <x v="2"/>
    <s v="High Exposure"/>
  </r>
  <r>
    <x v="10"/>
    <x v="2110"/>
    <n v="24"/>
    <x v="2"/>
    <n v="0.31"/>
    <n v="1.34"/>
    <x v="64"/>
    <x v="2"/>
    <n v="0.85"/>
    <n v="0.28999999999999998"/>
    <n v="0.46"/>
    <n v="0.82"/>
    <n v="0.64"/>
    <n v="0.36"/>
    <n v="0.51"/>
    <n v="1"/>
    <n v="0.74"/>
    <n v="0.61"/>
    <x v="0"/>
    <s v="Medium Exposure"/>
  </r>
  <r>
    <x v="5"/>
    <x v="2111"/>
    <n v="0"/>
    <x v="0"/>
    <n v="0.44"/>
    <n v="1.45"/>
    <x v="27"/>
    <x v="1"/>
    <n v="0.33"/>
    <n v="0.09"/>
    <n v="0.38"/>
    <n v="0.56999999999999995"/>
    <n v="0.7"/>
    <n v="0.88"/>
    <n v="0.94"/>
    <n v="0.1"/>
    <n v="0.6"/>
    <n v="0.67"/>
    <x v="1"/>
    <s v="Medium Exposure"/>
  </r>
  <r>
    <x v="14"/>
    <x v="678"/>
    <n v="19"/>
    <x v="3"/>
    <n v="0.55000000000000004"/>
    <n v="0.83"/>
    <x v="28"/>
    <x v="0"/>
    <n v="7.0000000000000007E-2"/>
    <n v="0.76"/>
    <n v="0.62"/>
    <n v="0.72"/>
    <n v="0.69"/>
    <n v="0.13"/>
    <n v="0.15"/>
    <n v="0.25"/>
    <n v="0.4"/>
    <n v="0.94"/>
    <x v="0"/>
    <s v="Medium Exposure"/>
  </r>
  <r>
    <x v="4"/>
    <x v="2112"/>
    <n v="7"/>
    <x v="0"/>
    <n v="0.26"/>
    <n v="0.56000000000000005"/>
    <x v="64"/>
    <x v="2"/>
    <n v="0.63"/>
    <n v="0.68"/>
    <n v="0.26"/>
    <n v="0.52"/>
    <n v="0.36"/>
    <n v="0.82"/>
    <n v="7.0000000000000007E-2"/>
    <n v="0.28000000000000003"/>
    <n v="0.6"/>
    <n v="0.21"/>
    <x v="2"/>
    <s v="Low Exposure"/>
  </r>
  <r>
    <x v="5"/>
    <x v="2113"/>
    <n v="21"/>
    <x v="0"/>
    <n v="0.14000000000000001"/>
    <n v="0.52"/>
    <x v="15"/>
    <x v="1"/>
    <n v="0.33"/>
    <n v="0.16"/>
    <n v="0.17"/>
    <n v="0.89"/>
    <n v="0.65"/>
    <n v="0.96"/>
    <n v="0.8"/>
    <n v="0.77"/>
    <n v="0.5"/>
    <n v="0.82"/>
    <x v="0"/>
    <s v="Low Exposure"/>
  </r>
  <r>
    <x v="10"/>
    <x v="2114"/>
    <n v="2"/>
    <x v="3"/>
    <n v="0.83"/>
    <n v="1.26"/>
    <x v="64"/>
    <x v="2"/>
    <n v="0.33"/>
    <n v="0.63"/>
    <n v="0.51"/>
    <n v="0.46"/>
    <n v="0.99"/>
    <n v="0.5"/>
    <n v="0.03"/>
    <n v="0.63"/>
    <n v="0.73"/>
    <n v="0.89"/>
    <x v="1"/>
    <s v="High Exposure"/>
  </r>
  <r>
    <x v="3"/>
    <x v="2115"/>
    <n v="22"/>
    <x v="3"/>
    <n v="0.02"/>
    <n v="0.62"/>
    <x v="46"/>
    <x v="2"/>
    <n v="0.21"/>
    <n v="0.8"/>
    <n v="0.31"/>
    <n v="0.31"/>
    <n v="0.76"/>
    <n v="0.41"/>
    <n v="0.06"/>
    <n v="0.59"/>
    <n v="0.13"/>
    <n v="0.56999999999999995"/>
    <x v="0"/>
    <s v="Low Exposure"/>
  </r>
  <r>
    <x v="9"/>
    <x v="2116"/>
    <n v="28"/>
    <x v="1"/>
    <n v="0.93"/>
    <n v="0.56999999999999995"/>
    <x v="80"/>
    <x v="0"/>
    <n v="0.65"/>
    <n v="0.32"/>
    <n v="0.45"/>
    <n v="0.02"/>
    <n v="0.69"/>
    <n v="0.88"/>
    <n v="0.98"/>
    <n v="0.83"/>
    <n v="0.03"/>
    <n v="0.65"/>
    <x v="0"/>
    <s v="High Exposure"/>
  </r>
  <r>
    <x v="16"/>
    <x v="2117"/>
    <n v="9"/>
    <x v="2"/>
    <n v="0.94"/>
    <n v="1.4"/>
    <x v="60"/>
    <x v="0"/>
    <n v="0.86"/>
    <n v="0.55000000000000004"/>
    <n v="0.71"/>
    <n v="0.96"/>
    <n v="0.57999999999999996"/>
    <n v="0.84"/>
    <n v="0.94"/>
    <n v="0.56999999999999995"/>
    <n v="0.16"/>
    <n v="0.16"/>
    <x v="2"/>
    <s v="High Exposure"/>
  </r>
  <r>
    <x v="17"/>
    <x v="2118"/>
    <n v="20"/>
    <x v="0"/>
    <n v="0.48"/>
    <n v="0.98"/>
    <x v="33"/>
    <x v="2"/>
    <n v="0.48"/>
    <n v="0.97"/>
    <n v="0.28999999999999998"/>
    <n v="0.87"/>
    <n v="0.1"/>
    <n v="0.6"/>
    <n v="0.65"/>
    <n v="0.77"/>
    <n v="0.5"/>
    <n v="0.2"/>
    <x v="0"/>
    <s v="Medium Exposure"/>
  </r>
  <r>
    <x v="9"/>
    <x v="2119"/>
    <n v="16"/>
    <x v="1"/>
    <n v="0.27"/>
    <n v="0.92"/>
    <x v="35"/>
    <x v="0"/>
    <n v="0.63"/>
    <n v="0.85"/>
    <n v="0.91"/>
    <n v="0.46"/>
    <n v="0.09"/>
    <n v="0.8"/>
    <n v="0.48"/>
    <n v="0.55000000000000004"/>
    <n v="0.6"/>
    <n v="0.67"/>
    <x v="0"/>
    <s v="Low Exposure"/>
  </r>
  <r>
    <x v="19"/>
    <x v="2120"/>
    <n v="20"/>
    <x v="0"/>
    <n v="0.95"/>
    <n v="1.44"/>
    <x v="69"/>
    <x v="2"/>
    <n v="0.89"/>
    <n v="0.05"/>
    <n v="0.85"/>
    <n v="7.0000000000000007E-2"/>
    <n v="0.75"/>
    <n v="0.17"/>
    <n v="0.36"/>
    <n v="0.18"/>
    <n v="0.44"/>
    <n v="0.41"/>
    <x v="0"/>
    <s v="High Exposure"/>
  </r>
  <r>
    <x v="4"/>
    <x v="2121"/>
    <n v="1"/>
    <x v="3"/>
    <n v="0.3"/>
    <n v="1.25"/>
    <x v="20"/>
    <x v="2"/>
    <n v="0.52"/>
    <n v="0.12"/>
    <n v="0.28999999999999998"/>
    <n v="0.26"/>
    <n v="0.84"/>
    <n v="0.19"/>
    <n v="0.81"/>
    <n v="0.79"/>
    <n v="0.5"/>
    <n v="0.23"/>
    <x v="1"/>
    <s v="Medium Exposure"/>
  </r>
  <r>
    <x v="8"/>
    <x v="2122"/>
    <n v="20"/>
    <x v="3"/>
    <n v="0.01"/>
    <n v="1.03"/>
    <x v="26"/>
    <x v="2"/>
    <n v="0.15"/>
    <n v="0.56999999999999995"/>
    <n v="0.96"/>
    <n v="0.86"/>
    <n v="0.85"/>
    <n v="0.82"/>
    <n v="0.31"/>
    <n v="0.89"/>
    <n v="0.94"/>
    <n v="0.5"/>
    <x v="0"/>
    <s v="Low Exposure"/>
  </r>
  <r>
    <x v="11"/>
    <x v="2123"/>
    <n v="14"/>
    <x v="0"/>
    <n v="0.41"/>
    <n v="0.83"/>
    <x v="48"/>
    <x v="2"/>
    <n v="0.62"/>
    <n v="0.56000000000000005"/>
    <n v="0.46"/>
    <n v="0.1"/>
    <n v="0.8"/>
    <n v="0.17"/>
    <n v="0.11"/>
    <n v="0.62"/>
    <n v="0.4"/>
    <n v="0.06"/>
    <x v="2"/>
    <s v="Medium Exposure"/>
  </r>
  <r>
    <x v="19"/>
    <x v="2124"/>
    <n v="6"/>
    <x v="0"/>
    <n v="0.77"/>
    <n v="1.1200000000000001"/>
    <x v="84"/>
    <x v="2"/>
    <n v="0.19"/>
    <n v="0.63"/>
    <n v="0.89"/>
    <n v="0.65"/>
    <n v="0.81"/>
    <n v="0.52"/>
    <n v="0.72"/>
    <n v="0.9"/>
    <n v="0.77"/>
    <n v="0.91"/>
    <x v="2"/>
    <s v="High Exposure"/>
  </r>
  <r>
    <x v="16"/>
    <x v="2125"/>
    <n v="15"/>
    <x v="2"/>
    <n v="0.9"/>
    <n v="1.1200000000000001"/>
    <x v="24"/>
    <x v="0"/>
    <n v="0.04"/>
    <n v="0.66"/>
    <n v="0.85"/>
    <n v="0.17"/>
    <n v="0.66"/>
    <n v="0.82"/>
    <n v="0.28999999999999998"/>
    <n v="0.41"/>
    <n v="0.56999999999999995"/>
    <n v="0.52"/>
    <x v="2"/>
    <s v="High Exposure"/>
  </r>
  <r>
    <x v="9"/>
    <x v="2126"/>
    <n v="8"/>
    <x v="0"/>
    <n v="0.1"/>
    <n v="0.6"/>
    <x v="62"/>
    <x v="0"/>
    <n v="0.25"/>
    <n v="0.74"/>
    <n v="0.56999999999999995"/>
    <n v="0.76"/>
    <n v="7.0000000000000007E-2"/>
    <n v="0.49"/>
    <n v="0.32"/>
    <n v="0.85"/>
    <n v="0.71"/>
    <n v="0.87"/>
    <x v="2"/>
    <s v="Low Exposure"/>
  </r>
  <r>
    <x v="13"/>
    <x v="2127"/>
    <n v="10"/>
    <x v="2"/>
    <n v="0.72"/>
    <n v="1.04"/>
    <x v="12"/>
    <x v="2"/>
    <n v="0.51"/>
    <n v="0.54"/>
    <n v="0.05"/>
    <n v="0.67"/>
    <n v="0.27"/>
    <n v="0.02"/>
    <n v="7.0000000000000007E-2"/>
    <n v="0.96"/>
    <n v="0.35"/>
    <n v="0.87"/>
    <x v="2"/>
    <s v="High Exposure"/>
  </r>
  <r>
    <x v="19"/>
    <x v="2128"/>
    <n v="28"/>
    <x v="3"/>
    <n v="0.94"/>
    <n v="1.38"/>
    <x v="72"/>
    <x v="2"/>
    <n v="0.28999999999999998"/>
    <n v="0.15"/>
    <n v="0.64"/>
    <n v="0.49"/>
    <n v="0.1"/>
    <n v="0.68"/>
    <n v="0.56000000000000005"/>
    <n v="0.86"/>
    <n v="0.61"/>
    <n v="0.56999999999999995"/>
    <x v="0"/>
    <s v="High Exposure"/>
  </r>
  <r>
    <x v="15"/>
    <x v="2129"/>
    <n v="28"/>
    <x v="3"/>
    <n v="0.46"/>
    <n v="1.45"/>
    <x v="47"/>
    <x v="1"/>
    <n v="0.45"/>
    <n v="0.66"/>
    <n v="0.43"/>
    <n v="0.28000000000000003"/>
    <n v="0.28999999999999998"/>
    <n v="0.23"/>
    <n v="0.34"/>
    <n v="0.87"/>
    <n v="0.51"/>
    <n v="0.24"/>
    <x v="0"/>
    <s v="Medium Exposure"/>
  </r>
  <r>
    <x v="2"/>
    <x v="2130"/>
    <n v="28"/>
    <x v="1"/>
    <n v="0.46"/>
    <n v="0.52"/>
    <x v="0"/>
    <x v="0"/>
    <n v="0.03"/>
    <n v="0.54"/>
    <n v="0.46"/>
    <n v="0.24"/>
    <n v="0.33"/>
    <n v="0.71"/>
    <n v="0.01"/>
    <n v="0.32"/>
    <n v="0.68"/>
    <n v="0.15"/>
    <x v="0"/>
    <s v="Medium Exposure"/>
  </r>
  <r>
    <x v="16"/>
    <x v="2131"/>
    <n v="6"/>
    <x v="3"/>
    <n v="0.17"/>
    <n v="0.65"/>
    <x v="81"/>
    <x v="0"/>
    <n v="0.27"/>
    <n v="0.38"/>
    <n v="0.73"/>
    <n v="0.18"/>
    <n v="0.53"/>
    <n v="0.92"/>
    <n v="0.55000000000000004"/>
    <n v="0.05"/>
    <n v="0.59"/>
    <n v="0.09"/>
    <x v="2"/>
    <s v="Low Exposure"/>
  </r>
  <r>
    <x v="18"/>
    <x v="2132"/>
    <n v="21"/>
    <x v="1"/>
    <n v="0.85"/>
    <n v="0.51"/>
    <x v="34"/>
    <x v="1"/>
    <n v="0.36"/>
    <n v="1"/>
    <n v="0.28999999999999998"/>
    <n v="0.16"/>
    <n v="0.55000000000000004"/>
    <n v="0.52"/>
    <n v="0.45"/>
    <n v="0.95"/>
    <n v="0.28000000000000003"/>
    <n v="0.28999999999999998"/>
    <x v="0"/>
    <s v="High Exposure"/>
  </r>
  <r>
    <x v="8"/>
    <x v="2133"/>
    <n v="21"/>
    <x v="2"/>
    <n v="0.32"/>
    <n v="1.3"/>
    <x v="66"/>
    <x v="2"/>
    <n v="0.04"/>
    <n v="0.99"/>
    <n v="0.25"/>
    <n v="0.42"/>
    <n v="0.78"/>
    <n v="0.67"/>
    <n v="0.78"/>
    <n v="0.47"/>
    <n v="0.92"/>
    <n v="0.79"/>
    <x v="0"/>
    <s v="Medium Exposure"/>
  </r>
  <r>
    <x v="6"/>
    <x v="2134"/>
    <n v="20"/>
    <x v="2"/>
    <n v="0.95"/>
    <n v="1.46"/>
    <x v="25"/>
    <x v="2"/>
    <n v="0.65"/>
    <n v="0.81"/>
    <n v="0.82"/>
    <n v="0.01"/>
    <n v="0.63"/>
    <n v="0.97"/>
    <n v="0.23"/>
    <n v="0.8"/>
    <n v="0.53"/>
    <n v="0.22"/>
    <x v="0"/>
    <s v="High Exposure"/>
  </r>
  <r>
    <x v="10"/>
    <x v="2135"/>
    <n v="19"/>
    <x v="0"/>
    <n v="0.76"/>
    <n v="0.82"/>
    <x v="84"/>
    <x v="2"/>
    <n v="0.49"/>
    <n v="0.51"/>
    <n v="0.21"/>
    <n v="0.67"/>
    <n v="0.69"/>
    <n v="0.14000000000000001"/>
    <n v="0.53"/>
    <n v="0.61"/>
    <n v="0.19"/>
    <n v="0.89"/>
    <x v="0"/>
    <s v="High Exposure"/>
  </r>
  <r>
    <x v="15"/>
    <x v="2136"/>
    <n v="13"/>
    <x v="3"/>
    <n v="0.12"/>
    <n v="0.83"/>
    <x v="7"/>
    <x v="1"/>
    <n v="0.01"/>
    <n v="0.03"/>
    <n v="0.06"/>
    <n v="0.54"/>
    <n v="0.34"/>
    <n v="0.89"/>
    <n v="0.56000000000000005"/>
    <n v="0.76"/>
    <n v="0.69"/>
    <n v="0.52"/>
    <x v="2"/>
    <s v="Low Exposure"/>
  </r>
  <r>
    <x v="5"/>
    <x v="2137"/>
    <n v="1"/>
    <x v="3"/>
    <n v="0.87"/>
    <n v="1.03"/>
    <x v="7"/>
    <x v="1"/>
    <n v="0.72"/>
    <n v="0.21"/>
    <n v="0.79"/>
    <n v="0.43"/>
    <n v="0.13"/>
    <n v="0.12"/>
    <n v="0.16"/>
    <n v="0.89"/>
    <n v="0.99"/>
    <n v="0.36"/>
    <x v="1"/>
    <s v="High Exposure"/>
  </r>
  <r>
    <x v="9"/>
    <x v="2138"/>
    <n v="16"/>
    <x v="0"/>
    <n v="0.82"/>
    <n v="0.71"/>
    <x v="17"/>
    <x v="0"/>
    <n v="0.67"/>
    <n v="0.9"/>
    <n v="0.55000000000000004"/>
    <n v="0.69"/>
    <n v="0.62"/>
    <n v="0.83"/>
    <n v="0.84"/>
    <n v="0.59"/>
    <n v="0.63"/>
    <n v="0.92"/>
    <x v="0"/>
    <s v="High Exposure"/>
  </r>
  <r>
    <x v="16"/>
    <x v="2139"/>
    <n v="22"/>
    <x v="0"/>
    <n v="0.66"/>
    <n v="0.51"/>
    <x v="67"/>
    <x v="0"/>
    <n v="0.86"/>
    <n v="0.08"/>
    <n v="0.21"/>
    <n v="0.23"/>
    <n v="0.6"/>
    <n v="0.57999999999999996"/>
    <n v="0.28999999999999998"/>
    <n v="0.21"/>
    <n v="0.76"/>
    <n v="0.94"/>
    <x v="0"/>
    <s v="Medium Exposure"/>
  </r>
  <r>
    <x v="3"/>
    <x v="2140"/>
    <n v="6"/>
    <x v="2"/>
    <n v="0.13"/>
    <n v="1.1399999999999999"/>
    <x v="69"/>
    <x v="2"/>
    <n v="0.79"/>
    <n v="0.72"/>
    <n v="0.89"/>
    <n v="0.22"/>
    <n v="0.11"/>
    <n v="0.62"/>
    <n v="0.82"/>
    <n v="0.57999999999999996"/>
    <n v="0.96"/>
    <n v="0.8"/>
    <x v="2"/>
    <s v="Low Exposure"/>
  </r>
  <r>
    <x v="8"/>
    <x v="2141"/>
    <n v="2"/>
    <x v="0"/>
    <n v="0.06"/>
    <n v="0.61"/>
    <x v="45"/>
    <x v="2"/>
    <n v="0.2"/>
    <n v="0.03"/>
    <n v="0.91"/>
    <n v="0.89"/>
    <n v="0.22"/>
    <n v="0.78"/>
    <n v="0.05"/>
    <n v="0.28999999999999998"/>
    <n v="0.62"/>
    <n v="0.76"/>
    <x v="1"/>
    <s v="Low Exposure"/>
  </r>
  <r>
    <x v="18"/>
    <x v="2142"/>
    <n v="18"/>
    <x v="2"/>
    <n v="0.33"/>
    <n v="0.71"/>
    <x v="85"/>
    <x v="1"/>
    <n v="0.67"/>
    <n v="0.41"/>
    <n v="0.08"/>
    <n v="0.6"/>
    <n v="0.64"/>
    <n v="0.82"/>
    <n v="0.28999999999999998"/>
    <n v="0.98"/>
    <n v="0.44"/>
    <n v="0.3"/>
    <x v="0"/>
    <s v="Medium Exposure"/>
  </r>
  <r>
    <x v="7"/>
    <x v="2143"/>
    <n v="14"/>
    <x v="2"/>
    <n v="0.53"/>
    <n v="1.3"/>
    <x v="27"/>
    <x v="1"/>
    <n v="0.96"/>
    <n v="0.37"/>
    <n v="0.06"/>
    <n v="0.78"/>
    <n v="0.71"/>
    <n v="0.53"/>
    <n v="0.33"/>
    <n v="0.19"/>
    <n v="0.48"/>
    <n v="0.67"/>
    <x v="2"/>
    <s v="Medium Exposure"/>
  </r>
  <r>
    <x v="19"/>
    <x v="2144"/>
    <n v="28"/>
    <x v="2"/>
    <n v="0.32"/>
    <n v="0.63"/>
    <x v="78"/>
    <x v="2"/>
    <n v="0.79"/>
    <n v="0.97"/>
    <n v="0.5"/>
    <n v="0.17"/>
    <n v="0.68"/>
    <n v="0.76"/>
    <n v="7.0000000000000007E-2"/>
    <n v="0.85"/>
    <n v="0.83"/>
    <n v="0.47"/>
    <x v="0"/>
    <s v="Medium Exposure"/>
  </r>
  <r>
    <x v="17"/>
    <x v="2145"/>
    <n v="29"/>
    <x v="3"/>
    <n v="0.45"/>
    <n v="1.27"/>
    <x v="25"/>
    <x v="2"/>
    <n v="0.31"/>
    <n v="0.99"/>
    <n v="0.94"/>
    <n v="0.94"/>
    <n v="0.13"/>
    <n v="0.23"/>
    <n v="0.44"/>
    <n v="0.83"/>
    <n v="0.74"/>
    <n v="0.85"/>
    <x v="0"/>
    <s v="Medium Exposure"/>
  </r>
  <r>
    <x v="3"/>
    <x v="2146"/>
    <n v="28"/>
    <x v="0"/>
    <n v="0.78"/>
    <n v="0.76"/>
    <x v="6"/>
    <x v="2"/>
    <n v="0.35"/>
    <n v="0.3"/>
    <n v="0.25"/>
    <n v="0.75"/>
    <n v="0.03"/>
    <n v="0.73"/>
    <n v="0.82"/>
    <n v="7.0000000000000007E-2"/>
    <n v="0.06"/>
    <n v="0.28999999999999998"/>
    <x v="0"/>
    <s v="High Exposure"/>
  </r>
  <r>
    <x v="19"/>
    <x v="2147"/>
    <n v="4"/>
    <x v="1"/>
    <n v="0.57999999999999996"/>
    <n v="1.18"/>
    <x v="33"/>
    <x v="2"/>
    <n v="0.36"/>
    <n v="0.5"/>
    <n v="0.64"/>
    <n v="0.12"/>
    <n v="0.23"/>
    <n v="0.89"/>
    <n v="0.34"/>
    <n v="0.8"/>
    <n v="0.25"/>
    <n v="0.04"/>
    <x v="1"/>
    <s v="Medium Exposure"/>
  </r>
  <r>
    <x v="8"/>
    <x v="2148"/>
    <n v="15"/>
    <x v="3"/>
    <n v="0.89"/>
    <n v="1.32"/>
    <x v="10"/>
    <x v="2"/>
    <n v="0.91"/>
    <n v="0.48"/>
    <n v="0.05"/>
    <n v="0.03"/>
    <n v="0.49"/>
    <n v="0.55000000000000004"/>
    <n v="0.08"/>
    <n v="0.92"/>
    <n v="0.72"/>
    <n v="0.8"/>
    <x v="2"/>
    <s v="High Exposure"/>
  </r>
  <r>
    <x v="13"/>
    <x v="2149"/>
    <n v="27"/>
    <x v="2"/>
    <n v="0.66"/>
    <n v="0.89"/>
    <x v="64"/>
    <x v="2"/>
    <n v="0.98"/>
    <n v="0.65"/>
    <n v="0.34"/>
    <n v="0.28999999999999998"/>
    <n v="0.96"/>
    <n v="0.19"/>
    <n v="0.81"/>
    <n v="0.47"/>
    <n v="0.44"/>
    <n v="0.75"/>
    <x v="0"/>
    <s v="Medium Exposure"/>
  </r>
  <r>
    <x v="14"/>
    <x v="2150"/>
    <n v="13"/>
    <x v="1"/>
    <n v="0.78"/>
    <n v="0.66"/>
    <x v="9"/>
    <x v="0"/>
    <n v="0.42"/>
    <n v="0.1"/>
    <n v="0.44"/>
    <n v="0.81"/>
    <n v="0.3"/>
    <n v="0.43"/>
    <n v="0.96"/>
    <n v="0.03"/>
    <n v="0.59"/>
    <n v="0.74"/>
    <x v="2"/>
    <s v="High Exposure"/>
  </r>
  <r>
    <x v="17"/>
    <x v="2151"/>
    <n v="18"/>
    <x v="3"/>
    <n v="0.72"/>
    <n v="1.23"/>
    <x v="86"/>
    <x v="2"/>
    <n v="0.53"/>
    <n v="0.78"/>
    <n v="0.09"/>
    <n v="0.01"/>
    <n v="0.81"/>
    <n v="0.71"/>
    <n v="0.41"/>
    <n v="0.94"/>
    <n v="0.77"/>
    <n v="0.97"/>
    <x v="0"/>
    <s v="High Exposure"/>
  </r>
  <r>
    <x v="17"/>
    <x v="2152"/>
    <n v="27"/>
    <x v="2"/>
    <n v="0.48"/>
    <n v="1.25"/>
    <x v="64"/>
    <x v="2"/>
    <n v="0.81"/>
    <n v="0.79"/>
    <n v="0.15"/>
    <n v="0.23"/>
    <n v="0.27"/>
    <n v="0.82"/>
    <n v="0.81"/>
    <n v="0.5"/>
    <n v="0.57999999999999996"/>
    <n v="0.83"/>
    <x v="0"/>
    <s v="Medium Exposure"/>
  </r>
  <r>
    <x v="1"/>
    <x v="2153"/>
    <n v="6"/>
    <x v="1"/>
    <n v="0.05"/>
    <n v="0.98"/>
    <x v="16"/>
    <x v="1"/>
    <n v="0.79"/>
    <n v="0.37"/>
    <n v="0.06"/>
    <n v="0.64"/>
    <n v="0.83"/>
    <n v="0.66"/>
    <n v="0.43"/>
    <n v="0.12"/>
    <n v="0.91"/>
    <n v="0.28000000000000003"/>
    <x v="2"/>
    <s v="Low Exposure"/>
  </r>
  <r>
    <x v="1"/>
    <x v="2154"/>
    <n v="18"/>
    <x v="3"/>
    <n v="0.82"/>
    <n v="1.48"/>
    <x v="29"/>
    <x v="1"/>
    <n v="0.62"/>
    <n v="0.32"/>
    <n v="0.02"/>
    <n v="0.19"/>
    <n v="0.57999999999999996"/>
    <n v="0.15"/>
    <n v="0.88"/>
    <n v="0.19"/>
    <n v="0.52"/>
    <n v="0.51"/>
    <x v="0"/>
    <s v="High Exposure"/>
  </r>
  <r>
    <x v="16"/>
    <x v="2155"/>
    <n v="17"/>
    <x v="3"/>
    <n v="0.33"/>
    <n v="1.37"/>
    <x v="2"/>
    <x v="0"/>
    <n v="0.7"/>
    <n v="0.64"/>
    <n v="0.12"/>
    <n v="0.62"/>
    <n v="0.55000000000000004"/>
    <n v="0.9"/>
    <n v="0.88"/>
    <n v="0.15"/>
    <n v="0.08"/>
    <n v="0.28999999999999998"/>
    <x v="0"/>
    <s v="Medium Exposure"/>
  </r>
  <r>
    <x v="10"/>
    <x v="2156"/>
    <n v="28"/>
    <x v="0"/>
    <n v="0.02"/>
    <n v="1.17"/>
    <x v="22"/>
    <x v="2"/>
    <n v="0.65"/>
    <n v="0.22"/>
    <n v="0.23"/>
    <n v="0.43"/>
    <n v="0.1"/>
    <n v="7.0000000000000007E-2"/>
    <n v="0.09"/>
    <n v="0.56999999999999995"/>
    <n v="0.4"/>
    <n v="0.28999999999999998"/>
    <x v="0"/>
    <s v="Low Exposure"/>
  </r>
  <r>
    <x v="6"/>
    <x v="2157"/>
    <n v="10"/>
    <x v="0"/>
    <n v="0.21"/>
    <n v="0.91"/>
    <x v="48"/>
    <x v="2"/>
    <n v="0.7"/>
    <n v="0.12"/>
    <n v="0.95"/>
    <n v="0.09"/>
    <n v="0.94"/>
    <n v="0.83"/>
    <n v="0.68"/>
    <n v="0.91"/>
    <n v="0.14000000000000001"/>
    <n v="0.18"/>
    <x v="2"/>
    <s v="Low Exposure"/>
  </r>
  <r>
    <x v="6"/>
    <x v="2158"/>
    <n v="28"/>
    <x v="2"/>
    <n v="0.24"/>
    <n v="0.81"/>
    <x v="68"/>
    <x v="2"/>
    <n v="0.03"/>
    <n v="0.38"/>
    <n v="0.25"/>
    <n v="0.61"/>
    <n v="0.99"/>
    <n v="0.52"/>
    <n v="0.43"/>
    <n v="0.37"/>
    <n v="0.78"/>
    <n v="7.0000000000000007E-2"/>
    <x v="0"/>
    <s v="Low Exposure"/>
  </r>
  <r>
    <x v="2"/>
    <x v="2159"/>
    <n v="20"/>
    <x v="3"/>
    <n v="0.42"/>
    <n v="0.81"/>
    <x v="89"/>
    <x v="0"/>
    <n v="0.94"/>
    <n v="0.64"/>
    <n v="0.02"/>
    <n v="0.75"/>
    <n v="0.34"/>
    <n v="0.39"/>
    <n v="0.16"/>
    <n v="0.52"/>
    <n v="0.74"/>
    <n v="0.27"/>
    <x v="0"/>
    <s v="Medium Exposure"/>
  </r>
  <r>
    <x v="3"/>
    <x v="2160"/>
    <n v="25"/>
    <x v="3"/>
    <n v="0.19"/>
    <n v="0.56999999999999995"/>
    <x v="23"/>
    <x v="2"/>
    <n v="0.85"/>
    <n v="0.95"/>
    <n v="0.77"/>
    <n v="0.2"/>
    <n v="0.98"/>
    <n v="0.92"/>
    <n v="0.16"/>
    <n v="0.56000000000000005"/>
    <n v="0.56000000000000005"/>
    <n v="0.44"/>
    <x v="0"/>
    <s v="Low Exposure"/>
  </r>
  <r>
    <x v="10"/>
    <x v="2161"/>
    <n v="11"/>
    <x v="0"/>
    <n v="0.21"/>
    <n v="1.17"/>
    <x v="45"/>
    <x v="2"/>
    <n v="0.2"/>
    <n v="0.82"/>
    <n v="0.96"/>
    <n v="0.62"/>
    <n v="0.78"/>
    <n v="0.53"/>
    <n v="0.6"/>
    <n v="0.01"/>
    <n v="0.52"/>
    <n v="0.57999999999999996"/>
    <x v="2"/>
    <s v="Low Exposure"/>
  </r>
  <r>
    <x v="16"/>
    <x v="2162"/>
    <n v="4"/>
    <x v="1"/>
    <n v="0.17"/>
    <n v="0.74"/>
    <x v="81"/>
    <x v="0"/>
    <n v="0.17"/>
    <n v="0.42"/>
    <n v="0.25"/>
    <n v="0.55000000000000004"/>
    <n v="0.99"/>
    <n v="0.85"/>
    <n v="0.27"/>
    <n v="0.37"/>
    <n v="0.92"/>
    <n v="0.9"/>
    <x v="1"/>
    <s v="Low Exposure"/>
  </r>
  <r>
    <x v="0"/>
    <x v="2163"/>
    <n v="29"/>
    <x v="0"/>
    <n v="0.83"/>
    <n v="0.8"/>
    <x v="56"/>
    <x v="0"/>
    <n v="0.01"/>
    <n v="1"/>
    <n v="0.76"/>
    <n v="0.24"/>
    <n v="0.68"/>
    <n v="0.28999999999999998"/>
    <n v="0.09"/>
    <n v="0.43"/>
    <n v="0.61"/>
    <n v="0.09"/>
    <x v="0"/>
    <s v="High Exposure"/>
  </r>
  <r>
    <x v="17"/>
    <x v="2164"/>
    <n v="3"/>
    <x v="3"/>
    <n v="0.51"/>
    <n v="1.1299999999999999"/>
    <x v="10"/>
    <x v="2"/>
    <n v="0.02"/>
    <n v="0.32"/>
    <n v="0.4"/>
    <n v="0.64"/>
    <n v="0.93"/>
    <n v="0.2"/>
    <n v="0.69"/>
    <n v="0.1"/>
    <n v="0.19"/>
    <n v="0.51"/>
    <x v="1"/>
    <s v="Medium Exposure"/>
  </r>
  <r>
    <x v="15"/>
    <x v="2165"/>
    <n v="15"/>
    <x v="1"/>
    <n v="0.86"/>
    <n v="1.24"/>
    <x v="1"/>
    <x v="1"/>
    <n v="0.68"/>
    <n v="0.82"/>
    <n v="0.53"/>
    <n v="0.97"/>
    <n v="0"/>
    <n v="0.82"/>
    <n v="0.33"/>
    <n v="0.65"/>
    <n v="0.69"/>
    <n v="0.31"/>
    <x v="2"/>
    <s v="High Exposure"/>
  </r>
  <r>
    <x v="0"/>
    <x v="2166"/>
    <n v="26"/>
    <x v="1"/>
    <n v="0.1"/>
    <n v="0.66"/>
    <x v="24"/>
    <x v="0"/>
    <n v="0.12"/>
    <n v="0.38"/>
    <n v="0.73"/>
    <n v="0.79"/>
    <n v="0.95"/>
    <n v="0.79"/>
    <n v="0.84"/>
    <n v="0.95"/>
    <n v="0.55000000000000004"/>
    <n v="0.34"/>
    <x v="0"/>
    <s v="Low Exposure"/>
  </r>
  <r>
    <x v="0"/>
    <x v="2167"/>
    <n v="16"/>
    <x v="2"/>
    <n v="0.16"/>
    <n v="0.56999999999999995"/>
    <x v="40"/>
    <x v="0"/>
    <n v="0.95"/>
    <n v="0.44"/>
    <n v="0.16"/>
    <n v="0.5"/>
    <n v="0.39"/>
    <n v="0.37"/>
    <n v="0.63"/>
    <n v="0.17"/>
    <n v="0.38"/>
    <n v="0.87"/>
    <x v="0"/>
    <s v="Low Exposure"/>
  </r>
  <r>
    <x v="8"/>
    <x v="2168"/>
    <n v="27"/>
    <x v="2"/>
    <n v="0.06"/>
    <n v="1.01"/>
    <x v="55"/>
    <x v="2"/>
    <n v="0.96"/>
    <n v="0.24"/>
    <n v="0.93"/>
    <n v="0.83"/>
    <n v="0.55000000000000004"/>
    <n v="0.34"/>
    <n v="0.86"/>
    <n v="0.15"/>
    <n v="0.18"/>
    <n v="0.22"/>
    <x v="0"/>
    <s v="Low Exposure"/>
  </r>
  <r>
    <x v="0"/>
    <x v="2169"/>
    <n v="25"/>
    <x v="1"/>
    <n v="0.31"/>
    <n v="1.49"/>
    <x v="73"/>
    <x v="0"/>
    <n v="0.81"/>
    <n v="0.1"/>
    <n v="0.35"/>
    <n v="0.24"/>
    <n v="0.98"/>
    <n v="0.03"/>
    <n v="0.72"/>
    <n v="0.25"/>
    <n v="0.81"/>
    <n v="0.31"/>
    <x v="0"/>
    <s v="Medium Exposure"/>
  </r>
  <r>
    <x v="11"/>
    <x v="2170"/>
    <n v="1"/>
    <x v="1"/>
    <n v="0.27"/>
    <n v="0.91"/>
    <x v="31"/>
    <x v="2"/>
    <n v="0.1"/>
    <n v="0.76"/>
    <n v="0.11"/>
    <n v="0.91"/>
    <n v="0.28000000000000003"/>
    <n v="0.57999999999999996"/>
    <n v="0.12"/>
    <n v="0.27"/>
    <n v="0.4"/>
    <n v="0.49"/>
    <x v="1"/>
    <s v="Low Exposure"/>
  </r>
  <r>
    <x v="3"/>
    <x v="2171"/>
    <n v="7"/>
    <x v="3"/>
    <n v="0.89"/>
    <n v="0.51"/>
    <x v="45"/>
    <x v="2"/>
    <n v="0.47"/>
    <n v="0.52"/>
    <n v="0.21"/>
    <n v="0.61"/>
    <n v="0.54"/>
    <n v="0.16"/>
    <n v="0.24"/>
    <n v="7.0000000000000007E-2"/>
    <n v="7.0000000000000007E-2"/>
    <n v="0.01"/>
    <x v="2"/>
    <s v="High Exposure"/>
  </r>
  <r>
    <x v="7"/>
    <x v="2172"/>
    <n v="15"/>
    <x v="2"/>
    <n v="0.68"/>
    <n v="0.82"/>
    <x v="41"/>
    <x v="1"/>
    <n v="0.13"/>
    <n v="0.57999999999999996"/>
    <n v="0.34"/>
    <n v="0.68"/>
    <n v="0.74"/>
    <n v="0.57999999999999996"/>
    <n v="0.28000000000000003"/>
    <n v="0.51"/>
    <n v="0.25"/>
    <n v="0.9"/>
    <x v="2"/>
    <s v="Medium Exposure"/>
  </r>
  <r>
    <x v="14"/>
    <x v="2173"/>
    <n v="23"/>
    <x v="3"/>
    <n v="0.97"/>
    <n v="1.05"/>
    <x v="80"/>
    <x v="0"/>
    <n v="0.1"/>
    <n v="0.54"/>
    <n v="0.86"/>
    <n v="0.87"/>
    <n v="0.6"/>
    <n v="0.39"/>
    <n v="0.65"/>
    <n v="0.76"/>
    <n v="0.41"/>
    <n v="0.48"/>
    <x v="0"/>
    <s v="High Exposure"/>
  </r>
  <r>
    <x v="6"/>
    <x v="2174"/>
    <n v="4"/>
    <x v="0"/>
    <n v="0.88"/>
    <n v="1.29"/>
    <x v="57"/>
    <x v="2"/>
    <n v="0.12"/>
    <n v="0.85"/>
    <n v="0.83"/>
    <n v="0.39"/>
    <n v="0.57999999999999996"/>
    <n v="0.91"/>
    <n v="0.91"/>
    <n v="0.78"/>
    <n v="0.21"/>
    <n v="0.73"/>
    <x v="1"/>
    <s v="High Exposure"/>
  </r>
  <r>
    <x v="7"/>
    <x v="2175"/>
    <n v="1"/>
    <x v="2"/>
    <n v="0.89"/>
    <n v="0.65"/>
    <x v="29"/>
    <x v="1"/>
    <n v="0.61"/>
    <n v="0.78"/>
    <n v="0.55000000000000004"/>
    <n v="0.06"/>
    <n v="0.71"/>
    <n v="0.38"/>
    <n v="0.32"/>
    <n v="0.99"/>
    <n v="0.59"/>
    <n v="0.71"/>
    <x v="1"/>
    <s v="High Exposure"/>
  </r>
  <r>
    <x v="3"/>
    <x v="2176"/>
    <n v="18"/>
    <x v="3"/>
    <n v="0.77"/>
    <n v="1.25"/>
    <x v="23"/>
    <x v="2"/>
    <n v="1"/>
    <n v="0.46"/>
    <n v="0.71"/>
    <n v="0.8"/>
    <n v="0.38"/>
    <n v="0.46"/>
    <n v="0.97"/>
    <n v="0.03"/>
    <n v="0.34"/>
    <n v="0.49"/>
    <x v="0"/>
    <s v="High Exposure"/>
  </r>
  <r>
    <x v="12"/>
    <x v="2177"/>
    <n v="4"/>
    <x v="2"/>
    <n v="0.9"/>
    <n v="0.79"/>
    <x v="10"/>
    <x v="2"/>
    <n v="0.82"/>
    <n v="0.28000000000000003"/>
    <n v="0.66"/>
    <n v="0.82"/>
    <n v="0.79"/>
    <n v="0.78"/>
    <n v="0.09"/>
    <n v="0.08"/>
    <n v="0.31"/>
    <n v="0.04"/>
    <x v="1"/>
    <s v="High Exposure"/>
  </r>
  <r>
    <x v="7"/>
    <x v="2178"/>
    <n v="23"/>
    <x v="1"/>
    <n v="0.39"/>
    <n v="1.06"/>
    <x v="54"/>
    <x v="1"/>
    <n v="0.49"/>
    <n v="0.33"/>
    <n v="0.2"/>
    <n v="0.65"/>
    <n v="0.67"/>
    <n v="0.83"/>
    <n v="0.87"/>
    <n v="0.7"/>
    <n v="0.69"/>
    <n v="0.06"/>
    <x v="0"/>
    <s v="Medium Exposure"/>
  </r>
  <r>
    <x v="11"/>
    <x v="1981"/>
    <n v="7"/>
    <x v="3"/>
    <n v="0.81"/>
    <n v="0.73"/>
    <x v="30"/>
    <x v="2"/>
    <n v="0.15"/>
    <n v="0.2"/>
    <n v="0.78"/>
    <n v="0.26"/>
    <n v="0.45"/>
    <n v="0.15"/>
    <n v="0.68"/>
    <n v="0.73"/>
    <n v="0.36"/>
    <n v="0.78"/>
    <x v="2"/>
    <s v="High Exposure"/>
  </r>
  <r>
    <x v="3"/>
    <x v="2179"/>
    <n v="11"/>
    <x v="2"/>
    <n v="0.69"/>
    <n v="1.23"/>
    <x v="66"/>
    <x v="2"/>
    <n v="0.23"/>
    <n v="0.09"/>
    <n v="0.26"/>
    <n v="0.12"/>
    <n v="0.17"/>
    <n v="0.33"/>
    <n v="0.41"/>
    <n v="0.9"/>
    <n v="0.2"/>
    <n v="0.97"/>
    <x v="2"/>
    <s v="Medium Exposure"/>
  </r>
  <r>
    <x v="17"/>
    <x v="2180"/>
    <n v="11"/>
    <x v="0"/>
    <n v="0.88"/>
    <n v="1.43"/>
    <x v="3"/>
    <x v="2"/>
    <n v="0.79"/>
    <n v="0.44"/>
    <n v="0.51"/>
    <n v="0.93"/>
    <n v="0.38"/>
    <n v="0.04"/>
    <n v="0.76"/>
    <n v="0.56999999999999995"/>
    <n v="0.81"/>
    <n v="0.08"/>
    <x v="2"/>
    <s v="High Exposure"/>
  </r>
  <r>
    <x v="17"/>
    <x v="2181"/>
    <n v="6"/>
    <x v="2"/>
    <n v="0.25"/>
    <n v="1.4"/>
    <x v="55"/>
    <x v="2"/>
    <n v="0.84"/>
    <n v="0.09"/>
    <n v="0.03"/>
    <n v="0.24"/>
    <n v="0.33"/>
    <n v="0.63"/>
    <n v="0.13"/>
    <n v="0.44"/>
    <n v="0.2"/>
    <n v="0.86"/>
    <x v="2"/>
    <s v="Low Exposure"/>
  </r>
  <r>
    <x v="14"/>
    <x v="2182"/>
    <n v="24"/>
    <x v="0"/>
    <n v="0.36"/>
    <n v="1.1299999999999999"/>
    <x v="17"/>
    <x v="0"/>
    <n v="0.87"/>
    <n v="0.9"/>
    <n v="0.06"/>
    <n v="0.84"/>
    <n v="0.78"/>
    <n v="0.9"/>
    <n v="0.31"/>
    <n v="0.91"/>
    <n v="0.4"/>
    <n v="0.63"/>
    <x v="0"/>
    <s v="Medium Exposure"/>
  </r>
  <r>
    <x v="10"/>
    <x v="2183"/>
    <n v="25"/>
    <x v="1"/>
    <n v="0.43"/>
    <n v="1.05"/>
    <x v="30"/>
    <x v="2"/>
    <n v="0.79"/>
    <n v="0.63"/>
    <n v="0.69"/>
    <n v="0.23"/>
    <n v="0.97"/>
    <n v="0.66"/>
    <n v="0.2"/>
    <n v="0.75"/>
    <n v="0.17"/>
    <n v="0.06"/>
    <x v="0"/>
    <s v="Medium Exposure"/>
  </r>
  <r>
    <x v="18"/>
    <x v="2184"/>
    <n v="2"/>
    <x v="0"/>
    <n v="0.55000000000000004"/>
    <n v="0.69"/>
    <x v="41"/>
    <x v="1"/>
    <n v="0.95"/>
    <n v="0.28999999999999998"/>
    <n v="0.16"/>
    <n v="0.99"/>
    <n v="0.3"/>
    <n v="0.68"/>
    <n v="0.23"/>
    <n v="0.55000000000000004"/>
    <n v="0.39"/>
    <n v="0.96"/>
    <x v="1"/>
    <s v="Medium Exposure"/>
  </r>
  <r>
    <x v="18"/>
    <x v="2185"/>
    <n v="11"/>
    <x v="1"/>
    <n v="0.57999999999999996"/>
    <n v="1.44"/>
    <x v="85"/>
    <x v="1"/>
    <n v="0.1"/>
    <n v="0.83"/>
    <n v="0.38"/>
    <n v="0.59"/>
    <n v="0.38"/>
    <n v="0.4"/>
    <n v="0.16"/>
    <n v="0.56999999999999995"/>
    <n v="0.55000000000000004"/>
    <n v="0.19"/>
    <x v="2"/>
    <s v="Medium Exposure"/>
  </r>
  <r>
    <x v="8"/>
    <x v="2186"/>
    <n v="21"/>
    <x v="2"/>
    <n v="0.97"/>
    <n v="1.21"/>
    <x v="78"/>
    <x v="2"/>
    <n v="0.92"/>
    <n v="0.57999999999999996"/>
    <n v="0.14000000000000001"/>
    <n v="0.55000000000000004"/>
    <n v="0.18"/>
    <n v="0.77"/>
    <n v="0.97"/>
    <n v="0.36"/>
    <n v="0.43"/>
    <n v="0.42"/>
    <x v="0"/>
    <s v="High Exposure"/>
  </r>
  <r>
    <x v="12"/>
    <x v="2187"/>
    <n v="16"/>
    <x v="3"/>
    <n v="0.79"/>
    <n v="1.1200000000000001"/>
    <x v="20"/>
    <x v="2"/>
    <n v="0.84"/>
    <n v="0.19"/>
    <n v="0.98"/>
    <n v="0.38"/>
    <n v="0.62"/>
    <n v="0.08"/>
    <n v="0.34"/>
    <n v="0.8"/>
    <n v="0.48"/>
    <n v="0.9"/>
    <x v="0"/>
    <s v="High Exposure"/>
  </r>
  <r>
    <x v="3"/>
    <x v="2188"/>
    <n v="25"/>
    <x v="3"/>
    <n v="0.93"/>
    <n v="1.48"/>
    <x v="8"/>
    <x v="2"/>
    <n v="0.56999999999999995"/>
    <n v="0.83"/>
    <n v="0.22"/>
    <n v="0.86"/>
    <n v="0.59"/>
    <n v="0.73"/>
    <n v="0.08"/>
    <n v="0.77"/>
    <n v="0.31"/>
    <n v="0.81"/>
    <x v="0"/>
    <s v="High Exposure"/>
  </r>
  <r>
    <x v="3"/>
    <x v="2189"/>
    <n v="17"/>
    <x v="2"/>
    <n v="0.27"/>
    <n v="1.45"/>
    <x v="45"/>
    <x v="2"/>
    <n v="0.99"/>
    <n v="0.36"/>
    <n v="0.65"/>
    <n v="0.61"/>
    <n v="0.69"/>
    <n v="0.04"/>
    <n v="0.28999999999999998"/>
    <n v="0.91"/>
    <n v="0.42"/>
    <n v="0.96"/>
    <x v="0"/>
    <s v="Low Exposure"/>
  </r>
  <r>
    <x v="6"/>
    <x v="2190"/>
    <n v="1"/>
    <x v="0"/>
    <n v="1"/>
    <n v="1.2"/>
    <x v="45"/>
    <x v="2"/>
    <n v="0.4"/>
    <n v="0.91"/>
    <n v="0.55000000000000004"/>
    <n v="0.68"/>
    <n v="0.09"/>
    <n v="0.63"/>
    <n v="0.88"/>
    <n v="0.18"/>
    <n v="0.74"/>
    <n v="0.03"/>
    <x v="1"/>
    <s v="High Exposure"/>
  </r>
  <r>
    <x v="1"/>
    <x v="2191"/>
    <n v="1"/>
    <x v="0"/>
    <n v="0.98"/>
    <n v="0.85"/>
    <x v="47"/>
    <x v="1"/>
    <n v="0.66"/>
    <n v="0.03"/>
    <n v="0.48"/>
    <n v="0.27"/>
    <n v="0.47"/>
    <n v="0.02"/>
    <n v="0.05"/>
    <n v="0.02"/>
    <n v="0.62"/>
    <n v="0.56000000000000005"/>
    <x v="1"/>
    <s v="High Exposure"/>
  </r>
  <r>
    <x v="12"/>
    <x v="2192"/>
    <n v="19"/>
    <x v="1"/>
    <n v="0.59"/>
    <n v="0.6"/>
    <x v="87"/>
    <x v="2"/>
    <n v="0.6"/>
    <n v="0.01"/>
    <n v="0.04"/>
    <n v="0.68"/>
    <n v="0.89"/>
    <n v="0.86"/>
    <n v="0.17"/>
    <n v="0.91"/>
    <n v="0.7"/>
    <n v="0.72"/>
    <x v="0"/>
    <s v="Medium Exposure"/>
  </r>
  <r>
    <x v="19"/>
    <x v="2193"/>
    <n v="8"/>
    <x v="2"/>
    <n v="0.72"/>
    <n v="1.21"/>
    <x v="22"/>
    <x v="2"/>
    <n v="0.36"/>
    <n v="0.81"/>
    <n v="0.94"/>
    <n v="0.87"/>
    <n v="0.24"/>
    <n v="0.45"/>
    <n v="0.34"/>
    <n v="0.71"/>
    <n v="0.83"/>
    <n v="0.22"/>
    <x v="2"/>
    <s v="High Exposure"/>
  </r>
  <r>
    <x v="1"/>
    <x v="2194"/>
    <n v="22"/>
    <x v="0"/>
    <n v="0.68"/>
    <n v="0.72"/>
    <x v="41"/>
    <x v="1"/>
    <n v="0.1"/>
    <n v="0.6"/>
    <n v="0.17"/>
    <n v="0.69"/>
    <n v="0.74"/>
    <n v="0.48"/>
    <n v="0.09"/>
    <n v="0.61"/>
    <n v="0.37"/>
    <n v="0.95"/>
    <x v="0"/>
    <s v="Medium Exposure"/>
  </r>
  <r>
    <x v="13"/>
    <x v="2195"/>
    <n v="2"/>
    <x v="1"/>
    <n v="7.0000000000000007E-2"/>
    <n v="1.1399999999999999"/>
    <x v="45"/>
    <x v="2"/>
    <n v="0.16"/>
    <n v="0.45"/>
    <n v="0.74"/>
    <n v="0.02"/>
    <n v="0.03"/>
    <n v="0.68"/>
    <n v="0.73"/>
    <n v="0.85"/>
    <n v="0.4"/>
    <n v="0.39"/>
    <x v="1"/>
    <s v="Low Exposure"/>
  </r>
  <r>
    <x v="15"/>
    <x v="2196"/>
    <n v="8"/>
    <x v="0"/>
    <n v="0.26"/>
    <n v="0.84"/>
    <x v="63"/>
    <x v="1"/>
    <n v="0.4"/>
    <n v="0.9"/>
    <n v="0.22"/>
    <n v="0.68"/>
    <n v="0.14000000000000001"/>
    <n v="0.35"/>
    <n v="0.32"/>
    <n v="0.94"/>
    <n v="0.43"/>
    <n v="0.69"/>
    <x v="2"/>
    <s v="Low Exposure"/>
  </r>
  <r>
    <x v="16"/>
    <x v="2197"/>
    <n v="29"/>
    <x v="3"/>
    <n v="0.14000000000000001"/>
    <n v="1.44"/>
    <x v="77"/>
    <x v="0"/>
    <n v="0.04"/>
    <n v="0.3"/>
    <n v="0.34"/>
    <n v="0.09"/>
    <n v="0.62"/>
    <n v="0.35"/>
    <n v="0.63"/>
    <n v="0.01"/>
    <n v="0.98"/>
    <n v="0.17"/>
    <x v="0"/>
    <s v="Low Exposure"/>
  </r>
  <r>
    <x v="15"/>
    <x v="2198"/>
    <n v="1"/>
    <x v="0"/>
    <n v="0.92"/>
    <n v="1.31"/>
    <x v="29"/>
    <x v="1"/>
    <n v="0.03"/>
    <n v="0.53"/>
    <n v="0.65"/>
    <n v="0.76"/>
    <n v="0.47"/>
    <n v="0.95"/>
    <n v="0.24"/>
    <n v="7.0000000000000007E-2"/>
    <n v="0.33"/>
    <n v="0.66"/>
    <x v="1"/>
    <s v="High Exposure"/>
  </r>
  <r>
    <x v="12"/>
    <x v="2199"/>
    <n v="13"/>
    <x v="2"/>
    <n v="0.74"/>
    <n v="0.61"/>
    <x v="38"/>
    <x v="2"/>
    <n v="0.28000000000000003"/>
    <n v="0.21"/>
    <n v="0.61"/>
    <n v="0.21"/>
    <n v="0.51"/>
    <n v="0.41"/>
    <n v="0.23"/>
    <n v="0.28999999999999998"/>
    <n v="0.43"/>
    <n v="0.35"/>
    <x v="2"/>
    <s v="High Exposure"/>
  </r>
  <r>
    <x v="9"/>
    <x v="2200"/>
    <n v="11"/>
    <x v="0"/>
    <n v="0.74"/>
    <n v="0.67"/>
    <x v="83"/>
    <x v="0"/>
    <n v="0.68"/>
    <n v="0.8"/>
    <n v="0.85"/>
    <n v="0.16"/>
    <n v="0.14000000000000001"/>
    <n v="0.61"/>
    <n v="0.76"/>
    <n v="0.27"/>
    <n v="0.53"/>
    <n v="0.77"/>
    <x v="2"/>
    <s v="High Exposure"/>
  </r>
  <r>
    <x v="7"/>
    <x v="2201"/>
    <n v="17"/>
    <x v="1"/>
    <n v="0.65"/>
    <n v="0.57999999999999996"/>
    <x v="19"/>
    <x v="1"/>
    <n v="0.39"/>
    <n v="0.03"/>
    <n v="0.9"/>
    <n v="0.02"/>
    <n v="0.03"/>
    <n v="0.17"/>
    <n v="0.63"/>
    <n v="0.54"/>
    <n v="0.66"/>
    <n v="0.89"/>
    <x v="0"/>
    <s v="Medium Exposure"/>
  </r>
  <r>
    <x v="17"/>
    <x v="2202"/>
    <n v="14"/>
    <x v="1"/>
    <n v="0.04"/>
    <n v="1.26"/>
    <x v="69"/>
    <x v="2"/>
    <n v="0.05"/>
    <n v="0.24"/>
    <n v="0.77"/>
    <n v="0.38"/>
    <n v="0.47"/>
    <n v="0.82"/>
    <n v="0.09"/>
    <n v="0.68"/>
    <n v="0.21"/>
    <n v="0.06"/>
    <x v="2"/>
    <s v="Low Exposure"/>
  </r>
  <r>
    <x v="6"/>
    <x v="2203"/>
    <n v="8"/>
    <x v="2"/>
    <n v="0.12"/>
    <n v="1.25"/>
    <x v="48"/>
    <x v="2"/>
    <n v="0.05"/>
    <n v="0.1"/>
    <n v="0.84"/>
    <n v="0.37"/>
    <n v="0.3"/>
    <n v="0.49"/>
    <n v="0.63"/>
    <n v="0.04"/>
    <n v="0.9"/>
    <n v="0.96"/>
    <x v="2"/>
    <s v="Low Exposure"/>
  </r>
  <r>
    <x v="10"/>
    <x v="2204"/>
    <n v="22"/>
    <x v="0"/>
    <n v="0.41"/>
    <n v="1.38"/>
    <x v="25"/>
    <x v="2"/>
    <n v="0.86"/>
    <n v="0.03"/>
    <n v="0.49"/>
    <n v="0.95"/>
    <n v="0.25"/>
    <n v="0.27"/>
    <n v="0.63"/>
    <n v="0.93"/>
    <n v="0.2"/>
    <n v="0.92"/>
    <x v="0"/>
    <s v="Medium Exposure"/>
  </r>
  <r>
    <x v="11"/>
    <x v="2205"/>
    <n v="21"/>
    <x v="0"/>
    <n v="0.99"/>
    <n v="1.24"/>
    <x v="64"/>
    <x v="2"/>
    <n v="0.81"/>
    <n v="0.18"/>
    <n v="0.95"/>
    <n v="0.17"/>
    <n v="0.03"/>
    <n v="0.7"/>
    <n v="0.18"/>
    <n v="0.76"/>
    <n v="0.8"/>
    <n v="0.24"/>
    <x v="0"/>
    <s v="High Exposure"/>
  </r>
  <r>
    <x v="19"/>
    <x v="2206"/>
    <n v="29"/>
    <x v="3"/>
    <n v="0.5"/>
    <n v="1.39"/>
    <x v="4"/>
    <x v="2"/>
    <n v="0.12"/>
    <n v="0.96"/>
    <n v="0.26"/>
    <n v="0.35"/>
    <n v="0.15"/>
    <n v="0.38"/>
    <n v="0.64"/>
    <n v="0.51"/>
    <n v="0.83"/>
    <n v="0.64"/>
    <x v="0"/>
    <s v="Medium Exposure"/>
  </r>
  <r>
    <x v="8"/>
    <x v="2207"/>
    <n v="7"/>
    <x v="0"/>
    <n v="0.56000000000000005"/>
    <n v="0.56000000000000005"/>
    <x v="68"/>
    <x v="2"/>
    <n v="0.39"/>
    <n v="0.1"/>
    <n v="0.31"/>
    <n v="0.9"/>
    <n v="0.59"/>
    <n v="0.9"/>
    <n v="0.41"/>
    <n v="0.98"/>
    <n v="0.36"/>
    <n v="0.76"/>
    <x v="2"/>
    <s v="Medium Exposure"/>
  </r>
  <r>
    <x v="16"/>
    <x v="2208"/>
    <n v="15"/>
    <x v="2"/>
    <n v="0.11"/>
    <n v="1.33"/>
    <x v="81"/>
    <x v="0"/>
    <n v="0.82"/>
    <n v="0.3"/>
    <n v="0.7"/>
    <n v="0.22"/>
    <n v="0.01"/>
    <n v="0.87"/>
    <n v="0.52"/>
    <n v="0.98"/>
    <n v="0.39"/>
    <n v="0.96"/>
    <x v="2"/>
    <s v="Low Exposure"/>
  </r>
  <r>
    <x v="17"/>
    <x v="2209"/>
    <n v="24"/>
    <x v="0"/>
    <n v="0.51"/>
    <n v="0.8"/>
    <x v="12"/>
    <x v="2"/>
    <n v="0.83"/>
    <n v="0.42"/>
    <n v="0.73"/>
    <n v="0.45"/>
    <n v="0.74"/>
    <n v="0.99"/>
    <n v="0.26"/>
    <n v="0.63"/>
    <n v="0.38"/>
    <n v="0.55000000000000004"/>
    <x v="0"/>
    <s v="Medium Exposure"/>
  </r>
  <r>
    <x v="0"/>
    <x v="2210"/>
    <n v="18"/>
    <x v="3"/>
    <n v="0.5"/>
    <n v="0.95"/>
    <x v="40"/>
    <x v="0"/>
    <n v="0.05"/>
    <n v="0.09"/>
    <n v="0.02"/>
    <n v="0.69"/>
    <n v="0.53"/>
    <n v="0.88"/>
    <n v="0.5"/>
    <n v="0.22"/>
    <n v="0.81"/>
    <n v="0.28999999999999998"/>
    <x v="0"/>
    <s v="Medium Exposure"/>
  </r>
  <r>
    <x v="16"/>
    <x v="2211"/>
    <n v="21"/>
    <x v="2"/>
    <n v="0.25"/>
    <n v="0.67"/>
    <x v="90"/>
    <x v="0"/>
    <n v="0.05"/>
    <n v="0.04"/>
    <n v="0.5"/>
    <n v="0.22"/>
    <n v="0.01"/>
    <n v="0.3"/>
    <n v="0.48"/>
    <n v="0.39"/>
    <n v="0.14000000000000001"/>
    <n v="0.57999999999999996"/>
    <x v="0"/>
    <s v="Low Exposure"/>
  </r>
  <r>
    <x v="0"/>
    <x v="2212"/>
    <n v="8"/>
    <x v="3"/>
    <n v="0.68"/>
    <n v="0.89"/>
    <x v="67"/>
    <x v="0"/>
    <n v="0.5"/>
    <n v="0.89"/>
    <n v="0.47"/>
    <n v="0.2"/>
    <n v="0.09"/>
    <n v="0.94"/>
    <n v="0.74"/>
    <n v="0.31"/>
    <n v="0.3"/>
    <n v="0.9"/>
    <x v="2"/>
    <s v="Medium Exposure"/>
  </r>
  <r>
    <x v="17"/>
    <x v="2213"/>
    <n v="19"/>
    <x v="2"/>
    <n v="0.54"/>
    <n v="1.21"/>
    <x v="36"/>
    <x v="2"/>
    <n v="0.04"/>
    <n v="0.23"/>
    <n v="0.9"/>
    <n v="0.52"/>
    <n v="0.82"/>
    <n v="0.56000000000000005"/>
    <n v="0.94"/>
    <n v="0.91"/>
    <n v="0.48"/>
    <n v="0.32"/>
    <x v="0"/>
    <s v="Medium Exposure"/>
  </r>
  <r>
    <x v="17"/>
    <x v="2214"/>
    <n v="29"/>
    <x v="0"/>
    <n v="0.67"/>
    <n v="1"/>
    <x v="12"/>
    <x v="2"/>
    <n v="0.18"/>
    <n v="0.33"/>
    <n v="0.69"/>
    <n v="0.25"/>
    <n v="0.44"/>
    <n v="0.96"/>
    <n v="0.63"/>
    <n v="0.95"/>
    <n v="0.72"/>
    <n v="0.72"/>
    <x v="0"/>
    <s v="Medium Exposure"/>
  </r>
  <r>
    <x v="7"/>
    <x v="2215"/>
    <n v="19"/>
    <x v="1"/>
    <n v="0.5"/>
    <n v="0.83"/>
    <x v="41"/>
    <x v="1"/>
    <n v="0.26"/>
    <n v="0.06"/>
    <n v="0.79"/>
    <n v="0.62"/>
    <n v="0.83"/>
    <n v="0.5"/>
    <n v="0.98"/>
    <n v="0.96"/>
    <n v="0.27"/>
    <n v="0.39"/>
    <x v="0"/>
    <s v="Medium Exposure"/>
  </r>
  <r>
    <x v="12"/>
    <x v="2216"/>
    <n v="8"/>
    <x v="2"/>
    <n v="0.78"/>
    <n v="1.41"/>
    <x v="23"/>
    <x v="2"/>
    <n v="0.48"/>
    <n v="0.38"/>
    <n v="0.42"/>
    <n v="0.85"/>
    <n v="0.98"/>
    <n v="0.05"/>
    <n v="0.57999999999999996"/>
    <n v="0.52"/>
    <n v="0.38"/>
    <n v="0.85"/>
    <x v="2"/>
    <s v="High Exposure"/>
  </r>
  <r>
    <x v="7"/>
    <x v="2217"/>
    <n v="13"/>
    <x v="0"/>
    <n v="0.47"/>
    <n v="0.52"/>
    <x v="88"/>
    <x v="1"/>
    <n v="0.11"/>
    <n v="0.46"/>
    <n v="0.57999999999999996"/>
    <n v="0.71"/>
    <n v="0.41"/>
    <n v="0.74"/>
    <n v="0.13"/>
    <n v="0.65"/>
    <n v="0.83"/>
    <n v="0.89"/>
    <x v="2"/>
    <s v="Medium Exposure"/>
  </r>
  <r>
    <x v="16"/>
    <x v="2218"/>
    <n v="20"/>
    <x v="3"/>
    <n v="0.31"/>
    <n v="0.66"/>
    <x v="77"/>
    <x v="0"/>
    <n v="0.54"/>
    <n v="0.2"/>
    <n v="0.95"/>
    <n v="0.9"/>
    <n v="0.03"/>
    <n v="0.56000000000000005"/>
    <n v="0.79"/>
    <n v="0.25"/>
    <n v="0.52"/>
    <n v="0.41"/>
    <x v="0"/>
    <s v="Medium Exposure"/>
  </r>
  <r>
    <x v="11"/>
    <x v="2219"/>
    <n v="28"/>
    <x v="0"/>
    <n v="0.61"/>
    <n v="1.49"/>
    <x v="84"/>
    <x v="2"/>
    <n v="0.55000000000000004"/>
    <n v="0.33"/>
    <n v="0.88"/>
    <n v="0.86"/>
    <n v="0.18"/>
    <n v="0.9"/>
    <n v="0.15"/>
    <n v="0.1"/>
    <n v="0.65"/>
    <n v="0.39"/>
    <x v="0"/>
    <s v="Medium Exposure"/>
  </r>
  <r>
    <x v="12"/>
    <x v="2220"/>
    <n v="14"/>
    <x v="2"/>
    <n v="0.65"/>
    <n v="0.55000000000000004"/>
    <x v="71"/>
    <x v="2"/>
    <n v="0.46"/>
    <n v="0.27"/>
    <n v="0.05"/>
    <n v="0.09"/>
    <n v="0.8"/>
    <n v="0.91"/>
    <n v="0.15"/>
    <n v="0.25"/>
    <n v="0.65"/>
    <n v="0.95"/>
    <x v="2"/>
    <s v="Medium Exposure"/>
  </r>
  <r>
    <x v="16"/>
    <x v="2221"/>
    <n v="5"/>
    <x v="2"/>
    <n v="0.87"/>
    <n v="0.59"/>
    <x v="39"/>
    <x v="0"/>
    <n v="0.09"/>
    <n v="0.1"/>
    <n v="0.52"/>
    <n v="0.69"/>
    <n v="0.79"/>
    <n v="0.7"/>
    <n v="0.36"/>
    <n v="0.56000000000000005"/>
    <n v="0.93"/>
    <n v="0.39"/>
    <x v="1"/>
    <s v="High Exposure"/>
  </r>
  <r>
    <x v="8"/>
    <x v="2222"/>
    <n v="9"/>
    <x v="2"/>
    <n v="0.52"/>
    <n v="0.8"/>
    <x v="10"/>
    <x v="2"/>
    <n v="0.78"/>
    <n v="0.89"/>
    <n v="0.5"/>
    <n v="0.78"/>
    <n v="0.19"/>
    <n v="0.55000000000000004"/>
    <n v="0.64"/>
    <n v="0.49"/>
    <n v="0.12"/>
    <n v="0.73"/>
    <x v="2"/>
    <s v="Medium Exposure"/>
  </r>
  <r>
    <x v="15"/>
    <x v="2223"/>
    <n v="8"/>
    <x v="2"/>
    <n v="0.64"/>
    <n v="0.67"/>
    <x v="34"/>
    <x v="1"/>
    <n v="0.3"/>
    <n v="0.04"/>
    <n v="0.84"/>
    <n v="0.7"/>
    <n v="0.56000000000000005"/>
    <n v="0.89"/>
    <n v="0.11"/>
    <n v="0.71"/>
    <n v="0.15"/>
    <n v="0.06"/>
    <x v="2"/>
    <s v="Medium Exposure"/>
  </r>
  <r>
    <x v="14"/>
    <x v="2224"/>
    <n v="7"/>
    <x v="0"/>
    <n v="0.95"/>
    <n v="0.94"/>
    <x v="76"/>
    <x v="0"/>
    <n v="0.57999999999999996"/>
    <n v="0.2"/>
    <n v="0.01"/>
    <n v="0.76"/>
    <n v="0.15"/>
    <n v="0.94"/>
    <n v="0.59"/>
    <n v="0.09"/>
    <n v="0.22"/>
    <n v="0.61"/>
    <x v="2"/>
    <s v="High Exposure"/>
  </r>
  <r>
    <x v="10"/>
    <x v="2225"/>
    <n v="3"/>
    <x v="2"/>
    <n v="0.53"/>
    <n v="1.3"/>
    <x v="69"/>
    <x v="2"/>
    <n v="0.7"/>
    <n v="0.89"/>
    <n v="0.2"/>
    <n v="0.18"/>
    <n v="0.8"/>
    <n v="0.32"/>
    <n v="0.51"/>
    <n v="0.74"/>
    <n v="0.4"/>
    <n v="0.13"/>
    <x v="1"/>
    <s v="Medium Exposure"/>
  </r>
  <r>
    <x v="2"/>
    <x v="2226"/>
    <n v="5"/>
    <x v="1"/>
    <n v="0.82"/>
    <n v="0.51"/>
    <x v="56"/>
    <x v="0"/>
    <n v="0.47"/>
    <n v="0.26"/>
    <n v="0.16"/>
    <n v="0.19"/>
    <n v="0.72"/>
    <n v="0.54"/>
    <n v="0.98"/>
    <n v="0.24"/>
    <n v="0.96"/>
    <n v="0.52"/>
    <x v="1"/>
    <s v="High Exposure"/>
  </r>
  <r>
    <x v="18"/>
    <x v="2227"/>
    <n v="20"/>
    <x v="3"/>
    <n v="0.02"/>
    <n v="0.56000000000000005"/>
    <x v="47"/>
    <x v="1"/>
    <n v="0.34"/>
    <n v="0.12"/>
    <n v="0.43"/>
    <n v="0.18"/>
    <n v="0.78"/>
    <n v="0.87"/>
    <n v="0.39"/>
    <n v="0.51"/>
    <n v="0.95"/>
    <n v="0.54"/>
    <x v="0"/>
    <s v="Low Exposure"/>
  </r>
  <r>
    <x v="12"/>
    <x v="2228"/>
    <n v="14"/>
    <x v="0"/>
    <n v="0.14000000000000001"/>
    <n v="1.36"/>
    <x v="11"/>
    <x v="2"/>
    <n v="0.02"/>
    <n v="0.97"/>
    <n v="0.97"/>
    <n v="0.38"/>
    <n v="0.95"/>
    <n v="0.14000000000000001"/>
    <n v="0.68"/>
    <n v="0.19"/>
    <n v="0.25"/>
    <n v="0.78"/>
    <x v="2"/>
    <s v="Low Exposure"/>
  </r>
  <r>
    <x v="7"/>
    <x v="2229"/>
    <n v="3"/>
    <x v="3"/>
    <n v="0.01"/>
    <n v="0.91"/>
    <x v="37"/>
    <x v="1"/>
    <n v="0.68"/>
    <n v="0.19"/>
    <n v="0.84"/>
    <n v="0.27"/>
    <n v="0.39"/>
    <n v="0.3"/>
    <n v="0.64"/>
    <n v="0.1"/>
    <n v="0.48"/>
    <n v="0.33"/>
    <x v="1"/>
    <s v="Low Exposure"/>
  </r>
  <r>
    <x v="7"/>
    <x v="2230"/>
    <n v="6"/>
    <x v="2"/>
    <n v="7.0000000000000007E-2"/>
    <n v="1.33"/>
    <x v="63"/>
    <x v="1"/>
    <n v="0.09"/>
    <n v="0.2"/>
    <n v="0.1"/>
    <n v="0.52"/>
    <n v="0.99"/>
    <n v="0.03"/>
    <n v="0.46"/>
    <n v="0.39"/>
    <n v="0.34"/>
    <n v="0.33"/>
    <x v="2"/>
    <s v="Low Exposure"/>
  </r>
  <r>
    <x v="11"/>
    <x v="2231"/>
    <n v="0"/>
    <x v="0"/>
    <n v="0.02"/>
    <n v="1.27"/>
    <x v="10"/>
    <x v="2"/>
    <n v="0.38"/>
    <n v="0.42"/>
    <n v="0.3"/>
    <n v="0.09"/>
    <n v="0.11"/>
    <n v="0.3"/>
    <n v="0.82"/>
    <n v="0.13"/>
    <n v="0.74"/>
    <n v="0.28999999999999998"/>
    <x v="1"/>
    <s v="Low Exposure"/>
  </r>
  <r>
    <x v="18"/>
    <x v="2232"/>
    <n v="7"/>
    <x v="0"/>
    <n v="0.43"/>
    <n v="0.67"/>
    <x v="85"/>
    <x v="1"/>
    <n v="0.18"/>
    <n v="0.56999999999999995"/>
    <n v="0.56999999999999995"/>
    <n v="0.37"/>
    <n v="0.95"/>
    <n v="0.84"/>
    <n v="0.83"/>
    <n v="0.97"/>
    <n v="0.46"/>
    <n v="0.1"/>
    <x v="2"/>
    <s v="Medium Exposure"/>
  </r>
  <r>
    <x v="1"/>
    <x v="2233"/>
    <n v="25"/>
    <x v="3"/>
    <n v="0.38"/>
    <n v="0.69"/>
    <x v="7"/>
    <x v="1"/>
    <n v="0.93"/>
    <n v="0.17"/>
    <n v="0.85"/>
    <n v="0.42"/>
    <n v="0.14000000000000001"/>
    <n v="0.85"/>
    <n v="0.97"/>
    <n v="0.28999999999999998"/>
    <n v="0.3"/>
    <n v="0.39"/>
    <x v="0"/>
    <s v="Medium Exposure"/>
  </r>
  <r>
    <x v="9"/>
    <x v="2234"/>
    <n v="1"/>
    <x v="1"/>
    <n v="0.01"/>
    <n v="0.72"/>
    <x v="51"/>
    <x v="0"/>
    <n v="0.41"/>
    <n v="0.33"/>
    <n v="0.87"/>
    <n v="0.92"/>
    <n v="0.95"/>
    <n v="0.27"/>
    <n v="0.91"/>
    <n v="0.74"/>
    <n v="0.15"/>
    <n v="0.61"/>
    <x v="1"/>
    <s v="Low Exposure"/>
  </r>
  <r>
    <x v="11"/>
    <x v="2235"/>
    <n v="26"/>
    <x v="1"/>
    <n v="0.63"/>
    <n v="0.72"/>
    <x v="10"/>
    <x v="2"/>
    <n v="0.79"/>
    <n v="0.69"/>
    <n v="0.88"/>
    <n v="0.4"/>
    <n v="0.55000000000000004"/>
    <n v="0.74"/>
    <n v="0.97"/>
    <n v="0.99"/>
    <n v="1"/>
    <n v="0.89"/>
    <x v="0"/>
    <s v="Medium Exposure"/>
  </r>
  <r>
    <x v="1"/>
    <x v="2236"/>
    <n v="23"/>
    <x v="3"/>
    <n v="0.01"/>
    <n v="1.2"/>
    <x v="37"/>
    <x v="1"/>
    <n v="0.06"/>
    <n v="0.7"/>
    <n v="0.76"/>
    <n v="0.66"/>
    <n v="0.37"/>
    <n v="0.51"/>
    <n v="0.93"/>
    <n v="0.73"/>
    <n v="0.5"/>
    <n v="0.59"/>
    <x v="0"/>
    <s v="Low Exposure"/>
  </r>
  <r>
    <x v="2"/>
    <x v="2237"/>
    <n v="23"/>
    <x v="3"/>
    <n v="0.39"/>
    <n v="0.6"/>
    <x v="80"/>
    <x v="0"/>
    <n v="0.42"/>
    <n v="0.27"/>
    <n v="0.53"/>
    <n v="0.3"/>
    <n v="0.1"/>
    <n v="0.19"/>
    <n v="0.92"/>
    <n v="0.63"/>
    <n v="0.31"/>
    <n v="0.37"/>
    <x v="0"/>
    <s v="Medium Exposure"/>
  </r>
  <r>
    <x v="5"/>
    <x v="2238"/>
    <n v="8"/>
    <x v="3"/>
    <n v="0.67"/>
    <n v="1.08"/>
    <x v="16"/>
    <x v="1"/>
    <n v="0.63"/>
    <n v="0.91"/>
    <n v="0.01"/>
    <n v="0.89"/>
    <n v="0.72"/>
    <n v="0.17"/>
    <n v="0.26"/>
    <n v="0.54"/>
    <n v="0.12"/>
    <n v="0.79"/>
    <x v="2"/>
    <s v="Medium Exposure"/>
  </r>
  <r>
    <x v="14"/>
    <x v="2239"/>
    <n v="4"/>
    <x v="2"/>
    <n v="0.3"/>
    <n v="0.56999999999999995"/>
    <x v="60"/>
    <x v="0"/>
    <n v="0.25"/>
    <n v="7.0000000000000007E-2"/>
    <n v="0.33"/>
    <n v="0.97"/>
    <n v="0.79"/>
    <n v="0.48"/>
    <n v="0.31"/>
    <n v="0.42"/>
    <n v="0.02"/>
    <n v="0.72"/>
    <x v="1"/>
    <s v="Medium Exposure"/>
  </r>
  <r>
    <x v="8"/>
    <x v="2240"/>
    <n v="27"/>
    <x v="1"/>
    <n v="0.52"/>
    <n v="1.07"/>
    <x v="85"/>
    <x v="1"/>
    <n v="0.98"/>
    <n v="0.3"/>
    <n v="0.08"/>
    <n v="0.85"/>
    <n v="0.15"/>
    <n v="0.02"/>
    <n v="0.49"/>
    <n v="0.13"/>
    <n v="0.98"/>
    <n v="0.01"/>
    <x v="0"/>
    <s v="Medium Exposure"/>
  </r>
  <r>
    <x v="7"/>
    <x v="2241"/>
    <n v="28"/>
    <x v="2"/>
    <n v="0.83"/>
    <n v="0.74"/>
    <x v="16"/>
    <x v="1"/>
    <n v="0.31"/>
    <n v="7.0000000000000007E-2"/>
    <n v="0.01"/>
    <n v="0.28000000000000003"/>
    <n v="0.47"/>
    <n v="0"/>
    <n v="0.57999999999999996"/>
    <n v="0.33"/>
    <n v="0.39"/>
    <n v="0.26"/>
    <x v="0"/>
    <s v="High Exposure"/>
  </r>
  <r>
    <x v="7"/>
    <x v="2242"/>
    <n v="9"/>
    <x v="3"/>
    <n v="0.23"/>
    <n v="0.63"/>
    <x v="15"/>
    <x v="1"/>
    <n v="0.39"/>
    <n v="0.08"/>
    <n v="0.23"/>
    <n v="0.31"/>
    <n v="0.77"/>
    <n v="0.02"/>
    <n v="0.48"/>
    <n v="0.41"/>
    <n v="0.97"/>
    <n v="0.18"/>
    <x v="2"/>
    <s v="Low Exposure"/>
  </r>
  <r>
    <x v="6"/>
    <x v="2243"/>
    <n v="20"/>
    <x v="0"/>
    <n v="0.2"/>
    <n v="1.05"/>
    <x v="43"/>
    <x v="2"/>
    <n v="0.08"/>
    <n v="0.46"/>
    <n v="0.46"/>
    <n v="0.32"/>
    <n v="0.28000000000000003"/>
    <n v="0.22"/>
    <n v="0.01"/>
    <n v="0"/>
    <n v="0.59"/>
    <n v="0.28999999999999998"/>
    <x v="0"/>
    <s v="Low Exposure"/>
  </r>
  <r>
    <x v="13"/>
    <x v="2244"/>
    <n v="8"/>
    <x v="2"/>
    <n v="0.68"/>
    <n v="1.03"/>
    <x v="79"/>
    <x v="2"/>
    <n v="0.83"/>
    <n v="0.73"/>
    <n v="0.13"/>
    <n v="0.67"/>
    <n v="0.69"/>
    <n v="0.76"/>
    <n v="0.26"/>
    <n v="0.64"/>
    <n v="0.62"/>
    <n v="0.39"/>
    <x v="2"/>
    <s v="Medium Exposure"/>
  </r>
  <r>
    <x v="18"/>
    <x v="2245"/>
    <n v="13"/>
    <x v="3"/>
    <n v="0.09"/>
    <n v="1.1399999999999999"/>
    <x v="42"/>
    <x v="1"/>
    <n v="0.21"/>
    <n v="0.82"/>
    <n v="0.87"/>
    <n v="0.21"/>
    <n v="0.08"/>
    <n v="0.6"/>
    <n v="0.48"/>
    <n v="0.43"/>
    <n v="0.76"/>
    <n v="0.97"/>
    <x v="2"/>
    <s v="Low Exposure"/>
  </r>
  <r>
    <x v="6"/>
    <x v="2246"/>
    <n v="22"/>
    <x v="3"/>
    <n v="0.01"/>
    <n v="1.1000000000000001"/>
    <x v="23"/>
    <x v="2"/>
    <n v="0.83"/>
    <n v="0.2"/>
    <n v="0.52"/>
    <n v="0.45"/>
    <n v="0.66"/>
    <n v="0.06"/>
    <n v="0.88"/>
    <n v="0.51"/>
    <n v="0.88"/>
    <n v="0.34"/>
    <x v="0"/>
    <s v="Low Exposure"/>
  </r>
  <r>
    <x v="13"/>
    <x v="2247"/>
    <n v="6"/>
    <x v="2"/>
    <n v="0.96"/>
    <n v="1.44"/>
    <x v="26"/>
    <x v="2"/>
    <n v="0.04"/>
    <n v="0.4"/>
    <n v="0.06"/>
    <n v="0.31"/>
    <n v="0.17"/>
    <n v="0.62"/>
    <n v="0.78"/>
    <n v="0.51"/>
    <n v="0.8"/>
    <n v="0.01"/>
    <x v="2"/>
    <s v="High Exposure"/>
  </r>
  <r>
    <x v="10"/>
    <x v="2248"/>
    <n v="13"/>
    <x v="3"/>
    <n v="0.18"/>
    <n v="0.96"/>
    <x v="8"/>
    <x v="2"/>
    <n v="0.87"/>
    <n v="0.97"/>
    <n v="0.26"/>
    <n v="7.0000000000000007E-2"/>
    <n v="0.65"/>
    <n v="0.5"/>
    <n v="0.56999999999999995"/>
    <n v="0.05"/>
    <n v="0.78"/>
    <n v="0.23"/>
    <x v="2"/>
    <s v="Low Exposure"/>
  </r>
  <r>
    <x v="5"/>
    <x v="2249"/>
    <n v="7"/>
    <x v="3"/>
    <n v="0.23"/>
    <n v="1.45"/>
    <x v="63"/>
    <x v="1"/>
    <n v="0.73"/>
    <n v="0.25"/>
    <n v="0.42"/>
    <n v="1"/>
    <n v="0.1"/>
    <n v="0.88"/>
    <n v="0.95"/>
    <n v="0.7"/>
    <n v="0.01"/>
    <n v="0.82"/>
    <x v="2"/>
    <s v="Low Exposure"/>
  </r>
  <r>
    <x v="5"/>
    <x v="2250"/>
    <n v="17"/>
    <x v="1"/>
    <n v="0.98"/>
    <n v="1.34"/>
    <x v="74"/>
    <x v="1"/>
    <n v="0.69"/>
    <n v="0.49"/>
    <n v="0.35"/>
    <n v="0.63"/>
    <n v="0.77"/>
    <n v="0.64"/>
    <n v="0.83"/>
    <n v="0.18"/>
    <n v="0.37"/>
    <n v="0.31"/>
    <x v="0"/>
    <s v="High Exposure"/>
  </r>
  <r>
    <x v="11"/>
    <x v="2251"/>
    <n v="7"/>
    <x v="3"/>
    <n v="0.44"/>
    <n v="1.45"/>
    <x v="43"/>
    <x v="2"/>
    <n v="0.28999999999999998"/>
    <n v="0.35"/>
    <n v="0.61"/>
    <n v="0.35"/>
    <n v="0.54"/>
    <n v="0.27"/>
    <n v="0.35"/>
    <n v="0.71"/>
    <n v="0.57999999999999996"/>
    <n v="0.09"/>
    <x v="2"/>
    <s v="Medium Exposure"/>
  </r>
  <r>
    <x v="4"/>
    <x v="2252"/>
    <n v="26"/>
    <x v="1"/>
    <n v="0.05"/>
    <n v="0.57999999999999996"/>
    <x v="14"/>
    <x v="2"/>
    <n v="0.71"/>
    <n v="0.02"/>
    <n v="0.64"/>
    <n v="0.03"/>
    <n v="0.96"/>
    <n v="0.7"/>
    <n v="0.19"/>
    <n v="0.16"/>
    <n v="0.56999999999999995"/>
    <n v="0.63"/>
    <x v="0"/>
    <s v="Low Exposure"/>
  </r>
  <r>
    <x v="11"/>
    <x v="2253"/>
    <n v="7"/>
    <x v="1"/>
    <n v="0.3"/>
    <n v="0.53"/>
    <x v="45"/>
    <x v="2"/>
    <n v="0.05"/>
    <n v="0.75"/>
    <n v="0.05"/>
    <n v="0.25"/>
    <n v="0.84"/>
    <n v="0.95"/>
    <n v="0.41"/>
    <n v="0.97"/>
    <n v="0.63"/>
    <n v="0.42"/>
    <x v="2"/>
    <s v="Medium Exposure"/>
  </r>
  <r>
    <x v="12"/>
    <x v="2254"/>
    <n v="13"/>
    <x v="2"/>
    <n v="0.3"/>
    <n v="0.77"/>
    <x v="23"/>
    <x v="2"/>
    <n v="0.39"/>
    <n v="0.14000000000000001"/>
    <n v="7.0000000000000007E-2"/>
    <n v="0.79"/>
    <n v="0.68"/>
    <n v="0.41"/>
    <n v="0.9"/>
    <n v="0.41"/>
    <n v="0.71"/>
    <n v="0.91"/>
    <x v="2"/>
    <s v="Medium Exposure"/>
  </r>
  <r>
    <x v="13"/>
    <x v="2255"/>
    <n v="8"/>
    <x v="1"/>
    <n v="0.51"/>
    <n v="1.18"/>
    <x v="25"/>
    <x v="2"/>
    <n v="0.65"/>
    <n v="0.26"/>
    <n v="0.43"/>
    <n v="0.21"/>
    <n v="0.04"/>
    <n v="0.59"/>
    <n v="0.86"/>
    <n v="0.03"/>
    <n v="0.2"/>
    <n v="0.46"/>
    <x v="2"/>
    <s v="Medium Exposure"/>
  </r>
  <r>
    <x v="10"/>
    <x v="2256"/>
    <n v="29"/>
    <x v="1"/>
    <n v="0.34"/>
    <n v="0.63"/>
    <x v="33"/>
    <x v="2"/>
    <n v="0.57999999999999996"/>
    <n v="0.47"/>
    <n v="0.86"/>
    <n v="0.27"/>
    <n v="0.01"/>
    <n v="0.32"/>
    <n v="0.01"/>
    <n v="0.54"/>
    <n v="0.38"/>
    <n v="0.81"/>
    <x v="0"/>
    <s v="Medium Exposure"/>
  </r>
  <r>
    <x v="11"/>
    <x v="2257"/>
    <n v="11"/>
    <x v="1"/>
    <n v="0.43"/>
    <n v="0.72"/>
    <x v="25"/>
    <x v="2"/>
    <n v="0.64"/>
    <n v="0.19"/>
    <n v="0.77"/>
    <n v="0.33"/>
    <n v="0.93"/>
    <n v="0.51"/>
    <n v="0.85"/>
    <n v="0.62"/>
    <n v="0.55000000000000004"/>
    <n v="0.68"/>
    <x v="2"/>
    <s v="Medium Exposure"/>
  </r>
  <r>
    <x v="17"/>
    <x v="2258"/>
    <n v="23"/>
    <x v="1"/>
    <n v="0.92"/>
    <n v="1.2"/>
    <x v="33"/>
    <x v="2"/>
    <n v="0.53"/>
    <n v="0.18"/>
    <n v="0.12"/>
    <n v="0.49"/>
    <n v="0.16"/>
    <n v="0.57999999999999996"/>
    <n v="0.65"/>
    <n v="0.53"/>
    <n v="0.04"/>
    <n v="0.06"/>
    <x v="0"/>
    <s v="High Exposure"/>
  </r>
  <r>
    <x v="12"/>
    <x v="2259"/>
    <n v="26"/>
    <x v="2"/>
    <n v="0.86"/>
    <n v="0.91"/>
    <x v="78"/>
    <x v="2"/>
    <n v="0.85"/>
    <n v="0.09"/>
    <n v="0.39"/>
    <n v="0.4"/>
    <n v="0.5"/>
    <n v="0.11"/>
    <n v="0.1"/>
    <n v="0.42"/>
    <n v="0.03"/>
    <n v="0.25"/>
    <x v="0"/>
    <s v="High Exposure"/>
  </r>
  <r>
    <x v="19"/>
    <x v="204"/>
    <n v="29"/>
    <x v="3"/>
    <n v="0.49"/>
    <n v="0.51"/>
    <x v="64"/>
    <x v="2"/>
    <n v="0.86"/>
    <n v="0.71"/>
    <n v="0.82"/>
    <n v="0.64"/>
    <n v="0.51"/>
    <n v="0.22"/>
    <n v="0.28000000000000003"/>
    <n v="0.32"/>
    <n v="0.04"/>
    <n v="0.91"/>
    <x v="0"/>
    <s v="Medium Exposure"/>
  </r>
  <r>
    <x v="0"/>
    <x v="2260"/>
    <n v="11"/>
    <x v="1"/>
    <n v="0.11"/>
    <n v="1.06"/>
    <x v="90"/>
    <x v="0"/>
    <n v="0.68"/>
    <n v="0.6"/>
    <n v="0.12"/>
    <n v="0.66"/>
    <n v="0.61"/>
    <n v="0.53"/>
    <n v="0.4"/>
    <n v="0.95"/>
    <n v="0.85"/>
    <n v="0.59"/>
    <x v="2"/>
    <s v="Low Exposure"/>
  </r>
  <r>
    <x v="8"/>
    <x v="2261"/>
    <n v="16"/>
    <x v="3"/>
    <n v="0.78"/>
    <n v="0.69"/>
    <x v="14"/>
    <x v="2"/>
    <n v="0.86"/>
    <n v="0.96"/>
    <n v="0.47"/>
    <n v="0.97"/>
    <n v="0.41"/>
    <n v="0.22"/>
    <n v="0.51"/>
    <n v="0.65"/>
    <n v="0.46"/>
    <n v="0.56999999999999995"/>
    <x v="0"/>
    <s v="High Exposure"/>
  </r>
  <r>
    <x v="16"/>
    <x v="2262"/>
    <n v="2"/>
    <x v="3"/>
    <n v="0.52"/>
    <n v="1.45"/>
    <x v="90"/>
    <x v="0"/>
    <n v="0.25"/>
    <n v="0.76"/>
    <n v="0.34"/>
    <n v="0.82"/>
    <n v="0.06"/>
    <n v="0.33"/>
    <n v="0.09"/>
    <n v="0.09"/>
    <n v="0.66"/>
    <n v="0.39"/>
    <x v="1"/>
    <s v="Medium Exposure"/>
  </r>
  <r>
    <x v="8"/>
    <x v="2263"/>
    <n v="23"/>
    <x v="3"/>
    <n v="0.52"/>
    <n v="0.8"/>
    <x v="31"/>
    <x v="2"/>
    <n v="0.62"/>
    <n v="0.8"/>
    <n v="0.64"/>
    <n v="0.17"/>
    <n v="0.67"/>
    <n v="0.39"/>
    <n v="0.46"/>
    <n v="0.92"/>
    <n v="0.36"/>
    <n v="0.61"/>
    <x v="0"/>
    <s v="Medium Exposure"/>
  </r>
  <r>
    <x v="19"/>
    <x v="2264"/>
    <n v="7"/>
    <x v="0"/>
    <n v="0.86"/>
    <n v="0.5"/>
    <x v="22"/>
    <x v="2"/>
    <n v="0.01"/>
    <n v="0.71"/>
    <n v="0.23"/>
    <n v="0.38"/>
    <n v="0.38"/>
    <n v="0.85"/>
    <n v="0.1"/>
    <n v="0.67"/>
    <n v="0.98"/>
    <n v="0.02"/>
    <x v="2"/>
    <s v="High Exposure"/>
  </r>
  <r>
    <x v="14"/>
    <x v="2265"/>
    <n v="4"/>
    <x v="0"/>
    <n v="0.02"/>
    <n v="1.34"/>
    <x v="89"/>
    <x v="0"/>
    <n v="0.99"/>
    <n v="0.46"/>
    <n v="0.87"/>
    <n v="0.12"/>
    <n v="0.43"/>
    <n v="0.31"/>
    <n v="0.4"/>
    <n v="0.7"/>
    <n v="0.09"/>
    <n v="1"/>
    <x v="1"/>
    <s v="Low Exposure"/>
  </r>
  <r>
    <x v="17"/>
    <x v="2266"/>
    <n v="22"/>
    <x v="1"/>
    <n v="0.87"/>
    <n v="1.33"/>
    <x v="45"/>
    <x v="2"/>
    <n v="0.04"/>
    <n v="0.52"/>
    <n v="0.33"/>
    <n v="0.11"/>
    <n v="0.34"/>
    <n v="0.64"/>
    <n v="0.23"/>
    <n v="0.44"/>
    <n v="0.4"/>
    <n v="0.05"/>
    <x v="0"/>
    <s v="High Exposure"/>
  </r>
  <r>
    <x v="10"/>
    <x v="2267"/>
    <n v="3"/>
    <x v="2"/>
    <n v="0.62"/>
    <n v="1.47"/>
    <x v="71"/>
    <x v="2"/>
    <n v="0.42"/>
    <n v="0.4"/>
    <n v="0.92"/>
    <n v="0.41"/>
    <n v="0.44"/>
    <n v="0.25"/>
    <n v="0"/>
    <n v="0.11"/>
    <n v="0.7"/>
    <n v="0.68"/>
    <x v="1"/>
    <s v="Medium Exposure"/>
  </r>
  <r>
    <x v="14"/>
    <x v="2268"/>
    <n v="27"/>
    <x v="3"/>
    <n v="0.47"/>
    <n v="0.8"/>
    <x v="51"/>
    <x v="0"/>
    <n v="0.84"/>
    <n v="0.9"/>
    <n v="0.17"/>
    <n v="0.7"/>
    <n v="0.96"/>
    <n v="0.65"/>
    <n v="0.35"/>
    <n v="0.64"/>
    <n v="0.69"/>
    <n v="0.4"/>
    <x v="0"/>
    <s v="Medium Exposure"/>
  </r>
  <r>
    <x v="14"/>
    <x v="2269"/>
    <n v="27"/>
    <x v="1"/>
    <n v="0.61"/>
    <n v="1.3"/>
    <x v="60"/>
    <x v="0"/>
    <n v="0.22"/>
    <n v="0.7"/>
    <n v="0.03"/>
    <n v="0.97"/>
    <n v="0.01"/>
    <n v="0.36"/>
    <n v="0.08"/>
    <n v="0.62"/>
    <n v="0.34"/>
    <n v="0.73"/>
    <x v="0"/>
    <s v="Medium Exposure"/>
  </r>
  <r>
    <x v="1"/>
    <x v="2270"/>
    <n v="18"/>
    <x v="1"/>
    <n v="0.42"/>
    <n v="0.85"/>
    <x v="34"/>
    <x v="1"/>
    <n v="0.2"/>
    <n v="0.64"/>
    <n v="0.5"/>
    <n v="7.0000000000000007E-2"/>
    <n v="0.54"/>
    <n v="0.05"/>
    <n v="0.51"/>
    <n v="0.96"/>
    <n v="0.31"/>
    <n v="0.72"/>
    <x v="0"/>
    <s v="Medium Exposure"/>
  </r>
  <r>
    <x v="6"/>
    <x v="2271"/>
    <n v="1"/>
    <x v="2"/>
    <n v="0.73"/>
    <n v="1.02"/>
    <x v="69"/>
    <x v="2"/>
    <n v="0.7"/>
    <n v="0.24"/>
    <n v="0.53"/>
    <n v="0.56000000000000005"/>
    <n v="0.45"/>
    <n v="0.18"/>
    <n v="0.22"/>
    <n v="0.28000000000000003"/>
    <n v="0.01"/>
    <n v="0.92"/>
    <x v="1"/>
    <s v="High Exposure"/>
  </r>
  <r>
    <x v="14"/>
    <x v="2272"/>
    <n v="4"/>
    <x v="1"/>
    <n v="0.31"/>
    <n v="1.1499999999999999"/>
    <x v="56"/>
    <x v="0"/>
    <n v="0.65"/>
    <n v="0.43"/>
    <n v="0.41"/>
    <n v="0.12"/>
    <n v="0.62"/>
    <n v="0.18"/>
    <n v="0.67"/>
    <n v="0.97"/>
    <n v="0.26"/>
    <n v="0.14000000000000001"/>
    <x v="1"/>
    <s v="Medium Exposure"/>
  </r>
  <r>
    <x v="0"/>
    <x v="2273"/>
    <n v="25"/>
    <x v="1"/>
    <n v="0.38"/>
    <n v="0.71"/>
    <x v="90"/>
    <x v="0"/>
    <n v="0.52"/>
    <n v="0.35"/>
    <n v="0.75"/>
    <n v="0.9"/>
    <n v="0.21"/>
    <n v="0.84"/>
    <n v="0.13"/>
    <n v="0.23"/>
    <n v="0.56000000000000005"/>
    <n v="0.31"/>
    <x v="0"/>
    <s v="Medium Exposure"/>
  </r>
  <r>
    <x v="7"/>
    <x v="2274"/>
    <n v="29"/>
    <x v="1"/>
    <n v="0.28999999999999998"/>
    <n v="1.4"/>
    <x v="63"/>
    <x v="1"/>
    <n v="0.76"/>
    <n v="0.72"/>
    <n v="0.11"/>
    <n v="0.33"/>
    <n v="0.19"/>
    <n v="0.02"/>
    <n v="0.17"/>
    <n v="0.2"/>
    <n v="0.17"/>
    <n v="0.09"/>
    <x v="0"/>
    <s v="Low Exposure"/>
  </r>
  <r>
    <x v="1"/>
    <x v="2275"/>
    <n v="27"/>
    <x v="3"/>
    <n v="0.14000000000000001"/>
    <n v="1.25"/>
    <x v="61"/>
    <x v="1"/>
    <n v="0.51"/>
    <n v="0.77"/>
    <n v="0.75"/>
    <n v="0.17"/>
    <n v="0.1"/>
    <n v="0.59"/>
    <n v="0.74"/>
    <n v="0.15"/>
    <n v="0.37"/>
    <n v="0.87"/>
    <x v="0"/>
    <s v="Low Exposure"/>
  </r>
  <r>
    <x v="15"/>
    <x v="2276"/>
    <n v="26"/>
    <x v="1"/>
    <n v="0.67"/>
    <n v="0.51"/>
    <x v="15"/>
    <x v="1"/>
    <n v="0.4"/>
    <n v="0.65"/>
    <n v="0.4"/>
    <n v="0.88"/>
    <n v="0.65"/>
    <n v="0.57999999999999996"/>
    <n v="0.98"/>
    <n v="0.28000000000000003"/>
    <n v="7.0000000000000007E-2"/>
    <n v="0.52"/>
    <x v="0"/>
    <s v="Medium Exposure"/>
  </r>
  <r>
    <x v="18"/>
    <x v="2277"/>
    <n v="24"/>
    <x v="1"/>
    <n v="0.45"/>
    <n v="1.1200000000000001"/>
    <x v="42"/>
    <x v="1"/>
    <n v="0.39"/>
    <n v="0.86"/>
    <n v="0.65"/>
    <n v="0.89"/>
    <n v="0.91"/>
    <n v="0.17"/>
    <n v="0.68"/>
    <n v="0.32"/>
    <n v="0.84"/>
    <n v="0.73"/>
    <x v="0"/>
    <s v="Medium Exposure"/>
  </r>
  <r>
    <x v="2"/>
    <x v="2278"/>
    <n v="16"/>
    <x v="1"/>
    <n v="0.94"/>
    <n v="1.18"/>
    <x v="89"/>
    <x v="0"/>
    <n v="0.2"/>
    <n v="0.87"/>
    <n v="0.67"/>
    <n v="0.55000000000000004"/>
    <n v="0.82"/>
    <n v="0.63"/>
    <n v="0.67"/>
    <n v="0.25"/>
    <n v="0.82"/>
    <n v="0.65"/>
    <x v="0"/>
    <s v="High Exposure"/>
  </r>
  <r>
    <x v="10"/>
    <x v="2279"/>
    <n v="14"/>
    <x v="3"/>
    <n v="0.65"/>
    <n v="1.48"/>
    <x v="22"/>
    <x v="2"/>
    <n v="0.69"/>
    <n v="0.56000000000000005"/>
    <n v="0.78"/>
    <n v="0.98"/>
    <n v="0.54"/>
    <n v="0.42"/>
    <n v="0.86"/>
    <n v="0.97"/>
    <n v="0.13"/>
    <n v="0.57999999999999996"/>
    <x v="2"/>
    <s v="Medium Exposure"/>
  </r>
  <r>
    <x v="14"/>
    <x v="2280"/>
    <n v="23"/>
    <x v="1"/>
    <n v="0.53"/>
    <n v="0.91"/>
    <x v="83"/>
    <x v="0"/>
    <n v="0.27"/>
    <n v="0.35"/>
    <n v="0.99"/>
    <n v="0.64"/>
    <n v="0.87"/>
    <n v="0.81"/>
    <n v="0.65"/>
    <n v="0.84"/>
    <n v="0.28999999999999998"/>
    <n v="0.64"/>
    <x v="0"/>
    <s v="Medium Exposure"/>
  </r>
  <r>
    <x v="0"/>
    <x v="2281"/>
    <n v="9"/>
    <x v="0"/>
    <n v="0.62"/>
    <n v="0.67"/>
    <x v="62"/>
    <x v="0"/>
    <n v="0.28999999999999998"/>
    <n v="0.6"/>
    <n v="0.97"/>
    <n v="0.95"/>
    <n v="0.23"/>
    <n v="0.3"/>
    <n v="0.04"/>
    <n v="0.4"/>
    <n v="0.83"/>
    <n v="0.92"/>
    <x v="2"/>
    <s v="Medium Exposure"/>
  </r>
  <r>
    <x v="3"/>
    <x v="2282"/>
    <n v="13"/>
    <x v="0"/>
    <n v="0.27"/>
    <n v="0.72"/>
    <x v="30"/>
    <x v="2"/>
    <n v="0.8"/>
    <n v="0.65"/>
    <n v="0.79"/>
    <n v="0.57999999999999996"/>
    <n v="0.26"/>
    <n v="0.23"/>
    <n v="0.01"/>
    <n v="0.78"/>
    <n v="0.85"/>
    <n v="0.77"/>
    <x v="2"/>
    <s v="Low Exposure"/>
  </r>
  <r>
    <x v="4"/>
    <x v="2283"/>
    <n v="20"/>
    <x v="2"/>
    <n v="0.05"/>
    <n v="0.61"/>
    <x v="8"/>
    <x v="2"/>
    <n v="0.48"/>
    <n v="0.82"/>
    <n v="0.68"/>
    <n v="0.15"/>
    <n v="0.23"/>
    <n v="0.28999999999999998"/>
    <n v="0.12"/>
    <n v="0.28999999999999998"/>
    <n v="0.73"/>
    <n v="0.24"/>
    <x v="0"/>
    <s v="Low Exposure"/>
  </r>
  <r>
    <x v="5"/>
    <x v="2284"/>
    <n v="9"/>
    <x v="0"/>
    <n v="0.47"/>
    <n v="0.82"/>
    <x v="18"/>
    <x v="1"/>
    <n v="0.71"/>
    <n v="0.52"/>
    <n v="0.01"/>
    <n v="0.92"/>
    <n v="7.0000000000000007E-2"/>
    <n v="0.94"/>
    <n v="0.03"/>
    <n v="0.77"/>
    <n v="0.53"/>
    <n v="0.51"/>
    <x v="2"/>
    <s v="Medium Exposure"/>
  </r>
  <r>
    <x v="3"/>
    <x v="2285"/>
    <n v="0"/>
    <x v="2"/>
    <n v="0.24"/>
    <n v="1.28"/>
    <x v="72"/>
    <x v="2"/>
    <n v="0.53"/>
    <n v="0.35"/>
    <n v="0.06"/>
    <n v="0.68"/>
    <n v="0.28000000000000003"/>
    <n v="0.06"/>
    <n v="0.67"/>
    <n v="0.49"/>
    <n v="0.01"/>
    <n v="0.11"/>
    <x v="1"/>
    <s v="Low Exposure"/>
  </r>
  <r>
    <x v="7"/>
    <x v="2286"/>
    <n v="24"/>
    <x v="1"/>
    <n v="0.06"/>
    <n v="1.37"/>
    <x v="61"/>
    <x v="1"/>
    <n v="0.09"/>
    <n v="0.76"/>
    <n v="0.52"/>
    <n v="0.31"/>
    <n v="0.41"/>
    <n v="0.02"/>
    <n v="0.66"/>
    <n v="0.37"/>
    <n v="0.71"/>
    <n v="0.63"/>
    <x v="0"/>
    <s v="Low Exposure"/>
  </r>
  <r>
    <x v="18"/>
    <x v="2287"/>
    <n v="22"/>
    <x v="3"/>
    <n v="0.79"/>
    <n v="1.1299999999999999"/>
    <x v="18"/>
    <x v="1"/>
    <n v="0.39"/>
    <n v="0.12"/>
    <n v="0.78"/>
    <n v="0.76"/>
    <n v="0.25"/>
    <n v="0.86"/>
    <n v="0.59"/>
    <n v="0.48"/>
    <n v="0.02"/>
    <n v="0.38"/>
    <x v="0"/>
    <s v="High Exposure"/>
  </r>
  <r>
    <x v="13"/>
    <x v="2288"/>
    <n v="17"/>
    <x v="2"/>
    <n v="0.09"/>
    <n v="0.96"/>
    <x v="58"/>
    <x v="2"/>
    <n v="0.72"/>
    <n v="0.55000000000000004"/>
    <n v="0.53"/>
    <n v="0.04"/>
    <n v="0.96"/>
    <n v="0.93"/>
    <n v="0.68"/>
    <n v="0.1"/>
    <n v="0.21"/>
    <n v="0.18"/>
    <x v="0"/>
    <s v="Low Exposure"/>
  </r>
  <r>
    <x v="13"/>
    <x v="2289"/>
    <n v="2"/>
    <x v="1"/>
    <n v="0.21"/>
    <n v="1.2"/>
    <x v="43"/>
    <x v="2"/>
    <n v="0.02"/>
    <n v="0.74"/>
    <n v="0.19"/>
    <n v="0.82"/>
    <n v="0.36"/>
    <n v="0.34"/>
    <n v="0.01"/>
    <n v="0.99"/>
    <n v="0.61"/>
    <n v="0.42"/>
    <x v="1"/>
    <s v="Low Exposure"/>
  </r>
  <r>
    <x v="1"/>
    <x v="2290"/>
    <n v="24"/>
    <x v="3"/>
    <n v="0.7"/>
    <n v="0.78"/>
    <x v="85"/>
    <x v="1"/>
    <n v="0.95"/>
    <n v="0.74"/>
    <n v="0.97"/>
    <n v="0.11"/>
    <n v="0.28000000000000003"/>
    <n v="0.25"/>
    <n v="7.0000000000000007E-2"/>
    <n v="0.97"/>
    <n v="0.06"/>
    <n v="0.86"/>
    <x v="0"/>
    <s v="High Exposure"/>
  </r>
  <r>
    <x v="3"/>
    <x v="2291"/>
    <n v="18"/>
    <x v="0"/>
    <n v="0.38"/>
    <n v="0.52"/>
    <x v="85"/>
    <x v="1"/>
    <n v="0.2"/>
    <n v="0.49"/>
    <n v="0.46"/>
    <n v="0.59"/>
    <n v="0.77"/>
    <n v="0.38"/>
    <n v="0.16"/>
    <n v="0.8"/>
    <n v="0.33"/>
    <n v="0.28999999999999998"/>
    <x v="0"/>
    <s v="Medium Exposure"/>
  </r>
  <r>
    <x v="10"/>
    <x v="2292"/>
    <n v="16"/>
    <x v="2"/>
    <n v="0.01"/>
    <n v="0.98"/>
    <x v="53"/>
    <x v="2"/>
    <n v="0.18"/>
    <n v="0.48"/>
    <n v="0.87"/>
    <n v="0.84"/>
    <n v="0.97"/>
    <n v="0.48"/>
    <n v="0.55000000000000004"/>
    <n v="0.82"/>
    <n v="0.7"/>
    <n v="0.18"/>
    <x v="0"/>
    <s v="Low Exposure"/>
  </r>
  <r>
    <x v="5"/>
    <x v="2293"/>
    <n v="10"/>
    <x v="3"/>
    <n v="0.13"/>
    <n v="0.67"/>
    <x v="15"/>
    <x v="1"/>
    <n v="0.53"/>
    <n v="0.71"/>
    <n v="0.37"/>
    <n v="0.53"/>
    <n v="0.98"/>
    <n v="0.33"/>
    <n v="0.67"/>
    <n v="0.17"/>
    <n v="0.12"/>
    <n v="0.78"/>
    <x v="2"/>
    <s v="Low Exposure"/>
  </r>
  <r>
    <x v="16"/>
    <x v="2294"/>
    <n v="27"/>
    <x v="0"/>
    <n v="0.67"/>
    <n v="0.66"/>
    <x v="39"/>
    <x v="0"/>
    <n v="0.91"/>
    <n v="0.28999999999999998"/>
    <n v="0.82"/>
    <n v="0.28999999999999998"/>
    <n v="0.94"/>
    <n v="0.91"/>
    <n v="0.04"/>
    <n v="0.77"/>
    <n v="0.17"/>
    <n v="0.22"/>
    <x v="0"/>
    <s v="Medium Exposure"/>
  </r>
  <r>
    <x v="9"/>
    <x v="2295"/>
    <n v="8"/>
    <x v="3"/>
    <n v="0.57999999999999996"/>
    <n v="0.83"/>
    <x v="56"/>
    <x v="0"/>
    <n v="0.17"/>
    <n v="0.02"/>
    <n v="0.56999999999999995"/>
    <n v="0.52"/>
    <n v="0.69"/>
    <n v="0.65"/>
    <n v="0.9"/>
    <n v="0.46"/>
    <n v="0.01"/>
    <n v="0.63"/>
    <x v="2"/>
    <s v="Medium Exposure"/>
  </r>
  <r>
    <x v="6"/>
    <x v="2296"/>
    <n v="28"/>
    <x v="1"/>
    <n v="0.64"/>
    <n v="1.08"/>
    <x v="65"/>
    <x v="2"/>
    <n v="0.36"/>
    <n v="0.91"/>
    <n v="0.47"/>
    <n v="0.59"/>
    <n v="0.94"/>
    <n v="0.47"/>
    <n v="0.39"/>
    <n v="0.89"/>
    <n v="0.91"/>
    <n v="0.35"/>
    <x v="0"/>
    <s v="Medium Exposure"/>
  </r>
  <r>
    <x v="16"/>
    <x v="2297"/>
    <n v="28"/>
    <x v="3"/>
    <n v="0.96"/>
    <n v="0.56000000000000005"/>
    <x v="76"/>
    <x v="0"/>
    <n v="0.52"/>
    <n v="0.28999999999999998"/>
    <n v="0.57999999999999996"/>
    <n v="0.72"/>
    <n v="7.0000000000000007E-2"/>
    <n v="0.88"/>
    <n v="0.28000000000000003"/>
    <n v="0.38"/>
    <n v="0.34"/>
    <n v="0.84"/>
    <x v="0"/>
    <s v="High Exposure"/>
  </r>
  <r>
    <x v="5"/>
    <x v="2298"/>
    <n v="5"/>
    <x v="2"/>
    <n v="0.22"/>
    <n v="0.89"/>
    <x v="75"/>
    <x v="1"/>
    <n v="0.15"/>
    <n v="0.43"/>
    <n v="0.93"/>
    <n v="0.5"/>
    <n v="0.73"/>
    <n v="0.83"/>
    <n v="0.2"/>
    <n v="0.22"/>
    <n v="0.76"/>
    <n v="0.75"/>
    <x v="1"/>
    <s v="Low Exposure"/>
  </r>
  <r>
    <x v="16"/>
    <x v="2299"/>
    <n v="22"/>
    <x v="2"/>
    <n v="0.32"/>
    <n v="0.9"/>
    <x v="32"/>
    <x v="0"/>
    <n v="0.42"/>
    <n v="0.93"/>
    <n v="1"/>
    <n v="0.78"/>
    <n v="0.67"/>
    <n v="0.39"/>
    <n v="7.0000000000000007E-2"/>
    <n v="0.56999999999999995"/>
    <n v="0.36"/>
    <n v="0.35"/>
    <x v="0"/>
    <s v="Medium Exposure"/>
  </r>
  <r>
    <x v="19"/>
    <x v="2300"/>
    <n v="27"/>
    <x v="3"/>
    <n v="0.46"/>
    <n v="1.25"/>
    <x v="36"/>
    <x v="2"/>
    <n v="0.15"/>
    <n v="0.46"/>
    <n v="0.95"/>
    <n v="0.8"/>
    <n v="0.21"/>
    <n v="0.39"/>
    <n v="0.93"/>
    <n v="0.12"/>
    <n v="0.25"/>
    <n v="0.26"/>
    <x v="0"/>
    <s v="Medium Exposure"/>
  </r>
  <r>
    <x v="10"/>
    <x v="2301"/>
    <n v="28"/>
    <x v="0"/>
    <n v="0.41"/>
    <n v="0.57999999999999996"/>
    <x v="33"/>
    <x v="2"/>
    <n v="0.1"/>
    <n v="0.61"/>
    <n v="0.51"/>
    <n v="0.49"/>
    <n v="7.0000000000000007E-2"/>
    <n v="0.64"/>
    <n v="0.43"/>
    <n v="0.41"/>
    <n v="0.6"/>
    <n v="0.61"/>
    <x v="0"/>
    <s v="Medium Exposure"/>
  </r>
  <r>
    <x v="6"/>
    <x v="2302"/>
    <n v="10"/>
    <x v="1"/>
    <n v="0.13"/>
    <n v="0.74"/>
    <x v="64"/>
    <x v="2"/>
    <n v="0.57999999999999996"/>
    <n v="0.76"/>
    <n v="0.74"/>
    <n v="0.85"/>
    <n v="0.38"/>
    <n v="0.35"/>
    <n v="0.83"/>
    <n v="0.24"/>
    <n v="0.46"/>
    <n v="0.19"/>
    <x v="2"/>
    <s v="Low Exposure"/>
  </r>
  <r>
    <x v="10"/>
    <x v="2303"/>
    <n v="9"/>
    <x v="2"/>
    <n v="0.41"/>
    <n v="0.71"/>
    <x v="14"/>
    <x v="2"/>
    <n v="0.24"/>
    <n v="0.94"/>
    <n v="0.37"/>
    <n v="0.66"/>
    <n v="0.35"/>
    <n v="0.81"/>
    <n v="0.9"/>
    <n v="0.79"/>
    <n v="0.85"/>
    <n v="0.1"/>
    <x v="2"/>
    <s v="Medium Exposure"/>
  </r>
  <r>
    <x v="18"/>
    <x v="2304"/>
    <n v="15"/>
    <x v="0"/>
    <n v="0.62"/>
    <n v="1.37"/>
    <x v="29"/>
    <x v="1"/>
    <n v="0.2"/>
    <n v="0.61"/>
    <n v="0.09"/>
    <n v="0.7"/>
    <n v="0.41"/>
    <n v="0.15"/>
    <n v="0.98"/>
    <n v="0.9"/>
    <n v="0.89"/>
    <n v="0.79"/>
    <x v="2"/>
    <s v="Medium Exposure"/>
  </r>
  <r>
    <x v="11"/>
    <x v="2305"/>
    <n v="4"/>
    <x v="1"/>
    <n v="0.66"/>
    <n v="0.61"/>
    <x v="72"/>
    <x v="2"/>
    <n v="0.88"/>
    <n v="0.75"/>
    <n v="0.93"/>
    <n v="0.55000000000000004"/>
    <n v="0.45"/>
    <n v="0.97"/>
    <n v="0.46"/>
    <n v="0.64"/>
    <n v="0.37"/>
    <n v="0.64"/>
    <x v="1"/>
    <s v="Medium Exposure"/>
  </r>
  <r>
    <x v="0"/>
    <x v="2306"/>
    <n v="1"/>
    <x v="1"/>
    <n v="0.62"/>
    <n v="1.01"/>
    <x v="80"/>
    <x v="0"/>
    <n v="0.64"/>
    <n v="0.91"/>
    <n v="0.01"/>
    <n v="0.13"/>
    <n v="0.12"/>
    <n v="0.92"/>
    <n v="0.66"/>
    <n v="0.95"/>
    <n v="0.57999999999999996"/>
    <n v="0.46"/>
    <x v="1"/>
    <s v="Medium Exposure"/>
  </r>
  <r>
    <x v="10"/>
    <x v="2307"/>
    <n v="25"/>
    <x v="2"/>
    <n v="0.16"/>
    <n v="0.88"/>
    <x v="78"/>
    <x v="2"/>
    <n v="0.3"/>
    <n v="0.37"/>
    <n v="0.08"/>
    <n v="0.2"/>
    <n v="0.34"/>
    <n v="0.8"/>
    <n v="0.18"/>
    <n v="0.35"/>
    <n v="0.06"/>
    <n v="0.56000000000000005"/>
    <x v="0"/>
    <s v="Low Exposure"/>
  </r>
  <r>
    <x v="6"/>
    <x v="2308"/>
    <n v="11"/>
    <x v="0"/>
    <n v="0.87"/>
    <n v="1.32"/>
    <x v="6"/>
    <x v="2"/>
    <n v="0.14000000000000001"/>
    <n v="0.16"/>
    <n v="0.97"/>
    <n v="0.67"/>
    <n v="0.04"/>
    <n v="0.14000000000000001"/>
    <n v="0.49"/>
    <n v="0.21"/>
    <n v="0.8"/>
    <n v="0.56999999999999995"/>
    <x v="2"/>
    <s v="High Exposure"/>
  </r>
  <r>
    <x v="19"/>
    <x v="2309"/>
    <n v="1"/>
    <x v="2"/>
    <n v="0.46"/>
    <n v="0.76"/>
    <x v="22"/>
    <x v="2"/>
    <n v="0.72"/>
    <n v="0.37"/>
    <n v="0.5"/>
    <n v="0.84"/>
    <n v="0.15"/>
    <n v="0.55000000000000004"/>
    <n v="0.35"/>
    <n v="0.7"/>
    <n v="0.02"/>
    <n v="0.67"/>
    <x v="1"/>
    <s v="Medium Exposure"/>
  </r>
  <r>
    <x v="14"/>
    <x v="2310"/>
    <n v="15"/>
    <x v="1"/>
    <n v="0.06"/>
    <n v="1.22"/>
    <x v="83"/>
    <x v="0"/>
    <n v="0.89"/>
    <n v="0.52"/>
    <n v="0.53"/>
    <n v="0.71"/>
    <n v="0.32"/>
    <n v="0.04"/>
    <n v="0.23"/>
    <n v="0.24"/>
    <n v="0.34"/>
    <n v="0.94"/>
    <x v="2"/>
    <s v="Low Exposure"/>
  </r>
  <r>
    <x v="0"/>
    <x v="2311"/>
    <n v="26"/>
    <x v="2"/>
    <n v="0.94"/>
    <n v="1.5"/>
    <x v="2"/>
    <x v="0"/>
    <n v="0.23"/>
    <n v="0.56000000000000005"/>
    <n v="0.88"/>
    <n v="0.47"/>
    <n v="0.51"/>
    <n v="0.13"/>
    <n v="0.42"/>
    <n v="0.39"/>
    <n v="0.35"/>
    <n v="0.89"/>
    <x v="0"/>
    <s v="High Exposure"/>
  </r>
  <r>
    <x v="1"/>
    <x v="2312"/>
    <n v="26"/>
    <x v="1"/>
    <n v="0.97"/>
    <n v="0.51"/>
    <x v="21"/>
    <x v="1"/>
    <n v="0.55000000000000004"/>
    <n v="0.7"/>
    <n v="0.19"/>
    <n v="0.65"/>
    <n v="0.88"/>
    <n v="0.14000000000000001"/>
    <n v="0.13"/>
    <n v="0.3"/>
    <n v="0.16"/>
    <n v="0.11"/>
    <x v="0"/>
    <s v="High Exposure"/>
  </r>
  <r>
    <x v="13"/>
    <x v="2313"/>
    <n v="28"/>
    <x v="0"/>
    <n v="0.21"/>
    <n v="1.17"/>
    <x v="4"/>
    <x v="2"/>
    <n v="0.65"/>
    <n v="0.12"/>
    <n v="0.56999999999999995"/>
    <n v="0.39"/>
    <n v="0.34"/>
    <n v="0.32"/>
    <n v="0.93"/>
    <n v="0.74"/>
    <n v="0.13"/>
    <n v="0.48"/>
    <x v="0"/>
    <s v="Low Exposure"/>
  </r>
  <r>
    <x v="7"/>
    <x v="2314"/>
    <n v="2"/>
    <x v="2"/>
    <n v="0.43"/>
    <n v="1.17"/>
    <x v="63"/>
    <x v="1"/>
    <n v="0.45"/>
    <n v="0.01"/>
    <n v="0.48"/>
    <n v="0.9"/>
    <n v="0.6"/>
    <n v="0.44"/>
    <n v="0.16"/>
    <n v="0.2"/>
    <n v="0.08"/>
    <n v="0.74"/>
    <x v="1"/>
    <s v="Medium Exposure"/>
  </r>
  <r>
    <x v="16"/>
    <x v="2315"/>
    <n v="22"/>
    <x v="0"/>
    <n v="0.38"/>
    <n v="1.25"/>
    <x v="51"/>
    <x v="0"/>
    <n v="0.57999999999999996"/>
    <n v="0.56999999999999995"/>
    <n v="0.09"/>
    <n v="0.17"/>
    <n v="0.53"/>
    <n v="0.35"/>
    <n v="0.02"/>
    <n v="0.8"/>
    <n v="0.65"/>
    <n v="0.33"/>
    <x v="0"/>
    <s v="Medium Exposure"/>
  </r>
  <r>
    <x v="18"/>
    <x v="2316"/>
    <n v="7"/>
    <x v="3"/>
    <n v="0.89"/>
    <n v="0.69"/>
    <x v="27"/>
    <x v="1"/>
    <n v="0.96"/>
    <n v="0.64"/>
    <n v="0.44"/>
    <n v="0.72"/>
    <n v="0.82"/>
    <n v="0.59"/>
    <n v="0.87"/>
    <n v="0.51"/>
    <n v="0.83"/>
    <n v="0.95"/>
    <x v="2"/>
    <s v="High Exposure"/>
  </r>
  <r>
    <x v="8"/>
    <x v="2317"/>
    <n v="27"/>
    <x v="2"/>
    <n v="0.61"/>
    <n v="1.1100000000000001"/>
    <x v="45"/>
    <x v="2"/>
    <n v="0.82"/>
    <n v="0.03"/>
    <n v="0.73"/>
    <n v="0.78"/>
    <n v="0.7"/>
    <n v="0.71"/>
    <n v="0.04"/>
    <n v="0.44"/>
    <n v="0.82"/>
    <n v="0.93"/>
    <x v="0"/>
    <s v="Medium Exposure"/>
  </r>
  <r>
    <x v="16"/>
    <x v="2318"/>
    <n v="1"/>
    <x v="1"/>
    <n v="0.57999999999999996"/>
    <n v="1.3"/>
    <x v="81"/>
    <x v="0"/>
    <n v="0.62"/>
    <n v="0.02"/>
    <n v="0.72"/>
    <n v="0.77"/>
    <n v="0.72"/>
    <n v="0.77"/>
    <n v="0.43"/>
    <n v="0.99"/>
    <n v="0.77"/>
    <n v="0.57999999999999996"/>
    <x v="1"/>
    <s v="Medium Exposure"/>
  </r>
  <r>
    <x v="9"/>
    <x v="2319"/>
    <n v="27"/>
    <x v="0"/>
    <n v="0.91"/>
    <n v="1.31"/>
    <x v="56"/>
    <x v="0"/>
    <n v="0.53"/>
    <n v="0.33"/>
    <n v="0.25"/>
    <n v="0.51"/>
    <n v="0.57999999999999996"/>
    <n v="0.24"/>
    <n v="0.92"/>
    <n v="0.56000000000000005"/>
    <n v="0.53"/>
    <n v="0.44"/>
    <x v="0"/>
    <s v="High Exposure"/>
  </r>
  <r>
    <x v="1"/>
    <x v="2320"/>
    <n v="21"/>
    <x v="0"/>
    <n v="0.88"/>
    <n v="0.82"/>
    <x v="13"/>
    <x v="1"/>
    <n v="0.61"/>
    <n v="0.57999999999999996"/>
    <n v="0.53"/>
    <n v="0.18"/>
    <n v="0.28000000000000003"/>
    <n v="0.52"/>
    <n v="0.79"/>
    <n v="0.43"/>
    <n v="0.2"/>
    <n v="0.09"/>
    <x v="0"/>
    <s v="High Exposure"/>
  </r>
  <r>
    <x v="18"/>
    <x v="2321"/>
    <n v="9"/>
    <x v="2"/>
    <n v="0.42"/>
    <n v="0.63"/>
    <x v="29"/>
    <x v="1"/>
    <n v="0.21"/>
    <n v="0.51"/>
    <n v="0.31"/>
    <n v="0.93"/>
    <n v="0.23"/>
    <n v="0.42"/>
    <n v="0.96"/>
    <n v="0.32"/>
    <n v="0.64"/>
    <n v="0.32"/>
    <x v="2"/>
    <s v="Medium Exposure"/>
  </r>
  <r>
    <x v="2"/>
    <x v="2322"/>
    <n v="1"/>
    <x v="2"/>
    <n v="0.63"/>
    <n v="1.42"/>
    <x v="2"/>
    <x v="0"/>
    <n v="0.63"/>
    <n v="0.61"/>
    <n v="0.42"/>
    <n v="0.61"/>
    <n v="0.26"/>
    <n v="0.38"/>
    <n v="0.44"/>
    <n v="0.86"/>
    <n v="0.35"/>
    <n v="0.64"/>
    <x v="1"/>
    <s v="Medium Exposure"/>
  </r>
  <r>
    <x v="16"/>
    <x v="2323"/>
    <n v="19"/>
    <x v="0"/>
    <n v="0.25"/>
    <n v="1.1499999999999999"/>
    <x v="81"/>
    <x v="0"/>
    <n v="0.46"/>
    <n v="0.34"/>
    <n v="0.91"/>
    <n v="0.14000000000000001"/>
    <n v="0.72"/>
    <n v="0.69"/>
    <n v="0.69"/>
    <n v="0.94"/>
    <n v="0.73"/>
    <n v="0.3"/>
    <x v="0"/>
    <s v="Low Exposure"/>
  </r>
  <r>
    <x v="9"/>
    <x v="2324"/>
    <n v="29"/>
    <x v="1"/>
    <n v="0.39"/>
    <n v="0.53"/>
    <x v="17"/>
    <x v="0"/>
    <n v="7.0000000000000007E-2"/>
    <n v="0.7"/>
    <n v="0.73"/>
    <n v="0.84"/>
    <n v="0.55000000000000004"/>
    <n v="0.73"/>
    <n v="0.3"/>
    <n v="0.75"/>
    <n v="0.34"/>
    <n v="0.9"/>
    <x v="0"/>
    <s v="Medium Exposure"/>
  </r>
  <r>
    <x v="9"/>
    <x v="2325"/>
    <n v="6"/>
    <x v="3"/>
    <n v="0.32"/>
    <n v="1"/>
    <x v="81"/>
    <x v="0"/>
    <n v="0.75"/>
    <n v="0.21"/>
    <n v="0.14000000000000001"/>
    <n v="0.3"/>
    <n v="0.48"/>
    <n v="0.54"/>
    <n v="0.43"/>
    <n v="0.66"/>
    <n v="0.43"/>
    <n v="0.95"/>
    <x v="2"/>
    <s v="Medium Exposure"/>
  </r>
  <r>
    <x v="1"/>
    <x v="2326"/>
    <n v="11"/>
    <x v="3"/>
    <n v="0.63"/>
    <n v="1.1100000000000001"/>
    <x v="54"/>
    <x v="1"/>
    <n v="0.41"/>
    <n v="0.37"/>
    <n v="0.17"/>
    <n v="0.48"/>
    <n v="0.39"/>
    <n v="0.18"/>
    <n v="0.45"/>
    <n v="0.42"/>
    <n v="0.13"/>
    <n v="0.13"/>
    <x v="2"/>
    <s v="Medium Exposure"/>
  </r>
  <r>
    <x v="13"/>
    <x v="2327"/>
    <n v="13"/>
    <x v="0"/>
    <n v="0.71"/>
    <n v="1.44"/>
    <x v="20"/>
    <x v="2"/>
    <n v="0.12"/>
    <n v="0.05"/>
    <n v="0.53"/>
    <n v="0.62"/>
    <n v="0.4"/>
    <n v="0.8"/>
    <n v="0.69"/>
    <n v="0.99"/>
    <n v="0.14000000000000001"/>
    <n v="0.06"/>
    <x v="2"/>
    <s v="High Exposure"/>
  </r>
  <r>
    <x v="19"/>
    <x v="2328"/>
    <n v="19"/>
    <x v="0"/>
    <n v="0.93"/>
    <n v="1.46"/>
    <x v="86"/>
    <x v="2"/>
    <n v="0.89"/>
    <n v="0.47"/>
    <n v="0.77"/>
    <n v="0.08"/>
    <n v="0.96"/>
    <n v="0.61"/>
    <n v="0.9"/>
    <n v="0.67"/>
    <n v="0.54"/>
    <n v="0.17"/>
    <x v="0"/>
    <s v="High Exposure"/>
  </r>
  <r>
    <x v="10"/>
    <x v="2329"/>
    <n v="3"/>
    <x v="3"/>
    <n v="0.47"/>
    <n v="1.37"/>
    <x v="53"/>
    <x v="2"/>
    <n v="1"/>
    <n v="0.88"/>
    <n v="0.39"/>
    <n v="0.25"/>
    <n v="0.92"/>
    <n v="0.12"/>
    <n v="0.35"/>
    <n v="0.08"/>
    <n v="0.95"/>
    <n v="0.62"/>
    <x v="1"/>
    <s v="Medium Exposure"/>
  </r>
  <r>
    <x v="17"/>
    <x v="2330"/>
    <n v="17"/>
    <x v="3"/>
    <n v="0.56000000000000005"/>
    <n v="0.6"/>
    <x v="68"/>
    <x v="2"/>
    <n v="0.81"/>
    <n v="0.54"/>
    <n v="0.87"/>
    <n v="0.8"/>
    <n v="0.28000000000000003"/>
    <n v="0.63"/>
    <n v="0.01"/>
    <n v="0.4"/>
    <n v="0.24"/>
    <n v="0.94"/>
    <x v="0"/>
    <s v="Medium Exposure"/>
  </r>
  <r>
    <x v="12"/>
    <x v="2331"/>
    <n v="29"/>
    <x v="3"/>
    <n v="0.65"/>
    <n v="1.23"/>
    <x v="45"/>
    <x v="2"/>
    <n v="0.74"/>
    <n v="0.28999999999999998"/>
    <n v="0.69"/>
    <n v="0.55000000000000004"/>
    <n v="0.6"/>
    <n v="0"/>
    <n v="0.26"/>
    <n v="0.93"/>
    <n v="0.28999999999999998"/>
    <n v="0.44"/>
    <x v="0"/>
    <s v="Medium Exposure"/>
  </r>
  <r>
    <x v="7"/>
    <x v="2332"/>
    <n v="21"/>
    <x v="1"/>
    <n v="0.61"/>
    <n v="1.37"/>
    <x v="42"/>
    <x v="1"/>
    <n v="0.56000000000000005"/>
    <n v="0.8"/>
    <n v="0.56000000000000005"/>
    <n v="0.84"/>
    <n v="0.05"/>
    <n v="0.5"/>
    <n v="0.81"/>
    <n v="0.85"/>
    <n v="0.83"/>
    <n v="0.6"/>
    <x v="0"/>
    <s v="Medium Exposure"/>
  </r>
  <r>
    <x v="5"/>
    <x v="2333"/>
    <n v="8"/>
    <x v="1"/>
    <n v="0.18"/>
    <n v="0.67"/>
    <x v="19"/>
    <x v="1"/>
    <n v="0.99"/>
    <n v="0.35"/>
    <n v="0.76"/>
    <n v="0.06"/>
    <n v="0.3"/>
    <n v="0.62"/>
    <n v="0.52"/>
    <n v="0.21"/>
    <n v="0.46"/>
    <n v="0.11"/>
    <x v="2"/>
    <s v="Low Exposure"/>
  </r>
  <r>
    <x v="8"/>
    <x v="2334"/>
    <n v="22"/>
    <x v="1"/>
    <n v="0.1"/>
    <n v="1.1399999999999999"/>
    <x v="46"/>
    <x v="2"/>
    <n v="0.55000000000000004"/>
    <n v="0.13"/>
    <n v="0.4"/>
    <n v="0.35"/>
    <n v="0.76"/>
    <n v="0.64"/>
    <n v="0.94"/>
    <n v="0.92"/>
    <n v="0.72"/>
    <n v="0.77"/>
    <x v="0"/>
    <s v="Low Exposure"/>
  </r>
  <r>
    <x v="4"/>
    <x v="2335"/>
    <n v="5"/>
    <x v="1"/>
    <n v="0.69"/>
    <n v="1.1200000000000001"/>
    <x v="71"/>
    <x v="2"/>
    <n v="0.35"/>
    <n v="0.56999999999999995"/>
    <n v="0.72"/>
    <n v="0.41"/>
    <n v="0.14000000000000001"/>
    <n v="0.46"/>
    <n v="0.96"/>
    <n v="0.21"/>
    <n v="0.65"/>
    <n v="0.98"/>
    <x v="1"/>
    <s v="Medium Exposure"/>
  </r>
  <r>
    <x v="6"/>
    <x v="2336"/>
    <n v="17"/>
    <x v="2"/>
    <n v="0.71"/>
    <n v="1.49"/>
    <x v="55"/>
    <x v="2"/>
    <n v="0.55000000000000004"/>
    <n v="0.68"/>
    <n v="0.7"/>
    <n v="0.79"/>
    <n v="0.92"/>
    <n v="0.36"/>
    <n v="0.04"/>
    <n v="0.36"/>
    <n v="0.67"/>
    <n v="0.21"/>
    <x v="0"/>
    <s v="High Exposure"/>
  </r>
  <r>
    <x v="10"/>
    <x v="2337"/>
    <n v="21"/>
    <x v="3"/>
    <n v="0.21"/>
    <n v="0.5"/>
    <x v="46"/>
    <x v="2"/>
    <n v="0.59"/>
    <n v="0.39"/>
    <n v="0.72"/>
    <n v="0.67"/>
    <n v="0.8"/>
    <n v="0.87"/>
    <n v="0.82"/>
    <n v="0.45"/>
    <n v="0.31"/>
    <n v="0.5"/>
    <x v="0"/>
    <s v="Low Exposure"/>
  </r>
  <r>
    <x v="3"/>
    <x v="2338"/>
    <n v="7"/>
    <x v="3"/>
    <n v="0.31"/>
    <n v="1.04"/>
    <x v="55"/>
    <x v="2"/>
    <n v="0.23"/>
    <n v="0.75"/>
    <n v="0.18"/>
    <n v="0.14000000000000001"/>
    <n v="0.28999999999999998"/>
    <n v="0.37"/>
    <n v="0.33"/>
    <n v="0.37"/>
    <n v="0.14000000000000001"/>
    <n v="0.17"/>
    <x v="2"/>
    <s v="Medium Exposure"/>
  </r>
  <r>
    <x v="15"/>
    <x v="2339"/>
    <n v="24"/>
    <x v="3"/>
    <n v="0.4"/>
    <n v="0.84"/>
    <x v="88"/>
    <x v="1"/>
    <n v="0.53"/>
    <n v="0.57999999999999996"/>
    <n v="0.56000000000000005"/>
    <n v="0.4"/>
    <n v="0.98"/>
    <n v="0.04"/>
    <n v="0.22"/>
    <n v="0.28000000000000003"/>
    <n v="0.88"/>
    <n v="0.92"/>
    <x v="0"/>
    <s v="Medium Exposure"/>
  </r>
  <r>
    <x v="13"/>
    <x v="2340"/>
    <n v="28"/>
    <x v="1"/>
    <n v="0.42"/>
    <n v="1.41"/>
    <x v="55"/>
    <x v="2"/>
    <n v="0.65"/>
    <n v="0.94"/>
    <n v="0.75"/>
    <n v="0.28000000000000003"/>
    <n v="0.72"/>
    <n v="0.28999999999999998"/>
    <n v="0.11"/>
    <n v="0.72"/>
    <n v="0.18"/>
    <n v="0.11"/>
    <x v="0"/>
    <s v="Medium Exposure"/>
  </r>
  <r>
    <x v="7"/>
    <x v="2341"/>
    <n v="10"/>
    <x v="0"/>
    <n v="0.19"/>
    <n v="1"/>
    <x v="85"/>
    <x v="1"/>
    <n v="0.68"/>
    <n v="0.88"/>
    <n v="0.03"/>
    <n v="0.87"/>
    <n v="0.7"/>
    <n v="0.17"/>
    <n v="0.03"/>
    <n v="0.26"/>
    <n v="0.92"/>
    <n v="0.67"/>
    <x v="2"/>
    <s v="Low Exposure"/>
  </r>
  <r>
    <x v="16"/>
    <x v="2342"/>
    <n v="1"/>
    <x v="2"/>
    <n v="0.45"/>
    <n v="1.44"/>
    <x v="90"/>
    <x v="0"/>
    <n v="0.2"/>
    <n v="0.15"/>
    <n v="0.99"/>
    <n v="0.33"/>
    <n v="0.16"/>
    <n v="0.01"/>
    <n v="0.28999999999999998"/>
    <n v="0.89"/>
    <n v="0.53"/>
    <n v="0.63"/>
    <x v="1"/>
    <s v="Medium Exposure"/>
  </r>
  <r>
    <x v="6"/>
    <x v="2343"/>
    <n v="27"/>
    <x v="0"/>
    <n v="0.51"/>
    <n v="1.34"/>
    <x v="87"/>
    <x v="2"/>
    <n v="0.98"/>
    <n v="0.08"/>
    <n v="0.72"/>
    <n v="0.66"/>
    <n v="0.19"/>
    <n v="0.39"/>
    <n v="0.31"/>
    <n v="0.09"/>
    <n v="0.57999999999999996"/>
    <n v="0.99"/>
    <x v="0"/>
    <s v="Medium Exposure"/>
  </r>
  <r>
    <x v="2"/>
    <x v="2344"/>
    <n v="21"/>
    <x v="2"/>
    <n v="0.55000000000000004"/>
    <n v="0.54"/>
    <x v="67"/>
    <x v="0"/>
    <n v="0.51"/>
    <n v="0.99"/>
    <n v="0.88"/>
    <n v="0.34"/>
    <n v="0.54"/>
    <n v="0.55000000000000004"/>
    <n v="0.69"/>
    <n v="0.69"/>
    <n v="0.79"/>
    <n v="0.02"/>
    <x v="0"/>
    <s v="Medium Exposure"/>
  </r>
  <r>
    <x v="8"/>
    <x v="2345"/>
    <n v="3"/>
    <x v="2"/>
    <n v="7.0000000000000007E-2"/>
    <n v="0.98"/>
    <x v="79"/>
    <x v="2"/>
    <n v="0.49"/>
    <n v="0.06"/>
    <n v="0.23"/>
    <n v="0.57999999999999996"/>
    <n v="0.09"/>
    <n v="0.42"/>
    <n v="0.33"/>
    <n v="0.82"/>
    <n v="0.11"/>
    <n v="0.68"/>
    <x v="1"/>
    <s v="Low Exposure"/>
  </r>
  <r>
    <x v="3"/>
    <x v="2346"/>
    <n v="3"/>
    <x v="3"/>
    <n v="0.59"/>
    <n v="0.71"/>
    <x v="22"/>
    <x v="2"/>
    <n v="0.67"/>
    <n v="7.0000000000000007E-2"/>
    <n v="0.82"/>
    <n v="0.86"/>
    <n v="0.06"/>
    <n v="0.6"/>
    <n v="0.59"/>
    <n v="0.01"/>
    <n v="0.34"/>
    <n v="0.97"/>
    <x v="1"/>
    <s v="Medium Exposure"/>
  </r>
  <r>
    <x v="0"/>
    <x v="2347"/>
    <n v="22"/>
    <x v="0"/>
    <n v="0.93"/>
    <n v="1.18"/>
    <x v="76"/>
    <x v="0"/>
    <n v="0.08"/>
    <n v="0.72"/>
    <n v="0.55000000000000004"/>
    <n v="0.13"/>
    <n v="0.61"/>
    <n v="0.81"/>
    <n v="0.75"/>
    <n v="0.25"/>
    <n v="0.26"/>
    <n v="0.97"/>
    <x v="0"/>
    <s v="High Exposure"/>
  </r>
  <r>
    <x v="5"/>
    <x v="2348"/>
    <n v="25"/>
    <x v="2"/>
    <n v="0.32"/>
    <n v="1.32"/>
    <x v="63"/>
    <x v="1"/>
    <n v="0.2"/>
    <n v="0.18"/>
    <n v="0.09"/>
    <n v="0.85"/>
    <n v="0.57999999999999996"/>
    <n v="0.26"/>
    <n v="0.85"/>
    <n v="0.8"/>
    <n v="0.1"/>
    <n v="0.64"/>
    <x v="0"/>
    <s v="Medium Exposure"/>
  </r>
  <r>
    <x v="17"/>
    <x v="2349"/>
    <n v="23"/>
    <x v="3"/>
    <n v="0.72"/>
    <n v="1.22"/>
    <x v="49"/>
    <x v="2"/>
    <n v="0.32"/>
    <n v="0.84"/>
    <n v="0.9"/>
    <n v="0.28000000000000003"/>
    <n v="0.02"/>
    <n v="0.86"/>
    <n v="0.38"/>
    <n v="0.33"/>
    <n v="0.35"/>
    <n v="0.42"/>
    <x v="0"/>
    <s v="High Exposure"/>
  </r>
  <r>
    <x v="12"/>
    <x v="2350"/>
    <n v="13"/>
    <x v="2"/>
    <n v="0.56999999999999995"/>
    <n v="0.57999999999999996"/>
    <x v="66"/>
    <x v="2"/>
    <n v="0.94"/>
    <n v="0.93"/>
    <n v="0.88"/>
    <n v="0.66"/>
    <n v="0.22"/>
    <n v="0.05"/>
    <n v="0.1"/>
    <n v="0.32"/>
    <n v="0.5"/>
    <n v="0.99"/>
    <x v="2"/>
    <s v="Medium Exposure"/>
  </r>
  <r>
    <x v="6"/>
    <x v="2351"/>
    <n v="26"/>
    <x v="3"/>
    <n v="0.52"/>
    <n v="1.2"/>
    <x v="49"/>
    <x v="2"/>
    <n v="0.93"/>
    <n v="0.53"/>
    <n v="0.28000000000000003"/>
    <n v="0.94"/>
    <n v="0.63"/>
    <n v="0.48"/>
    <n v="0.57999999999999996"/>
    <n v="0.75"/>
    <n v="0.15"/>
    <n v="0.86"/>
    <x v="0"/>
    <s v="Medium Exposure"/>
  </r>
  <r>
    <x v="15"/>
    <x v="2352"/>
    <n v="16"/>
    <x v="1"/>
    <n v="0.56999999999999995"/>
    <n v="1.18"/>
    <x v="75"/>
    <x v="1"/>
    <n v="0.37"/>
    <n v="0.99"/>
    <n v="0.68"/>
    <n v="0.42"/>
    <n v="0.68"/>
    <n v="0.52"/>
    <n v="0.11"/>
    <n v="0.8"/>
    <n v="0.56000000000000005"/>
    <n v="0.8"/>
    <x v="0"/>
    <s v="Medium Exposure"/>
  </r>
  <r>
    <x v="14"/>
    <x v="2353"/>
    <n v="5"/>
    <x v="1"/>
    <n v="0.54"/>
    <n v="1.27"/>
    <x v="60"/>
    <x v="0"/>
    <n v="0.88"/>
    <n v="0.86"/>
    <n v="0.25"/>
    <n v="0.84"/>
    <n v="0.17"/>
    <n v="0.2"/>
    <n v="0.11"/>
    <n v="0.86"/>
    <n v="0.11"/>
    <n v="0.14000000000000001"/>
    <x v="1"/>
    <s v="Medium Exposure"/>
  </r>
  <r>
    <x v="7"/>
    <x v="2354"/>
    <n v="19"/>
    <x v="0"/>
    <n v="0.56999999999999995"/>
    <n v="1.38"/>
    <x v="18"/>
    <x v="1"/>
    <n v="0.55000000000000004"/>
    <n v="0.17"/>
    <n v="0.27"/>
    <n v="0.13"/>
    <n v="0.41"/>
    <n v="0.59"/>
    <n v="0.28000000000000003"/>
    <n v="0.85"/>
    <n v="0.98"/>
    <n v="0.12"/>
    <x v="0"/>
    <s v="Medium Exposure"/>
  </r>
  <r>
    <x v="10"/>
    <x v="2355"/>
    <n v="15"/>
    <x v="0"/>
    <n v="0.79"/>
    <n v="0.69"/>
    <x v="30"/>
    <x v="2"/>
    <n v="0.39"/>
    <n v="0.92"/>
    <n v="0.66"/>
    <n v="0.04"/>
    <n v="0.01"/>
    <n v="0.2"/>
    <n v="0.32"/>
    <n v="0.48"/>
    <n v="0.84"/>
    <n v="0.31"/>
    <x v="2"/>
    <s v="High Exposure"/>
  </r>
  <r>
    <x v="13"/>
    <x v="2356"/>
    <n v="29"/>
    <x v="1"/>
    <n v="0.33"/>
    <n v="0.51"/>
    <x v="26"/>
    <x v="2"/>
    <n v="0.14000000000000001"/>
    <n v="0.28999999999999998"/>
    <n v="0.13"/>
    <n v="0.49"/>
    <n v="0.93"/>
    <n v="0.1"/>
    <n v="0.44"/>
    <n v="0.02"/>
    <n v="0.77"/>
    <n v="0.64"/>
    <x v="0"/>
    <s v="Medium Exposure"/>
  </r>
  <r>
    <x v="2"/>
    <x v="2357"/>
    <n v="4"/>
    <x v="3"/>
    <n v="0.47"/>
    <n v="1.41"/>
    <x v="9"/>
    <x v="0"/>
    <n v="0.51"/>
    <n v="0.7"/>
    <n v="0.52"/>
    <n v="0.19"/>
    <n v="0.32"/>
    <n v="0.09"/>
    <n v="0.43"/>
    <n v="0.61"/>
    <n v="0.12"/>
    <n v="0.63"/>
    <x v="1"/>
    <s v="Medium Exposure"/>
  </r>
  <r>
    <x v="19"/>
    <x v="2358"/>
    <n v="7"/>
    <x v="2"/>
    <n v="0.34"/>
    <n v="0.72"/>
    <x v="72"/>
    <x v="2"/>
    <n v="0.69"/>
    <n v="0.11"/>
    <n v="0.41"/>
    <n v="0.67"/>
    <n v="0.56999999999999995"/>
    <n v="0.62"/>
    <n v="0.56999999999999995"/>
    <n v="0.8"/>
    <n v="0.32"/>
    <n v="0.71"/>
    <x v="2"/>
    <s v="Medium Exposure"/>
  </r>
  <r>
    <x v="7"/>
    <x v="2359"/>
    <n v="29"/>
    <x v="1"/>
    <n v="0.39"/>
    <n v="1.29"/>
    <x v="37"/>
    <x v="1"/>
    <n v="0.28000000000000003"/>
    <n v="0.93"/>
    <n v="0.03"/>
    <n v="0.22"/>
    <n v="0.48"/>
    <n v="0.4"/>
    <n v="0.63"/>
    <n v="0.19"/>
    <n v="7.0000000000000007E-2"/>
    <n v="0.37"/>
    <x v="0"/>
    <s v="Medium Exposure"/>
  </r>
  <r>
    <x v="9"/>
    <x v="2360"/>
    <n v="18"/>
    <x v="3"/>
    <n v="0.56000000000000005"/>
    <n v="1.1000000000000001"/>
    <x v="56"/>
    <x v="0"/>
    <n v="0.25"/>
    <n v="0.76"/>
    <n v="0.09"/>
    <n v="0.2"/>
    <n v="0.74"/>
    <n v="0.28000000000000003"/>
    <n v="0.49"/>
    <n v="0.33"/>
    <n v="0.51"/>
    <n v="0.35"/>
    <x v="0"/>
    <s v="Medium Exposure"/>
  </r>
  <r>
    <x v="10"/>
    <x v="2361"/>
    <n v="0"/>
    <x v="0"/>
    <n v="0.85"/>
    <n v="0.65"/>
    <x v="30"/>
    <x v="2"/>
    <n v="0.56000000000000005"/>
    <n v="0.15"/>
    <n v="0.13"/>
    <n v="0.66"/>
    <n v="0.65"/>
    <n v="0.23"/>
    <n v="0.23"/>
    <n v="0.75"/>
    <n v="0.12"/>
    <n v="0.92"/>
    <x v="1"/>
    <s v="High Exposure"/>
  </r>
  <r>
    <x v="19"/>
    <x v="2362"/>
    <n v="8"/>
    <x v="0"/>
    <n v="0.87"/>
    <n v="0.71"/>
    <x v="57"/>
    <x v="2"/>
    <n v="0.94"/>
    <n v="0.34"/>
    <n v="0.31"/>
    <n v="0.26"/>
    <n v="0.24"/>
    <n v="0.73"/>
    <n v="0.91"/>
    <n v="0.79"/>
    <n v="0.67"/>
    <n v="0.28999999999999998"/>
    <x v="2"/>
    <s v="High Exposure"/>
  </r>
  <r>
    <x v="6"/>
    <x v="2363"/>
    <n v="12"/>
    <x v="0"/>
    <n v="0.24"/>
    <n v="0.61"/>
    <x v="53"/>
    <x v="2"/>
    <n v="0.6"/>
    <n v="0.04"/>
    <n v="0.97"/>
    <n v="1"/>
    <n v="0.15"/>
    <n v="0.43"/>
    <n v="0.77"/>
    <n v="0.96"/>
    <n v="0.89"/>
    <n v="0.25"/>
    <x v="2"/>
    <s v="Low Exposure"/>
  </r>
  <r>
    <x v="18"/>
    <x v="2364"/>
    <n v="1"/>
    <x v="2"/>
    <n v="0.28999999999999998"/>
    <n v="0.94"/>
    <x v="41"/>
    <x v="1"/>
    <n v="0.77"/>
    <n v="0.26"/>
    <n v="0.86"/>
    <n v="0.23"/>
    <n v="0.36"/>
    <n v="0.45"/>
    <n v="0.28999999999999998"/>
    <n v="0.77"/>
    <n v="0.41"/>
    <n v="0.89"/>
    <x v="1"/>
    <s v="Low Exposure"/>
  </r>
  <r>
    <x v="3"/>
    <x v="2365"/>
    <n v="4"/>
    <x v="2"/>
    <n v="0.86"/>
    <n v="1.02"/>
    <x v="11"/>
    <x v="2"/>
    <n v="0.22"/>
    <n v="0.59"/>
    <n v="0.95"/>
    <n v="0.08"/>
    <n v="0.75"/>
    <n v="0.87"/>
    <n v="0.99"/>
    <n v="0.33"/>
    <n v="0.36"/>
    <n v="0.23"/>
    <x v="1"/>
    <s v="High Exposure"/>
  </r>
  <r>
    <x v="2"/>
    <x v="2366"/>
    <n v="22"/>
    <x v="1"/>
    <n v="0.14000000000000001"/>
    <n v="0.77"/>
    <x v="62"/>
    <x v="0"/>
    <n v="0.37"/>
    <n v="0.42"/>
    <n v="0.56000000000000005"/>
    <n v="0.95"/>
    <n v="0.25"/>
    <n v="0.78"/>
    <n v="0.68"/>
    <n v="0.12"/>
    <n v="0.81"/>
    <n v="0.09"/>
    <x v="0"/>
    <s v="Low Exposure"/>
  </r>
  <r>
    <x v="0"/>
    <x v="2367"/>
    <n v="21"/>
    <x v="3"/>
    <n v="0.68"/>
    <n v="1.05"/>
    <x v="59"/>
    <x v="0"/>
    <n v="0.64"/>
    <n v="0.78"/>
    <n v="0.24"/>
    <n v="0.43"/>
    <n v="0.15"/>
    <n v="0.43"/>
    <n v="0.7"/>
    <n v="0.69"/>
    <n v="0.71"/>
    <n v="0.31"/>
    <x v="0"/>
    <s v="Medium Exposure"/>
  </r>
  <r>
    <x v="2"/>
    <x v="2368"/>
    <n v="3"/>
    <x v="0"/>
    <n v="0.37"/>
    <n v="1.44"/>
    <x v="77"/>
    <x v="0"/>
    <n v="0.6"/>
    <n v="0.75"/>
    <n v="0.91"/>
    <n v="0.44"/>
    <n v="0.36"/>
    <n v="0.43"/>
    <n v="0.32"/>
    <n v="0.65"/>
    <n v="0.93"/>
    <n v="0.13"/>
    <x v="1"/>
    <s v="Medium Exposure"/>
  </r>
  <r>
    <x v="7"/>
    <x v="2369"/>
    <n v="2"/>
    <x v="0"/>
    <n v="0.46"/>
    <n v="1.22"/>
    <x v="41"/>
    <x v="1"/>
    <n v="0.55000000000000004"/>
    <n v="0.03"/>
    <n v="0.46"/>
    <n v="0.24"/>
    <n v="0.52"/>
    <n v="0.53"/>
    <n v="0.75"/>
    <n v="0.54"/>
    <n v="0.61"/>
    <n v="0.53"/>
    <x v="1"/>
    <s v="Medium Exposure"/>
  </r>
  <r>
    <x v="5"/>
    <x v="2370"/>
    <n v="14"/>
    <x v="2"/>
    <n v="0.76"/>
    <n v="1.1299999999999999"/>
    <x v="82"/>
    <x v="1"/>
    <n v="0.34"/>
    <n v="0.78"/>
    <n v="0.19"/>
    <n v="0.04"/>
    <n v="0.7"/>
    <n v="0.14000000000000001"/>
    <n v="0.9"/>
    <n v="0.77"/>
    <n v="0.6"/>
    <n v="0.31"/>
    <x v="2"/>
    <s v="High Exposure"/>
  </r>
  <r>
    <x v="16"/>
    <x v="2371"/>
    <n v="16"/>
    <x v="2"/>
    <n v="0.48"/>
    <n v="0.79"/>
    <x v="89"/>
    <x v="0"/>
    <n v="0.16"/>
    <n v="0.75"/>
    <n v="0.8"/>
    <n v="0.95"/>
    <n v="0.55000000000000004"/>
    <n v="0.53"/>
    <n v="0.92"/>
    <n v="0.8"/>
    <n v="0.76"/>
    <n v="0.79"/>
    <x v="0"/>
    <s v="Medium Exposure"/>
  </r>
  <r>
    <x v="3"/>
    <x v="2372"/>
    <n v="13"/>
    <x v="0"/>
    <n v="0.04"/>
    <n v="0.7"/>
    <x v="23"/>
    <x v="2"/>
    <n v="0.4"/>
    <n v="0.61"/>
    <n v="0.55000000000000004"/>
    <n v="0.44"/>
    <n v="0.23"/>
    <n v="0.72"/>
    <n v="0.91"/>
    <n v="0.77"/>
    <n v="0.12"/>
    <n v="0.54"/>
    <x v="2"/>
    <s v="Low Exposure"/>
  </r>
  <r>
    <x v="9"/>
    <x v="2373"/>
    <n v="8"/>
    <x v="1"/>
    <n v="0.59"/>
    <n v="0.94"/>
    <x v="62"/>
    <x v="0"/>
    <n v="0.33"/>
    <n v="0.24"/>
    <n v="0.2"/>
    <n v="0.59"/>
    <n v="0.51"/>
    <n v="0.73"/>
    <n v="0.31"/>
    <n v="0.46"/>
    <n v="0.68"/>
    <n v="0.96"/>
    <x v="2"/>
    <s v="Medium Exposure"/>
  </r>
  <r>
    <x v="14"/>
    <x v="2374"/>
    <n v="27"/>
    <x v="1"/>
    <n v="0.3"/>
    <n v="0.95"/>
    <x v="51"/>
    <x v="0"/>
    <n v="0.96"/>
    <n v="0.54"/>
    <n v="0.81"/>
    <n v="0.46"/>
    <n v="0.04"/>
    <n v="0.89"/>
    <n v="0.28999999999999998"/>
    <n v="0.14000000000000001"/>
    <n v="1"/>
    <n v="0.35"/>
    <x v="0"/>
    <s v="Medium Exposure"/>
  </r>
  <r>
    <x v="16"/>
    <x v="2375"/>
    <n v="3"/>
    <x v="1"/>
    <n v="0.31"/>
    <n v="1.01"/>
    <x v="28"/>
    <x v="0"/>
    <n v="0.35"/>
    <n v="0.67"/>
    <n v="0.92"/>
    <n v="0.4"/>
    <n v="0.56000000000000005"/>
    <n v="0.64"/>
    <n v="7.0000000000000007E-2"/>
    <n v="0.34"/>
    <n v="0.68"/>
    <n v="0.74"/>
    <x v="1"/>
    <s v="Medium Exposure"/>
  </r>
  <r>
    <x v="19"/>
    <x v="2376"/>
    <n v="6"/>
    <x v="1"/>
    <n v="0.01"/>
    <n v="0.51"/>
    <x v="43"/>
    <x v="2"/>
    <n v="0.55000000000000004"/>
    <n v="0.56000000000000005"/>
    <n v="0.72"/>
    <n v="0.92"/>
    <n v="0.99"/>
    <n v="0.7"/>
    <n v="0.51"/>
    <n v="0.14000000000000001"/>
    <n v="0.38"/>
    <n v="0.56999999999999995"/>
    <x v="2"/>
    <s v="Low Exposure"/>
  </r>
  <r>
    <x v="19"/>
    <x v="2377"/>
    <n v="9"/>
    <x v="2"/>
    <n v="0.13"/>
    <n v="1.29"/>
    <x v="58"/>
    <x v="2"/>
    <n v="0.81"/>
    <n v="0.77"/>
    <n v="0.26"/>
    <n v="0"/>
    <n v="0.23"/>
    <n v="0.79"/>
    <n v="0.11"/>
    <n v="0.3"/>
    <n v="0.56000000000000005"/>
    <n v="0.57999999999999996"/>
    <x v="2"/>
    <s v="Low Exposure"/>
  </r>
  <r>
    <x v="10"/>
    <x v="2378"/>
    <n v="9"/>
    <x v="1"/>
    <n v="0.98"/>
    <n v="0.51"/>
    <x v="11"/>
    <x v="2"/>
    <n v="0.5"/>
    <n v="0.28999999999999998"/>
    <n v="0.53"/>
    <n v="0.67"/>
    <n v="0.67"/>
    <n v="0.09"/>
    <n v="0.8"/>
    <n v="0.93"/>
    <n v="0.12"/>
    <n v="0.42"/>
    <x v="2"/>
    <s v="High Exposure"/>
  </r>
  <r>
    <x v="16"/>
    <x v="2379"/>
    <n v="16"/>
    <x v="0"/>
    <n v="0.83"/>
    <n v="1.03"/>
    <x v="28"/>
    <x v="0"/>
    <n v="0.56999999999999995"/>
    <n v="0.36"/>
    <n v="0.54"/>
    <n v="0.65"/>
    <n v="0.64"/>
    <n v="0.67"/>
    <n v="0.68"/>
    <n v="0.11"/>
    <n v="0.19"/>
    <n v="0.63"/>
    <x v="0"/>
    <s v="High Exposure"/>
  </r>
  <r>
    <x v="4"/>
    <x v="2380"/>
    <n v="13"/>
    <x v="3"/>
    <n v="0.63"/>
    <n v="0.56999999999999995"/>
    <x v="49"/>
    <x v="2"/>
    <n v="0.48"/>
    <n v="0.45"/>
    <n v="0.75"/>
    <n v="0.39"/>
    <n v="0.66"/>
    <n v="0.7"/>
    <n v="0.65"/>
    <n v="0.6"/>
    <n v="0.81"/>
    <n v="0.66"/>
    <x v="2"/>
    <s v="Medium Exposure"/>
  </r>
  <r>
    <x v="13"/>
    <x v="2381"/>
    <n v="29"/>
    <x v="0"/>
    <n v="0.64"/>
    <n v="0.66"/>
    <x v="71"/>
    <x v="2"/>
    <n v="0.33"/>
    <n v="0.09"/>
    <n v="0.69"/>
    <n v="0.6"/>
    <n v="0.59"/>
    <n v="0.48"/>
    <n v="0.54"/>
    <n v="0.01"/>
    <n v="0.1"/>
    <n v="0.68"/>
    <x v="0"/>
    <s v="Medium Exposure"/>
  </r>
  <r>
    <x v="19"/>
    <x v="2382"/>
    <n v="15"/>
    <x v="3"/>
    <n v="0.11"/>
    <n v="0.83"/>
    <x v="10"/>
    <x v="2"/>
    <n v="0.03"/>
    <n v="0.41"/>
    <n v="0.03"/>
    <n v="0"/>
    <n v="0.79"/>
    <n v="0.31"/>
    <n v="0.56999999999999995"/>
    <n v="0.3"/>
    <n v="0.93"/>
    <n v="0.73"/>
    <x v="2"/>
    <s v="Low Exposure"/>
  </r>
  <r>
    <x v="3"/>
    <x v="2383"/>
    <n v="27"/>
    <x v="0"/>
    <n v="0.26"/>
    <n v="1.08"/>
    <x v="43"/>
    <x v="2"/>
    <n v="0.27"/>
    <n v="0.69"/>
    <n v="0.89"/>
    <n v="0.04"/>
    <n v="0.42"/>
    <n v="0.59"/>
    <n v="0.59"/>
    <n v="0.02"/>
    <n v="0.21"/>
    <n v="0.06"/>
    <x v="0"/>
    <s v="Low Exposure"/>
  </r>
  <r>
    <x v="4"/>
    <x v="2384"/>
    <n v="11"/>
    <x v="2"/>
    <n v="0.65"/>
    <n v="0.66"/>
    <x v="87"/>
    <x v="2"/>
    <n v="0.33"/>
    <n v="0.82"/>
    <n v="0.19"/>
    <n v="0.55000000000000004"/>
    <n v="0.78"/>
    <n v="0.83"/>
    <n v="0.67"/>
    <n v="0.3"/>
    <n v="0.82"/>
    <n v="0.74"/>
    <x v="2"/>
    <s v="Medium Exposure"/>
  </r>
  <r>
    <x v="7"/>
    <x v="2385"/>
    <n v="18"/>
    <x v="0"/>
    <n v="7.0000000000000007E-2"/>
    <n v="0.54"/>
    <x v="29"/>
    <x v="1"/>
    <n v="0.94"/>
    <n v="0.77"/>
    <n v="0.83"/>
    <n v="0.54"/>
    <n v="0.3"/>
    <n v="0.68"/>
    <n v="0.71"/>
    <n v="0.68"/>
    <n v="0.95"/>
    <n v="0.37"/>
    <x v="0"/>
    <s v="Low Exposure"/>
  </r>
  <r>
    <x v="7"/>
    <x v="2386"/>
    <n v="28"/>
    <x v="2"/>
    <n v="0.91"/>
    <n v="0.66"/>
    <x v="29"/>
    <x v="1"/>
    <n v="0.87"/>
    <n v="0.31"/>
    <n v="0.83"/>
    <n v="0.33"/>
    <n v="0.79"/>
    <n v="7.0000000000000007E-2"/>
    <n v="0.66"/>
    <n v="0.68"/>
    <n v="0.49"/>
    <n v="0.69"/>
    <x v="0"/>
    <s v="High Exposure"/>
  </r>
  <r>
    <x v="11"/>
    <x v="2387"/>
    <n v="28"/>
    <x v="2"/>
    <n v="0.73"/>
    <n v="1.46"/>
    <x v="8"/>
    <x v="2"/>
    <n v="0.53"/>
    <n v="0.26"/>
    <n v="0.99"/>
    <n v="0.06"/>
    <n v="0.36"/>
    <n v="0.3"/>
    <n v="0.39"/>
    <n v="0.92"/>
    <n v="0.37"/>
    <n v="0.92"/>
    <x v="0"/>
    <s v="High Exposure"/>
  </r>
  <r>
    <x v="4"/>
    <x v="2388"/>
    <n v="5"/>
    <x v="3"/>
    <n v="0.17"/>
    <n v="1.3"/>
    <x v="10"/>
    <x v="2"/>
    <n v="0.09"/>
    <n v="0.23"/>
    <n v="0.89"/>
    <n v="0.28000000000000003"/>
    <n v="0.7"/>
    <n v="0.4"/>
    <n v="0.26"/>
    <n v="0.14000000000000001"/>
    <n v="0.97"/>
    <n v="0.52"/>
    <x v="1"/>
    <s v="Low Exposure"/>
  </r>
  <r>
    <x v="11"/>
    <x v="2389"/>
    <n v="4"/>
    <x v="1"/>
    <n v="0.2"/>
    <n v="0.91"/>
    <x v="43"/>
    <x v="2"/>
    <n v="0.18"/>
    <n v="0.28000000000000003"/>
    <n v="0.78"/>
    <n v="0.42"/>
    <n v="0"/>
    <n v="0.05"/>
    <n v="0.44"/>
    <n v="0.06"/>
    <n v="0.17"/>
    <n v="0.73"/>
    <x v="1"/>
    <s v="Low Exposure"/>
  </r>
  <r>
    <x v="8"/>
    <x v="2390"/>
    <n v="29"/>
    <x v="1"/>
    <n v="0.52"/>
    <n v="0.63"/>
    <x v="53"/>
    <x v="2"/>
    <n v="0.05"/>
    <n v="0.85"/>
    <n v="0.95"/>
    <n v="0.12"/>
    <n v="0.21"/>
    <n v="0.09"/>
    <n v="0.88"/>
    <n v="0.96"/>
    <n v="0.26"/>
    <n v="0.3"/>
    <x v="0"/>
    <s v="Medium Exposure"/>
  </r>
  <r>
    <x v="4"/>
    <x v="2391"/>
    <n v="3"/>
    <x v="0"/>
    <n v="0.19"/>
    <n v="0.5"/>
    <x v="55"/>
    <x v="2"/>
    <n v="0.62"/>
    <n v="0.04"/>
    <n v="0.43"/>
    <n v="0.5"/>
    <n v="0.91"/>
    <n v="0.47"/>
    <n v="0.14000000000000001"/>
    <n v="0.28999999999999998"/>
    <n v="0.67"/>
    <n v="0.11"/>
    <x v="1"/>
    <s v="Low Exposure"/>
  </r>
  <r>
    <x v="2"/>
    <x v="2392"/>
    <n v="23"/>
    <x v="1"/>
    <n v="1"/>
    <n v="0.51"/>
    <x v="44"/>
    <x v="0"/>
    <n v="0.84"/>
    <n v="0.1"/>
    <n v="0.03"/>
    <n v="0.12"/>
    <n v="0.69"/>
    <n v="0.99"/>
    <n v="0.59"/>
    <n v="0.12"/>
    <n v="0.18"/>
    <n v="0.54"/>
    <x v="0"/>
    <s v="High Exposure"/>
  </r>
  <r>
    <x v="10"/>
    <x v="2393"/>
    <n v="25"/>
    <x v="1"/>
    <n v="0.66"/>
    <n v="1.07"/>
    <x v="66"/>
    <x v="2"/>
    <n v="0.2"/>
    <n v="0.17"/>
    <n v="0.86"/>
    <n v="0.28999999999999998"/>
    <n v="0.33"/>
    <n v="0.55000000000000004"/>
    <n v="0.38"/>
    <n v="0.28999999999999998"/>
    <n v="0.92"/>
    <n v="0.13"/>
    <x v="0"/>
    <s v="Medium Exposure"/>
  </r>
  <r>
    <x v="2"/>
    <x v="2394"/>
    <n v="21"/>
    <x v="2"/>
    <n v="0"/>
    <n v="1.31"/>
    <x v="44"/>
    <x v="0"/>
    <n v="0.77"/>
    <n v="0.15"/>
    <n v="0.42"/>
    <n v="0.73"/>
    <n v="0.27"/>
    <n v="0.31"/>
    <n v="0.67"/>
    <n v="0.19"/>
    <n v="0.95"/>
    <n v="0.19"/>
    <x v="0"/>
    <s v="Low Exposure"/>
  </r>
  <r>
    <x v="6"/>
    <x v="2395"/>
    <n v="13"/>
    <x v="1"/>
    <n v="0.8"/>
    <n v="0.87"/>
    <x v="46"/>
    <x v="2"/>
    <n v="0.17"/>
    <n v="0.99"/>
    <n v="0.73"/>
    <n v="0.45"/>
    <n v="0.26"/>
    <n v="0.02"/>
    <n v="0.67"/>
    <n v="0.96"/>
    <n v="0.11"/>
    <n v="0.75"/>
    <x v="2"/>
    <s v="High Exposure"/>
  </r>
  <r>
    <x v="14"/>
    <x v="2396"/>
    <n v="10"/>
    <x v="1"/>
    <n v="0.79"/>
    <n v="0.87"/>
    <x v="51"/>
    <x v="0"/>
    <n v="0.93"/>
    <n v="0.62"/>
    <n v="0.92"/>
    <n v="0.24"/>
    <n v="0.98"/>
    <n v="0.87"/>
    <n v="0.11"/>
    <n v="0.41"/>
    <n v="0.93"/>
    <n v="0.08"/>
    <x v="2"/>
    <s v="High Exposure"/>
  </r>
  <r>
    <x v="18"/>
    <x v="2397"/>
    <n v="11"/>
    <x v="3"/>
    <n v="0.72"/>
    <n v="0.53"/>
    <x v="52"/>
    <x v="1"/>
    <n v="0.36"/>
    <n v="0.25"/>
    <n v="0.57999999999999996"/>
    <n v="0.54"/>
    <n v="0.87"/>
    <n v="0.68"/>
    <n v="0.42"/>
    <n v="0.65"/>
    <n v="0.75"/>
    <n v="0.94"/>
    <x v="2"/>
    <s v="High Exposure"/>
  </r>
  <r>
    <x v="18"/>
    <x v="2398"/>
    <n v="1"/>
    <x v="2"/>
    <n v="0.54"/>
    <n v="0.87"/>
    <x v="15"/>
    <x v="1"/>
    <n v="0.79"/>
    <n v="0.08"/>
    <n v="0.7"/>
    <n v="0.54"/>
    <n v="0.1"/>
    <n v="0.56000000000000005"/>
    <n v="0.19"/>
    <n v="0.71"/>
    <n v="0.28000000000000003"/>
    <n v="0.15"/>
    <x v="1"/>
    <s v="Medium Exposure"/>
  </r>
  <r>
    <x v="12"/>
    <x v="2399"/>
    <n v="25"/>
    <x v="3"/>
    <n v="0.49"/>
    <n v="0.7"/>
    <x v="4"/>
    <x v="2"/>
    <n v="0"/>
    <n v="0.84"/>
    <n v="0.52"/>
    <n v="0.92"/>
    <n v="0.2"/>
    <n v="0.1"/>
    <n v="0.62"/>
    <n v="0.71"/>
    <n v="0.37"/>
    <n v="0.01"/>
    <x v="0"/>
    <s v="Medium Exposure"/>
  </r>
  <r>
    <x v="1"/>
    <x v="2400"/>
    <n v="2"/>
    <x v="0"/>
    <n v="0.23"/>
    <n v="0.85"/>
    <x v="82"/>
    <x v="1"/>
    <n v="0.7"/>
    <n v="0.96"/>
    <n v="0.14000000000000001"/>
    <n v="0.68"/>
    <n v="0.23"/>
    <n v="0.22"/>
    <n v="0.63"/>
    <n v="0.78"/>
    <n v="0.98"/>
    <n v="0.77"/>
    <x v="1"/>
    <s v="Low Exposure"/>
  </r>
  <r>
    <x v="6"/>
    <x v="2401"/>
    <n v="19"/>
    <x v="2"/>
    <n v="0.23"/>
    <n v="1.26"/>
    <x v="50"/>
    <x v="2"/>
    <n v="0.3"/>
    <n v="0.47"/>
    <n v="0.91"/>
    <n v="0.76"/>
    <n v="0.45"/>
    <n v="0.98"/>
    <n v="0.79"/>
    <n v="0.01"/>
    <n v="0.11"/>
    <n v="0.55000000000000004"/>
    <x v="0"/>
    <s v="Low Exposure"/>
  </r>
  <r>
    <x v="10"/>
    <x v="2402"/>
    <n v="24"/>
    <x v="0"/>
    <n v="0.81"/>
    <n v="1.4"/>
    <x v="10"/>
    <x v="2"/>
    <n v="0.76"/>
    <n v="0.54"/>
    <n v="0.39"/>
    <n v="0.79"/>
    <n v="0.56000000000000005"/>
    <n v="0.64"/>
    <n v="0.06"/>
    <n v="0.59"/>
    <n v="0.3"/>
    <n v="0.49"/>
    <x v="0"/>
    <s v="High Exposure"/>
  </r>
  <r>
    <x v="17"/>
    <x v="2403"/>
    <n v="3"/>
    <x v="0"/>
    <n v="0.61"/>
    <n v="0.65"/>
    <x v="53"/>
    <x v="2"/>
    <n v="0.19"/>
    <n v="0.82"/>
    <n v="0.03"/>
    <n v="0.73"/>
    <n v="0.06"/>
    <n v="0.59"/>
    <n v="0.77"/>
    <n v="0.23"/>
    <n v="0.2"/>
    <n v="0.28999999999999998"/>
    <x v="1"/>
    <s v="Medium Exposure"/>
  </r>
  <r>
    <x v="16"/>
    <x v="2404"/>
    <n v="0"/>
    <x v="2"/>
    <n v="0.49"/>
    <n v="1.23"/>
    <x v="90"/>
    <x v="0"/>
    <n v="0.13"/>
    <n v="0.44"/>
    <n v="0.16"/>
    <n v="0.75"/>
    <n v="0.17"/>
    <n v="0.48"/>
    <n v="0.69"/>
    <n v="0.23"/>
    <n v="0.08"/>
    <n v="0.56000000000000005"/>
    <x v="1"/>
    <s v="Medium Exposure"/>
  </r>
  <r>
    <x v="18"/>
    <x v="2405"/>
    <n v="16"/>
    <x v="1"/>
    <n v="0.59"/>
    <n v="1.25"/>
    <x v="61"/>
    <x v="1"/>
    <n v="0.49"/>
    <n v="0.93"/>
    <n v="0.47"/>
    <n v="1"/>
    <n v="0.16"/>
    <n v="0.71"/>
    <n v="0.65"/>
    <n v="0.87"/>
    <n v="0.09"/>
    <n v="0.28000000000000003"/>
    <x v="0"/>
    <s v="Medium Exposure"/>
  </r>
  <r>
    <x v="19"/>
    <x v="2406"/>
    <n v="3"/>
    <x v="1"/>
    <n v="0.93"/>
    <n v="0.93"/>
    <x v="72"/>
    <x v="2"/>
    <n v="0.28999999999999998"/>
    <n v="0.13"/>
    <n v="0.3"/>
    <n v="0.6"/>
    <n v="0.85"/>
    <n v="0.39"/>
    <n v="0.91"/>
    <n v="0.24"/>
    <n v="0.69"/>
    <n v="0.74"/>
    <x v="1"/>
    <s v="High Exposure"/>
  </r>
  <r>
    <x v="2"/>
    <x v="2407"/>
    <n v="26"/>
    <x v="1"/>
    <n v="0.03"/>
    <n v="0.87"/>
    <x v="76"/>
    <x v="0"/>
    <n v="0.9"/>
    <n v="0.95"/>
    <n v="0.74"/>
    <n v="0.73"/>
    <n v="0.24"/>
    <n v="7.0000000000000007E-2"/>
    <n v="0.8"/>
    <n v="0.56000000000000005"/>
    <n v="0.68"/>
    <n v="0.78"/>
    <x v="0"/>
    <s v="Low Exposure"/>
  </r>
  <r>
    <x v="4"/>
    <x v="2408"/>
    <n v="28"/>
    <x v="3"/>
    <n v="0.14000000000000001"/>
    <n v="1.3"/>
    <x v="8"/>
    <x v="2"/>
    <n v="0.83"/>
    <n v="0.44"/>
    <n v="0.22"/>
    <n v="0.17"/>
    <n v="0.74"/>
    <n v="0.56999999999999995"/>
    <n v="0.4"/>
    <n v="0.49"/>
    <n v="0.55000000000000004"/>
    <n v="0.24"/>
    <x v="0"/>
    <s v="Low Exposure"/>
  </r>
  <r>
    <x v="10"/>
    <x v="2409"/>
    <n v="2"/>
    <x v="2"/>
    <n v="0.28999999999999998"/>
    <n v="0.89"/>
    <x v="11"/>
    <x v="2"/>
    <n v="0.17"/>
    <n v="0.39"/>
    <n v="0.39"/>
    <n v="0.28999999999999998"/>
    <n v="1"/>
    <n v="7.0000000000000007E-2"/>
    <n v="0.64"/>
    <n v="0.17"/>
    <n v="0.84"/>
    <n v="0.91"/>
    <x v="1"/>
    <s v="Low Exposure"/>
  </r>
  <r>
    <x v="0"/>
    <x v="2410"/>
    <n v="15"/>
    <x v="2"/>
    <n v="0.82"/>
    <n v="0.75"/>
    <x v="44"/>
    <x v="0"/>
    <n v="0.32"/>
    <n v="0.34"/>
    <n v="0.4"/>
    <n v="0.37"/>
    <n v="0.41"/>
    <n v="0.71"/>
    <n v="0.25"/>
    <n v="0.02"/>
    <n v="0.49"/>
    <n v="0.45"/>
    <x v="2"/>
    <s v="High Exposure"/>
  </r>
  <r>
    <x v="9"/>
    <x v="2411"/>
    <n v="5"/>
    <x v="1"/>
    <n v="0.13"/>
    <n v="1.01"/>
    <x v="39"/>
    <x v="0"/>
    <n v="0.88"/>
    <n v="0.17"/>
    <n v="0.02"/>
    <n v="0.45"/>
    <n v="0.99"/>
    <n v="0.63"/>
    <n v="0.35"/>
    <n v="0.02"/>
    <n v="0.48"/>
    <n v="0.21"/>
    <x v="1"/>
    <s v="Low Exposure"/>
  </r>
  <r>
    <x v="6"/>
    <x v="2412"/>
    <n v="18"/>
    <x v="1"/>
    <n v="0.57999999999999996"/>
    <n v="0.77"/>
    <x v="20"/>
    <x v="2"/>
    <n v="0.76"/>
    <n v="0.59"/>
    <n v="0.84"/>
    <n v="0.26"/>
    <n v="0.65"/>
    <n v="0.12"/>
    <n v="0.28999999999999998"/>
    <n v="0.66"/>
    <n v="0.83"/>
    <n v="0.32"/>
    <x v="0"/>
    <s v="Medium Exposure"/>
  </r>
  <r>
    <x v="16"/>
    <x v="2413"/>
    <n v="10"/>
    <x v="1"/>
    <n v="0.68"/>
    <n v="0.85"/>
    <x v="24"/>
    <x v="0"/>
    <n v="0.51"/>
    <n v="0.65"/>
    <n v="0.5"/>
    <n v="0.45"/>
    <n v="0.85"/>
    <n v="0.28999999999999998"/>
    <n v="0.04"/>
    <n v="0.88"/>
    <n v="0.83"/>
    <n v="0.37"/>
    <x v="2"/>
    <s v="Medium Exposure"/>
  </r>
  <r>
    <x v="12"/>
    <x v="2414"/>
    <n v="15"/>
    <x v="3"/>
    <n v="0.68"/>
    <n v="0.57999999999999996"/>
    <x v="25"/>
    <x v="2"/>
    <n v="0.09"/>
    <n v="0.6"/>
    <n v="0.03"/>
    <n v="0.63"/>
    <n v="0.67"/>
    <n v="0.49"/>
    <n v="0.18"/>
    <n v="0.1"/>
    <n v="0.31"/>
    <n v="0.47"/>
    <x v="2"/>
    <s v="Medium Exposure"/>
  </r>
  <r>
    <x v="12"/>
    <x v="2415"/>
    <n v="18"/>
    <x v="1"/>
    <n v="0"/>
    <n v="1.21"/>
    <x v="31"/>
    <x v="2"/>
    <n v="0.44"/>
    <n v="0.34"/>
    <n v="0.84"/>
    <n v="0.78"/>
    <n v="0.98"/>
    <n v="0.37"/>
    <n v="0.91"/>
    <n v="0.09"/>
    <n v="0.41"/>
    <n v="0.47"/>
    <x v="0"/>
    <s v="Low Exposure"/>
  </r>
  <r>
    <x v="15"/>
    <x v="2416"/>
    <n v="5"/>
    <x v="0"/>
    <n v="0.63"/>
    <n v="0.67"/>
    <x v="15"/>
    <x v="1"/>
    <n v="0.55000000000000004"/>
    <n v="0.9"/>
    <n v="0"/>
    <n v="0.63"/>
    <n v="0.41"/>
    <n v="0.51"/>
    <n v="0.74"/>
    <n v="0.23"/>
    <n v="0.2"/>
    <n v="0.7"/>
    <x v="1"/>
    <s v="Medium Exposure"/>
  </r>
  <r>
    <x v="4"/>
    <x v="2417"/>
    <n v="8"/>
    <x v="0"/>
    <n v="0.23"/>
    <n v="0.98"/>
    <x v="8"/>
    <x v="2"/>
    <n v="0.69"/>
    <n v="0"/>
    <n v="0.59"/>
    <n v="0.61"/>
    <n v="0.75"/>
    <n v="0.89"/>
    <n v="0.44"/>
    <n v="0.34"/>
    <n v="0.1"/>
    <n v="0.34"/>
    <x v="2"/>
    <s v="Low Exposure"/>
  </r>
  <r>
    <x v="3"/>
    <x v="2418"/>
    <n v="6"/>
    <x v="3"/>
    <n v="0.8"/>
    <n v="1.31"/>
    <x v="25"/>
    <x v="2"/>
    <n v="0.26"/>
    <n v="0.12"/>
    <n v="0.85"/>
    <n v="0.88"/>
    <n v="0.27"/>
    <n v="0.62"/>
    <n v="0.26"/>
    <n v="0.23"/>
    <n v="0.02"/>
    <n v="0.57999999999999996"/>
    <x v="2"/>
    <s v="High Exposure"/>
  </r>
  <r>
    <x v="2"/>
    <x v="2419"/>
    <n v="25"/>
    <x v="0"/>
    <n v="0.01"/>
    <n v="0.6"/>
    <x v="80"/>
    <x v="0"/>
    <n v="0.67"/>
    <n v="0.2"/>
    <n v="0.89"/>
    <n v="0.28999999999999998"/>
    <n v="0.33"/>
    <n v="0.22"/>
    <n v="0.25"/>
    <n v="7.0000000000000007E-2"/>
    <n v="0.28999999999999998"/>
    <n v="0.86"/>
    <x v="0"/>
    <s v="Low Exposure"/>
  </r>
  <r>
    <x v="5"/>
    <x v="2420"/>
    <n v="13"/>
    <x v="3"/>
    <n v="0.88"/>
    <n v="0.6"/>
    <x v="74"/>
    <x v="1"/>
    <n v="0.23"/>
    <n v="0.72"/>
    <n v="0.97"/>
    <n v="0.82"/>
    <n v="0.04"/>
    <n v="0.32"/>
    <n v="0.03"/>
    <n v="0.04"/>
    <n v="0.08"/>
    <n v="0.28000000000000003"/>
    <x v="2"/>
    <s v="High Exposure"/>
  </r>
  <r>
    <x v="5"/>
    <x v="2421"/>
    <n v="1"/>
    <x v="0"/>
    <n v="0.4"/>
    <n v="0.9"/>
    <x v="52"/>
    <x v="1"/>
    <n v="0.14000000000000001"/>
    <n v="0.16"/>
    <n v="0.63"/>
    <n v="0.56999999999999995"/>
    <n v="0.15"/>
    <n v="0.85"/>
    <n v="0.33"/>
    <n v="0.37"/>
    <n v="0.42"/>
    <n v="0.32"/>
    <x v="1"/>
    <s v="Medium Exposure"/>
  </r>
  <r>
    <x v="4"/>
    <x v="2422"/>
    <n v="3"/>
    <x v="3"/>
    <n v="0.39"/>
    <n v="0.76"/>
    <x v="72"/>
    <x v="2"/>
    <n v="0.31"/>
    <n v="0.7"/>
    <n v="0.35"/>
    <n v="0.44"/>
    <n v="0.24"/>
    <n v="0.75"/>
    <n v="0.74"/>
    <n v="0.02"/>
    <n v="0.06"/>
    <n v="0.92"/>
    <x v="1"/>
    <s v="Medium Exposure"/>
  </r>
  <r>
    <x v="12"/>
    <x v="2423"/>
    <n v="19"/>
    <x v="2"/>
    <n v="0.51"/>
    <n v="0.99"/>
    <x v="69"/>
    <x v="2"/>
    <n v="0.14000000000000001"/>
    <n v="0.65"/>
    <n v="0.48"/>
    <n v="0.74"/>
    <n v="0.03"/>
    <n v="0.59"/>
    <n v="0.56000000000000005"/>
    <n v="0.84"/>
    <n v="0.68"/>
    <n v="0.88"/>
    <x v="0"/>
    <s v="Medium Exposure"/>
  </r>
  <r>
    <x v="13"/>
    <x v="2424"/>
    <n v="3"/>
    <x v="1"/>
    <n v="0.41"/>
    <n v="0.64"/>
    <x v="33"/>
    <x v="2"/>
    <n v="0.87"/>
    <n v="7.0000000000000007E-2"/>
    <n v="0.56000000000000005"/>
    <n v="0.11"/>
    <n v="0.03"/>
    <n v="0.68"/>
    <n v="0.68"/>
    <n v="0.6"/>
    <n v="0.86"/>
    <n v="0.08"/>
    <x v="1"/>
    <s v="Medium Exposure"/>
  </r>
  <r>
    <x v="4"/>
    <x v="2425"/>
    <n v="27"/>
    <x v="3"/>
    <n v="0.86"/>
    <n v="1"/>
    <x v="6"/>
    <x v="2"/>
    <n v="0.74"/>
    <n v="0.89"/>
    <n v="0.69"/>
    <n v="0.79"/>
    <n v="0.28000000000000003"/>
    <n v="0.28999999999999998"/>
    <n v="0.86"/>
    <n v="0.61"/>
    <n v="0.23"/>
    <n v="0.52"/>
    <x v="0"/>
    <s v="High Exposure"/>
  </r>
  <r>
    <x v="11"/>
    <x v="2426"/>
    <n v="0"/>
    <x v="2"/>
    <n v="0.22"/>
    <n v="1.1499999999999999"/>
    <x v="86"/>
    <x v="2"/>
    <n v="0.3"/>
    <n v="0.67"/>
    <n v="0.15"/>
    <n v="0.22"/>
    <n v="0.88"/>
    <n v="0.67"/>
    <n v="0.5"/>
    <n v="0.21"/>
    <n v="0.34"/>
    <n v="0.56999999999999995"/>
    <x v="1"/>
    <s v="Low Exposure"/>
  </r>
  <r>
    <x v="8"/>
    <x v="2427"/>
    <n v="17"/>
    <x v="0"/>
    <n v="0.48"/>
    <n v="0.91"/>
    <x v="78"/>
    <x v="2"/>
    <n v="0.11"/>
    <n v="0.11"/>
    <n v="0.96"/>
    <n v="0.98"/>
    <n v="0.43"/>
    <n v="0.79"/>
    <n v="0.66"/>
    <n v="0.12"/>
    <n v="0.3"/>
    <n v="0.31"/>
    <x v="0"/>
    <s v="Medium Exposure"/>
  </r>
  <r>
    <x v="2"/>
    <x v="2428"/>
    <n v="7"/>
    <x v="2"/>
    <n v="0.57999999999999996"/>
    <n v="1.42"/>
    <x v="40"/>
    <x v="0"/>
    <n v="0.86"/>
    <n v="0.89"/>
    <n v="0.8"/>
    <n v="0.33"/>
    <n v="0.22"/>
    <n v="0.56999999999999995"/>
    <n v="0.69"/>
    <n v="0.39"/>
    <n v="0.85"/>
    <n v="0.96"/>
    <x v="2"/>
    <s v="Medium Exposure"/>
  </r>
  <r>
    <x v="5"/>
    <x v="2429"/>
    <n v="11"/>
    <x v="0"/>
    <n v="0.21"/>
    <n v="1.3"/>
    <x v="74"/>
    <x v="1"/>
    <n v="0.18"/>
    <n v="0.66"/>
    <n v="0.6"/>
    <n v="0.17"/>
    <n v="0.87"/>
    <n v="0.85"/>
    <n v="0.84"/>
    <n v="0.4"/>
    <n v="0.82"/>
    <n v="0.84"/>
    <x v="2"/>
    <s v="Low Exposure"/>
  </r>
  <r>
    <x v="0"/>
    <x v="2430"/>
    <n v="7"/>
    <x v="3"/>
    <n v="0.96"/>
    <n v="0.88"/>
    <x v="73"/>
    <x v="0"/>
    <n v="0.28999999999999998"/>
    <n v="0.49"/>
    <n v="0.81"/>
    <n v="0.72"/>
    <n v="0.79"/>
    <n v="0.38"/>
    <n v="0.25"/>
    <n v="0.02"/>
    <n v="0.63"/>
    <n v="0.8"/>
    <x v="2"/>
    <s v="High Exposure"/>
  </r>
  <r>
    <x v="7"/>
    <x v="2431"/>
    <n v="8"/>
    <x v="2"/>
    <n v="0.48"/>
    <n v="1.43"/>
    <x v="5"/>
    <x v="1"/>
    <n v="0.51"/>
    <n v="0.21"/>
    <n v="0.19"/>
    <n v="0.95"/>
    <n v="0.82"/>
    <n v="0.01"/>
    <n v="0.27"/>
    <n v="0.21"/>
    <n v="0.15"/>
    <n v="0.7"/>
    <x v="2"/>
    <s v="Medium Exposure"/>
  </r>
  <r>
    <x v="7"/>
    <x v="2432"/>
    <n v="0"/>
    <x v="1"/>
    <n v="0.45"/>
    <n v="0.69"/>
    <x v="54"/>
    <x v="1"/>
    <n v="0.36"/>
    <n v="0.79"/>
    <n v="0.99"/>
    <n v="0.18"/>
    <n v="0.34"/>
    <n v="0.28000000000000003"/>
    <n v="0.04"/>
    <n v="0.22"/>
    <n v="0.9"/>
    <n v="0.84"/>
    <x v="1"/>
    <s v="Medium Exposure"/>
  </r>
  <r>
    <x v="4"/>
    <x v="2433"/>
    <n v="15"/>
    <x v="1"/>
    <n v="0.37"/>
    <n v="0.81"/>
    <x v="46"/>
    <x v="2"/>
    <n v="0.62"/>
    <n v="0.56000000000000005"/>
    <n v="0.43"/>
    <n v="0.86"/>
    <n v="0.62"/>
    <n v="0.26"/>
    <n v="0.37"/>
    <n v="0.15"/>
    <n v="0.59"/>
    <n v="0.59"/>
    <x v="2"/>
    <s v="Medium Exposure"/>
  </r>
  <r>
    <x v="4"/>
    <x v="2434"/>
    <n v="4"/>
    <x v="3"/>
    <n v="0.2"/>
    <n v="0.7"/>
    <x v="53"/>
    <x v="2"/>
    <n v="0.61"/>
    <n v="0.69"/>
    <n v="0.7"/>
    <n v="0.53"/>
    <n v="0.95"/>
    <n v="0.88"/>
    <n v="0.96"/>
    <n v="0.39"/>
    <n v="0.88"/>
    <n v="0.76"/>
    <x v="1"/>
    <s v="Low Exposure"/>
  </r>
  <r>
    <x v="10"/>
    <x v="2435"/>
    <n v="17"/>
    <x v="0"/>
    <n v="0.11"/>
    <n v="1.18"/>
    <x v="53"/>
    <x v="2"/>
    <n v="0.28999999999999998"/>
    <n v="0.5"/>
    <n v="0.68"/>
    <n v="0.93"/>
    <n v="0.59"/>
    <n v="0.67"/>
    <n v="0.31"/>
    <n v="0.69"/>
    <n v="0.44"/>
    <n v="0.86"/>
    <x v="0"/>
    <s v="Low Exposure"/>
  </r>
  <r>
    <x v="7"/>
    <x v="2436"/>
    <n v="4"/>
    <x v="1"/>
    <n v="0.47"/>
    <n v="0.93"/>
    <x v="88"/>
    <x v="1"/>
    <n v="0.95"/>
    <n v="0.33"/>
    <n v="0.48"/>
    <n v="0.71"/>
    <n v="0.9"/>
    <n v="0.49"/>
    <n v="0.11"/>
    <n v="0.37"/>
    <n v="0.55000000000000004"/>
    <n v="0.42"/>
    <x v="1"/>
    <s v="Medium Exposure"/>
  </r>
  <r>
    <x v="18"/>
    <x v="2437"/>
    <n v="16"/>
    <x v="2"/>
    <n v="0.04"/>
    <n v="1.19"/>
    <x v="85"/>
    <x v="1"/>
    <n v="0.92"/>
    <n v="0.68"/>
    <n v="0.84"/>
    <n v="0.26"/>
    <n v="0.62"/>
    <n v="0.06"/>
    <n v="0.71"/>
    <n v="0.97"/>
    <n v="0.86"/>
    <n v="0.53"/>
    <x v="0"/>
    <s v="Low Exposure"/>
  </r>
  <r>
    <x v="10"/>
    <x v="2438"/>
    <n v="12"/>
    <x v="2"/>
    <n v="0.94"/>
    <n v="0.72"/>
    <x v="69"/>
    <x v="2"/>
    <n v="0.27"/>
    <n v="0.88"/>
    <n v="0.1"/>
    <n v="0.18"/>
    <n v="0.72"/>
    <n v="0.17"/>
    <n v="0.16"/>
    <n v="0.56000000000000005"/>
    <n v="0.83"/>
    <n v="0.27"/>
    <x v="2"/>
    <s v="High Exposure"/>
  </r>
  <r>
    <x v="8"/>
    <x v="2439"/>
    <n v="2"/>
    <x v="3"/>
    <n v="0.81"/>
    <n v="1.08"/>
    <x v="23"/>
    <x v="2"/>
    <n v="0.04"/>
    <n v="0.37"/>
    <n v="0.26"/>
    <n v="0.15"/>
    <n v="0.39"/>
    <n v="0.35"/>
    <n v="0.73"/>
    <n v="0.6"/>
    <n v="0.91"/>
    <n v="0.15"/>
    <x v="1"/>
    <s v="High Exposure"/>
  </r>
  <r>
    <x v="15"/>
    <x v="2440"/>
    <n v="23"/>
    <x v="1"/>
    <n v="0.53"/>
    <n v="0.5"/>
    <x v="88"/>
    <x v="1"/>
    <n v="0.51"/>
    <n v="0.49"/>
    <n v="0.36"/>
    <n v="0.37"/>
    <n v="0.43"/>
    <n v="0.02"/>
    <n v="0.08"/>
    <n v="0.51"/>
    <n v="0.15"/>
    <n v="0.78"/>
    <x v="0"/>
    <s v="Medium Exposure"/>
  </r>
  <r>
    <x v="7"/>
    <x v="2441"/>
    <n v="15"/>
    <x v="2"/>
    <n v="0.1"/>
    <n v="0.74"/>
    <x v="41"/>
    <x v="1"/>
    <n v="0.04"/>
    <n v="0.14000000000000001"/>
    <n v="0.32"/>
    <n v="0.31"/>
    <n v="0.8"/>
    <n v="0.84"/>
    <n v="0.19"/>
    <n v="0.12"/>
    <n v="0.63"/>
    <n v="0.8"/>
    <x v="2"/>
    <s v="Low Exposure"/>
  </r>
  <r>
    <x v="8"/>
    <x v="2442"/>
    <n v="3"/>
    <x v="2"/>
    <n v="0.01"/>
    <n v="0.91"/>
    <x v="31"/>
    <x v="2"/>
    <n v="0.83"/>
    <n v="0.06"/>
    <n v="0.68"/>
    <n v="0.28999999999999998"/>
    <n v="7.0000000000000007E-2"/>
    <n v="0.49"/>
    <n v="0.16"/>
    <n v="0.74"/>
    <n v="0.74"/>
    <n v="0.84"/>
    <x v="1"/>
    <s v="Low Exposure"/>
  </r>
  <r>
    <x v="12"/>
    <x v="2443"/>
    <n v="8"/>
    <x v="1"/>
    <n v="0.01"/>
    <n v="0.76"/>
    <x v="78"/>
    <x v="2"/>
    <n v="0.69"/>
    <n v="0.38"/>
    <n v="0.54"/>
    <n v="0.52"/>
    <n v="0.16"/>
    <n v="0.62"/>
    <n v="0.44"/>
    <n v="0.81"/>
    <n v="0.69"/>
    <n v="0.11"/>
    <x v="2"/>
    <s v="Low Exposure"/>
  </r>
  <r>
    <x v="0"/>
    <x v="2444"/>
    <n v="14"/>
    <x v="0"/>
    <n v="0.7"/>
    <n v="0.59"/>
    <x v="40"/>
    <x v="0"/>
    <n v="0.22"/>
    <n v="0.5"/>
    <n v="0.94"/>
    <n v="0.56999999999999995"/>
    <n v="0.42"/>
    <n v="0.01"/>
    <n v="0.13"/>
    <n v="0.57999999999999996"/>
    <n v="0.49"/>
    <n v="0.36"/>
    <x v="2"/>
    <s v="High Exposure"/>
  </r>
  <r>
    <x v="17"/>
    <x v="381"/>
    <n v="17"/>
    <x v="0"/>
    <n v="0.77"/>
    <n v="0.62"/>
    <x v="14"/>
    <x v="2"/>
    <n v="0.91"/>
    <n v="0.18"/>
    <n v="0.84"/>
    <n v="0.12"/>
    <n v="0.56999999999999995"/>
    <n v="0.34"/>
    <n v="0.47"/>
    <n v="0.3"/>
    <n v="0.26"/>
    <n v="0.74"/>
    <x v="0"/>
    <s v="High Exposure"/>
  </r>
  <r>
    <x v="10"/>
    <x v="2445"/>
    <n v="23"/>
    <x v="2"/>
    <n v="0.87"/>
    <n v="0.89"/>
    <x v="69"/>
    <x v="2"/>
    <n v="0.26"/>
    <n v="0.66"/>
    <n v="0.1"/>
    <n v="0.02"/>
    <n v="0.1"/>
    <n v="0.32"/>
    <n v="0.03"/>
    <n v="0.63"/>
    <n v="0.32"/>
    <n v="0.74"/>
    <x v="0"/>
    <s v="High Exposure"/>
  </r>
  <r>
    <x v="7"/>
    <x v="2446"/>
    <n v="9"/>
    <x v="0"/>
    <n v="0.22"/>
    <n v="0.91"/>
    <x v="18"/>
    <x v="1"/>
    <n v="0.13"/>
    <n v="0.99"/>
    <n v="0.28000000000000003"/>
    <n v="0.72"/>
    <n v="0.22"/>
    <n v="0.88"/>
    <n v="0.39"/>
    <n v="0.9"/>
    <n v="0.34"/>
    <n v="0.01"/>
    <x v="2"/>
    <s v="Low Exposure"/>
  </r>
  <r>
    <x v="6"/>
    <x v="2447"/>
    <n v="12"/>
    <x v="3"/>
    <n v="0.52"/>
    <n v="0.62"/>
    <x v="65"/>
    <x v="2"/>
    <n v="0.78"/>
    <n v="0.04"/>
    <n v="0.49"/>
    <n v="0.53"/>
    <n v="0.69"/>
    <n v="0.04"/>
    <n v="0.59"/>
    <n v="0"/>
    <n v="0.27"/>
    <n v="0.5"/>
    <x v="2"/>
    <s v="Medium Exposure"/>
  </r>
  <r>
    <x v="0"/>
    <x v="2448"/>
    <n v="3"/>
    <x v="0"/>
    <n v="0.13"/>
    <n v="0.67"/>
    <x v="59"/>
    <x v="0"/>
    <n v="0.37"/>
    <n v="0.62"/>
    <n v="1"/>
    <n v="0.99"/>
    <n v="0.35"/>
    <n v="0.5"/>
    <n v="0.9"/>
    <n v="0.09"/>
    <n v="0.45"/>
    <n v="0.38"/>
    <x v="1"/>
    <s v="Low Exposure"/>
  </r>
  <r>
    <x v="4"/>
    <x v="2449"/>
    <n v="10"/>
    <x v="1"/>
    <n v="0.99"/>
    <n v="1.23"/>
    <x v="36"/>
    <x v="2"/>
    <n v="0.83"/>
    <n v="0.49"/>
    <n v="0.87"/>
    <n v="0.27"/>
    <n v="0.22"/>
    <n v="0.25"/>
    <n v="0.54"/>
    <n v="0.28999999999999998"/>
    <n v="0.15"/>
    <n v="0.99"/>
    <x v="2"/>
    <s v="High Exposure"/>
  </r>
  <r>
    <x v="7"/>
    <x v="2450"/>
    <n v="12"/>
    <x v="0"/>
    <n v="0.64"/>
    <n v="1.39"/>
    <x v="16"/>
    <x v="1"/>
    <n v="0.68"/>
    <n v="0.52"/>
    <n v="0.88"/>
    <n v="0.56999999999999995"/>
    <n v="0.13"/>
    <n v="0.37"/>
    <n v="0.45"/>
    <n v="0.94"/>
    <n v="0.66"/>
    <n v="0.88"/>
    <x v="2"/>
    <s v="Medium Exposure"/>
  </r>
  <r>
    <x v="3"/>
    <x v="2451"/>
    <n v="29"/>
    <x v="2"/>
    <n v="0.31"/>
    <n v="1.22"/>
    <x v="48"/>
    <x v="2"/>
    <n v="0.41"/>
    <n v="0.81"/>
    <n v="0.61"/>
    <n v="0.83"/>
    <n v="0.25"/>
    <n v="0.75"/>
    <n v="0.2"/>
    <n v="0.55000000000000004"/>
    <n v="0.43"/>
    <n v="0.56000000000000005"/>
    <x v="0"/>
    <s v="Medium Exposure"/>
  </r>
  <r>
    <x v="16"/>
    <x v="2452"/>
    <n v="6"/>
    <x v="1"/>
    <n v="0.36"/>
    <n v="1.17"/>
    <x v="56"/>
    <x v="0"/>
    <n v="0.55000000000000004"/>
    <n v="0.51"/>
    <n v="0.94"/>
    <n v="0.93"/>
    <n v="0.36"/>
    <n v="0.35"/>
    <n v="0.55000000000000004"/>
    <n v="0.1"/>
    <n v="0.3"/>
    <n v="0.23"/>
    <x v="2"/>
    <s v="Medium Exposure"/>
  </r>
  <r>
    <x v="1"/>
    <x v="2453"/>
    <n v="13"/>
    <x v="1"/>
    <n v="0.64"/>
    <n v="0.88"/>
    <x v="63"/>
    <x v="1"/>
    <n v="0.89"/>
    <n v="0.87"/>
    <n v="0.86"/>
    <n v="0.39"/>
    <n v="0.06"/>
    <n v="0.11"/>
    <n v="0.28000000000000003"/>
    <n v="0.22"/>
    <n v="0.87"/>
    <n v="0.99"/>
    <x v="2"/>
    <s v="Medium Exposure"/>
  </r>
  <r>
    <x v="1"/>
    <x v="2454"/>
    <n v="0"/>
    <x v="1"/>
    <n v="0.73"/>
    <n v="1.0900000000000001"/>
    <x v="52"/>
    <x v="1"/>
    <n v="0.95"/>
    <n v="0.6"/>
    <n v="0.15"/>
    <n v="0.16"/>
    <n v="0.57999999999999996"/>
    <n v="0.33"/>
    <n v="0.91"/>
    <n v="0.61"/>
    <n v="0.68"/>
    <n v="0.01"/>
    <x v="1"/>
    <s v="High Exposure"/>
  </r>
  <r>
    <x v="16"/>
    <x v="2455"/>
    <n v="0"/>
    <x v="2"/>
    <n v="0.43"/>
    <n v="1.21"/>
    <x v="9"/>
    <x v="0"/>
    <n v="0.98"/>
    <n v="0.67"/>
    <n v="0.66"/>
    <n v="0.92"/>
    <n v="1"/>
    <n v="0.2"/>
    <n v="0.81"/>
    <n v="0.16"/>
    <n v="0.46"/>
    <n v="0.1"/>
    <x v="1"/>
    <s v="Medium Exposure"/>
  </r>
  <r>
    <x v="10"/>
    <x v="2456"/>
    <n v="15"/>
    <x v="2"/>
    <n v="0.47"/>
    <n v="1.1299999999999999"/>
    <x v="64"/>
    <x v="2"/>
    <n v="0.62"/>
    <n v="0.28999999999999998"/>
    <n v="0.84"/>
    <n v="0.55000000000000004"/>
    <n v="0.49"/>
    <n v="0.99"/>
    <n v="0.28000000000000003"/>
    <n v="0.53"/>
    <n v="0.68"/>
    <n v="0.13"/>
    <x v="2"/>
    <s v="Medium Exposure"/>
  </r>
  <r>
    <x v="13"/>
    <x v="2457"/>
    <n v="25"/>
    <x v="1"/>
    <n v="0.8"/>
    <n v="0.74"/>
    <x v="11"/>
    <x v="2"/>
    <n v="0.63"/>
    <n v="0.67"/>
    <n v="0.73"/>
    <n v="0.87"/>
    <n v="0.39"/>
    <n v="0.71"/>
    <n v="0.73"/>
    <n v="0.3"/>
    <n v="0.97"/>
    <n v="0.87"/>
    <x v="0"/>
    <s v="High Exposure"/>
  </r>
  <r>
    <x v="9"/>
    <x v="2458"/>
    <n v="20"/>
    <x v="0"/>
    <n v="0.68"/>
    <n v="1.22"/>
    <x v="2"/>
    <x v="0"/>
    <n v="0.86"/>
    <n v="0.69"/>
    <n v="0.66"/>
    <n v="0.22"/>
    <n v="0.41"/>
    <n v="0.43"/>
    <n v="0.73"/>
    <n v="0.62"/>
    <n v="0.09"/>
    <n v="0.31"/>
    <x v="0"/>
    <s v="Medium Exposure"/>
  </r>
  <r>
    <x v="7"/>
    <x v="2459"/>
    <n v="2"/>
    <x v="2"/>
    <n v="0.74"/>
    <n v="1.24"/>
    <x v="7"/>
    <x v="1"/>
    <n v="0.12"/>
    <n v="0.28999999999999998"/>
    <n v="0.25"/>
    <n v="0.78"/>
    <n v="0.18"/>
    <n v="0.46"/>
    <n v="0.67"/>
    <n v="0.96"/>
    <n v="1"/>
    <n v="0.95"/>
    <x v="1"/>
    <s v="High Exposure"/>
  </r>
  <r>
    <x v="3"/>
    <x v="2460"/>
    <n v="13"/>
    <x v="0"/>
    <n v="0.75"/>
    <n v="1.26"/>
    <x v="38"/>
    <x v="2"/>
    <n v="0.95"/>
    <n v="0.45"/>
    <n v="0.42"/>
    <n v="0.46"/>
    <n v="0.66"/>
    <n v="0.78"/>
    <n v="0.87"/>
    <n v="0.46"/>
    <n v="0.36"/>
    <n v="0.98"/>
    <x v="2"/>
    <s v="High Exposure"/>
  </r>
  <r>
    <x v="8"/>
    <x v="2461"/>
    <n v="17"/>
    <x v="1"/>
    <n v="0.22"/>
    <n v="1.22"/>
    <x v="49"/>
    <x v="2"/>
    <n v="0.4"/>
    <n v="0.28999999999999998"/>
    <n v="0.17"/>
    <n v="0.57999999999999996"/>
    <n v="0.37"/>
    <n v="0.46"/>
    <n v="0.2"/>
    <n v="0.77"/>
    <n v="0.31"/>
    <n v="0.34"/>
    <x v="0"/>
    <s v="Low Exposure"/>
  </r>
  <r>
    <x v="19"/>
    <x v="2462"/>
    <n v="25"/>
    <x v="2"/>
    <n v="0.43"/>
    <n v="0.96"/>
    <x v="50"/>
    <x v="2"/>
    <n v="0.97"/>
    <n v="0.9"/>
    <n v="0.61"/>
    <n v="0.04"/>
    <n v="0.61"/>
    <n v="0.09"/>
    <n v="0.71"/>
    <n v="0.39"/>
    <n v="0.84"/>
    <n v="0.94"/>
    <x v="0"/>
    <s v="Medium Exposure"/>
  </r>
  <r>
    <x v="7"/>
    <x v="2463"/>
    <n v="4"/>
    <x v="1"/>
    <n v="0.46"/>
    <n v="1.0900000000000001"/>
    <x v="5"/>
    <x v="1"/>
    <n v="0.93"/>
    <n v="0.43"/>
    <n v="0.17"/>
    <n v="0.76"/>
    <n v="0.22"/>
    <n v="0.14000000000000001"/>
    <n v="0.56000000000000005"/>
    <n v="0.67"/>
    <n v="0.56999999999999995"/>
    <n v="0.66"/>
    <x v="1"/>
    <s v="Medium Exposure"/>
  </r>
  <r>
    <x v="18"/>
    <x v="2464"/>
    <n v="12"/>
    <x v="3"/>
    <n v="0.48"/>
    <n v="0.86"/>
    <x v="21"/>
    <x v="1"/>
    <n v="0.05"/>
    <n v="0.3"/>
    <n v="0.94"/>
    <n v="0.98"/>
    <n v="0.82"/>
    <n v="0.08"/>
    <n v="0.56000000000000005"/>
    <n v="0.4"/>
    <n v="0.81"/>
    <n v="0.06"/>
    <x v="2"/>
    <s v="Medium Exposure"/>
  </r>
  <r>
    <x v="14"/>
    <x v="2465"/>
    <n v="3"/>
    <x v="3"/>
    <n v="0.49"/>
    <n v="0.66"/>
    <x v="59"/>
    <x v="0"/>
    <n v="0.82"/>
    <n v="0.7"/>
    <n v="0.44"/>
    <n v="0.88"/>
    <n v="0.14000000000000001"/>
    <n v="0.26"/>
    <n v="0.49"/>
    <n v="0.06"/>
    <n v="0.1"/>
    <n v="0.4"/>
    <x v="1"/>
    <s v="Medium Exposure"/>
  </r>
  <r>
    <x v="13"/>
    <x v="2466"/>
    <n v="11"/>
    <x v="0"/>
    <n v="0.91"/>
    <n v="0.97"/>
    <x v="46"/>
    <x v="2"/>
    <n v="0.18"/>
    <n v="0.38"/>
    <n v="0.21"/>
    <n v="0.08"/>
    <n v="0.67"/>
    <n v="0.57999999999999996"/>
    <n v="0.28999999999999998"/>
    <n v="0.78"/>
    <n v="0.78"/>
    <n v="0.49"/>
    <x v="2"/>
    <s v="High Exposure"/>
  </r>
  <r>
    <x v="11"/>
    <x v="2467"/>
    <n v="18"/>
    <x v="0"/>
    <n v="0.92"/>
    <n v="1.17"/>
    <x v="10"/>
    <x v="2"/>
    <n v="0.61"/>
    <n v="0.41"/>
    <n v="0.64"/>
    <n v="0.47"/>
    <n v="0.49"/>
    <n v="0.74"/>
    <n v="0.61"/>
    <n v="0.08"/>
    <n v="7.0000000000000007E-2"/>
    <n v="0.31"/>
    <x v="0"/>
    <s v="High Exposure"/>
  </r>
  <r>
    <x v="11"/>
    <x v="2468"/>
    <n v="26"/>
    <x v="1"/>
    <n v="0.28000000000000003"/>
    <n v="1.1499999999999999"/>
    <x v="48"/>
    <x v="2"/>
    <n v="0.7"/>
    <n v="0.77"/>
    <n v="0.12"/>
    <n v="0.65"/>
    <n v="0.96"/>
    <n v="0.19"/>
    <n v="0.91"/>
    <n v="0.61"/>
    <n v="0.59"/>
    <n v="0.05"/>
    <x v="0"/>
    <s v="Low Exposure"/>
  </r>
  <r>
    <x v="11"/>
    <x v="2469"/>
    <n v="0"/>
    <x v="3"/>
    <n v="0.48"/>
    <n v="1.22"/>
    <x v="69"/>
    <x v="2"/>
    <n v="0.52"/>
    <n v="0.26"/>
    <n v="0.14000000000000001"/>
    <n v="0.16"/>
    <n v="0.87"/>
    <n v="0.12"/>
    <n v="0.38"/>
    <n v="0.33"/>
    <n v="0.87"/>
    <n v="0.48"/>
    <x v="1"/>
    <s v="Medium Exposure"/>
  </r>
  <r>
    <x v="11"/>
    <x v="2470"/>
    <n v="1"/>
    <x v="2"/>
    <n v="0.74"/>
    <n v="1.35"/>
    <x v="55"/>
    <x v="2"/>
    <n v="0.25"/>
    <n v="0.14000000000000001"/>
    <n v="0.46"/>
    <n v="0.72"/>
    <n v="0.17"/>
    <n v="0.13"/>
    <n v="0.61"/>
    <n v="0.23"/>
    <n v="0.48"/>
    <n v="0.05"/>
    <x v="1"/>
    <s v="High Exposure"/>
  </r>
  <r>
    <x v="9"/>
    <x v="2471"/>
    <n v="6"/>
    <x v="3"/>
    <n v="0.54"/>
    <n v="1.1499999999999999"/>
    <x v="62"/>
    <x v="0"/>
    <n v="0.28000000000000003"/>
    <n v="0.8"/>
    <n v="0.72"/>
    <n v="0.57999999999999996"/>
    <n v="0.63"/>
    <n v="0.09"/>
    <n v="0.86"/>
    <n v="0.77"/>
    <n v="0.59"/>
    <n v="0.92"/>
    <x v="2"/>
    <s v="Medium Exposure"/>
  </r>
  <r>
    <x v="11"/>
    <x v="2472"/>
    <n v="18"/>
    <x v="0"/>
    <n v="0.27"/>
    <n v="0.8"/>
    <x v="38"/>
    <x v="2"/>
    <n v="0.65"/>
    <n v="0.8"/>
    <n v="0.28999999999999998"/>
    <n v="1"/>
    <n v="0.14000000000000001"/>
    <n v="0.96"/>
    <n v="0.9"/>
    <n v="0.55000000000000004"/>
    <n v="0.59"/>
    <n v="0.78"/>
    <x v="0"/>
    <s v="Low Exposure"/>
  </r>
  <r>
    <x v="0"/>
    <x v="2473"/>
    <n v="20"/>
    <x v="0"/>
    <n v="0.53"/>
    <n v="1.4"/>
    <x v="28"/>
    <x v="0"/>
    <n v="0.91"/>
    <n v="0.73"/>
    <n v="0.77"/>
    <n v="0.06"/>
    <n v="0.19"/>
    <n v="0.93"/>
    <n v="0.12"/>
    <n v="0.63"/>
    <n v="0.78"/>
    <n v="0.23"/>
    <x v="0"/>
    <s v="Medium Exposure"/>
  </r>
  <r>
    <x v="5"/>
    <x v="2474"/>
    <n v="21"/>
    <x v="1"/>
    <n v="0.62"/>
    <n v="1.35"/>
    <x v="37"/>
    <x v="1"/>
    <n v="0.44"/>
    <n v="0.62"/>
    <n v="0.92"/>
    <n v="0.02"/>
    <n v="0.21"/>
    <n v="0.23"/>
    <n v="0.33"/>
    <n v="0.28000000000000003"/>
    <n v="0.59"/>
    <n v="0.89"/>
    <x v="0"/>
    <s v="Medium Exposure"/>
  </r>
  <r>
    <x v="19"/>
    <x v="2475"/>
    <n v="3"/>
    <x v="3"/>
    <n v="0.24"/>
    <n v="1.36"/>
    <x v="33"/>
    <x v="2"/>
    <n v="0.22"/>
    <n v="0.36"/>
    <n v="0.79"/>
    <n v="0.74"/>
    <n v="0.57999999999999996"/>
    <n v="0.14000000000000001"/>
    <n v="0.8"/>
    <n v="0.31"/>
    <n v="0.77"/>
    <n v="0.65"/>
    <x v="1"/>
    <s v="Low Exposure"/>
  </r>
  <r>
    <x v="4"/>
    <x v="2476"/>
    <n v="2"/>
    <x v="2"/>
    <n v="0.21"/>
    <n v="0.63"/>
    <x v="10"/>
    <x v="2"/>
    <n v="0.16"/>
    <n v="0.62"/>
    <n v="0.6"/>
    <n v="0.59"/>
    <n v="0.64"/>
    <n v="0.81"/>
    <n v="0.91"/>
    <n v="0.23"/>
    <n v="0.59"/>
    <n v="0.08"/>
    <x v="1"/>
    <s v="Low Exposure"/>
  </r>
  <r>
    <x v="6"/>
    <x v="2477"/>
    <n v="20"/>
    <x v="3"/>
    <n v="0.65"/>
    <n v="0.99"/>
    <x v="3"/>
    <x v="2"/>
    <n v="0.43"/>
    <n v="0.13"/>
    <n v="0.87"/>
    <n v="0.08"/>
    <n v="0.19"/>
    <n v="0.28000000000000003"/>
    <n v="1"/>
    <n v="0.42"/>
    <n v="0.5"/>
    <n v="0.77"/>
    <x v="0"/>
    <s v="Medium Exposure"/>
  </r>
  <r>
    <x v="19"/>
    <x v="2478"/>
    <n v="18"/>
    <x v="1"/>
    <n v="0.49"/>
    <n v="1.47"/>
    <x v="69"/>
    <x v="2"/>
    <n v="0.4"/>
    <n v="0.38"/>
    <n v="0.93"/>
    <n v="0.68"/>
    <n v="0.62"/>
    <n v="0.76"/>
    <n v="0.56000000000000005"/>
    <n v="0.16"/>
    <n v="0.32"/>
    <n v="0.56000000000000005"/>
    <x v="0"/>
    <s v="Medium Exposure"/>
  </r>
  <r>
    <x v="3"/>
    <x v="2479"/>
    <n v="14"/>
    <x v="0"/>
    <n v="0.44"/>
    <n v="1.26"/>
    <x v="49"/>
    <x v="2"/>
    <n v="0.06"/>
    <n v="0.84"/>
    <n v="0.62"/>
    <n v="0.18"/>
    <n v="0.81"/>
    <n v="0.66"/>
    <n v="0.33"/>
    <n v="0.38"/>
    <n v="0.16"/>
    <n v="0.84"/>
    <x v="2"/>
    <s v="Medium Exposure"/>
  </r>
  <r>
    <x v="11"/>
    <x v="2335"/>
    <n v="19"/>
    <x v="0"/>
    <n v="0.56000000000000005"/>
    <n v="1.38"/>
    <x v="57"/>
    <x v="2"/>
    <n v="7.0000000000000007E-2"/>
    <n v="0.16"/>
    <n v="0.03"/>
    <n v="0.66"/>
    <n v="0.63"/>
    <n v="0.21"/>
    <n v="0.15"/>
    <n v="0.15"/>
    <n v="0.95"/>
    <n v="0.69"/>
    <x v="0"/>
    <s v="Medium Exposure"/>
  </r>
  <r>
    <x v="12"/>
    <x v="2480"/>
    <n v="2"/>
    <x v="0"/>
    <n v="0.32"/>
    <n v="0.93"/>
    <x v="55"/>
    <x v="2"/>
    <n v="1"/>
    <n v="0.76"/>
    <n v="0.62"/>
    <n v="0.59"/>
    <n v="0.5"/>
    <n v="0.26"/>
    <n v="0.23"/>
    <n v="0.55000000000000004"/>
    <n v="7.0000000000000007E-2"/>
    <n v="7.0000000000000007E-2"/>
    <x v="1"/>
    <s v="Medium Exposure"/>
  </r>
  <r>
    <x v="14"/>
    <x v="2481"/>
    <n v="11"/>
    <x v="0"/>
    <n v="0.92"/>
    <n v="1.41"/>
    <x v="58"/>
    <x v="2"/>
    <n v="0.11"/>
    <n v="0.57999999999999996"/>
    <n v="0.85"/>
    <n v="0.95"/>
    <n v="0.86"/>
    <n v="0.68"/>
    <n v="0.2"/>
    <n v="7.0000000000000007E-2"/>
    <n v="0.05"/>
    <n v="0.61"/>
    <x v="2"/>
    <s v="High Exposure"/>
  </r>
  <r>
    <x v="5"/>
    <x v="2482"/>
    <n v="22"/>
    <x v="0"/>
    <n v="0.74"/>
    <n v="1.21"/>
    <x v="34"/>
    <x v="1"/>
    <n v="0.91"/>
    <n v="0.52"/>
    <n v="0.9"/>
    <n v="0.9"/>
    <n v="0.2"/>
    <n v="0.38"/>
    <n v="0.13"/>
    <n v="0.77"/>
    <n v="0.5"/>
    <n v="0.93"/>
    <x v="0"/>
    <s v="High Exposure"/>
  </r>
  <r>
    <x v="0"/>
    <x v="2483"/>
    <n v="6"/>
    <x v="3"/>
    <n v="0.69"/>
    <n v="1.49"/>
    <x v="59"/>
    <x v="0"/>
    <n v="7.0000000000000007E-2"/>
    <n v="0.59"/>
    <n v="0.18"/>
    <n v="0.03"/>
    <n v="0.33"/>
    <n v="0.27"/>
    <n v="0.79"/>
    <n v="0.37"/>
    <n v="0.73"/>
    <n v="0.02"/>
    <x v="2"/>
    <s v="Medium Exposure"/>
  </r>
  <r>
    <x v="6"/>
    <x v="2484"/>
    <n v="28"/>
    <x v="3"/>
    <n v="0.03"/>
    <n v="0.72"/>
    <x v="84"/>
    <x v="2"/>
    <n v="0.61"/>
    <n v="0.99"/>
    <n v="0.35"/>
    <n v="0.06"/>
    <n v="0.19"/>
    <n v="0.9"/>
    <n v="0.7"/>
    <n v="0.79"/>
    <n v="0.12"/>
    <n v="0.13"/>
    <x v="0"/>
    <s v="Low Exposure"/>
  </r>
  <r>
    <x v="16"/>
    <x v="2485"/>
    <n v="23"/>
    <x v="0"/>
    <n v="0.86"/>
    <n v="0.71"/>
    <x v="83"/>
    <x v="0"/>
    <n v="0.52"/>
    <n v="0.54"/>
    <n v="0.2"/>
    <n v="0.64"/>
    <n v="0.04"/>
    <n v="0.99"/>
    <n v="0.03"/>
    <n v="0.05"/>
    <n v="0.32"/>
    <n v="0.83"/>
    <x v="0"/>
    <s v="High Exposure"/>
  </r>
  <r>
    <x v="1"/>
    <x v="2486"/>
    <n v="12"/>
    <x v="3"/>
    <n v="0.47"/>
    <n v="0.52"/>
    <x v="34"/>
    <x v="1"/>
    <n v="0.61"/>
    <n v="0.19"/>
    <n v="0.69"/>
    <n v="0.79"/>
    <n v="0.85"/>
    <n v="0.13"/>
    <n v="0.46"/>
    <n v="0.95"/>
    <n v="0.77"/>
    <n v="0.12"/>
    <x v="2"/>
    <s v="Medium Exposure"/>
  </r>
  <r>
    <x v="9"/>
    <x v="2487"/>
    <n v="19"/>
    <x v="2"/>
    <n v="0.05"/>
    <n v="1.21"/>
    <x v="32"/>
    <x v="0"/>
    <n v="0.7"/>
    <n v="0.64"/>
    <n v="0.25"/>
    <n v="0.49"/>
    <n v="0.72"/>
    <n v="0.19"/>
    <n v="0.48"/>
    <n v="0.12"/>
    <n v="0.53"/>
    <n v="0.56999999999999995"/>
    <x v="0"/>
    <s v="Low Exposure"/>
  </r>
  <r>
    <x v="4"/>
    <x v="2488"/>
    <n v="7"/>
    <x v="3"/>
    <n v="0.47"/>
    <n v="1.0900000000000001"/>
    <x v="58"/>
    <x v="2"/>
    <n v="0.62"/>
    <n v="0.75"/>
    <n v="0.19"/>
    <n v="0.53"/>
    <n v="0.01"/>
    <n v="0.03"/>
    <n v="0.32"/>
    <n v="0.47"/>
    <n v="0.57999999999999996"/>
    <n v="0.89"/>
    <x v="2"/>
    <s v="Medium Exposure"/>
  </r>
  <r>
    <x v="6"/>
    <x v="2489"/>
    <n v="19"/>
    <x v="2"/>
    <n v="0.3"/>
    <n v="1.24"/>
    <x v="43"/>
    <x v="2"/>
    <n v="0.78"/>
    <n v="0.41"/>
    <n v="0.09"/>
    <n v="0.62"/>
    <n v="0.56000000000000005"/>
    <n v="0.95"/>
    <n v="0.16"/>
    <n v="0.66"/>
    <n v="0.47"/>
    <n v="0.38"/>
    <x v="0"/>
    <s v="Medium Exposure"/>
  </r>
  <r>
    <x v="5"/>
    <x v="2490"/>
    <n v="6"/>
    <x v="0"/>
    <n v="0.48"/>
    <n v="0.9"/>
    <x v="7"/>
    <x v="1"/>
    <n v="0.94"/>
    <n v="0.66"/>
    <n v="0.28999999999999998"/>
    <n v="0.17"/>
    <n v="0.42"/>
    <n v="0.45"/>
    <n v="0.6"/>
    <n v="0.27"/>
    <n v="0.77"/>
    <n v="0.1"/>
    <x v="2"/>
    <s v="Medium Exposure"/>
  </r>
  <r>
    <x v="13"/>
    <x v="2491"/>
    <n v="3"/>
    <x v="3"/>
    <n v="0.83"/>
    <n v="1.39"/>
    <x v="45"/>
    <x v="2"/>
    <n v="0.57999999999999996"/>
    <n v="0.56999999999999995"/>
    <n v="0.47"/>
    <n v="0.23"/>
    <n v="0.38"/>
    <n v="0.99"/>
    <n v="0.15"/>
    <n v="0.54"/>
    <n v="0.87"/>
    <n v="0.45"/>
    <x v="1"/>
    <s v="High Exposure"/>
  </r>
  <r>
    <x v="9"/>
    <x v="2492"/>
    <n v="6"/>
    <x v="0"/>
    <n v="0.17"/>
    <n v="0.93"/>
    <x v="89"/>
    <x v="0"/>
    <n v="0.09"/>
    <n v="0.59"/>
    <n v="0.92"/>
    <n v="0.95"/>
    <n v="0.85"/>
    <n v="0.86"/>
    <n v="0.65"/>
    <n v="0.22"/>
    <n v="0.73"/>
    <n v="0.98"/>
    <x v="2"/>
    <s v="Low Exposure"/>
  </r>
  <r>
    <x v="16"/>
    <x v="2493"/>
    <n v="6"/>
    <x v="0"/>
    <n v="0.26"/>
    <n v="1.07"/>
    <x v="59"/>
    <x v="0"/>
    <n v="0.21"/>
    <n v="0.72"/>
    <n v="0.59"/>
    <n v="0.61"/>
    <n v="0.31"/>
    <n v="0.16"/>
    <n v="0.62"/>
    <n v="0.59"/>
    <n v="0.34"/>
    <n v="0.3"/>
    <x v="2"/>
    <s v="Low Exposure"/>
  </r>
  <r>
    <x v="8"/>
    <x v="2494"/>
    <n v="13"/>
    <x v="0"/>
    <n v="0.49"/>
    <n v="1.47"/>
    <x v="45"/>
    <x v="2"/>
    <n v="0.85"/>
    <n v="0.51"/>
    <n v="0.53"/>
    <n v="0.2"/>
    <n v="0.72"/>
    <n v="0.42"/>
    <n v="0.74"/>
    <n v="0.41"/>
    <n v="0.11"/>
    <n v="0.17"/>
    <x v="2"/>
    <s v="Medium Exposure"/>
  </r>
  <r>
    <x v="2"/>
    <x v="2495"/>
    <n v="11"/>
    <x v="2"/>
    <n v="0.26"/>
    <n v="0.76"/>
    <x v="17"/>
    <x v="0"/>
    <n v="0.66"/>
    <n v="0.11"/>
    <n v="0.14000000000000001"/>
    <n v="0.27"/>
    <n v="0.59"/>
    <n v="0.75"/>
    <n v="0.27"/>
    <n v="0.87"/>
    <n v="0.11"/>
    <n v="0.21"/>
    <x v="2"/>
    <s v="Low Exposure"/>
  </r>
  <r>
    <x v="2"/>
    <x v="2496"/>
    <n v="1"/>
    <x v="3"/>
    <n v="0.13"/>
    <n v="1.39"/>
    <x v="51"/>
    <x v="0"/>
    <n v="7.0000000000000007E-2"/>
    <n v="0.48"/>
    <n v="0.52"/>
    <n v="0.93"/>
    <n v="0.42"/>
    <n v="0.45"/>
    <n v="0.11"/>
    <n v="0.64"/>
    <n v="0.21"/>
    <n v="0.08"/>
    <x v="1"/>
    <s v="Low Exposure"/>
  </r>
  <r>
    <x v="10"/>
    <x v="2497"/>
    <n v="27"/>
    <x v="0"/>
    <n v="0.27"/>
    <n v="0.64"/>
    <x v="14"/>
    <x v="2"/>
    <n v="0.82"/>
    <n v="0.06"/>
    <n v="0.11"/>
    <n v="0.09"/>
    <n v="0.05"/>
    <n v="0.66"/>
    <n v="0.59"/>
    <n v="0.66"/>
    <n v="0.51"/>
    <n v="0.82"/>
    <x v="0"/>
    <s v="Low Exposure"/>
  </r>
  <r>
    <x v="14"/>
    <x v="2498"/>
    <n v="15"/>
    <x v="3"/>
    <n v="0.92"/>
    <n v="0.99"/>
    <x v="40"/>
    <x v="0"/>
    <n v="0.41"/>
    <n v="0.44"/>
    <n v="0.85"/>
    <n v="0.11"/>
    <n v="0.56000000000000005"/>
    <n v="0.73"/>
    <n v="0.75"/>
    <n v="0.59"/>
    <n v="0.45"/>
    <n v="0.26"/>
    <x v="2"/>
    <s v="High Exposure"/>
  </r>
  <r>
    <x v="14"/>
    <x v="2499"/>
    <n v="0"/>
    <x v="0"/>
    <n v="0.37"/>
    <n v="1.3"/>
    <x v="76"/>
    <x v="0"/>
    <n v="0.23"/>
    <n v="0.35"/>
    <n v="0.67"/>
    <n v="0.32"/>
    <n v="0.04"/>
    <n v="0.17"/>
    <n v="0.26"/>
    <n v="0.18"/>
    <n v="0.2"/>
    <n v="0.77"/>
    <x v="1"/>
    <s v="Medium Exposure"/>
  </r>
  <r>
    <x v="10"/>
    <x v="2500"/>
    <n v="20"/>
    <x v="0"/>
    <n v="0.41"/>
    <n v="1.47"/>
    <x v="8"/>
    <x v="2"/>
    <n v="0.93"/>
    <n v="0.3"/>
    <n v="0.4"/>
    <n v="0.4"/>
    <n v="0.55000000000000004"/>
    <n v="0.57999999999999996"/>
    <n v="0.25"/>
    <n v="0.79"/>
    <n v="0.5"/>
    <n v="0.01"/>
    <x v="0"/>
    <s v="Medium Exposure"/>
  </r>
  <r>
    <x v="9"/>
    <x v="2501"/>
    <n v="24"/>
    <x v="2"/>
    <n v="0.8"/>
    <n v="0.75"/>
    <x v="76"/>
    <x v="0"/>
    <n v="0.81"/>
    <n v="0.98"/>
    <n v="0.08"/>
    <n v="0.94"/>
    <n v="0.36"/>
    <n v="0.94"/>
    <n v="0.65"/>
    <n v="0.89"/>
    <n v="0.79"/>
    <n v="0.03"/>
    <x v="0"/>
    <s v="High Exposure"/>
  </r>
  <r>
    <x v="1"/>
    <x v="2502"/>
    <n v="4"/>
    <x v="0"/>
    <n v="0.53"/>
    <n v="0.63"/>
    <x v="7"/>
    <x v="1"/>
    <n v="0.95"/>
    <n v="0.28999999999999998"/>
    <n v="0.49"/>
    <n v="0.38"/>
    <n v="0.63"/>
    <n v="0.19"/>
    <n v="0.26"/>
    <n v="0.86"/>
    <n v="0.81"/>
    <n v="0.79"/>
    <x v="1"/>
    <s v="Medium Exposure"/>
  </r>
  <r>
    <x v="2"/>
    <x v="2503"/>
    <n v="25"/>
    <x v="2"/>
    <n v="0.46"/>
    <n v="1.23"/>
    <x v="9"/>
    <x v="0"/>
    <n v="0.1"/>
    <n v="0.39"/>
    <n v="0.16"/>
    <n v="0.39"/>
    <n v="0.3"/>
    <n v="0.6"/>
    <n v="0.36"/>
    <n v="0.71"/>
    <n v="0.51"/>
    <n v="0.92"/>
    <x v="0"/>
    <s v="Medium Exposure"/>
  </r>
  <r>
    <x v="7"/>
    <x v="2504"/>
    <n v="12"/>
    <x v="3"/>
    <n v="0.69"/>
    <n v="1.17"/>
    <x v="21"/>
    <x v="1"/>
    <n v="0.37"/>
    <n v="0.31"/>
    <n v="0.17"/>
    <n v="0.27"/>
    <n v="0.5"/>
    <n v="0.84"/>
    <n v="0.28000000000000003"/>
    <n v="0.16"/>
    <n v="0.27"/>
    <n v="0.1"/>
    <x v="2"/>
    <s v="Medium Exposure"/>
  </r>
  <r>
    <x v="10"/>
    <x v="1236"/>
    <n v="8"/>
    <x v="1"/>
    <n v="0.08"/>
    <n v="0.86"/>
    <x v="11"/>
    <x v="2"/>
    <n v="0.43"/>
    <n v="0.28000000000000003"/>
    <n v="0.28999999999999998"/>
    <n v="0.63"/>
    <n v="0.72"/>
    <n v="0.57999999999999996"/>
    <n v="0.98"/>
    <n v="0.94"/>
    <n v="0.1"/>
    <n v="0.26"/>
    <x v="2"/>
    <s v="Low Exposure"/>
  </r>
  <r>
    <x v="12"/>
    <x v="1415"/>
    <n v="26"/>
    <x v="3"/>
    <n v="0.03"/>
    <n v="1.0900000000000001"/>
    <x v="26"/>
    <x v="2"/>
    <n v="0.68"/>
    <n v="0.09"/>
    <n v="0.75"/>
    <n v="0.38"/>
    <n v="0.92"/>
    <n v="0.28999999999999998"/>
    <n v="0.47"/>
    <n v="0.75"/>
    <n v="0.26"/>
    <n v="0.18"/>
    <x v="0"/>
    <s v="Low Exposure"/>
  </r>
  <r>
    <x v="14"/>
    <x v="2505"/>
    <n v="27"/>
    <x v="0"/>
    <n v="0.49"/>
    <n v="1.43"/>
    <x v="62"/>
    <x v="0"/>
    <n v="0.04"/>
    <n v="0.62"/>
    <n v="0.06"/>
    <n v="0.51"/>
    <n v="0.38"/>
    <n v="0.48"/>
    <n v="0.16"/>
    <n v="0.09"/>
    <n v="0.75"/>
    <n v="0.25"/>
    <x v="0"/>
    <s v="Medium Exposure"/>
  </r>
  <r>
    <x v="5"/>
    <x v="2506"/>
    <n v="11"/>
    <x v="3"/>
    <n v="0.76"/>
    <n v="0.7"/>
    <x v="16"/>
    <x v="1"/>
    <n v="0.16"/>
    <n v="0.8"/>
    <n v="0.42"/>
    <n v="0.18"/>
    <n v="0.94"/>
    <n v="0.96"/>
    <n v="0.51"/>
    <n v="0.47"/>
    <n v="0.9"/>
    <n v="0.6"/>
    <x v="2"/>
    <s v="High Exposure"/>
  </r>
  <r>
    <x v="17"/>
    <x v="2507"/>
    <n v="14"/>
    <x v="2"/>
    <n v="0.43"/>
    <n v="1.34"/>
    <x v="4"/>
    <x v="2"/>
    <n v="0.94"/>
    <n v="0.28999999999999998"/>
    <n v="0.68"/>
    <n v="7.0000000000000007E-2"/>
    <n v="0.73"/>
    <n v="0.56000000000000005"/>
    <n v="0.25"/>
    <n v="0.65"/>
    <n v="0.14000000000000001"/>
    <n v="0.33"/>
    <x v="2"/>
    <s v="Medium Exposure"/>
  </r>
  <r>
    <x v="8"/>
    <x v="2508"/>
    <n v="17"/>
    <x v="2"/>
    <n v="0.78"/>
    <n v="0.81"/>
    <x v="86"/>
    <x v="2"/>
    <n v="0.18"/>
    <n v="0.61"/>
    <n v="0.02"/>
    <n v="0.79"/>
    <n v="0.9"/>
    <n v="0.5"/>
    <n v="0.71"/>
    <n v="0.46"/>
    <n v="0.31"/>
    <n v="0.16"/>
    <x v="0"/>
    <s v="High Exposure"/>
  </r>
  <r>
    <x v="0"/>
    <x v="2509"/>
    <n v="21"/>
    <x v="1"/>
    <n v="0.93"/>
    <n v="1.39"/>
    <x v="17"/>
    <x v="0"/>
    <n v="0.97"/>
    <n v="0.17"/>
    <n v="0.15"/>
    <n v="0.43"/>
    <n v="0.69"/>
    <n v="0.44"/>
    <n v="0.89"/>
    <n v="0.72"/>
    <n v="0.63"/>
    <n v="7.0000000000000007E-2"/>
    <x v="0"/>
    <s v="High Exposure"/>
  </r>
  <r>
    <x v="16"/>
    <x v="2510"/>
    <n v="20"/>
    <x v="1"/>
    <n v="0.43"/>
    <n v="1.48"/>
    <x v="80"/>
    <x v="0"/>
    <n v="0.63"/>
    <n v="0.99"/>
    <n v="0.26"/>
    <n v="0.17"/>
    <n v="0.55000000000000004"/>
    <n v="0.55000000000000004"/>
    <n v="0.92"/>
    <n v="0.03"/>
    <n v="0.41"/>
    <n v="0.31"/>
    <x v="0"/>
    <s v="Medium Exposure"/>
  </r>
  <r>
    <x v="9"/>
    <x v="2511"/>
    <n v="4"/>
    <x v="2"/>
    <n v="0.03"/>
    <n v="1.33"/>
    <x v="77"/>
    <x v="0"/>
    <n v="0.25"/>
    <n v="0.57999999999999996"/>
    <n v="0.7"/>
    <n v="0.81"/>
    <n v="0.35"/>
    <n v="0.81"/>
    <n v="0.46"/>
    <n v="0.1"/>
    <n v="0.85"/>
    <n v="0.55000000000000004"/>
    <x v="1"/>
    <s v="Low Exposure"/>
  </r>
  <r>
    <x v="3"/>
    <x v="2512"/>
    <n v="29"/>
    <x v="1"/>
    <n v="0.94"/>
    <n v="1.06"/>
    <x v="85"/>
    <x v="1"/>
    <n v="0.87"/>
    <n v="0.28000000000000003"/>
    <n v="0.5"/>
    <n v="0.2"/>
    <n v="0.3"/>
    <n v="0.69"/>
    <n v="0.43"/>
    <n v="0.63"/>
    <n v="0.82"/>
    <n v="0.34"/>
    <x v="0"/>
    <s v="High Exposure"/>
  </r>
  <r>
    <x v="3"/>
    <x v="2513"/>
    <n v="19"/>
    <x v="3"/>
    <n v="0.78"/>
    <n v="1.22"/>
    <x v="43"/>
    <x v="2"/>
    <n v="0.38"/>
    <n v="0.41"/>
    <n v="0.43"/>
    <n v="0.35"/>
    <n v="0.7"/>
    <n v="0.13"/>
    <n v="0.97"/>
    <n v="0.78"/>
    <n v="0.3"/>
    <n v="0.04"/>
    <x v="0"/>
    <s v="High Exposure"/>
  </r>
  <r>
    <x v="16"/>
    <x v="2514"/>
    <n v="16"/>
    <x v="2"/>
    <n v="0.55000000000000004"/>
    <n v="0.93"/>
    <x v="35"/>
    <x v="0"/>
    <n v="0.66"/>
    <n v="0.99"/>
    <n v="0.78"/>
    <n v="0.54"/>
    <n v="0.77"/>
    <n v="0.48"/>
    <n v="0.31"/>
    <n v="0.26"/>
    <n v="0.4"/>
    <n v="0"/>
    <x v="0"/>
    <s v="Medium Exposure"/>
  </r>
  <r>
    <x v="15"/>
    <x v="2515"/>
    <n v="11"/>
    <x v="1"/>
    <n v="0.13"/>
    <n v="1.46"/>
    <x v="34"/>
    <x v="1"/>
    <n v="0.5"/>
    <n v="0.92"/>
    <n v="0.61"/>
    <n v="0.5"/>
    <n v="0.74"/>
    <n v="0.35"/>
    <n v="0.19"/>
    <n v="0.85"/>
    <n v="0.06"/>
    <n v="0.81"/>
    <x v="2"/>
    <s v="Low Exposure"/>
  </r>
  <r>
    <x v="5"/>
    <x v="2516"/>
    <n v="26"/>
    <x v="1"/>
    <n v="0.63"/>
    <n v="0.98"/>
    <x v="85"/>
    <x v="1"/>
    <n v="0.39"/>
    <n v="0.96"/>
    <n v="0.4"/>
    <n v="0.68"/>
    <n v="0.64"/>
    <n v="0.09"/>
    <n v="0.74"/>
    <n v="0.21"/>
    <n v="0.39"/>
    <n v="0.78"/>
    <x v="0"/>
    <s v="Medium Exposure"/>
  </r>
  <r>
    <x v="1"/>
    <x v="2517"/>
    <n v="14"/>
    <x v="0"/>
    <n v="0.56000000000000005"/>
    <n v="1.02"/>
    <x v="82"/>
    <x v="1"/>
    <n v="0.82"/>
    <n v="0.99"/>
    <n v="0.63"/>
    <n v="0.38"/>
    <n v="0.22"/>
    <n v="0.2"/>
    <n v="0.86"/>
    <n v="0.99"/>
    <n v="0.7"/>
    <n v="0.96"/>
    <x v="2"/>
    <s v="Medium Exposure"/>
  </r>
  <r>
    <x v="11"/>
    <x v="2518"/>
    <n v="16"/>
    <x v="2"/>
    <n v="0.63"/>
    <n v="1.01"/>
    <x v="78"/>
    <x v="2"/>
    <n v="0.63"/>
    <n v="0.31"/>
    <n v="0.64"/>
    <n v="0.67"/>
    <n v="0.84"/>
    <n v="0.73"/>
    <n v="0.32"/>
    <n v="0.45"/>
    <n v="0.12"/>
    <n v="0.26"/>
    <x v="0"/>
    <s v="Medium Exposure"/>
  </r>
  <r>
    <x v="16"/>
    <x v="2519"/>
    <n v="9"/>
    <x v="2"/>
    <n v="0.1"/>
    <n v="1.07"/>
    <x v="9"/>
    <x v="0"/>
    <n v="0.03"/>
    <n v="0.43"/>
    <n v="0.28000000000000003"/>
    <n v="7.0000000000000007E-2"/>
    <n v="0.28999999999999998"/>
    <n v="0.28999999999999998"/>
    <n v="0.36"/>
    <n v="0.37"/>
    <n v="0.43"/>
    <n v="0.09"/>
    <x v="2"/>
    <s v="Low Exposure"/>
  </r>
  <r>
    <x v="15"/>
    <x v="2520"/>
    <n v="27"/>
    <x v="0"/>
    <n v="0.88"/>
    <n v="1.49"/>
    <x v="41"/>
    <x v="1"/>
    <n v="0.95"/>
    <n v="0.76"/>
    <n v="0.17"/>
    <n v="0.05"/>
    <n v="0.21"/>
    <n v="0.78"/>
    <n v="0.63"/>
    <n v="0.22"/>
    <n v="0.74"/>
    <n v="0.14000000000000001"/>
    <x v="0"/>
    <s v="High Exposure"/>
  </r>
  <r>
    <x v="19"/>
    <x v="2521"/>
    <n v="12"/>
    <x v="2"/>
    <n v="0.79"/>
    <n v="1.47"/>
    <x v="46"/>
    <x v="2"/>
    <n v="0.91"/>
    <n v="0.34"/>
    <n v="0.42"/>
    <n v="0.47"/>
    <n v="0.63"/>
    <n v="0.99"/>
    <n v="0.6"/>
    <n v="0.93"/>
    <n v="0.26"/>
    <n v="0.4"/>
    <x v="2"/>
    <s v="High Exposure"/>
  </r>
  <r>
    <x v="8"/>
    <x v="2522"/>
    <n v="6"/>
    <x v="1"/>
    <n v="0.32"/>
    <n v="1.48"/>
    <x v="31"/>
    <x v="2"/>
    <n v="0.48"/>
    <n v="0.75"/>
    <n v="0.47"/>
    <n v="0.02"/>
    <n v="0.54"/>
    <n v="0.63"/>
    <n v="0.98"/>
    <n v="0.04"/>
    <n v="0.51"/>
    <n v="0.1"/>
    <x v="2"/>
    <s v="Medium Exposure"/>
  </r>
  <r>
    <x v="17"/>
    <x v="2523"/>
    <n v="23"/>
    <x v="2"/>
    <n v="0.61"/>
    <n v="0.73"/>
    <x v="3"/>
    <x v="2"/>
    <n v="0.51"/>
    <n v="0.22"/>
    <n v="0.49"/>
    <n v="0"/>
    <n v="0.86"/>
    <n v="0.01"/>
    <n v="0.01"/>
    <n v="0.61"/>
    <n v="0.97"/>
    <n v="0.86"/>
    <x v="0"/>
    <s v="Medium Exposure"/>
  </r>
  <r>
    <x v="10"/>
    <x v="2524"/>
    <n v="18"/>
    <x v="0"/>
    <n v="0.2"/>
    <n v="1.1299999999999999"/>
    <x v="12"/>
    <x v="2"/>
    <n v="0.36"/>
    <n v="0.43"/>
    <n v="0.12"/>
    <n v="0.15"/>
    <n v="0.56999999999999995"/>
    <n v="0.1"/>
    <n v="0.2"/>
    <n v="0.23"/>
    <n v="0.44"/>
    <n v="0.05"/>
    <x v="0"/>
    <s v="Low Exposure"/>
  </r>
  <r>
    <x v="9"/>
    <x v="2525"/>
    <n v="29"/>
    <x v="1"/>
    <n v="0.93"/>
    <n v="0.52"/>
    <x v="83"/>
    <x v="0"/>
    <n v="0.84"/>
    <n v="0.31"/>
    <n v="0.13"/>
    <n v="0.04"/>
    <n v="0.64"/>
    <n v="0.55000000000000004"/>
    <n v="0.23"/>
    <n v="0.83"/>
    <n v="0.74"/>
    <n v="0.28000000000000003"/>
    <x v="0"/>
    <s v="High Exposure"/>
  </r>
  <r>
    <x v="13"/>
    <x v="2526"/>
    <n v="26"/>
    <x v="1"/>
    <n v="0.24"/>
    <n v="1.18"/>
    <x v="53"/>
    <x v="2"/>
    <n v="0.69"/>
    <n v="0.24"/>
    <n v="0.56999999999999995"/>
    <n v="0.17"/>
    <n v="0.73"/>
    <n v="0.06"/>
    <n v="0.17"/>
    <n v="0.18"/>
    <n v="0.04"/>
    <n v="0.75"/>
    <x v="0"/>
    <s v="Low Exposure"/>
  </r>
  <r>
    <x v="14"/>
    <x v="2527"/>
    <n v="0"/>
    <x v="1"/>
    <n v="0.78"/>
    <n v="1.36"/>
    <x v="58"/>
    <x v="2"/>
    <n v="0.12"/>
    <n v="0.56000000000000005"/>
    <n v="0.98"/>
    <n v="0.66"/>
    <n v="0.37"/>
    <n v="0.15"/>
    <n v="0.15"/>
    <n v="0.36"/>
    <n v="0.71"/>
    <n v="0.03"/>
    <x v="1"/>
    <s v="High Exposure"/>
  </r>
  <r>
    <x v="2"/>
    <x v="2528"/>
    <n v="0"/>
    <x v="1"/>
    <n v="0.94"/>
    <n v="1.39"/>
    <x v="17"/>
    <x v="0"/>
    <n v="0.02"/>
    <n v="0.98"/>
    <n v="0.37"/>
    <n v="0.87"/>
    <n v="0.19"/>
    <n v="0.45"/>
    <n v="0.04"/>
    <n v="0.04"/>
    <n v="0.94"/>
    <n v="0.81"/>
    <x v="1"/>
    <s v="High Exposure"/>
  </r>
  <r>
    <x v="11"/>
    <x v="2529"/>
    <n v="10"/>
    <x v="2"/>
    <n v="0.53"/>
    <n v="1.25"/>
    <x v="30"/>
    <x v="2"/>
    <n v="0.76"/>
    <n v="0.49"/>
    <n v="0.64"/>
    <n v="0.96"/>
    <n v="0.47"/>
    <n v="0.42"/>
    <n v="0.91"/>
    <n v="0.9"/>
    <n v="0.99"/>
    <n v="0.55000000000000004"/>
    <x v="2"/>
    <s v="Medium Exposure"/>
  </r>
  <r>
    <x v="8"/>
    <x v="2530"/>
    <n v="29"/>
    <x v="2"/>
    <n v="0.24"/>
    <n v="0.53"/>
    <x v="31"/>
    <x v="2"/>
    <n v="0.23"/>
    <n v="0.61"/>
    <n v="0.92"/>
    <n v="0.95"/>
    <n v="0"/>
    <n v="0.32"/>
    <n v="0.84"/>
    <n v="0.54"/>
    <n v="0.81"/>
    <n v="0.85"/>
    <x v="0"/>
    <s v="Low Exposure"/>
  </r>
  <r>
    <x v="6"/>
    <x v="2531"/>
    <n v="24"/>
    <x v="3"/>
    <n v="0.33"/>
    <n v="0.72"/>
    <x v="26"/>
    <x v="2"/>
    <n v="0.31"/>
    <n v="0.34"/>
    <n v="0.9"/>
    <n v="0.14000000000000001"/>
    <n v="0.57999999999999996"/>
    <n v="0.78"/>
    <n v="0.27"/>
    <n v="0.84"/>
    <n v="0.77"/>
    <n v="0.49"/>
    <x v="0"/>
    <s v="Medium Exposure"/>
  </r>
  <r>
    <x v="16"/>
    <x v="2532"/>
    <n v="21"/>
    <x v="2"/>
    <n v="0.97"/>
    <n v="1.1200000000000001"/>
    <x v="35"/>
    <x v="0"/>
    <n v="0.89"/>
    <n v="0.42"/>
    <n v="0.56000000000000005"/>
    <n v="0.86"/>
    <n v="0.39"/>
    <n v="0.77"/>
    <n v="0.26"/>
    <n v="0.7"/>
    <n v="0.51"/>
    <n v="0.16"/>
    <x v="0"/>
    <s v="High Exposure"/>
  </r>
  <r>
    <x v="4"/>
    <x v="2533"/>
    <n v="5"/>
    <x v="3"/>
    <n v="0.28000000000000003"/>
    <n v="1.43"/>
    <x v="72"/>
    <x v="2"/>
    <n v="0.51"/>
    <n v="0.26"/>
    <n v="0.1"/>
    <n v="0.16"/>
    <n v="0.52"/>
    <n v="0.31"/>
    <n v="0.04"/>
    <n v="0.46"/>
    <n v="0.75"/>
    <n v="0.89"/>
    <x v="1"/>
    <s v="Low Exposure"/>
  </r>
  <r>
    <x v="13"/>
    <x v="2534"/>
    <n v="24"/>
    <x v="0"/>
    <n v="0.72"/>
    <n v="0.86"/>
    <x v="11"/>
    <x v="2"/>
    <n v="0.73"/>
    <n v="0.73"/>
    <n v="0.42"/>
    <n v="0.54"/>
    <n v="0.92"/>
    <n v="0.63"/>
    <n v="0.64"/>
    <n v="0.78"/>
    <n v="0.12"/>
    <n v="0.52"/>
    <x v="0"/>
    <s v="High Exposure"/>
  </r>
  <r>
    <x v="6"/>
    <x v="2202"/>
    <n v="6"/>
    <x v="1"/>
    <n v="0.36"/>
    <n v="0.79"/>
    <x v="22"/>
    <x v="2"/>
    <n v="0.22"/>
    <n v="0.56000000000000005"/>
    <n v="0.16"/>
    <n v="0.57999999999999996"/>
    <n v="0.6"/>
    <n v="0.42"/>
    <n v="0.38"/>
    <n v="0.25"/>
    <n v="0.33"/>
    <n v="0.5"/>
    <x v="2"/>
    <s v="Medium Exposure"/>
  </r>
  <r>
    <x v="3"/>
    <x v="2535"/>
    <n v="25"/>
    <x v="2"/>
    <n v="0.78"/>
    <n v="1.21"/>
    <x v="6"/>
    <x v="2"/>
    <n v="0.1"/>
    <n v="0"/>
    <n v="0.6"/>
    <n v="0.21"/>
    <n v="0.01"/>
    <n v="0.36"/>
    <n v="0.96"/>
    <n v="0.69"/>
    <n v="0.86"/>
    <n v="0.14000000000000001"/>
    <x v="0"/>
    <s v="High Exposure"/>
  </r>
  <r>
    <x v="15"/>
    <x v="2536"/>
    <n v="15"/>
    <x v="0"/>
    <n v="0.66"/>
    <n v="0.8"/>
    <x v="34"/>
    <x v="1"/>
    <n v="0.37"/>
    <n v="0.4"/>
    <n v="0.27"/>
    <n v="0.22"/>
    <n v="0.36"/>
    <n v="0.64"/>
    <n v="0.95"/>
    <n v="0.7"/>
    <n v="0.78"/>
    <n v="0.31"/>
    <x v="2"/>
    <s v="Medium Exposure"/>
  </r>
  <r>
    <x v="18"/>
    <x v="2537"/>
    <n v="7"/>
    <x v="0"/>
    <n v="0.28999999999999998"/>
    <n v="0.9"/>
    <x v="29"/>
    <x v="1"/>
    <n v="0.94"/>
    <n v="0.81"/>
    <n v="0.27"/>
    <n v="0.82"/>
    <n v="0.41"/>
    <n v="0.18"/>
    <n v="0.46"/>
    <n v="0.56000000000000005"/>
    <n v="0.76"/>
    <n v="0.35"/>
    <x v="2"/>
    <s v="Low Exposure"/>
  </r>
  <r>
    <x v="5"/>
    <x v="2538"/>
    <n v="23"/>
    <x v="2"/>
    <n v="0.09"/>
    <n v="0.61"/>
    <x v="21"/>
    <x v="1"/>
    <n v="0.95"/>
    <n v="0.97"/>
    <n v="0.3"/>
    <n v="0.19"/>
    <n v="0.98"/>
    <n v="0.99"/>
    <n v="0.08"/>
    <n v="0.75"/>
    <n v="0.28999999999999998"/>
    <n v="0.91"/>
    <x v="0"/>
    <s v="Low Exposure"/>
  </r>
  <r>
    <x v="18"/>
    <x v="2539"/>
    <n v="13"/>
    <x v="0"/>
    <n v="0.89"/>
    <n v="0.5"/>
    <x v="82"/>
    <x v="1"/>
    <n v="0.34"/>
    <n v="0.43"/>
    <n v="0.43"/>
    <n v="0.65"/>
    <n v="0.02"/>
    <n v="0.69"/>
    <n v="0.02"/>
    <n v="0.19"/>
    <n v="0.61"/>
    <n v="0.09"/>
    <x v="2"/>
    <s v="High Exposure"/>
  </r>
  <r>
    <x v="0"/>
    <x v="2540"/>
    <n v="8"/>
    <x v="0"/>
    <n v="0.19"/>
    <n v="0.92"/>
    <x v="90"/>
    <x v="0"/>
    <n v="0.5"/>
    <n v="0.52"/>
    <n v="0.22"/>
    <n v="0.52"/>
    <n v="0.48"/>
    <n v="0.21"/>
    <n v="0.99"/>
    <n v="0.87"/>
    <n v="0.89"/>
    <n v="0.69"/>
    <x v="2"/>
    <s v="Low Exposure"/>
  </r>
  <r>
    <x v="3"/>
    <x v="2541"/>
    <n v="15"/>
    <x v="0"/>
    <n v="0.82"/>
    <n v="0.54"/>
    <x v="11"/>
    <x v="2"/>
    <n v="0.4"/>
    <n v="0.21"/>
    <n v="0.38"/>
    <n v="0.98"/>
    <n v="0.72"/>
    <n v="0.3"/>
    <n v="0.61"/>
    <n v="0.25"/>
    <n v="0.61"/>
    <n v="0.9"/>
    <x v="2"/>
    <s v="High Exposure"/>
  </r>
  <r>
    <x v="6"/>
    <x v="2542"/>
    <n v="29"/>
    <x v="2"/>
    <n v="0.73"/>
    <n v="0.95"/>
    <x v="50"/>
    <x v="2"/>
    <n v="0.7"/>
    <n v="0.81"/>
    <n v="0.66"/>
    <n v="0.98"/>
    <n v="0.82"/>
    <n v="0.78"/>
    <n v="0.85"/>
    <n v="0.28000000000000003"/>
    <n v="0.43"/>
    <n v="0.56000000000000005"/>
    <x v="0"/>
    <s v="High Exposure"/>
  </r>
  <r>
    <x v="16"/>
    <x v="2543"/>
    <n v="20"/>
    <x v="1"/>
    <n v="0.85"/>
    <n v="0.53"/>
    <x v="73"/>
    <x v="0"/>
    <n v="0.88"/>
    <n v="0.06"/>
    <n v="0.23"/>
    <n v="0.35"/>
    <n v="0.75"/>
    <n v="0.56000000000000005"/>
    <n v="0.95"/>
    <n v="0.23"/>
    <n v="0.87"/>
    <n v="0.28000000000000003"/>
    <x v="0"/>
    <s v="High Exposure"/>
  </r>
  <r>
    <x v="15"/>
    <x v="2544"/>
    <n v="28"/>
    <x v="2"/>
    <n v="0.5"/>
    <n v="0.56999999999999995"/>
    <x v="18"/>
    <x v="1"/>
    <n v="0.36"/>
    <n v="0.16"/>
    <n v="0.86"/>
    <n v="0.39"/>
    <n v="0.98"/>
    <n v="0.9"/>
    <n v="0.19"/>
    <n v="0.51"/>
    <n v="0.6"/>
    <n v="0.82"/>
    <x v="0"/>
    <s v="Medium Exposure"/>
  </r>
  <r>
    <x v="5"/>
    <x v="2545"/>
    <n v="12"/>
    <x v="1"/>
    <n v="0.62"/>
    <n v="0.54"/>
    <x v="7"/>
    <x v="1"/>
    <n v="0.88"/>
    <n v="0.71"/>
    <n v="0.87"/>
    <n v="0.67"/>
    <n v="0.04"/>
    <n v="0.97"/>
    <n v="0.92"/>
    <n v="0.13"/>
    <n v="0.11"/>
    <n v="0.54"/>
    <x v="2"/>
    <s v="Medium Exposure"/>
  </r>
  <r>
    <x v="6"/>
    <x v="2546"/>
    <n v="12"/>
    <x v="2"/>
    <n v="0.38"/>
    <n v="0.64"/>
    <x v="11"/>
    <x v="2"/>
    <n v="0.34"/>
    <n v="0.35"/>
    <n v="0.64"/>
    <n v="0.89"/>
    <n v="0.56000000000000005"/>
    <n v="0.69"/>
    <n v="0.66"/>
    <n v="0.55000000000000004"/>
    <n v="0.31"/>
    <n v="0.38"/>
    <x v="2"/>
    <s v="Medium Exposure"/>
  </r>
  <r>
    <x v="14"/>
    <x v="2547"/>
    <n v="16"/>
    <x v="0"/>
    <n v="0.95"/>
    <n v="1.38"/>
    <x v="67"/>
    <x v="0"/>
    <n v="0.06"/>
    <n v="0.87"/>
    <n v="0.61"/>
    <n v="0.3"/>
    <n v="0.56000000000000005"/>
    <n v="0.22"/>
    <n v="0.95"/>
    <n v="0.83"/>
    <n v="0.96"/>
    <n v="0.19"/>
    <x v="0"/>
    <s v="High Exposure"/>
  </r>
  <r>
    <x v="9"/>
    <x v="2548"/>
    <n v="5"/>
    <x v="0"/>
    <n v="0.56000000000000005"/>
    <n v="0.82"/>
    <x v="90"/>
    <x v="0"/>
    <n v="0.94"/>
    <n v="0.69"/>
    <n v="0.36"/>
    <n v="1"/>
    <n v="0.35"/>
    <n v="0.81"/>
    <n v="0.78"/>
    <n v="0.72"/>
    <n v="0.67"/>
    <n v="0.11"/>
    <x v="1"/>
    <s v="Medium Exposure"/>
  </r>
  <r>
    <x v="6"/>
    <x v="2549"/>
    <n v="22"/>
    <x v="0"/>
    <n v="0.16"/>
    <n v="1.1000000000000001"/>
    <x v="10"/>
    <x v="2"/>
    <n v="0.17"/>
    <n v="0.56000000000000005"/>
    <n v="0.84"/>
    <n v="0.38"/>
    <n v="0.08"/>
    <n v="0.62"/>
    <n v="0.77"/>
    <n v="0.3"/>
    <n v="0.69"/>
    <n v="0.08"/>
    <x v="0"/>
    <s v="Low Exposure"/>
  </r>
  <r>
    <x v="13"/>
    <x v="2550"/>
    <n v="2"/>
    <x v="1"/>
    <n v="0.47"/>
    <n v="1.28"/>
    <x v="30"/>
    <x v="2"/>
    <n v="0.45"/>
    <n v="0.63"/>
    <n v="0.62"/>
    <n v="0.52"/>
    <n v="0.33"/>
    <n v="0.67"/>
    <n v="0.84"/>
    <n v="0.15"/>
    <n v="0.34"/>
    <n v="0.67"/>
    <x v="1"/>
    <s v="Medium Exposure"/>
  </r>
  <r>
    <x v="4"/>
    <x v="2551"/>
    <n v="12"/>
    <x v="3"/>
    <n v="0.22"/>
    <n v="0.72"/>
    <x v="53"/>
    <x v="2"/>
    <n v="0.65"/>
    <n v="0.75"/>
    <n v="0.68"/>
    <n v="0.92"/>
    <n v="0.15"/>
    <n v="0.32"/>
    <n v="0.34"/>
    <n v="0.23"/>
    <n v="0.14000000000000001"/>
    <n v="0.49"/>
    <x v="2"/>
    <s v="Low Exposure"/>
  </r>
  <r>
    <x v="0"/>
    <x v="2552"/>
    <n v="3"/>
    <x v="2"/>
    <n v="0.26"/>
    <n v="1.29"/>
    <x v="17"/>
    <x v="0"/>
    <n v="0.88"/>
    <n v="0.72"/>
    <n v="0.17"/>
    <n v="0.37"/>
    <n v="0.05"/>
    <n v="0.64"/>
    <n v="0.45"/>
    <n v="0.56999999999999995"/>
    <n v="0.98"/>
    <n v="0.4"/>
    <x v="1"/>
    <s v="Low Exposure"/>
  </r>
  <r>
    <x v="5"/>
    <x v="2553"/>
    <n v="8"/>
    <x v="2"/>
    <n v="0.15"/>
    <n v="0.64"/>
    <x v="82"/>
    <x v="1"/>
    <n v="0.75"/>
    <n v="0.56000000000000005"/>
    <n v="0.87"/>
    <n v="0.32"/>
    <n v="0.6"/>
    <n v="0.66"/>
    <n v="0.28000000000000003"/>
    <n v="0.4"/>
    <n v="0.59"/>
    <n v="0.02"/>
    <x v="2"/>
    <s v="Low Exposure"/>
  </r>
  <r>
    <x v="3"/>
    <x v="2554"/>
    <n v="6"/>
    <x v="0"/>
    <n v="0.11"/>
    <n v="0.55000000000000004"/>
    <x v="65"/>
    <x v="2"/>
    <n v="0.5"/>
    <n v="0.33"/>
    <n v="0.44"/>
    <n v="0.08"/>
    <n v="0.23"/>
    <n v="0.1"/>
    <n v="0.23"/>
    <n v="0.7"/>
    <n v="0.57999999999999996"/>
    <n v="0.33"/>
    <x v="2"/>
    <s v="Low Exposure"/>
  </r>
  <r>
    <x v="13"/>
    <x v="2555"/>
    <n v="14"/>
    <x v="2"/>
    <n v="1"/>
    <n v="1.27"/>
    <x v="12"/>
    <x v="2"/>
    <n v="0.03"/>
    <n v="0.06"/>
    <n v="0.71"/>
    <n v="0.19"/>
    <n v="0.43"/>
    <n v="0.18"/>
    <n v="0.18"/>
    <n v="0.11"/>
    <n v="0.59"/>
    <n v="0.74"/>
    <x v="2"/>
    <s v="High Exposure"/>
  </r>
  <r>
    <x v="1"/>
    <x v="2556"/>
    <n v="23"/>
    <x v="3"/>
    <n v="0.28000000000000003"/>
    <n v="1.1599999999999999"/>
    <x v="18"/>
    <x v="1"/>
    <n v="0.7"/>
    <n v="0.76"/>
    <n v="0.03"/>
    <n v="0.38"/>
    <n v="0.73"/>
    <n v="0.38"/>
    <n v="0.01"/>
    <n v="0.34"/>
    <n v="0.87"/>
    <n v="0.95"/>
    <x v="0"/>
    <s v="Low Exposure"/>
  </r>
  <r>
    <x v="9"/>
    <x v="2557"/>
    <n v="28"/>
    <x v="2"/>
    <n v="0.31"/>
    <n v="0.97"/>
    <x v="39"/>
    <x v="0"/>
    <n v="0.17"/>
    <n v="0.49"/>
    <n v="0.74"/>
    <n v="0.22"/>
    <n v="0.91"/>
    <n v="0.17"/>
    <n v="0.56000000000000005"/>
    <n v="0.78"/>
    <n v="0.21"/>
    <n v="0.3"/>
    <x v="0"/>
    <s v="Medium Exposure"/>
  </r>
  <r>
    <x v="14"/>
    <x v="2558"/>
    <n v="0"/>
    <x v="0"/>
    <n v="0.94"/>
    <n v="0.99"/>
    <x v="28"/>
    <x v="0"/>
    <n v="0.83"/>
    <n v="0.56999999999999995"/>
    <n v="0.06"/>
    <n v="0.45"/>
    <n v="0.43"/>
    <n v="0.15"/>
    <n v="0.42"/>
    <n v="0.28000000000000003"/>
    <n v="0.7"/>
    <n v="0.01"/>
    <x v="1"/>
    <s v="High Exposure"/>
  </r>
  <r>
    <x v="12"/>
    <x v="2559"/>
    <n v="8"/>
    <x v="0"/>
    <n v="0.92"/>
    <n v="0.93"/>
    <x v="49"/>
    <x v="2"/>
    <n v="0.79"/>
    <n v="0.85"/>
    <n v="0.21"/>
    <n v="0.71"/>
    <n v="0.62"/>
    <n v="0.75"/>
    <n v="0.79"/>
    <n v="0.66"/>
    <n v="0.96"/>
    <n v="0.86"/>
    <x v="2"/>
    <s v="High Exposure"/>
  </r>
  <r>
    <x v="0"/>
    <x v="2560"/>
    <n v="13"/>
    <x v="1"/>
    <n v="0.55000000000000004"/>
    <n v="1.25"/>
    <x v="0"/>
    <x v="0"/>
    <n v="0.04"/>
    <n v="0.21"/>
    <n v="0.08"/>
    <n v="0.11"/>
    <n v="0.02"/>
    <n v="0.42"/>
    <n v="0.18"/>
    <n v="0.86"/>
    <n v="0.75"/>
    <n v="0.56999999999999995"/>
    <x v="2"/>
    <s v="Medium Exposure"/>
  </r>
  <r>
    <x v="6"/>
    <x v="2561"/>
    <n v="29"/>
    <x v="2"/>
    <n v="0.26"/>
    <n v="0.97"/>
    <x v="23"/>
    <x v="2"/>
    <n v="0.78"/>
    <n v="0.08"/>
    <n v="0.71"/>
    <n v="0.74"/>
    <n v="0.56000000000000005"/>
    <n v="0.21"/>
    <n v="0.54"/>
    <n v="0.5"/>
    <n v="0.48"/>
    <n v="0.46"/>
    <x v="0"/>
    <s v="Low Exposure"/>
  </r>
  <r>
    <x v="14"/>
    <x v="2562"/>
    <n v="1"/>
    <x v="0"/>
    <n v="0.18"/>
    <n v="0.6"/>
    <x v="39"/>
    <x v="0"/>
    <n v="0.26"/>
    <n v="0.25"/>
    <n v="0.21"/>
    <n v="0.74"/>
    <n v="0.82"/>
    <n v="0.33"/>
    <n v="0.31"/>
    <n v="0.84"/>
    <n v="0.62"/>
    <n v="0.28999999999999998"/>
    <x v="1"/>
    <s v="Low Exposure"/>
  </r>
  <r>
    <x v="4"/>
    <x v="2563"/>
    <n v="26"/>
    <x v="2"/>
    <n v="0.34"/>
    <n v="1.0900000000000001"/>
    <x v="58"/>
    <x v="2"/>
    <n v="0.3"/>
    <n v="0.93"/>
    <n v="0.32"/>
    <n v="0.54"/>
    <n v="0.46"/>
    <n v="0.78"/>
    <n v="0.06"/>
    <n v="0.63"/>
    <n v="0.76"/>
    <n v="0.47"/>
    <x v="0"/>
    <s v="Medium Exposure"/>
  </r>
  <r>
    <x v="14"/>
    <x v="2564"/>
    <n v="9"/>
    <x v="3"/>
    <n v="0.24"/>
    <n v="1.18"/>
    <x v="24"/>
    <x v="0"/>
    <n v="0.42"/>
    <n v="0.56000000000000005"/>
    <n v="0.23"/>
    <n v="0.41"/>
    <n v="0.34"/>
    <n v="0.66"/>
    <n v="0.98"/>
    <n v="0.81"/>
    <n v="0.19"/>
    <n v="0.57999999999999996"/>
    <x v="2"/>
    <s v="Low Exposure"/>
  </r>
  <r>
    <x v="17"/>
    <x v="2565"/>
    <n v="25"/>
    <x v="0"/>
    <n v="0.25"/>
    <n v="0.67"/>
    <x v="87"/>
    <x v="2"/>
    <n v="0.68"/>
    <n v="0.5"/>
    <n v="0.93"/>
    <n v="0.21"/>
    <n v="0.36"/>
    <n v="0.33"/>
    <n v="0.24"/>
    <n v="0.99"/>
    <n v="0.39"/>
    <n v="0.94"/>
    <x v="0"/>
    <s v="Low Exposure"/>
  </r>
  <r>
    <x v="2"/>
    <x v="2566"/>
    <n v="0"/>
    <x v="3"/>
    <n v="0.2"/>
    <n v="0.62"/>
    <x v="32"/>
    <x v="0"/>
    <n v="0.03"/>
    <n v="0.96"/>
    <n v="0.42"/>
    <n v="0.25"/>
    <n v="0.62"/>
    <n v="0.13"/>
    <n v="7.0000000000000007E-2"/>
    <n v="0.83"/>
    <n v="0.42"/>
    <n v="0.52"/>
    <x v="1"/>
    <s v="Low Exposure"/>
  </r>
  <r>
    <x v="8"/>
    <x v="2567"/>
    <n v="26"/>
    <x v="0"/>
    <n v="0.37"/>
    <n v="1.01"/>
    <x v="45"/>
    <x v="2"/>
    <n v="0.5"/>
    <n v="0.78"/>
    <n v="0.12"/>
    <n v="0.06"/>
    <n v="0.16"/>
    <n v="0.77"/>
    <n v="0.76"/>
    <n v="0.14000000000000001"/>
    <n v="0.03"/>
    <n v="0.69"/>
    <x v="0"/>
    <s v="Medium Exposure"/>
  </r>
  <r>
    <x v="13"/>
    <x v="2568"/>
    <n v="28"/>
    <x v="0"/>
    <n v="0.75"/>
    <n v="0.7"/>
    <x v="68"/>
    <x v="2"/>
    <n v="0.76"/>
    <n v="0.26"/>
    <n v="0.53"/>
    <n v="0.31"/>
    <n v="0.23"/>
    <n v="0.97"/>
    <n v="0.91"/>
    <n v="0.45"/>
    <n v="0.14000000000000001"/>
    <n v="0.73"/>
    <x v="0"/>
    <s v="High Exposure"/>
  </r>
  <r>
    <x v="12"/>
    <x v="2569"/>
    <n v="3"/>
    <x v="0"/>
    <n v="0.17"/>
    <n v="0.88"/>
    <x v="50"/>
    <x v="2"/>
    <n v="0.1"/>
    <n v="0.56999999999999995"/>
    <n v="0.02"/>
    <n v="0.89"/>
    <n v="0.92"/>
    <n v="0.73"/>
    <n v="0.47"/>
    <n v="0.25"/>
    <n v="0.74"/>
    <n v="0.93"/>
    <x v="1"/>
    <s v="Low Exposure"/>
  </r>
  <r>
    <x v="17"/>
    <x v="2570"/>
    <n v="23"/>
    <x v="3"/>
    <n v="0.47"/>
    <n v="0.82"/>
    <x v="30"/>
    <x v="2"/>
    <n v="0.41"/>
    <n v="0.95"/>
    <n v="0.26"/>
    <n v="0.49"/>
    <n v="0.95"/>
    <n v="0.48"/>
    <n v="0.86"/>
    <n v="0.06"/>
    <n v="0.95"/>
    <n v="0.19"/>
    <x v="0"/>
    <s v="Medium Exposure"/>
  </r>
  <r>
    <x v="9"/>
    <x v="2571"/>
    <n v="8"/>
    <x v="3"/>
    <n v="0.18"/>
    <n v="0.94"/>
    <x v="80"/>
    <x v="0"/>
    <n v="0.43"/>
    <n v="0.25"/>
    <n v="0.97"/>
    <n v="0.31"/>
    <n v="0.65"/>
    <n v="0.14000000000000001"/>
    <n v="0.82"/>
    <n v="0.54"/>
    <n v="0.98"/>
    <n v="0.42"/>
    <x v="2"/>
    <s v="Low Exposure"/>
  </r>
  <r>
    <x v="2"/>
    <x v="2572"/>
    <n v="25"/>
    <x v="3"/>
    <n v="0.35"/>
    <n v="1.24"/>
    <x v="83"/>
    <x v="0"/>
    <n v="0.78"/>
    <n v="7.0000000000000007E-2"/>
    <n v="0.57999999999999996"/>
    <n v="0.93"/>
    <n v="0.11"/>
    <n v="0.09"/>
    <n v="0.72"/>
    <n v="0.32"/>
    <n v="0.66"/>
    <n v="0.55000000000000004"/>
    <x v="0"/>
    <s v="Medium Exposure"/>
  </r>
  <r>
    <x v="1"/>
    <x v="2573"/>
    <n v="20"/>
    <x v="3"/>
    <n v="0.89"/>
    <n v="1.18"/>
    <x v="54"/>
    <x v="1"/>
    <n v="0.26"/>
    <n v="0.88"/>
    <n v="0.59"/>
    <n v="0.79"/>
    <n v="0.45"/>
    <n v="0.1"/>
    <n v="0.33"/>
    <n v="0.16"/>
    <n v="0.78"/>
    <n v="0.7"/>
    <x v="0"/>
    <s v="High Exposure"/>
  </r>
  <r>
    <x v="17"/>
    <x v="2574"/>
    <n v="5"/>
    <x v="3"/>
    <n v="0.43"/>
    <n v="1.21"/>
    <x v="87"/>
    <x v="2"/>
    <n v="0.71"/>
    <n v="0.55000000000000004"/>
    <n v="0.25"/>
    <n v="0.67"/>
    <n v="0.88"/>
    <n v="0.31"/>
    <n v="0.81"/>
    <n v="0.34"/>
    <n v="0.82"/>
    <n v="0.05"/>
    <x v="1"/>
    <s v="Medium Exposure"/>
  </r>
  <r>
    <x v="19"/>
    <x v="2575"/>
    <n v="8"/>
    <x v="3"/>
    <n v="0.11"/>
    <n v="1.37"/>
    <x v="50"/>
    <x v="2"/>
    <n v="0.59"/>
    <n v="0.84"/>
    <n v="0.05"/>
    <n v="0.39"/>
    <n v="0.64"/>
    <n v="0.4"/>
    <n v="0.03"/>
    <n v="0.65"/>
    <n v="0.39"/>
    <n v="0.02"/>
    <x v="2"/>
    <s v="Low Exposure"/>
  </r>
  <r>
    <x v="17"/>
    <x v="2576"/>
    <n v="7"/>
    <x v="0"/>
    <n v="0.22"/>
    <n v="1.01"/>
    <x v="49"/>
    <x v="2"/>
    <n v="0.36"/>
    <n v="0.75"/>
    <n v="0.81"/>
    <n v="0.8"/>
    <n v="0.7"/>
    <n v="0.54"/>
    <n v="0.55000000000000004"/>
    <n v="0.95"/>
    <n v="0.88"/>
    <n v="0.65"/>
    <x v="2"/>
    <s v="Low Exposure"/>
  </r>
  <r>
    <x v="13"/>
    <x v="2577"/>
    <n v="24"/>
    <x v="1"/>
    <n v="0.73"/>
    <n v="0.56000000000000005"/>
    <x v="26"/>
    <x v="2"/>
    <n v="0.55000000000000004"/>
    <n v="0.5"/>
    <n v="0.28999999999999998"/>
    <n v="0"/>
    <n v="0.06"/>
    <n v="0.26"/>
    <n v="0.54"/>
    <n v="0.08"/>
    <n v="0.97"/>
    <n v="0.41"/>
    <x v="0"/>
    <s v="High Exposure"/>
  </r>
  <r>
    <x v="7"/>
    <x v="2578"/>
    <n v="24"/>
    <x v="2"/>
    <n v="0.53"/>
    <n v="0.56000000000000005"/>
    <x v="75"/>
    <x v="1"/>
    <n v="0.46"/>
    <n v="0.18"/>
    <n v="0.16"/>
    <n v="0.36"/>
    <n v="0.56999999999999995"/>
    <n v="0.42"/>
    <n v="0.6"/>
    <n v="0.71"/>
    <n v="0.75"/>
    <n v="0.4"/>
    <x v="0"/>
    <s v="Medium Exposure"/>
  </r>
  <r>
    <x v="9"/>
    <x v="2579"/>
    <n v="10"/>
    <x v="1"/>
    <n v="0.14000000000000001"/>
    <n v="1.01"/>
    <x v="28"/>
    <x v="0"/>
    <n v="0.24"/>
    <n v="0.57999999999999996"/>
    <n v="0.74"/>
    <n v="0.1"/>
    <n v="0.21"/>
    <n v="0.99"/>
    <n v="0.34"/>
    <n v="0.28000000000000003"/>
    <n v="0.09"/>
    <n v="0.69"/>
    <x v="2"/>
    <s v="Low Exposure"/>
  </r>
  <r>
    <x v="17"/>
    <x v="2580"/>
    <n v="22"/>
    <x v="0"/>
    <n v="0.16"/>
    <n v="1.1299999999999999"/>
    <x v="50"/>
    <x v="2"/>
    <n v="0.56000000000000005"/>
    <n v="0.99"/>
    <n v="0.03"/>
    <n v="0.91"/>
    <n v="0.84"/>
    <n v="0.42"/>
    <n v="0.88"/>
    <n v="0.65"/>
    <n v="0.89"/>
    <n v="0.59"/>
    <x v="0"/>
    <s v="Low Exposure"/>
  </r>
  <r>
    <x v="1"/>
    <x v="2581"/>
    <n v="1"/>
    <x v="2"/>
    <n v="0.57999999999999996"/>
    <n v="0.68"/>
    <x v="63"/>
    <x v="1"/>
    <n v="0.65"/>
    <n v="0.95"/>
    <n v="0.59"/>
    <n v="0.8"/>
    <n v="0.17"/>
    <n v="0.65"/>
    <n v="0.73"/>
    <n v="0.04"/>
    <n v="0.1"/>
    <n v="0.78"/>
    <x v="1"/>
    <s v="Medium Exposure"/>
  </r>
  <r>
    <x v="0"/>
    <x v="2582"/>
    <n v="19"/>
    <x v="3"/>
    <n v="0.41"/>
    <n v="1.42"/>
    <x v="60"/>
    <x v="0"/>
    <n v="0.76"/>
    <n v="0.79"/>
    <n v="0.21"/>
    <n v="0.19"/>
    <n v="0.98"/>
    <n v="0.7"/>
    <n v="0.69"/>
    <n v="0.28999999999999998"/>
    <n v="0.89"/>
    <n v="0.04"/>
    <x v="0"/>
    <s v="Medium Exposure"/>
  </r>
  <r>
    <x v="19"/>
    <x v="2583"/>
    <n v="7"/>
    <x v="0"/>
    <n v="0.18"/>
    <n v="1.21"/>
    <x v="31"/>
    <x v="2"/>
    <n v="0.53"/>
    <n v="0.01"/>
    <n v="0.87"/>
    <n v="0.96"/>
    <n v="0.2"/>
    <n v="0.84"/>
    <n v="0.97"/>
    <n v="0.33"/>
    <n v="0.19"/>
    <n v="0.98"/>
    <x v="2"/>
    <s v="Low Exposure"/>
  </r>
  <r>
    <x v="13"/>
    <x v="2584"/>
    <n v="2"/>
    <x v="2"/>
    <n v="0.28000000000000003"/>
    <n v="1.24"/>
    <x v="33"/>
    <x v="2"/>
    <n v="0.68"/>
    <n v="0.71"/>
    <n v="0.69"/>
    <n v="0.34"/>
    <n v="0.31"/>
    <n v="0.43"/>
    <n v="0.81"/>
    <n v="0.94"/>
    <n v="0.46"/>
    <n v="0.09"/>
    <x v="1"/>
    <s v="Low Exposure"/>
  </r>
  <r>
    <x v="18"/>
    <x v="2585"/>
    <n v="0"/>
    <x v="1"/>
    <n v="0.08"/>
    <n v="0.66"/>
    <x v="15"/>
    <x v="1"/>
    <n v="0.55000000000000004"/>
    <n v="0.35"/>
    <n v="0.93"/>
    <n v="0.96"/>
    <n v="0.33"/>
    <n v="0.87"/>
    <n v="0.68"/>
    <n v="0.27"/>
    <n v="0.94"/>
    <n v="0.06"/>
    <x v="1"/>
    <s v="Low Exposure"/>
  </r>
  <r>
    <x v="12"/>
    <x v="2586"/>
    <n v="25"/>
    <x v="0"/>
    <n v="0.4"/>
    <n v="1.19"/>
    <x v="86"/>
    <x v="2"/>
    <n v="0.89"/>
    <n v="0.66"/>
    <n v="0.28000000000000003"/>
    <n v="0.66"/>
    <n v="0.54"/>
    <n v="0.34"/>
    <n v="0.03"/>
    <n v="0.55000000000000004"/>
    <n v="0.08"/>
    <n v="0.81"/>
    <x v="0"/>
    <s v="Medium Exposure"/>
  </r>
  <r>
    <x v="13"/>
    <x v="2587"/>
    <n v="29"/>
    <x v="2"/>
    <n v="0.43"/>
    <n v="0.93"/>
    <x v="43"/>
    <x v="2"/>
    <n v="0.04"/>
    <n v="0.2"/>
    <n v="0.2"/>
    <n v="0.6"/>
    <n v="0.26"/>
    <n v="0.14000000000000001"/>
    <n v="0.02"/>
    <n v="0.84"/>
    <n v="0.97"/>
    <n v="0.7"/>
    <x v="0"/>
    <s v="Medium Exposure"/>
  </r>
  <r>
    <x v="6"/>
    <x v="2588"/>
    <n v="14"/>
    <x v="0"/>
    <n v="0.12"/>
    <n v="0.98"/>
    <x v="8"/>
    <x v="2"/>
    <n v="0.42"/>
    <n v="0.38"/>
    <n v="0.5"/>
    <n v="7.0000000000000007E-2"/>
    <n v="0.04"/>
    <n v="0.06"/>
    <n v="0.2"/>
    <n v="0.28000000000000003"/>
    <n v="0.17"/>
    <n v="0.25"/>
    <x v="2"/>
    <s v="Low Exposure"/>
  </r>
  <r>
    <x v="18"/>
    <x v="2589"/>
    <n v="29"/>
    <x v="2"/>
    <n v="0.15"/>
    <n v="0.79"/>
    <x v="18"/>
    <x v="1"/>
    <n v="0.74"/>
    <n v="0.96"/>
    <n v="0.92"/>
    <n v="0.48"/>
    <n v="0.46"/>
    <n v="0.13"/>
    <n v="0.97"/>
    <n v="0.76"/>
    <n v="0.85"/>
    <n v="0.23"/>
    <x v="0"/>
    <s v="Low Exposure"/>
  </r>
  <r>
    <x v="8"/>
    <x v="2590"/>
    <n v="5"/>
    <x v="0"/>
    <n v="0.1"/>
    <n v="1.44"/>
    <x v="6"/>
    <x v="2"/>
    <n v="0.6"/>
    <n v="0.15"/>
    <n v="0.8"/>
    <n v="0.19"/>
    <n v="0.81"/>
    <n v="0.4"/>
    <n v="0.57999999999999996"/>
    <n v="0.27"/>
    <n v="0.88"/>
    <n v="0.76"/>
    <x v="1"/>
    <s v="Low Exposure"/>
  </r>
  <r>
    <x v="13"/>
    <x v="2591"/>
    <n v="10"/>
    <x v="2"/>
    <n v="0.59"/>
    <n v="0.63"/>
    <x v="46"/>
    <x v="2"/>
    <n v="0.53"/>
    <n v="0.64"/>
    <n v="0.56000000000000005"/>
    <n v="0.56000000000000005"/>
    <n v="0.74"/>
    <n v="0.9"/>
    <n v="0.39"/>
    <n v="0.54"/>
    <n v="0.89"/>
    <n v="0.46"/>
    <x v="2"/>
    <s v="Medium Exposure"/>
  </r>
  <r>
    <x v="17"/>
    <x v="2592"/>
    <n v="26"/>
    <x v="1"/>
    <n v="0.77"/>
    <n v="1.38"/>
    <x v="3"/>
    <x v="2"/>
    <n v="0.1"/>
    <n v="0.46"/>
    <n v="0.21"/>
    <n v="0.32"/>
    <n v="0.47"/>
    <n v="0.22"/>
    <n v="0.52"/>
    <n v="0.64"/>
    <n v="0.87"/>
    <n v="0.21"/>
    <x v="0"/>
    <s v="High Exposure"/>
  </r>
  <r>
    <x v="12"/>
    <x v="2593"/>
    <n v="6"/>
    <x v="3"/>
    <n v="0.41"/>
    <n v="0.72"/>
    <x v="87"/>
    <x v="2"/>
    <n v="0.88"/>
    <n v="0.14000000000000001"/>
    <n v="0.44"/>
    <n v="0.31"/>
    <n v="0.08"/>
    <n v="0.1"/>
    <n v="0.78"/>
    <n v="0.85"/>
    <n v="0.74"/>
    <n v="0.54"/>
    <x v="2"/>
    <s v="Medium Exposure"/>
  </r>
  <r>
    <x v="7"/>
    <x v="382"/>
    <n v="27"/>
    <x v="0"/>
    <n v="0.15"/>
    <n v="1.28"/>
    <x v="74"/>
    <x v="1"/>
    <n v="0.75"/>
    <n v="0.23"/>
    <n v="0.83"/>
    <n v="0.56999999999999995"/>
    <n v="0.01"/>
    <n v="0.52"/>
    <n v="0.31"/>
    <n v="0.06"/>
    <n v="0.45"/>
    <n v="0.31"/>
    <x v="0"/>
    <s v="Low Exposure"/>
  </r>
  <r>
    <x v="1"/>
    <x v="2594"/>
    <n v="10"/>
    <x v="0"/>
    <n v="0.35"/>
    <n v="0.68"/>
    <x v="54"/>
    <x v="1"/>
    <n v="0.12"/>
    <n v="0.08"/>
    <n v="0.91"/>
    <n v="0.9"/>
    <n v="0.83"/>
    <n v="0.23"/>
    <n v="0.73"/>
    <n v="0.59"/>
    <n v="0.05"/>
    <n v="0.9"/>
    <x v="2"/>
    <s v="Medium Exposure"/>
  </r>
  <r>
    <x v="13"/>
    <x v="2595"/>
    <n v="14"/>
    <x v="0"/>
    <n v="0.71"/>
    <n v="0.73"/>
    <x v="43"/>
    <x v="2"/>
    <n v="0.11"/>
    <n v="0.3"/>
    <n v="0.72"/>
    <n v="0.3"/>
    <n v="0.15"/>
    <n v="0.01"/>
    <n v="0.56999999999999995"/>
    <n v="0.97"/>
    <n v="0.48"/>
    <n v="0.21"/>
    <x v="2"/>
    <s v="High Exposure"/>
  </r>
  <r>
    <x v="19"/>
    <x v="2596"/>
    <n v="18"/>
    <x v="0"/>
    <n v="0.6"/>
    <n v="1.3"/>
    <x v="8"/>
    <x v="2"/>
    <n v="0.17"/>
    <n v="0.19"/>
    <n v="0.9"/>
    <n v="0.24"/>
    <n v="0.73"/>
    <n v="0.27"/>
    <n v="0.72"/>
    <n v="0.08"/>
    <n v="0.21"/>
    <n v="0.41"/>
    <x v="0"/>
    <s v="Medium Exposure"/>
  </r>
  <r>
    <x v="5"/>
    <x v="2597"/>
    <n v="29"/>
    <x v="1"/>
    <n v="0.35"/>
    <n v="1.07"/>
    <x v="61"/>
    <x v="1"/>
    <n v="0.68"/>
    <n v="0.51"/>
    <n v="0.71"/>
    <n v="0.43"/>
    <n v="0.88"/>
    <n v="0.38"/>
    <n v="0.31"/>
    <n v="0.56000000000000005"/>
    <n v="0.51"/>
    <n v="0.52"/>
    <x v="0"/>
    <s v="Medium Exposure"/>
  </r>
  <r>
    <x v="18"/>
    <x v="2598"/>
    <n v="7"/>
    <x v="2"/>
    <n v="0.59"/>
    <n v="1.39"/>
    <x v="42"/>
    <x v="1"/>
    <n v="0.02"/>
    <n v="0.87"/>
    <n v="0.84"/>
    <n v="0.05"/>
    <n v="0.13"/>
    <n v="0.56000000000000005"/>
    <n v="0.04"/>
    <n v="0.41"/>
    <n v="0.98"/>
    <n v="0.17"/>
    <x v="2"/>
    <s v="Medium Exposure"/>
  </r>
  <r>
    <x v="6"/>
    <x v="2599"/>
    <n v="9"/>
    <x v="3"/>
    <n v="0.68"/>
    <n v="0.54"/>
    <x v="12"/>
    <x v="2"/>
    <n v="0.2"/>
    <n v="0.53"/>
    <n v="0.25"/>
    <n v="0.66"/>
    <n v="0.59"/>
    <n v="0.95"/>
    <n v="0.45"/>
    <n v="0.87"/>
    <n v="0.57999999999999996"/>
    <n v="0.91"/>
    <x v="2"/>
    <s v="Medium Exposure"/>
  </r>
  <r>
    <x v="19"/>
    <x v="2600"/>
    <n v="3"/>
    <x v="2"/>
    <n v="0.55000000000000004"/>
    <n v="0.89"/>
    <x v="20"/>
    <x v="2"/>
    <n v="0.56999999999999995"/>
    <n v="0.79"/>
    <n v="0.56000000000000005"/>
    <n v="0.28000000000000003"/>
    <n v="0.26"/>
    <n v="0.24"/>
    <n v="0.98"/>
    <n v="0.4"/>
    <n v="0.32"/>
    <n v="0.42"/>
    <x v="1"/>
    <s v="Medium Exposure"/>
  </r>
  <r>
    <x v="8"/>
    <x v="2601"/>
    <n v="28"/>
    <x v="3"/>
    <n v="0.2"/>
    <n v="1.01"/>
    <x v="69"/>
    <x v="2"/>
    <n v="0.88"/>
    <n v="0.87"/>
    <n v="0.94"/>
    <n v="0.13"/>
    <n v="0.04"/>
    <n v="0.11"/>
    <n v="0.6"/>
    <n v="0.56000000000000005"/>
    <n v="0.67"/>
    <n v="0.37"/>
    <x v="0"/>
    <s v="Low Exposure"/>
  </r>
  <r>
    <x v="9"/>
    <x v="2602"/>
    <n v="19"/>
    <x v="1"/>
    <n v="0.55000000000000004"/>
    <n v="0.57999999999999996"/>
    <x v="40"/>
    <x v="0"/>
    <n v="0.92"/>
    <n v="0.39"/>
    <n v="0.74"/>
    <n v="0.55000000000000004"/>
    <n v="0.24"/>
    <n v="7.0000000000000007E-2"/>
    <n v="0.25"/>
    <n v="0.6"/>
    <n v="0.04"/>
    <n v="0.84"/>
    <x v="0"/>
    <s v="Medium Exposure"/>
  </r>
  <r>
    <x v="18"/>
    <x v="2603"/>
    <n v="10"/>
    <x v="3"/>
    <n v="0.9"/>
    <n v="1.26"/>
    <x v="75"/>
    <x v="1"/>
    <n v="0.6"/>
    <n v="0.89"/>
    <n v="0.5"/>
    <n v="0.99"/>
    <n v="0.1"/>
    <n v="0.81"/>
    <n v="0.64"/>
    <n v="0.57999999999999996"/>
    <n v="0.73"/>
    <n v="0.84"/>
    <x v="2"/>
    <s v="High Exposure"/>
  </r>
  <r>
    <x v="16"/>
    <x v="2604"/>
    <n v="5"/>
    <x v="3"/>
    <n v="0.38"/>
    <n v="1.33"/>
    <x v="44"/>
    <x v="0"/>
    <n v="0.14000000000000001"/>
    <n v="0.65"/>
    <n v="0.91"/>
    <n v="0.11"/>
    <n v="0.59"/>
    <n v="0.08"/>
    <n v="0.81"/>
    <n v="0.91"/>
    <n v="0.63"/>
    <n v="0.69"/>
    <x v="1"/>
    <s v="Medium Exposure"/>
  </r>
  <r>
    <x v="12"/>
    <x v="2605"/>
    <n v="4"/>
    <x v="0"/>
    <n v="7.0000000000000007E-2"/>
    <n v="0.68"/>
    <x v="6"/>
    <x v="2"/>
    <n v="0.76"/>
    <n v="0.44"/>
    <n v="0.08"/>
    <n v="0.85"/>
    <n v="0.99"/>
    <n v="0.46"/>
    <n v="0.51"/>
    <n v="0.08"/>
    <n v="0.38"/>
    <n v="0.37"/>
    <x v="1"/>
    <s v="Low Exposure"/>
  </r>
  <r>
    <x v="3"/>
    <x v="2606"/>
    <n v="7"/>
    <x v="1"/>
    <n v="0.66"/>
    <n v="1.28"/>
    <x v="53"/>
    <x v="2"/>
    <n v="0.42"/>
    <n v="0.19"/>
    <n v="0.86"/>
    <n v="0.15"/>
    <n v="0.44"/>
    <n v="0.05"/>
    <n v="0.63"/>
    <n v="0.48"/>
    <n v="0.5"/>
    <n v="0.1"/>
    <x v="2"/>
    <s v="Medium Exposure"/>
  </r>
  <r>
    <x v="14"/>
    <x v="2607"/>
    <n v="22"/>
    <x v="0"/>
    <n v="0.56000000000000005"/>
    <n v="1.46"/>
    <x v="76"/>
    <x v="0"/>
    <n v="0.92"/>
    <n v="0.48"/>
    <n v="0.21"/>
    <n v="0.67"/>
    <n v="0.52"/>
    <n v="0.23"/>
    <n v="0.63"/>
    <n v="0.47"/>
    <n v="0.69"/>
    <n v="0.69"/>
    <x v="0"/>
    <s v="Medium Exposure"/>
  </r>
  <r>
    <x v="13"/>
    <x v="2608"/>
    <n v="1"/>
    <x v="1"/>
    <n v="0.39"/>
    <n v="0.56000000000000005"/>
    <x v="11"/>
    <x v="2"/>
    <n v="0.24"/>
    <n v="0.05"/>
    <n v="0.33"/>
    <n v="0.09"/>
    <n v="0.57999999999999996"/>
    <n v="0.5"/>
    <n v="0.79"/>
    <n v="0.27"/>
    <n v="0.37"/>
    <n v="0.69"/>
    <x v="1"/>
    <s v="Medium Exposure"/>
  </r>
  <r>
    <x v="3"/>
    <x v="2609"/>
    <n v="22"/>
    <x v="2"/>
    <n v="0.9"/>
    <n v="1.02"/>
    <x v="64"/>
    <x v="2"/>
    <n v="0.53"/>
    <n v="0.43"/>
    <n v="0.6"/>
    <n v="0.39"/>
    <n v="0.28000000000000003"/>
    <n v="0.71"/>
    <n v="0.87"/>
    <n v="0.28999999999999998"/>
    <n v="0.71"/>
    <n v="0.43"/>
    <x v="0"/>
    <s v="High Exposure"/>
  </r>
  <r>
    <x v="11"/>
    <x v="2610"/>
    <n v="12"/>
    <x v="3"/>
    <n v="0.62"/>
    <n v="1.44"/>
    <x v="30"/>
    <x v="2"/>
    <n v="0.76"/>
    <n v="0.31"/>
    <n v="0.8"/>
    <n v="0.76"/>
    <n v="0.77"/>
    <n v="1"/>
    <n v="0.14000000000000001"/>
    <n v="0.39"/>
    <n v="0.63"/>
    <n v="0.59"/>
    <x v="2"/>
    <s v="Medium Exposure"/>
  </r>
  <r>
    <x v="0"/>
    <x v="2611"/>
    <n v="9"/>
    <x v="0"/>
    <n v="0.05"/>
    <n v="1.21"/>
    <x v="51"/>
    <x v="0"/>
    <n v="0.06"/>
    <n v="0.54"/>
    <n v="0.24"/>
    <n v="0.8"/>
    <n v="0.05"/>
    <n v="0.15"/>
    <n v="0.1"/>
    <n v="7.0000000000000007E-2"/>
    <n v="0.6"/>
    <n v="0.87"/>
    <x v="2"/>
    <s v="Low Exposure"/>
  </r>
  <r>
    <x v="13"/>
    <x v="2612"/>
    <n v="21"/>
    <x v="0"/>
    <n v="0.21"/>
    <n v="0.84"/>
    <x v="30"/>
    <x v="2"/>
    <n v="0.45"/>
    <n v="0.42"/>
    <n v="0.67"/>
    <n v="0.34"/>
    <n v="0.66"/>
    <n v="0.55000000000000004"/>
    <n v="0.05"/>
    <n v="0.92"/>
    <n v="0.18"/>
    <n v="0.45"/>
    <x v="0"/>
    <s v="Low Exposure"/>
  </r>
  <r>
    <x v="0"/>
    <x v="2613"/>
    <n v="11"/>
    <x v="2"/>
    <n v="0.25"/>
    <n v="0.52"/>
    <x v="90"/>
    <x v="0"/>
    <n v="0.22"/>
    <n v="0.57999999999999996"/>
    <n v="0.82"/>
    <n v="0.51"/>
    <n v="0.65"/>
    <n v="0.67"/>
    <n v="0.82"/>
    <n v="0.69"/>
    <n v="0.98"/>
    <n v="0.46"/>
    <x v="2"/>
    <s v="Low Exposure"/>
  </r>
  <r>
    <x v="13"/>
    <x v="2614"/>
    <n v="8"/>
    <x v="0"/>
    <n v="0.39"/>
    <n v="1.34"/>
    <x v="53"/>
    <x v="2"/>
    <n v="0.74"/>
    <n v="0.54"/>
    <n v="0.9"/>
    <n v="0.73"/>
    <n v="0.66"/>
    <n v="0.89"/>
    <n v="0.91"/>
    <n v="0.38"/>
    <n v="0.93"/>
    <n v="0.05"/>
    <x v="2"/>
    <s v="Medium Exposure"/>
  </r>
  <r>
    <x v="14"/>
    <x v="2615"/>
    <n v="23"/>
    <x v="0"/>
    <n v="0.34"/>
    <n v="0.99"/>
    <x v="32"/>
    <x v="0"/>
    <n v="0.64"/>
    <n v="0.46"/>
    <n v="0.16"/>
    <n v="0.94"/>
    <n v="0.33"/>
    <n v="0.1"/>
    <n v="0.56000000000000005"/>
    <n v="0.41"/>
    <n v="0.59"/>
    <n v="0.23"/>
    <x v="0"/>
    <s v="Medium Exposure"/>
  </r>
  <r>
    <x v="6"/>
    <x v="2616"/>
    <n v="29"/>
    <x v="1"/>
    <n v="0.38"/>
    <n v="0.67"/>
    <x v="45"/>
    <x v="2"/>
    <n v="0.99"/>
    <n v="0.28000000000000003"/>
    <n v="0.92"/>
    <n v="0.13"/>
    <n v="0.95"/>
    <n v="0.75"/>
    <n v="0.35"/>
    <n v="0.3"/>
    <n v="0.64"/>
    <n v="0.59"/>
    <x v="0"/>
    <s v="Medium Exposure"/>
  </r>
  <r>
    <x v="2"/>
    <x v="2617"/>
    <n v="12"/>
    <x v="3"/>
    <n v="0.77"/>
    <n v="1.04"/>
    <x v="17"/>
    <x v="0"/>
    <n v="0.59"/>
    <n v="0.85"/>
    <n v="0.84"/>
    <n v="0.92"/>
    <n v="7.0000000000000007E-2"/>
    <n v="0.57999999999999996"/>
    <n v="0.47"/>
    <n v="0.49"/>
    <n v="0.46"/>
    <n v="0.84"/>
    <x v="2"/>
    <s v="High Exposure"/>
  </r>
  <r>
    <x v="16"/>
    <x v="2618"/>
    <n v="15"/>
    <x v="3"/>
    <n v="0.46"/>
    <n v="0.7"/>
    <x v="39"/>
    <x v="0"/>
    <n v="0.66"/>
    <n v="0.12"/>
    <n v="0.19"/>
    <n v="0.53"/>
    <n v="0.04"/>
    <n v="0.13"/>
    <n v="0.86"/>
    <n v="0.85"/>
    <n v="0.35"/>
    <n v="0.35"/>
    <x v="2"/>
    <s v="Medium Exposure"/>
  </r>
  <r>
    <x v="5"/>
    <x v="2619"/>
    <n v="21"/>
    <x v="3"/>
    <n v="0.03"/>
    <n v="1.08"/>
    <x v="42"/>
    <x v="1"/>
    <n v="0.79"/>
    <n v="0.95"/>
    <n v="0.36"/>
    <n v="0.44"/>
    <n v="0.67"/>
    <n v="0.97"/>
    <n v="0.89"/>
    <n v="0.67"/>
    <n v="0.86"/>
    <n v="0.09"/>
    <x v="0"/>
    <s v="Low Exposure"/>
  </r>
  <r>
    <x v="1"/>
    <x v="2620"/>
    <n v="16"/>
    <x v="2"/>
    <n v="0.01"/>
    <n v="0.68"/>
    <x v="13"/>
    <x v="1"/>
    <n v="0.89"/>
    <n v="0.63"/>
    <n v="0.66"/>
    <n v="0.1"/>
    <n v="0.66"/>
    <n v="0.45"/>
    <n v="0.65"/>
    <n v="0.33"/>
    <n v="0.57999999999999996"/>
    <n v="0.42"/>
    <x v="0"/>
    <s v="Low Exposure"/>
  </r>
  <r>
    <x v="7"/>
    <x v="2621"/>
    <n v="13"/>
    <x v="2"/>
    <n v="0.15"/>
    <n v="0.9"/>
    <x v="41"/>
    <x v="1"/>
    <n v="0.74"/>
    <n v="0.71"/>
    <n v="0.91"/>
    <n v="0.63"/>
    <n v="0.31"/>
    <n v="0.78"/>
    <n v="0.5"/>
    <n v="0.19"/>
    <n v="0.75"/>
    <n v="0.13"/>
    <x v="2"/>
    <s v="Low Exposure"/>
  </r>
  <r>
    <x v="16"/>
    <x v="2622"/>
    <n v="13"/>
    <x v="3"/>
    <n v="0.76"/>
    <n v="1.27"/>
    <x v="40"/>
    <x v="0"/>
    <n v="0.28999999999999998"/>
    <n v="0.87"/>
    <n v="0.72"/>
    <n v="0.83"/>
    <n v="0.71"/>
    <n v="0.57999999999999996"/>
    <n v="0.11"/>
    <n v="0.71"/>
    <n v="0.69"/>
    <n v="0.31"/>
    <x v="2"/>
    <s v="High Exposure"/>
  </r>
  <r>
    <x v="6"/>
    <x v="2623"/>
    <n v="15"/>
    <x v="0"/>
    <n v="0.55000000000000004"/>
    <n v="1.06"/>
    <x v="84"/>
    <x v="2"/>
    <n v="0.12"/>
    <n v="0.22"/>
    <n v="0.77"/>
    <n v="0.27"/>
    <n v="0"/>
    <n v="1"/>
    <n v="0.21"/>
    <n v="0.66"/>
    <n v="0.93"/>
    <n v="0.6"/>
    <x v="2"/>
    <s v="Medium Exposure"/>
  </r>
  <r>
    <x v="10"/>
    <x v="2624"/>
    <n v="10"/>
    <x v="0"/>
    <n v="0.89"/>
    <n v="0.78"/>
    <x v="65"/>
    <x v="2"/>
    <n v="1"/>
    <n v="0.21"/>
    <n v="0.67"/>
    <n v="0.95"/>
    <n v="0.9"/>
    <n v="0.44"/>
    <n v="0.64"/>
    <n v="0.53"/>
    <n v="0.35"/>
    <n v="0.14000000000000001"/>
    <x v="2"/>
    <s v="High Exposure"/>
  </r>
  <r>
    <x v="17"/>
    <x v="2625"/>
    <n v="6"/>
    <x v="1"/>
    <n v="0.09"/>
    <n v="1.1100000000000001"/>
    <x v="22"/>
    <x v="2"/>
    <n v="0.33"/>
    <n v="0.14000000000000001"/>
    <n v="0.8"/>
    <n v="0.46"/>
    <n v="0.73"/>
    <n v="0.02"/>
    <n v="7.0000000000000007E-2"/>
    <n v="0.18"/>
    <n v="0.11"/>
    <n v="0.19"/>
    <x v="2"/>
    <s v="Low Exposure"/>
  </r>
  <r>
    <x v="9"/>
    <x v="2626"/>
    <n v="21"/>
    <x v="2"/>
    <n v="0.05"/>
    <n v="0.54"/>
    <x v="76"/>
    <x v="0"/>
    <n v="0.7"/>
    <n v="0.54"/>
    <n v="0.37"/>
    <n v="0.68"/>
    <n v="0.55000000000000004"/>
    <n v="0.01"/>
    <n v="0.84"/>
    <n v="0.35"/>
    <n v="0.4"/>
    <n v="0.78"/>
    <x v="0"/>
    <s v="Low Exposure"/>
  </r>
  <r>
    <x v="3"/>
    <x v="2627"/>
    <n v="7"/>
    <x v="2"/>
    <n v="0.01"/>
    <n v="1.41"/>
    <x v="11"/>
    <x v="2"/>
    <n v="0.35"/>
    <n v="0.82"/>
    <n v="0.03"/>
    <n v="0.2"/>
    <n v="0.16"/>
    <n v="0.74"/>
    <n v="0.31"/>
    <n v="0.77"/>
    <n v="0.04"/>
    <n v="0.61"/>
    <x v="2"/>
    <s v="Low Exposure"/>
  </r>
  <r>
    <x v="0"/>
    <x v="2628"/>
    <n v="19"/>
    <x v="1"/>
    <n v="0.19"/>
    <n v="1.32"/>
    <x v="9"/>
    <x v="0"/>
    <n v="0.56999999999999995"/>
    <n v="0.03"/>
    <n v="0.79"/>
    <n v="0.28999999999999998"/>
    <n v="0.69"/>
    <n v="0.76"/>
    <n v="0.12"/>
    <n v="0.3"/>
    <n v="0.72"/>
    <n v="0.23"/>
    <x v="0"/>
    <s v="Low Exposure"/>
  </r>
  <r>
    <x v="10"/>
    <x v="2629"/>
    <n v="23"/>
    <x v="0"/>
    <n v="0.51"/>
    <n v="0.87"/>
    <x v="8"/>
    <x v="2"/>
    <n v="0.9"/>
    <n v="0.18"/>
    <n v="0.81"/>
    <n v="0.02"/>
    <n v="0.92"/>
    <n v="0.5"/>
    <n v="0.23"/>
    <n v="0"/>
    <n v="0.56000000000000005"/>
    <n v="0.24"/>
    <x v="0"/>
    <s v="Medium Exposure"/>
  </r>
  <r>
    <x v="4"/>
    <x v="2630"/>
    <n v="11"/>
    <x v="2"/>
    <n v="0.28000000000000003"/>
    <n v="0.59"/>
    <x v="11"/>
    <x v="2"/>
    <n v="0.56000000000000005"/>
    <n v="0.45"/>
    <n v="0.46"/>
    <n v="0.59"/>
    <n v="0.53"/>
    <n v="0.13"/>
    <n v="0.2"/>
    <n v="0.14000000000000001"/>
    <n v="0.69"/>
    <n v="0.53"/>
    <x v="2"/>
    <s v="Low Exposure"/>
  </r>
  <r>
    <x v="2"/>
    <x v="2631"/>
    <n v="27"/>
    <x v="0"/>
    <n v="0.8"/>
    <n v="0.83"/>
    <x v="56"/>
    <x v="0"/>
    <n v="7.0000000000000007E-2"/>
    <n v="0.74"/>
    <n v="0.7"/>
    <n v="0.8"/>
    <n v="0.88"/>
    <n v="0.76"/>
    <n v="0.84"/>
    <n v="0.35"/>
    <n v="0.34"/>
    <n v="0.94"/>
    <x v="0"/>
    <s v="High Exposure"/>
  </r>
  <r>
    <x v="13"/>
    <x v="2632"/>
    <n v="3"/>
    <x v="3"/>
    <n v="0.55000000000000004"/>
    <n v="0.87"/>
    <x v="38"/>
    <x v="2"/>
    <n v="0.32"/>
    <n v="0.15"/>
    <n v="0.64"/>
    <n v="0.04"/>
    <n v="0.38"/>
    <n v="0.81"/>
    <n v="0.3"/>
    <n v="0.93"/>
    <n v="0.96"/>
    <n v="0.82"/>
    <x v="1"/>
    <s v="Medium Exposure"/>
  </r>
  <r>
    <x v="17"/>
    <x v="2633"/>
    <n v="8"/>
    <x v="1"/>
    <n v="0.53"/>
    <n v="1.07"/>
    <x v="12"/>
    <x v="2"/>
    <n v="0.49"/>
    <n v="0.41"/>
    <n v="0.61"/>
    <n v="0.66"/>
    <n v="0.75"/>
    <n v="0.67"/>
    <n v="0.75"/>
    <n v="0.67"/>
    <n v="0.48"/>
    <n v="0.13"/>
    <x v="2"/>
    <s v="Medium Exposure"/>
  </r>
  <r>
    <x v="7"/>
    <x v="2634"/>
    <n v="27"/>
    <x v="3"/>
    <n v="0.77"/>
    <n v="0.86"/>
    <x v="54"/>
    <x v="1"/>
    <n v="0.49"/>
    <n v="0.79"/>
    <n v="0.64"/>
    <n v="0.04"/>
    <n v="0.48"/>
    <n v="0.99"/>
    <n v="0.35"/>
    <n v="0.44"/>
    <n v="0.28999999999999998"/>
    <n v="0.5"/>
    <x v="0"/>
    <s v="High Exposure"/>
  </r>
  <r>
    <x v="11"/>
    <x v="2635"/>
    <n v="4"/>
    <x v="0"/>
    <n v="0.25"/>
    <n v="1.21"/>
    <x v="46"/>
    <x v="2"/>
    <n v="0.93"/>
    <n v="0.31"/>
    <n v="0.57999999999999996"/>
    <n v="0.32"/>
    <n v="0.48"/>
    <n v="0.9"/>
    <n v="7.0000000000000007E-2"/>
    <n v="0.86"/>
    <n v="0.56000000000000005"/>
    <n v="0.67"/>
    <x v="1"/>
    <s v="Low Exposure"/>
  </r>
  <r>
    <x v="14"/>
    <x v="2636"/>
    <n v="16"/>
    <x v="1"/>
    <n v="0.76"/>
    <n v="0.63"/>
    <x v="89"/>
    <x v="0"/>
    <n v="0.8"/>
    <n v="0.49"/>
    <n v="0.92"/>
    <n v="0.17"/>
    <n v="0.99"/>
    <n v="0.72"/>
    <n v="0.1"/>
    <n v="0.54"/>
    <n v="0.71"/>
    <n v="0.61"/>
    <x v="0"/>
    <s v="High Exposure"/>
  </r>
  <r>
    <x v="5"/>
    <x v="2637"/>
    <n v="9"/>
    <x v="3"/>
    <n v="0.35"/>
    <n v="0.84"/>
    <x v="75"/>
    <x v="1"/>
    <n v="0.23"/>
    <n v="0.09"/>
    <n v="0.6"/>
    <n v="0.69"/>
    <n v="0.28999999999999998"/>
    <n v="0.6"/>
    <n v="0.78"/>
    <n v="0.35"/>
    <n v="0.53"/>
    <n v="0.15"/>
    <x v="2"/>
    <s v="Medium Exposure"/>
  </r>
  <r>
    <x v="16"/>
    <x v="2638"/>
    <n v="4"/>
    <x v="1"/>
    <n v="0.98"/>
    <n v="0.8"/>
    <x v="62"/>
    <x v="0"/>
    <n v="0.97"/>
    <n v="0.73"/>
    <n v="0.59"/>
    <n v="0.7"/>
    <n v="0.71"/>
    <n v="0.76"/>
    <n v="7.0000000000000007E-2"/>
    <n v="0.41"/>
    <n v="0.3"/>
    <n v="7.0000000000000007E-2"/>
    <x v="1"/>
    <s v="High Exposure"/>
  </r>
  <r>
    <x v="10"/>
    <x v="2639"/>
    <n v="24"/>
    <x v="2"/>
    <n v="0.62"/>
    <n v="0.68"/>
    <x v="71"/>
    <x v="2"/>
    <n v="0.64"/>
    <n v="0.57999999999999996"/>
    <n v="0.87"/>
    <n v="0.79"/>
    <n v="0.97"/>
    <n v="0.6"/>
    <n v="0.7"/>
    <n v="0.86"/>
    <n v="0.84"/>
    <n v="0.72"/>
    <x v="0"/>
    <s v="Medium Exposure"/>
  </r>
  <r>
    <x v="16"/>
    <x v="2640"/>
    <n v="12"/>
    <x v="1"/>
    <n v="0.27"/>
    <n v="1.38"/>
    <x v="81"/>
    <x v="0"/>
    <n v="0.84"/>
    <n v="0.14000000000000001"/>
    <n v="0.31"/>
    <n v="0.42"/>
    <n v="0.84"/>
    <n v="0.89"/>
    <n v="0.28000000000000003"/>
    <n v="0.69"/>
    <n v="0.08"/>
    <n v="0.41"/>
    <x v="2"/>
    <s v="Low Exposure"/>
  </r>
  <r>
    <x v="4"/>
    <x v="2641"/>
    <n v="6"/>
    <x v="0"/>
    <n v="0.77"/>
    <n v="1.39"/>
    <x v="87"/>
    <x v="2"/>
    <n v="0.53"/>
    <n v="0.65"/>
    <n v="0.33"/>
    <n v="0.99"/>
    <n v="0.88"/>
    <n v="0.3"/>
    <n v="0.51"/>
    <n v="0.23"/>
    <n v="0.51"/>
    <n v="0.68"/>
    <x v="2"/>
    <s v="High Exposure"/>
  </r>
  <r>
    <x v="15"/>
    <x v="2642"/>
    <n v="15"/>
    <x v="2"/>
    <n v="0.87"/>
    <n v="1.0900000000000001"/>
    <x v="85"/>
    <x v="1"/>
    <n v="0.03"/>
    <n v="0.83"/>
    <n v="0.79"/>
    <n v="0.13"/>
    <n v="0.34"/>
    <n v="0.88"/>
    <n v="0.52"/>
    <n v="0.4"/>
    <n v="0.91"/>
    <n v="0.09"/>
    <x v="2"/>
    <s v="High Exposure"/>
  </r>
  <r>
    <x v="2"/>
    <x v="2643"/>
    <n v="25"/>
    <x v="2"/>
    <n v="0.65"/>
    <n v="1.1100000000000001"/>
    <x v="62"/>
    <x v="0"/>
    <n v="0.56000000000000005"/>
    <n v="0.71"/>
    <n v="0.57999999999999996"/>
    <n v="0.68"/>
    <n v="0.26"/>
    <n v="0.83"/>
    <n v="0.45"/>
    <n v="0.99"/>
    <n v="0.02"/>
    <n v="0.38"/>
    <x v="0"/>
    <s v="Medium Exposure"/>
  </r>
  <r>
    <x v="14"/>
    <x v="2644"/>
    <n v="4"/>
    <x v="3"/>
    <n v="0.56000000000000005"/>
    <n v="0.74"/>
    <x v="51"/>
    <x v="0"/>
    <n v="0.88"/>
    <n v="0.21"/>
    <n v="0.16"/>
    <n v="0.88"/>
    <n v="0.36"/>
    <n v="0.43"/>
    <n v="0.22"/>
    <n v="0.43"/>
    <n v="0.23"/>
    <n v="0.67"/>
    <x v="1"/>
    <s v="Medium Exposure"/>
  </r>
  <r>
    <x v="14"/>
    <x v="2645"/>
    <n v="18"/>
    <x v="1"/>
    <n v="0.57999999999999996"/>
    <n v="0.72"/>
    <x v="62"/>
    <x v="0"/>
    <n v="0.77"/>
    <n v="0.79"/>
    <n v="0.49"/>
    <n v="0.15"/>
    <n v="0.06"/>
    <n v="0.27"/>
    <n v="0.73"/>
    <n v="0.6"/>
    <n v="0.72"/>
    <n v="0.47"/>
    <x v="0"/>
    <s v="Medium Exposure"/>
  </r>
  <r>
    <x v="19"/>
    <x v="2646"/>
    <n v="11"/>
    <x v="1"/>
    <n v="0.48"/>
    <n v="0.57999999999999996"/>
    <x v="20"/>
    <x v="2"/>
    <n v="0.83"/>
    <n v="0.63"/>
    <n v="0.28000000000000003"/>
    <n v="0.76"/>
    <n v="0.14000000000000001"/>
    <n v="0.65"/>
    <n v="0.99"/>
    <n v="0.15"/>
    <n v="0.14000000000000001"/>
    <n v="0.47"/>
    <x v="2"/>
    <s v="Medium Exposure"/>
  </r>
  <r>
    <x v="11"/>
    <x v="2647"/>
    <n v="15"/>
    <x v="0"/>
    <n v="0.03"/>
    <n v="1"/>
    <x v="20"/>
    <x v="2"/>
    <n v="0.24"/>
    <n v="0.71"/>
    <n v="0.74"/>
    <n v="0.73"/>
    <n v="7.0000000000000007E-2"/>
    <n v="0.79"/>
    <n v="0.43"/>
    <n v="0.48"/>
    <n v="0.42"/>
    <n v="0.86"/>
    <x v="2"/>
    <s v="Low Exposure"/>
  </r>
  <r>
    <x v="16"/>
    <x v="2648"/>
    <n v="22"/>
    <x v="2"/>
    <n v="0.5"/>
    <n v="1.33"/>
    <x v="40"/>
    <x v="0"/>
    <n v="0.01"/>
    <n v="0.48"/>
    <n v="0.04"/>
    <n v="0.31"/>
    <n v="0.8"/>
    <n v="0.94"/>
    <n v="0.24"/>
    <n v="0.02"/>
    <n v="0.4"/>
    <n v="0.34"/>
    <x v="0"/>
    <s v="Medium Exposure"/>
  </r>
  <r>
    <x v="3"/>
    <x v="2649"/>
    <n v="23"/>
    <x v="3"/>
    <n v="0.5"/>
    <n v="0.9"/>
    <x v="65"/>
    <x v="2"/>
    <n v="0.83"/>
    <n v="0.25"/>
    <n v="0.05"/>
    <n v="0.56000000000000005"/>
    <n v="0.32"/>
    <n v="0.71"/>
    <n v="0.08"/>
    <n v="0.97"/>
    <n v="0.19"/>
    <n v="0.36"/>
    <x v="0"/>
    <s v="Medium Exposure"/>
  </r>
  <r>
    <x v="15"/>
    <x v="2650"/>
    <n v="0"/>
    <x v="3"/>
    <n v="0.69"/>
    <n v="0.7"/>
    <x v="7"/>
    <x v="1"/>
    <n v="0.21"/>
    <n v="0.02"/>
    <n v="0.48"/>
    <n v="0.42"/>
    <n v="0.43"/>
    <n v="0.21"/>
    <n v="0.95"/>
    <n v="0"/>
    <n v="0.89"/>
    <n v="0.74"/>
    <x v="1"/>
    <s v="Medium Exposure"/>
  </r>
  <r>
    <x v="6"/>
    <x v="2651"/>
    <n v="16"/>
    <x v="0"/>
    <n v="0.47"/>
    <n v="1.49"/>
    <x v="23"/>
    <x v="2"/>
    <n v="0.13"/>
    <n v="0.46"/>
    <n v="0.47"/>
    <n v="0.8"/>
    <n v="0.92"/>
    <n v="0.08"/>
    <n v="0.31"/>
    <n v="0.3"/>
    <n v="1"/>
    <n v="0.56000000000000005"/>
    <x v="0"/>
    <s v="Medium Exposure"/>
  </r>
  <r>
    <x v="2"/>
    <x v="2652"/>
    <n v="11"/>
    <x v="3"/>
    <n v="0.43"/>
    <n v="1.22"/>
    <x v="62"/>
    <x v="0"/>
    <n v="0.91"/>
    <n v="0.46"/>
    <n v="0.8"/>
    <n v="0.26"/>
    <n v="0.69"/>
    <n v="0.41"/>
    <n v="0.03"/>
    <n v="0.41"/>
    <n v="0.55000000000000004"/>
    <n v="0.15"/>
    <x v="2"/>
    <s v="Medium Exposure"/>
  </r>
  <r>
    <x v="5"/>
    <x v="2653"/>
    <n v="11"/>
    <x v="1"/>
    <n v="0.46"/>
    <n v="0.84"/>
    <x v="74"/>
    <x v="1"/>
    <n v="0.46"/>
    <n v="0.14000000000000001"/>
    <n v="0.18"/>
    <n v="0.85"/>
    <n v="0.16"/>
    <n v="0.67"/>
    <n v="0.42"/>
    <n v="0.97"/>
    <n v="7.0000000000000007E-2"/>
    <n v="0.83"/>
    <x v="2"/>
    <s v="Medium Exposure"/>
  </r>
  <r>
    <x v="6"/>
    <x v="2654"/>
    <n v="23"/>
    <x v="1"/>
    <n v="0.01"/>
    <n v="0.76"/>
    <x v="36"/>
    <x v="2"/>
    <n v="0.31"/>
    <n v="0.36"/>
    <n v="0.92"/>
    <n v="0.36"/>
    <n v="0.42"/>
    <n v="0.76"/>
    <n v="0.79"/>
    <n v="0.08"/>
    <n v="0.7"/>
    <n v="0.48"/>
    <x v="0"/>
    <s v="Low Exposure"/>
  </r>
  <r>
    <x v="19"/>
    <x v="2655"/>
    <n v="4"/>
    <x v="0"/>
    <n v="0.26"/>
    <n v="0.55000000000000004"/>
    <x v="30"/>
    <x v="2"/>
    <n v="0.26"/>
    <n v="0.38"/>
    <n v="0.57999999999999996"/>
    <n v="0.73"/>
    <n v="0.61"/>
    <n v="0.68"/>
    <n v="0.87"/>
    <n v="0.87"/>
    <n v="0.86"/>
    <n v="0.15"/>
    <x v="1"/>
    <s v="Low Exposure"/>
  </r>
  <r>
    <x v="3"/>
    <x v="2656"/>
    <n v="24"/>
    <x v="0"/>
    <n v="0.5"/>
    <n v="0.86"/>
    <x v="53"/>
    <x v="2"/>
    <n v="0.28999999999999998"/>
    <n v="0.98"/>
    <n v="0.35"/>
    <n v="0.42"/>
    <n v="0.01"/>
    <n v="0.72"/>
    <n v="0.41"/>
    <n v="0.1"/>
    <n v="0.97"/>
    <n v="0.78"/>
    <x v="0"/>
    <s v="Medium Exposure"/>
  </r>
  <r>
    <x v="15"/>
    <x v="2657"/>
    <n v="18"/>
    <x v="3"/>
    <n v="0.96"/>
    <n v="0.91"/>
    <x v="70"/>
    <x v="1"/>
    <n v="0.21"/>
    <n v="0.7"/>
    <n v="0.01"/>
    <n v="0.13"/>
    <n v="0.43"/>
    <n v="0.01"/>
    <n v="0.46"/>
    <n v="0.52"/>
    <n v="0.62"/>
    <n v="0.1"/>
    <x v="0"/>
    <s v="High Exposure"/>
  </r>
  <r>
    <x v="14"/>
    <x v="2658"/>
    <n v="8"/>
    <x v="1"/>
    <n v="0.61"/>
    <n v="1.1599999999999999"/>
    <x v="76"/>
    <x v="0"/>
    <n v="0.54"/>
    <n v="0.78"/>
    <n v="7.0000000000000007E-2"/>
    <n v="0.41"/>
    <n v="0.33"/>
    <n v="0.91"/>
    <n v="0.19"/>
    <n v="0.32"/>
    <n v="0.9"/>
    <n v="0.33"/>
    <x v="2"/>
    <s v="Medium Exposure"/>
  </r>
  <r>
    <x v="0"/>
    <x v="2659"/>
    <n v="25"/>
    <x v="1"/>
    <n v="0.91"/>
    <n v="0.79"/>
    <x v="32"/>
    <x v="0"/>
    <n v="0.44"/>
    <n v="0.72"/>
    <n v="0.11"/>
    <n v="0.54"/>
    <n v="0.96"/>
    <n v="0.67"/>
    <n v="0.82"/>
    <n v="0.26"/>
    <n v="0.8"/>
    <n v="0.35"/>
    <x v="0"/>
    <s v="High Exposure"/>
  </r>
  <r>
    <x v="7"/>
    <x v="2660"/>
    <n v="10"/>
    <x v="2"/>
    <n v="0.19"/>
    <n v="0.99"/>
    <x v="82"/>
    <x v="1"/>
    <n v="0.62"/>
    <n v="0.87"/>
    <n v="0.3"/>
    <n v="0.98"/>
    <n v="0.85"/>
    <n v="0.4"/>
    <n v="0.23"/>
    <n v="7.0000000000000007E-2"/>
    <n v="0.23"/>
    <n v="0.88"/>
    <x v="2"/>
    <s v="Low Exposure"/>
  </r>
  <r>
    <x v="19"/>
    <x v="2661"/>
    <n v="17"/>
    <x v="0"/>
    <n v="0.14000000000000001"/>
    <n v="0.52"/>
    <x v="71"/>
    <x v="2"/>
    <n v="0.22"/>
    <n v="0.1"/>
    <n v="0.95"/>
    <n v="0.27"/>
    <n v="0.01"/>
    <n v="0.94"/>
    <n v="0.57999999999999996"/>
    <n v="0.08"/>
    <n v="0.03"/>
    <n v="0.11"/>
    <x v="0"/>
    <s v="Low Exposure"/>
  </r>
  <r>
    <x v="5"/>
    <x v="1949"/>
    <n v="24"/>
    <x v="1"/>
    <n v="0.56999999999999995"/>
    <n v="1.1499999999999999"/>
    <x v="63"/>
    <x v="1"/>
    <n v="0.49"/>
    <n v="0.96"/>
    <n v="0.84"/>
    <n v="0.72"/>
    <n v="0.52"/>
    <n v="0.39"/>
    <n v="0.45"/>
    <n v="0.76"/>
    <n v="0.55000000000000004"/>
    <n v="0.76"/>
    <x v="0"/>
    <s v="Medium Exposure"/>
  </r>
  <r>
    <x v="0"/>
    <x v="2662"/>
    <n v="1"/>
    <x v="1"/>
    <n v="0.64"/>
    <n v="1.1000000000000001"/>
    <x v="9"/>
    <x v="0"/>
    <n v="0.2"/>
    <n v="0.37"/>
    <n v="0.52"/>
    <n v="0.03"/>
    <n v="0.48"/>
    <n v="0.86"/>
    <n v="0.98"/>
    <n v="0.86"/>
    <n v="0.17"/>
    <n v="0.16"/>
    <x v="1"/>
    <s v="Medium Exposure"/>
  </r>
  <r>
    <x v="9"/>
    <x v="2663"/>
    <n v="20"/>
    <x v="2"/>
    <n v="0.23"/>
    <n v="1.18"/>
    <x v="28"/>
    <x v="0"/>
    <n v="0.44"/>
    <n v="0.28000000000000003"/>
    <n v="0.6"/>
    <n v="0.8"/>
    <n v="0.92"/>
    <n v="0.96"/>
    <n v="0.35"/>
    <n v="0.86"/>
    <n v="0.59"/>
    <n v="0.69"/>
    <x v="0"/>
    <s v="Low Exposure"/>
  </r>
  <r>
    <x v="17"/>
    <x v="2664"/>
    <n v="7"/>
    <x v="0"/>
    <n v="0.13"/>
    <n v="1.45"/>
    <x v="43"/>
    <x v="2"/>
    <n v="0.34"/>
    <n v="0.34"/>
    <n v="0.75"/>
    <n v="0.68"/>
    <n v="0.73"/>
    <n v="0.25"/>
    <n v="0.17"/>
    <n v="0.72"/>
    <n v="0.3"/>
    <n v="0.22"/>
    <x v="2"/>
    <s v="Low Exposure"/>
  </r>
  <r>
    <x v="17"/>
    <x v="2665"/>
    <n v="7"/>
    <x v="2"/>
    <n v="0.15"/>
    <n v="0.93"/>
    <x v="10"/>
    <x v="2"/>
    <n v="0.89"/>
    <n v="0.69"/>
    <n v="0.74"/>
    <n v="0.4"/>
    <n v="0.6"/>
    <n v="0.5"/>
    <n v="0.17"/>
    <n v="0.05"/>
    <n v="0.68"/>
    <n v="0.12"/>
    <x v="2"/>
    <s v="Low Exposure"/>
  </r>
  <r>
    <x v="11"/>
    <x v="2666"/>
    <n v="1"/>
    <x v="3"/>
    <n v="0.44"/>
    <n v="1.24"/>
    <x v="45"/>
    <x v="2"/>
    <n v="0.87"/>
    <n v="0.2"/>
    <n v="0.99"/>
    <n v="0.76"/>
    <n v="0.16"/>
    <n v="0.84"/>
    <n v="0.5"/>
    <n v="7.0000000000000007E-2"/>
    <n v="0.13"/>
    <n v="0.43"/>
    <x v="1"/>
    <s v="Medium Exposure"/>
  </r>
  <r>
    <x v="10"/>
    <x v="2667"/>
    <n v="15"/>
    <x v="1"/>
    <n v="0.95"/>
    <n v="0.72"/>
    <x v="78"/>
    <x v="2"/>
    <n v="0.23"/>
    <n v="0.56000000000000005"/>
    <n v="0.91"/>
    <n v="0.56999999999999995"/>
    <n v="0.51"/>
    <n v="0.75"/>
    <n v="0.15"/>
    <n v="0.91"/>
    <n v="0.57999999999999996"/>
    <n v="0.69"/>
    <x v="2"/>
    <s v="High Exposure"/>
  </r>
  <r>
    <x v="8"/>
    <x v="2668"/>
    <n v="18"/>
    <x v="2"/>
    <n v="0.64"/>
    <n v="1.1399999999999999"/>
    <x v="31"/>
    <x v="2"/>
    <n v="0.05"/>
    <n v="0.38"/>
    <n v="0.96"/>
    <n v="0.26"/>
    <n v="0.54"/>
    <n v="0.18"/>
    <n v="0.32"/>
    <n v="0.72"/>
    <n v="0.64"/>
    <n v="0.41"/>
    <x v="0"/>
    <s v="Medium Exposure"/>
  </r>
  <r>
    <x v="9"/>
    <x v="2669"/>
    <n v="7"/>
    <x v="0"/>
    <n v="0.78"/>
    <n v="0.77"/>
    <x v="90"/>
    <x v="0"/>
    <n v="0.88"/>
    <n v="0.02"/>
    <n v="0.57999999999999996"/>
    <n v="0.23"/>
    <n v="0.06"/>
    <n v="0.91"/>
    <n v="0.82"/>
    <n v="0.19"/>
    <n v="0.84"/>
    <n v="0.15"/>
    <x v="2"/>
    <s v="High Exposure"/>
  </r>
  <r>
    <x v="9"/>
    <x v="2670"/>
    <n v="11"/>
    <x v="3"/>
    <n v="0.43"/>
    <n v="0.87"/>
    <x v="0"/>
    <x v="0"/>
    <n v="0.06"/>
    <n v="0.69"/>
    <n v="0.78"/>
    <n v="0.4"/>
    <n v="0.17"/>
    <n v="0.03"/>
    <n v="0.64"/>
    <n v="0.27"/>
    <n v="0.46"/>
    <n v="0.39"/>
    <x v="2"/>
    <s v="Medium Exposure"/>
  </r>
  <r>
    <x v="16"/>
    <x v="2671"/>
    <n v="10"/>
    <x v="1"/>
    <n v="0.51"/>
    <n v="0.96"/>
    <x v="83"/>
    <x v="0"/>
    <n v="0.25"/>
    <n v="0.21"/>
    <n v="0.81"/>
    <n v="0.7"/>
    <n v="0.77"/>
    <n v="0.12"/>
    <n v="0.22"/>
    <n v="0.57999999999999996"/>
    <n v="0.86"/>
    <n v="0.89"/>
    <x v="2"/>
    <s v="Medium Exposure"/>
  </r>
  <r>
    <x v="14"/>
    <x v="2672"/>
    <n v="14"/>
    <x v="3"/>
    <n v="0.04"/>
    <n v="1.32"/>
    <x v="24"/>
    <x v="0"/>
    <n v="0.06"/>
    <n v="0.42"/>
    <n v="0.54"/>
    <n v="0.23"/>
    <n v="0.52"/>
    <n v="0.89"/>
    <n v="0.87"/>
    <n v="0.94"/>
    <n v="0.48"/>
    <n v="0.41"/>
    <x v="2"/>
    <s v="Low Exposure"/>
  </r>
  <r>
    <x v="11"/>
    <x v="2673"/>
    <n v="20"/>
    <x v="1"/>
    <n v="0.42"/>
    <n v="0.54"/>
    <x v="31"/>
    <x v="2"/>
    <n v="0.28000000000000003"/>
    <n v="0.05"/>
    <n v="0.02"/>
    <n v="0.93"/>
    <n v="0.25"/>
    <n v="0.45"/>
    <n v="0.95"/>
    <n v="0.47"/>
    <n v="0.08"/>
    <n v="0.55000000000000004"/>
    <x v="0"/>
    <s v="Medium Exposure"/>
  </r>
  <r>
    <x v="19"/>
    <x v="2674"/>
    <n v="27"/>
    <x v="1"/>
    <n v="0.1"/>
    <n v="1.35"/>
    <x v="71"/>
    <x v="2"/>
    <n v="0.68"/>
    <n v="0.51"/>
    <n v="0.22"/>
    <n v="0.52"/>
    <n v="7.0000000000000007E-2"/>
    <n v="0.35"/>
    <n v="0.52"/>
    <n v="0.23"/>
    <n v="0.66"/>
    <n v="0.05"/>
    <x v="0"/>
    <s v="Low Exposure"/>
  </r>
  <r>
    <x v="16"/>
    <x v="2675"/>
    <n v="29"/>
    <x v="0"/>
    <n v="0.71"/>
    <n v="0.93"/>
    <x v="24"/>
    <x v="0"/>
    <n v="0.63"/>
    <n v="0.96"/>
    <n v="0.28000000000000003"/>
    <n v="0.94"/>
    <n v="0.61"/>
    <n v="0.75"/>
    <n v="0.9"/>
    <n v="0.55000000000000004"/>
    <n v="0.86"/>
    <n v="0.54"/>
    <x v="0"/>
    <s v="High Exposure"/>
  </r>
  <r>
    <x v="5"/>
    <x v="2676"/>
    <n v="15"/>
    <x v="0"/>
    <n v="0.45"/>
    <n v="0.65"/>
    <x v="27"/>
    <x v="1"/>
    <n v="0.98"/>
    <n v="0.79"/>
    <n v="0.75"/>
    <n v="0.64"/>
    <n v="0.35"/>
    <n v="0.17"/>
    <n v="0.22"/>
    <n v="0.01"/>
    <n v="0.67"/>
    <n v="0.81"/>
    <x v="2"/>
    <s v="Medium Exposure"/>
  </r>
  <r>
    <x v="15"/>
    <x v="2138"/>
    <n v="26"/>
    <x v="3"/>
    <n v="0.09"/>
    <n v="0.84"/>
    <x v="54"/>
    <x v="1"/>
    <n v="0.45"/>
    <n v="0.26"/>
    <n v="0.34"/>
    <n v="0.91"/>
    <n v="0.33"/>
    <n v="0.79"/>
    <n v="0.63"/>
    <n v="0.34"/>
    <n v="0.82"/>
    <n v="0.6"/>
    <x v="0"/>
    <s v="Low Exposure"/>
  </r>
  <r>
    <x v="9"/>
    <x v="2677"/>
    <n v="3"/>
    <x v="2"/>
    <n v="7.0000000000000007E-2"/>
    <n v="1.25"/>
    <x v="2"/>
    <x v="0"/>
    <n v="0.41"/>
    <n v="0.15"/>
    <n v="0.16"/>
    <n v="0.8"/>
    <n v="0.83"/>
    <n v="0.56000000000000005"/>
    <n v="0.3"/>
    <n v="0.93"/>
    <n v="0.62"/>
    <n v="0.8"/>
    <x v="1"/>
    <s v="Low Exposure"/>
  </r>
  <r>
    <x v="17"/>
    <x v="2678"/>
    <n v="22"/>
    <x v="3"/>
    <n v="0.45"/>
    <n v="1.37"/>
    <x v="30"/>
    <x v="2"/>
    <n v="0.73"/>
    <n v="0.66"/>
    <n v="0.15"/>
    <n v="0.77"/>
    <n v="0.11"/>
    <n v="0.73"/>
    <n v="0.99"/>
    <n v="0.96"/>
    <n v="0.8"/>
    <n v="0.53"/>
    <x v="0"/>
    <s v="Medium Exposure"/>
  </r>
  <r>
    <x v="8"/>
    <x v="2679"/>
    <n v="27"/>
    <x v="1"/>
    <n v="0.73"/>
    <n v="0.51"/>
    <x v="55"/>
    <x v="2"/>
    <n v="0.6"/>
    <n v="0.01"/>
    <n v="0.91"/>
    <n v="0.49"/>
    <n v="0.26"/>
    <n v="0.39"/>
    <n v="0.85"/>
    <n v="0.93"/>
    <n v="0.12"/>
    <n v="0.78"/>
    <x v="0"/>
    <s v="High Exposure"/>
  </r>
  <r>
    <x v="0"/>
    <x v="2680"/>
    <n v="12"/>
    <x v="3"/>
    <n v="0.87"/>
    <n v="1.39"/>
    <x v="56"/>
    <x v="0"/>
    <n v="7.0000000000000007E-2"/>
    <n v="0.48"/>
    <n v="0.21"/>
    <n v="0.44"/>
    <n v="0.72"/>
    <n v="0.67"/>
    <n v="0.78"/>
    <n v="0.48"/>
    <n v="0.51"/>
    <n v="0.94"/>
    <x v="2"/>
    <s v="High Exposure"/>
  </r>
  <r>
    <x v="4"/>
    <x v="2681"/>
    <n v="23"/>
    <x v="1"/>
    <n v="0.75"/>
    <n v="1.1599999999999999"/>
    <x v="23"/>
    <x v="2"/>
    <n v="0.91"/>
    <n v="0.36"/>
    <n v="0.43"/>
    <n v="0.38"/>
    <n v="0.77"/>
    <n v="0.87"/>
    <n v="0.36"/>
    <n v="0.14000000000000001"/>
    <n v="0.49"/>
    <n v="0.98"/>
    <x v="0"/>
    <s v="High Exposure"/>
  </r>
  <r>
    <x v="19"/>
    <x v="2682"/>
    <n v="11"/>
    <x v="2"/>
    <n v="0.45"/>
    <n v="0.77"/>
    <x v="79"/>
    <x v="2"/>
    <n v="0.55000000000000004"/>
    <n v="0.57999999999999996"/>
    <n v="0.01"/>
    <n v="0.65"/>
    <n v="0.31"/>
    <n v="0.51"/>
    <n v="0.53"/>
    <n v="0.59"/>
    <n v="0.82"/>
    <n v="0.3"/>
    <x v="2"/>
    <s v="Medium Exposure"/>
  </r>
  <r>
    <x v="3"/>
    <x v="2683"/>
    <n v="16"/>
    <x v="1"/>
    <n v="0.8"/>
    <n v="1.22"/>
    <x v="65"/>
    <x v="2"/>
    <n v="0"/>
    <n v="0.67"/>
    <n v="0.16"/>
    <n v="0.96"/>
    <n v="0.6"/>
    <n v="0.85"/>
    <n v="0.81"/>
    <n v="0.56000000000000005"/>
    <n v="0.44"/>
    <n v="0.5"/>
    <x v="0"/>
    <s v="High Exposure"/>
  </r>
  <r>
    <x v="15"/>
    <x v="2684"/>
    <n v="2"/>
    <x v="3"/>
    <n v="0.64"/>
    <n v="0.71"/>
    <x v="42"/>
    <x v="1"/>
    <n v="0.4"/>
    <n v="0.06"/>
    <n v="0.38"/>
    <n v="0.23"/>
    <n v="0.84"/>
    <n v="0.1"/>
    <n v="0.36"/>
    <n v="0.7"/>
    <n v="0.9"/>
    <n v="0.34"/>
    <x v="1"/>
    <s v="Medium Exposure"/>
  </r>
  <r>
    <x v="10"/>
    <x v="2685"/>
    <n v="24"/>
    <x v="3"/>
    <n v="0.37"/>
    <n v="0.7"/>
    <x v="87"/>
    <x v="2"/>
    <n v="0.64"/>
    <n v="0.72"/>
    <n v="0.37"/>
    <n v="0.15"/>
    <n v="0.14000000000000001"/>
    <n v="0.81"/>
    <n v="0.65"/>
    <n v="0.73"/>
    <n v="0.49"/>
    <n v="0.46"/>
    <x v="0"/>
    <s v="Medium Exposure"/>
  </r>
  <r>
    <x v="13"/>
    <x v="2686"/>
    <n v="23"/>
    <x v="0"/>
    <n v="0.5"/>
    <n v="0.91"/>
    <x v="79"/>
    <x v="2"/>
    <n v="0.61"/>
    <n v="0.28999999999999998"/>
    <n v="0.56000000000000005"/>
    <n v="0.99"/>
    <n v="0.85"/>
    <n v="0.28000000000000003"/>
    <n v="0.95"/>
    <n v="0.98"/>
    <n v="0.23"/>
    <n v="0.9"/>
    <x v="0"/>
    <s v="Medium Exposure"/>
  </r>
  <r>
    <x v="4"/>
    <x v="2687"/>
    <n v="25"/>
    <x v="2"/>
    <n v="0.04"/>
    <n v="1.17"/>
    <x v="71"/>
    <x v="2"/>
    <n v="0.67"/>
    <n v="0.91"/>
    <n v="0.5"/>
    <n v="0.41"/>
    <n v="0.92"/>
    <n v="0.97"/>
    <n v="0.06"/>
    <n v="0.92"/>
    <n v="0.08"/>
    <n v="0.34"/>
    <x v="0"/>
    <s v="Low Exposure"/>
  </r>
  <r>
    <x v="12"/>
    <x v="2688"/>
    <n v="5"/>
    <x v="2"/>
    <n v="0.78"/>
    <n v="1.23"/>
    <x v="86"/>
    <x v="2"/>
    <n v="0.13"/>
    <n v="0.94"/>
    <n v="0.08"/>
    <n v="0.08"/>
    <n v="0.84"/>
    <n v="0.64"/>
    <n v="0.35"/>
    <n v="0.17"/>
    <n v="0.88"/>
    <n v="0.99"/>
    <x v="1"/>
    <s v="High Exposure"/>
  </r>
  <r>
    <x v="11"/>
    <x v="2689"/>
    <n v="1"/>
    <x v="1"/>
    <n v="0.55000000000000004"/>
    <n v="0.76"/>
    <x v="12"/>
    <x v="2"/>
    <n v="0.35"/>
    <n v="0.71"/>
    <n v="0.54"/>
    <n v="0.54"/>
    <n v="0.86"/>
    <n v="0.47"/>
    <n v="0.85"/>
    <n v="0.36"/>
    <n v="0.17"/>
    <n v="0.46"/>
    <x v="1"/>
    <s v="Medium Exposure"/>
  </r>
  <r>
    <x v="13"/>
    <x v="2690"/>
    <n v="28"/>
    <x v="3"/>
    <n v="0.48"/>
    <n v="1.31"/>
    <x v="68"/>
    <x v="2"/>
    <n v="0.89"/>
    <n v="0.51"/>
    <n v="0.22"/>
    <n v="0.13"/>
    <n v="0.87"/>
    <n v="0.06"/>
    <n v="0.12"/>
    <n v="0.06"/>
    <n v="0.42"/>
    <n v="0.53"/>
    <x v="0"/>
    <s v="Medium Exposure"/>
  </r>
  <r>
    <x v="0"/>
    <x v="2691"/>
    <n v="14"/>
    <x v="1"/>
    <n v="0.52"/>
    <n v="0.89"/>
    <x v="81"/>
    <x v="0"/>
    <n v="0.83"/>
    <n v="0.68"/>
    <n v="0.47"/>
    <n v="0.22"/>
    <n v="0.85"/>
    <n v="0.34"/>
    <n v="0.36"/>
    <n v="0.92"/>
    <n v="0.98"/>
    <n v="0.9"/>
    <x v="2"/>
    <s v="Medium Exposure"/>
  </r>
  <r>
    <x v="12"/>
    <x v="2528"/>
    <n v="0"/>
    <x v="0"/>
    <n v="0.87"/>
    <n v="1.2"/>
    <x v="71"/>
    <x v="2"/>
    <n v="0.95"/>
    <n v="0.88"/>
    <n v="0.24"/>
    <n v="0.49"/>
    <n v="7.0000000000000007E-2"/>
    <n v="0.95"/>
    <n v="0.56999999999999995"/>
    <n v="0.25"/>
    <n v="0.28999999999999998"/>
    <n v="0.98"/>
    <x v="1"/>
    <s v="High Exposure"/>
  </r>
  <r>
    <x v="14"/>
    <x v="2692"/>
    <n v="0"/>
    <x v="3"/>
    <n v="0.42"/>
    <n v="1"/>
    <x v="28"/>
    <x v="0"/>
    <n v="0.08"/>
    <n v="0.59"/>
    <n v="0.51"/>
    <n v="0.36"/>
    <n v="0.56999999999999995"/>
    <n v="7.0000000000000007E-2"/>
    <n v="0.94"/>
    <n v="0.28999999999999998"/>
    <n v="7.0000000000000007E-2"/>
    <n v="0.17"/>
    <x v="1"/>
    <s v="Medium Exposure"/>
  </r>
  <r>
    <x v="5"/>
    <x v="2693"/>
    <n v="13"/>
    <x v="0"/>
    <n v="0.18"/>
    <n v="0.92"/>
    <x v="70"/>
    <x v="1"/>
    <n v="0.27"/>
    <n v="0.44"/>
    <n v="0.93"/>
    <n v="0.3"/>
    <n v="0.79"/>
    <n v="0.16"/>
    <n v="0.18"/>
    <n v="0.46"/>
    <n v="0.23"/>
    <n v="0.9"/>
    <x v="2"/>
    <s v="Low Exposure"/>
  </r>
  <r>
    <x v="13"/>
    <x v="2694"/>
    <n v="11"/>
    <x v="2"/>
    <n v="0.82"/>
    <n v="1.24"/>
    <x v="66"/>
    <x v="2"/>
    <n v="0.53"/>
    <n v="0.09"/>
    <n v="0.37"/>
    <n v="0.84"/>
    <n v="0.4"/>
    <n v="0.46"/>
    <n v="0.41"/>
    <n v="0.24"/>
    <n v="7.0000000000000007E-2"/>
    <n v="0.18"/>
    <x v="2"/>
    <s v="High Exposure"/>
  </r>
  <r>
    <x v="1"/>
    <x v="2695"/>
    <n v="21"/>
    <x v="0"/>
    <n v="0.25"/>
    <n v="1.07"/>
    <x v="42"/>
    <x v="1"/>
    <n v="0.56999999999999995"/>
    <n v="0.08"/>
    <n v="0.67"/>
    <n v="0.38"/>
    <n v="0.88"/>
    <n v="0.53"/>
    <n v="0.08"/>
    <n v="0.01"/>
    <n v="0.7"/>
    <n v="0.4"/>
    <x v="0"/>
    <s v="Low Exposure"/>
  </r>
  <r>
    <x v="3"/>
    <x v="2696"/>
    <n v="13"/>
    <x v="1"/>
    <n v="0.45"/>
    <n v="0.56999999999999995"/>
    <x v="36"/>
    <x v="2"/>
    <n v="0.31"/>
    <n v="0.8"/>
    <n v="0.17"/>
    <n v="0.76"/>
    <n v="0.5"/>
    <n v="0.08"/>
    <n v="0.97"/>
    <n v="0.73"/>
    <n v="0.26"/>
    <n v="0.57999999999999996"/>
    <x v="2"/>
    <s v="Medium Exposure"/>
  </r>
  <r>
    <x v="17"/>
    <x v="2697"/>
    <n v="29"/>
    <x v="2"/>
    <n v="0.43"/>
    <n v="1.46"/>
    <x v="38"/>
    <x v="2"/>
    <n v="0.41"/>
    <n v="0.35"/>
    <n v="0.12"/>
    <n v="0.04"/>
    <n v="0.3"/>
    <n v="0.94"/>
    <n v="0.96"/>
    <n v="0.81"/>
    <n v="0.35"/>
    <n v="0.14000000000000001"/>
    <x v="0"/>
    <s v="Medium Exposure"/>
  </r>
  <r>
    <x v="3"/>
    <x v="2698"/>
    <n v="1"/>
    <x v="2"/>
    <n v="0.65"/>
    <n v="0.92"/>
    <x v="14"/>
    <x v="2"/>
    <n v="0.75"/>
    <n v="0.78"/>
    <n v="0.5"/>
    <n v="0.79"/>
    <n v="0.03"/>
    <n v="0.68"/>
    <n v="0.24"/>
    <n v="0.27"/>
    <n v="0.09"/>
    <n v="0.19"/>
    <x v="1"/>
    <s v="Medium Exposure"/>
  </r>
  <r>
    <x v="15"/>
    <x v="2699"/>
    <n v="1"/>
    <x v="1"/>
    <n v="0.42"/>
    <n v="1.43"/>
    <x v="63"/>
    <x v="1"/>
    <n v="0.2"/>
    <n v="0.56000000000000005"/>
    <n v="0.35"/>
    <n v="0.64"/>
    <n v="0.42"/>
    <n v="0.81"/>
    <n v="0.43"/>
    <n v="0.56999999999999995"/>
    <n v="0.32"/>
    <n v="0.7"/>
    <x v="1"/>
    <s v="Medium Exposure"/>
  </r>
  <r>
    <x v="9"/>
    <x v="2700"/>
    <n v="20"/>
    <x v="1"/>
    <n v="0.4"/>
    <n v="0.78"/>
    <x v="0"/>
    <x v="0"/>
    <n v="0.94"/>
    <n v="0.13"/>
    <n v="0.8"/>
    <n v="0.54"/>
    <n v="0.53"/>
    <n v="0.96"/>
    <n v="0.61"/>
    <n v="0.83"/>
    <n v="0.51"/>
    <n v="0.25"/>
    <x v="0"/>
    <s v="Medium Exposure"/>
  </r>
  <r>
    <x v="13"/>
    <x v="2701"/>
    <n v="27"/>
    <x v="1"/>
    <n v="0.92"/>
    <n v="1.34"/>
    <x v="48"/>
    <x v="2"/>
    <n v="0.32"/>
    <n v="0.52"/>
    <n v="0.56999999999999995"/>
    <n v="0.19"/>
    <n v="0.23"/>
    <n v="0.76"/>
    <n v="0.73"/>
    <n v="0.84"/>
    <n v="0.93"/>
    <n v="0.31"/>
    <x v="0"/>
    <s v="High Exposure"/>
  </r>
  <r>
    <x v="9"/>
    <x v="2702"/>
    <n v="10"/>
    <x v="1"/>
    <n v="0.67"/>
    <n v="1.46"/>
    <x v="62"/>
    <x v="0"/>
    <n v="0.27"/>
    <n v="0.7"/>
    <n v="0.93"/>
    <n v="0.82"/>
    <n v="0.73"/>
    <n v="0.39"/>
    <n v="0.72"/>
    <n v="0.8"/>
    <n v="0.75"/>
    <n v="0.68"/>
    <x v="2"/>
    <s v="Medium Exposure"/>
  </r>
  <r>
    <x v="10"/>
    <x v="2703"/>
    <n v="10"/>
    <x v="1"/>
    <n v="0.66"/>
    <n v="0.98"/>
    <x v="26"/>
    <x v="2"/>
    <n v="0.61"/>
    <n v="0.61"/>
    <n v="0.99"/>
    <n v="0.09"/>
    <n v="0.28000000000000003"/>
    <n v="0.66"/>
    <n v="0.32"/>
    <n v="0.35"/>
    <n v="0.89"/>
    <n v="0.57999999999999996"/>
    <x v="2"/>
    <s v="Medium Exposure"/>
  </r>
  <r>
    <x v="11"/>
    <x v="2704"/>
    <n v="21"/>
    <x v="0"/>
    <n v="0.31"/>
    <n v="0.57999999999999996"/>
    <x v="43"/>
    <x v="2"/>
    <n v="0.17"/>
    <n v="0.86"/>
    <n v="0.57999999999999996"/>
    <n v="0.06"/>
    <n v="0.3"/>
    <n v="0.62"/>
    <n v="0.34"/>
    <n v="0.51"/>
    <n v="0.91"/>
    <n v="0.35"/>
    <x v="0"/>
    <s v="Medium Exposure"/>
  </r>
  <r>
    <x v="0"/>
    <x v="2705"/>
    <n v="28"/>
    <x v="2"/>
    <n v="0.82"/>
    <n v="0.82"/>
    <x v="28"/>
    <x v="0"/>
    <n v="0.18"/>
    <n v="0.95"/>
    <n v="0.93"/>
    <n v="0.22"/>
    <n v="0.55000000000000004"/>
    <n v="0.14000000000000001"/>
    <n v="0.67"/>
    <n v="0.19"/>
    <n v="0.05"/>
    <n v="0.82"/>
    <x v="0"/>
    <s v="High Exposure"/>
  </r>
  <r>
    <x v="14"/>
    <x v="2706"/>
    <n v="1"/>
    <x v="2"/>
    <n v="0.11"/>
    <n v="1.33"/>
    <x v="81"/>
    <x v="0"/>
    <n v="0.68"/>
    <n v="0.91"/>
    <n v="0.49"/>
    <n v="0.13"/>
    <n v="0.06"/>
    <n v="0.32"/>
    <n v="0.09"/>
    <n v="0.54"/>
    <n v="0.01"/>
    <n v="0.44"/>
    <x v="1"/>
    <s v="Low Exposure"/>
  </r>
  <r>
    <x v="4"/>
    <x v="2707"/>
    <n v="12"/>
    <x v="3"/>
    <n v="0.37"/>
    <n v="1.18"/>
    <x v="30"/>
    <x v="2"/>
    <n v="0.34"/>
    <n v="0.99"/>
    <n v="0.72"/>
    <n v="0.51"/>
    <n v="0.57999999999999996"/>
    <n v="0.62"/>
    <n v="0.02"/>
    <n v="0.08"/>
    <n v="0.65"/>
    <n v="0.36"/>
    <x v="2"/>
    <s v="Medium Exposure"/>
  </r>
  <r>
    <x v="16"/>
    <x v="2708"/>
    <n v="9"/>
    <x v="0"/>
    <n v="0.3"/>
    <n v="0.63"/>
    <x v="17"/>
    <x v="0"/>
    <n v="0.2"/>
    <n v="0.14000000000000001"/>
    <n v="0.63"/>
    <n v="0.52"/>
    <n v="0.57999999999999996"/>
    <n v="0.44"/>
    <n v="0.47"/>
    <n v="0.78"/>
    <n v="0.22"/>
    <n v="0.4"/>
    <x v="2"/>
    <s v="Medium Exposure"/>
  </r>
  <r>
    <x v="4"/>
    <x v="2709"/>
    <n v="3"/>
    <x v="3"/>
    <n v="0.19"/>
    <n v="0.79"/>
    <x v="48"/>
    <x v="2"/>
    <n v="0.02"/>
    <n v="0.27"/>
    <n v="0.05"/>
    <n v="0.15"/>
    <n v="0.36"/>
    <n v="0.02"/>
    <n v="0.75"/>
    <n v="0.8"/>
    <n v="0.41"/>
    <n v="0.98"/>
    <x v="1"/>
    <s v="Low Exposure"/>
  </r>
  <r>
    <x v="12"/>
    <x v="2710"/>
    <n v="11"/>
    <x v="2"/>
    <n v="0.74"/>
    <n v="0.69"/>
    <x v="12"/>
    <x v="2"/>
    <n v="0.95"/>
    <n v="0.24"/>
    <n v="0.69"/>
    <n v="0.75"/>
    <n v="0.31"/>
    <n v="0.48"/>
    <n v="0.1"/>
    <n v="0.17"/>
    <n v="0.06"/>
    <n v="0.56000000000000005"/>
    <x v="2"/>
    <s v="High Exposure"/>
  </r>
  <r>
    <x v="19"/>
    <x v="2711"/>
    <n v="25"/>
    <x v="3"/>
    <n v="0.92"/>
    <n v="1.04"/>
    <x v="10"/>
    <x v="2"/>
    <n v="0.06"/>
    <n v="0.88"/>
    <n v="0.48"/>
    <n v="0.74"/>
    <n v="0.01"/>
    <n v="0.49"/>
    <n v="0.33"/>
    <n v="0.03"/>
    <n v="0.78"/>
    <n v="0.51"/>
    <x v="0"/>
    <s v="High Exposure"/>
  </r>
  <r>
    <x v="18"/>
    <x v="2712"/>
    <n v="23"/>
    <x v="2"/>
    <n v="0.81"/>
    <n v="0.95"/>
    <x v="1"/>
    <x v="1"/>
    <n v="0.94"/>
    <n v="0.26"/>
    <n v="0.83"/>
    <n v="0.82"/>
    <n v="0.16"/>
    <n v="0.47"/>
    <n v="0.04"/>
    <n v="0.35"/>
    <n v="0.73"/>
    <n v="0.24"/>
    <x v="0"/>
    <s v="High Exposure"/>
  </r>
  <r>
    <x v="16"/>
    <x v="2713"/>
    <n v="16"/>
    <x v="0"/>
    <n v="0.51"/>
    <n v="1.04"/>
    <x v="59"/>
    <x v="0"/>
    <n v="0.76"/>
    <n v="0.7"/>
    <n v="0.85"/>
    <n v="0.22"/>
    <n v="0.56999999999999995"/>
    <n v="0.36"/>
    <n v="0.96"/>
    <n v="0.44"/>
    <n v="0.96"/>
    <n v="0.77"/>
    <x v="0"/>
    <s v="Medium Exposure"/>
  </r>
  <r>
    <x v="13"/>
    <x v="2714"/>
    <n v="22"/>
    <x v="3"/>
    <n v="0.49"/>
    <n v="0.94"/>
    <x v="50"/>
    <x v="2"/>
    <n v="0.28999999999999998"/>
    <n v="0.9"/>
    <n v="0.79"/>
    <n v="0.8"/>
    <n v="0.43"/>
    <n v="7.0000000000000007E-2"/>
    <n v="0.68"/>
    <n v="0.37"/>
    <n v="0.87"/>
    <n v="0.78"/>
    <x v="0"/>
    <s v="Medium Exposure"/>
  </r>
  <r>
    <x v="3"/>
    <x v="2715"/>
    <n v="26"/>
    <x v="2"/>
    <n v="0.6"/>
    <n v="1.19"/>
    <x v="68"/>
    <x v="2"/>
    <n v="0.51"/>
    <n v="0.23"/>
    <n v="0.24"/>
    <n v="0.77"/>
    <n v="0.02"/>
    <n v="0.78"/>
    <n v="0.53"/>
    <n v="0.94"/>
    <n v="1"/>
    <n v="0.66"/>
    <x v="0"/>
    <s v="Medium Exposure"/>
  </r>
  <r>
    <x v="8"/>
    <x v="1599"/>
    <n v="22"/>
    <x v="3"/>
    <n v="0.48"/>
    <n v="0.7"/>
    <x v="55"/>
    <x v="2"/>
    <n v="0.57999999999999996"/>
    <n v="0.81"/>
    <n v="0.26"/>
    <n v="0.42"/>
    <n v="0.55000000000000004"/>
    <n v="0.91"/>
    <n v="0.14000000000000001"/>
    <n v="0.24"/>
    <n v="0.92"/>
    <n v="0.04"/>
    <x v="0"/>
    <s v="Medium Exposure"/>
  </r>
  <r>
    <x v="2"/>
    <x v="2716"/>
    <n v="23"/>
    <x v="0"/>
    <n v="0.64"/>
    <n v="0.88"/>
    <x v="90"/>
    <x v="0"/>
    <n v="0.85"/>
    <n v="0.16"/>
    <n v="0.23"/>
    <n v="0.51"/>
    <n v="0.41"/>
    <n v="0.56999999999999995"/>
    <n v="0.92"/>
    <n v="0.92"/>
    <n v="0.23"/>
    <n v="0.3"/>
    <x v="0"/>
    <s v="Medium Exposure"/>
  </r>
  <r>
    <x v="12"/>
    <x v="2717"/>
    <n v="1"/>
    <x v="3"/>
    <n v="0.93"/>
    <n v="0.9"/>
    <x v="8"/>
    <x v="2"/>
    <n v="0.8"/>
    <n v="0.51"/>
    <n v="0.12"/>
    <n v="0.44"/>
    <n v="0.63"/>
    <n v="0.72"/>
    <n v="0.65"/>
    <n v="0.12"/>
    <n v="0.3"/>
    <n v="0.73"/>
    <x v="1"/>
    <s v="High Exposure"/>
  </r>
  <r>
    <x v="0"/>
    <x v="2718"/>
    <n v="19"/>
    <x v="3"/>
    <n v="0.05"/>
    <n v="0.54"/>
    <x v="83"/>
    <x v="0"/>
    <n v="0.55000000000000004"/>
    <n v="0.16"/>
    <n v="0.55000000000000004"/>
    <n v="0.97"/>
    <n v="0.63"/>
    <n v="0.45"/>
    <n v="0.83"/>
    <n v="0.21"/>
    <n v="0.41"/>
    <n v="0.53"/>
    <x v="0"/>
    <s v="Low Exposure"/>
  </r>
  <r>
    <x v="2"/>
    <x v="2719"/>
    <n v="19"/>
    <x v="2"/>
    <n v="0.92"/>
    <n v="0.79"/>
    <x v="76"/>
    <x v="0"/>
    <n v="0.92"/>
    <n v="0.22"/>
    <n v="0.38"/>
    <n v="0.53"/>
    <n v="0.98"/>
    <n v="0.54"/>
    <n v="0.45"/>
    <n v="0.57999999999999996"/>
    <n v="0.97"/>
    <n v="0.82"/>
    <x v="0"/>
    <s v="High Exposure"/>
  </r>
  <r>
    <x v="3"/>
    <x v="2720"/>
    <n v="17"/>
    <x v="1"/>
    <n v="0.8"/>
    <n v="1.34"/>
    <x v="14"/>
    <x v="2"/>
    <n v="0.66"/>
    <n v="0.44"/>
    <n v="0.64"/>
    <n v="0.74"/>
    <n v="0.12"/>
    <n v="0.26"/>
    <n v="0.19"/>
    <n v="0.84"/>
    <n v="0.68"/>
    <n v="0.45"/>
    <x v="0"/>
    <s v="High Exposure"/>
  </r>
  <r>
    <x v="19"/>
    <x v="2721"/>
    <n v="3"/>
    <x v="3"/>
    <n v="0.72"/>
    <n v="1.41"/>
    <x v="20"/>
    <x v="2"/>
    <n v="0.51"/>
    <n v="0.71"/>
    <n v="0.21"/>
    <n v="0.33"/>
    <n v="0.42"/>
    <n v="0.79"/>
    <n v="0.49"/>
    <n v="0.49"/>
    <n v="0.43"/>
    <n v="0.23"/>
    <x v="1"/>
    <s v="High Exposure"/>
  </r>
  <r>
    <x v="6"/>
    <x v="2722"/>
    <n v="28"/>
    <x v="0"/>
    <n v="0.32"/>
    <n v="1.07"/>
    <x v="46"/>
    <x v="2"/>
    <n v="0.43"/>
    <n v="0.9"/>
    <n v="1"/>
    <n v="0.36"/>
    <n v="0.15"/>
    <n v="0.31"/>
    <n v="0.33"/>
    <n v="0.64"/>
    <n v="0.5"/>
    <n v="0.77"/>
    <x v="0"/>
    <s v="Medium Exposure"/>
  </r>
  <r>
    <x v="13"/>
    <x v="2723"/>
    <n v="5"/>
    <x v="1"/>
    <n v="0.25"/>
    <n v="1.28"/>
    <x v="4"/>
    <x v="2"/>
    <n v="0.6"/>
    <n v="0.93"/>
    <n v="0.78"/>
    <n v="0.6"/>
    <n v="0.91"/>
    <n v="0.6"/>
    <n v="0.52"/>
    <n v="0.36"/>
    <n v="0.88"/>
    <n v="0.12"/>
    <x v="1"/>
    <s v="Low Exposure"/>
  </r>
  <r>
    <x v="15"/>
    <x v="2724"/>
    <n v="19"/>
    <x v="0"/>
    <n v="0.54"/>
    <n v="1.05"/>
    <x v="13"/>
    <x v="1"/>
    <n v="0.51"/>
    <n v="0.26"/>
    <n v="0.86"/>
    <n v="0.66"/>
    <n v="0.86"/>
    <n v="0.28000000000000003"/>
    <n v="0.64"/>
    <n v="0.71"/>
    <n v="0.38"/>
    <n v="0.81"/>
    <x v="0"/>
    <s v="Medium Exposure"/>
  </r>
  <r>
    <x v="4"/>
    <x v="2725"/>
    <n v="16"/>
    <x v="0"/>
    <n v="0.59"/>
    <n v="1.1100000000000001"/>
    <x v="50"/>
    <x v="2"/>
    <n v="0.63"/>
    <n v="0.17"/>
    <n v="0.68"/>
    <n v="0.34"/>
    <n v="0.45"/>
    <n v="0.33"/>
    <n v="0.47"/>
    <n v="0.62"/>
    <n v="0.84"/>
    <n v="0.48"/>
    <x v="0"/>
    <s v="Medium Exposure"/>
  </r>
  <r>
    <x v="12"/>
    <x v="2726"/>
    <n v="22"/>
    <x v="3"/>
    <n v="0.49"/>
    <n v="1.19"/>
    <x v="30"/>
    <x v="2"/>
    <n v="0.41"/>
    <n v="0.56000000000000005"/>
    <n v="0.28999999999999998"/>
    <n v="0.21"/>
    <n v="0.14000000000000001"/>
    <n v="0.35"/>
    <n v="0.05"/>
    <n v="0.57999999999999996"/>
    <n v="0.18"/>
    <n v="0.38"/>
    <x v="0"/>
    <s v="Medium Exposure"/>
  </r>
  <r>
    <x v="7"/>
    <x v="2727"/>
    <n v="28"/>
    <x v="2"/>
    <n v="0.63"/>
    <n v="1.35"/>
    <x v="13"/>
    <x v="1"/>
    <n v="0.54"/>
    <n v="0.67"/>
    <n v="0.03"/>
    <n v="0.12"/>
    <n v="0.09"/>
    <n v="0.1"/>
    <n v="0.26"/>
    <n v="0.53"/>
    <n v="0.11"/>
    <n v="0.94"/>
    <x v="0"/>
    <s v="Medium Exposure"/>
  </r>
  <r>
    <x v="17"/>
    <x v="2728"/>
    <n v="21"/>
    <x v="0"/>
    <n v="0.6"/>
    <n v="0.99"/>
    <x v="86"/>
    <x v="2"/>
    <n v="0.52"/>
    <n v="0.56000000000000005"/>
    <n v="0.69"/>
    <n v="1"/>
    <n v="0.42"/>
    <n v="0.51"/>
    <n v="0.08"/>
    <n v="0.83"/>
    <n v="0.1"/>
    <n v="0.93"/>
    <x v="0"/>
    <s v="Medium Exposure"/>
  </r>
  <r>
    <x v="2"/>
    <x v="2729"/>
    <n v="27"/>
    <x v="0"/>
    <n v="0.34"/>
    <n v="0.83"/>
    <x v="89"/>
    <x v="0"/>
    <n v="0.98"/>
    <n v="0.97"/>
    <n v="0.7"/>
    <n v="0.11"/>
    <n v="0.39"/>
    <n v="0.28999999999999998"/>
    <n v="0.71"/>
    <n v="0.49"/>
    <n v="0.62"/>
    <n v="0.01"/>
    <x v="0"/>
    <s v="Medium Exposure"/>
  </r>
  <r>
    <x v="19"/>
    <x v="2730"/>
    <n v="16"/>
    <x v="0"/>
    <n v="0.95"/>
    <n v="1.17"/>
    <x v="4"/>
    <x v="2"/>
    <n v="0.48"/>
    <n v="0.02"/>
    <n v="0.99"/>
    <n v="0.06"/>
    <n v="0.19"/>
    <n v="0.05"/>
    <n v="0.62"/>
    <n v="0.57999999999999996"/>
    <n v="0.21"/>
    <n v="0.96"/>
    <x v="0"/>
    <s v="High Exposure"/>
  </r>
  <r>
    <x v="12"/>
    <x v="2731"/>
    <n v="28"/>
    <x v="0"/>
    <n v="0.28000000000000003"/>
    <n v="1.1599999999999999"/>
    <x v="4"/>
    <x v="2"/>
    <n v="0.36"/>
    <n v="0.25"/>
    <n v="0.26"/>
    <n v="0.82"/>
    <n v="0.46"/>
    <n v="0.72"/>
    <n v="0.65"/>
    <n v="0.31"/>
    <n v="0.21"/>
    <n v="0.13"/>
    <x v="0"/>
    <s v="Low Exposure"/>
  </r>
  <r>
    <x v="3"/>
    <x v="2732"/>
    <n v="4"/>
    <x v="1"/>
    <n v="0.08"/>
    <n v="0.76"/>
    <x v="31"/>
    <x v="2"/>
    <n v="0.15"/>
    <n v="0.52"/>
    <n v="0.25"/>
    <n v="0.51"/>
    <n v="0.75"/>
    <n v="0.27"/>
    <n v="0.35"/>
    <n v="0.72"/>
    <n v="0.55000000000000004"/>
    <n v="0.09"/>
    <x v="1"/>
    <s v="Low Exposure"/>
  </r>
  <r>
    <x v="2"/>
    <x v="2733"/>
    <n v="28"/>
    <x v="2"/>
    <n v="0.28000000000000003"/>
    <n v="0.89"/>
    <x v="39"/>
    <x v="0"/>
    <n v="0.54"/>
    <n v="0.71"/>
    <n v="0.8"/>
    <n v="0.92"/>
    <n v="0.36"/>
    <n v="0.93"/>
    <n v="0.62"/>
    <n v="0.39"/>
    <n v="0.89"/>
    <n v="0.57999999999999996"/>
    <x v="0"/>
    <s v="Low Exposure"/>
  </r>
  <r>
    <x v="12"/>
    <x v="2734"/>
    <n v="23"/>
    <x v="1"/>
    <n v="0.95"/>
    <n v="1.33"/>
    <x v="53"/>
    <x v="2"/>
    <n v="0.88"/>
    <n v="0.68"/>
    <n v="0.33"/>
    <n v="0.87"/>
    <n v="0.6"/>
    <n v="0.85"/>
    <n v="0.47"/>
    <n v="0.5"/>
    <n v="0.28999999999999998"/>
    <n v="0.39"/>
    <x v="0"/>
    <s v="High Exposure"/>
  </r>
  <r>
    <x v="18"/>
    <x v="2735"/>
    <n v="5"/>
    <x v="2"/>
    <n v="0.28999999999999998"/>
    <n v="0.78"/>
    <x v="19"/>
    <x v="1"/>
    <n v="0.12"/>
    <n v="0.52"/>
    <n v="0.57999999999999996"/>
    <n v="0.82"/>
    <n v="0.06"/>
    <n v="0.36"/>
    <n v="0.2"/>
    <n v="0.36"/>
    <n v="0.35"/>
    <n v="0.35"/>
    <x v="1"/>
    <s v="Low Exposure"/>
  </r>
  <r>
    <x v="13"/>
    <x v="2736"/>
    <n v="12"/>
    <x v="0"/>
    <n v="0.76"/>
    <n v="1.19"/>
    <x v="30"/>
    <x v="2"/>
    <n v="0.15"/>
    <n v="0.52"/>
    <n v="0.92"/>
    <n v="0.12"/>
    <n v="0.75"/>
    <n v="0.6"/>
    <n v="0.59"/>
    <n v="0.93"/>
    <n v="0.96"/>
    <n v="0.24"/>
    <x v="2"/>
    <s v="High Exposure"/>
  </r>
  <r>
    <x v="8"/>
    <x v="2737"/>
    <n v="20"/>
    <x v="1"/>
    <n v="0.62"/>
    <n v="0.91"/>
    <x v="64"/>
    <x v="2"/>
    <n v="0.96"/>
    <n v="0.52"/>
    <n v="0.94"/>
    <n v="0.64"/>
    <n v="0.48"/>
    <n v="0.64"/>
    <n v="0.6"/>
    <n v="0.42"/>
    <n v="0.56000000000000005"/>
    <n v="0.7"/>
    <x v="0"/>
    <s v="Medium Exposure"/>
  </r>
  <r>
    <x v="19"/>
    <x v="2738"/>
    <n v="1"/>
    <x v="1"/>
    <n v="0.01"/>
    <n v="1.05"/>
    <x v="11"/>
    <x v="2"/>
    <n v="0.05"/>
    <n v="0.63"/>
    <n v="0.94"/>
    <n v="0.4"/>
    <n v="0.89"/>
    <n v="0.81"/>
    <n v="0.16"/>
    <n v="0.79"/>
    <n v="0.52"/>
    <n v="0.92"/>
    <x v="1"/>
    <s v="Low Exposure"/>
  </r>
  <r>
    <x v="2"/>
    <x v="2739"/>
    <n v="4"/>
    <x v="2"/>
    <n v="0.13"/>
    <n v="0.74"/>
    <x v="76"/>
    <x v="0"/>
    <n v="0.32"/>
    <n v="0.28000000000000003"/>
    <n v="0.42"/>
    <n v="0.46"/>
    <n v="0.14000000000000001"/>
    <n v="0.62"/>
    <n v="0.22"/>
    <n v="0.12"/>
    <n v="0.71"/>
    <n v="0.02"/>
    <x v="1"/>
    <s v="Low Exposure"/>
  </r>
  <r>
    <x v="10"/>
    <x v="2740"/>
    <n v="2"/>
    <x v="0"/>
    <n v="0.14000000000000001"/>
    <n v="1.38"/>
    <x v="12"/>
    <x v="2"/>
    <n v="0.06"/>
    <n v="0.55000000000000004"/>
    <n v="0.3"/>
    <n v="0.19"/>
    <n v="0.31"/>
    <n v="0.82"/>
    <n v="0.06"/>
    <n v="0.65"/>
    <n v="0.91"/>
    <n v="0.45"/>
    <x v="1"/>
    <s v="Low Exposure"/>
  </r>
  <r>
    <x v="6"/>
    <x v="2741"/>
    <n v="15"/>
    <x v="2"/>
    <n v="0.91"/>
    <n v="1.1100000000000001"/>
    <x v="8"/>
    <x v="2"/>
    <n v="0.74"/>
    <n v="0.92"/>
    <n v="0.68"/>
    <n v="0.21"/>
    <n v="0.82"/>
    <n v="0.95"/>
    <n v="0.41"/>
    <n v="0.7"/>
    <n v="0.52"/>
    <n v="0.11"/>
    <x v="2"/>
    <s v="High Exposure"/>
  </r>
  <r>
    <x v="5"/>
    <x v="2742"/>
    <n v="21"/>
    <x v="2"/>
    <n v="0.16"/>
    <n v="1.17"/>
    <x v="42"/>
    <x v="1"/>
    <n v="0.03"/>
    <n v="0.06"/>
    <n v="0.26"/>
    <n v="0.74"/>
    <n v="0.13"/>
    <n v="0.2"/>
    <n v="0.91"/>
    <n v="0.55000000000000004"/>
    <n v="0.62"/>
    <n v="0.46"/>
    <x v="0"/>
    <s v="Low Exposure"/>
  </r>
  <r>
    <x v="8"/>
    <x v="2743"/>
    <n v="15"/>
    <x v="3"/>
    <n v="0.25"/>
    <n v="1.0900000000000001"/>
    <x v="78"/>
    <x v="2"/>
    <n v="0.4"/>
    <n v="0.69"/>
    <n v="0.4"/>
    <n v="0.04"/>
    <n v="0.84"/>
    <n v="0.32"/>
    <n v="0.95"/>
    <n v="0.88"/>
    <n v="0.23"/>
    <n v="0.97"/>
    <x v="2"/>
    <s v="Low Exposure"/>
  </r>
  <r>
    <x v="12"/>
    <x v="2744"/>
    <n v="13"/>
    <x v="2"/>
    <n v="0.99"/>
    <n v="1.18"/>
    <x v="79"/>
    <x v="2"/>
    <n v="0.69"/>
    <n v="0.86"/>
    <n v="0.61"/>
    <n v="0.93"/>
    <n v="0.52"/>
    <n v="0.74"/>
    <n v="0.92"/>
    <n v="0.42"/>
    <n v="0.03"/>
    <n v="0.11"/>
    <x v="2"/>
    <s v="High Exposure"/>
  </r>
  <r>
    <x v="18"/>
    <x v="2745"/>
    <n v="15"/>
    <x v="1"/>
    <n v="0.87"/>
    <n v="0.98"/>
    <x v="21"/>
    <x v="1"/>
    <n v="0.19"/>
    <n v="0.11"/>
    <n v="0.6"/>
    <n v="0.38"/>
    <n v="0.34"/>
    <n v="0.73"/>
    <n v="0.15"/>
    <n v="0.78"/>
    <n v="0.36"/>
    <n v="0.99"/>
    <x v="2"/>
    <s v="High Exposure"/>
  </r>
  <r>
    <x v="8"/>
    <x v="2746"/>
    <n v="14"/>
    <x v="2"/>
    <n v="0.28000000000000003"/>
    <n v="0.55000000000000004"/>
    <x v="8"/>
    <x v="2"/>
    <n v="0.77"/>
    <n v="0.02"/>
    <n v="0.11"/>
    <n v="0.72"/>
    <n v="0.59"/>
    <n v="0.72"/>
    <n v="0.23"/>
    <n v="0.8"/>
    <n v="0.48"/>
    <n v="0.61"/>
    <x v="2"/>
    <s v="Low Exposure"/>
  </r>
  <r>
    <x v="2"/>
    <x v="2747"/>
    <n v="9"/>
    <x v="0"/>
    <n v="0.21"/>
    <n v="1.27"/>
    <x v="39"/>
    <x v="0"/>
    <n v="0.09"/>
    <n v="0.6"/>
    <n v="0.55000000000000004"/>
    <n v="0.61"/>
    <n v="0.62"/>
    <n v="0.5"/>
    <n v="0.49"/>
    <n v="0.92"/>
    <n v="0.53"/>
    <n v="0.62"/>
    <x v="2"/>
    <s v="Low Exposure"/>
  </r>
  <r>
    <x v="11"/>
    <x v="2748"/>
    <n v="29"/>
    <x v="0"/>
    <n v="0.87"/>
    <n v="0.52"/>
    <x v="43"/>
    <x v="2"/>
    <n v="0.38"/>
    <n v="0.6"/>
    <n v="0.36"/>
    <n v="0.72"/>
    <n v="0.02"/>
    <n v="0.41"/>
    <n v="0.83"/>
    <n v="0.25"/>
    <n v="0.05"/>
    <n v="0.5"/>
    <x v="0"/>
    <s v="High Exposure"/>
  </r>
  <r>
    <x v="5"/>
    <x v="2749"/>
    <n v="27"/>
    <x v="3"/>
    <n v="0.06"/>
    <n v="0.56999999999999995"/>
    <x v="42"/>
    <x v="1"/>
    <n v="0.25"/>
    <n v="0.41"/>
    <n v="0.83"/>
    <n v="0.2"/>
    <n v="0.72"/>
    <n v="0.5"/>
    <n v="0.9"/>
    <n v="0.97"/>
    <n v="0.48"/>
    <n v="0.57999999999999996"/>
    <x v="0"/>
    <s v="Low Exposure"/>
  </r>
  <r>
    <x v="0"/>
    <x v="2750"/>
    <n v="29"/>
    <x v="3"/>
    <n v="0.32"/>
    <n v="0.73"/>
    <x v="89"/>
    <x v="0"/>
    <n v="0.43"/>
    <n v="0"/>
    <n v="0.84"/>
    <n v="0.6"/>
    <n v="0.17"/>
    <n v="0.03"/>
    <n v="0.28999999999999998"/>
    <n v="0.93"/>
    <n v="0.93"/>
    <n v="0.31"/>
    <x v="0"/>
    <s v="Medium Exposure"/>
  </r>
  <r>
    <x v="3"/>
    <x v="2751"/>
    <n v="3"/>
    <x v="2"/>
    <n v="0.44"/>
    <n v="1.1499999999999999"/>
    <x v="87"/>
    <x v="2"/>
    <n v="0.52"/>
    <n v="0.28999999999999998"/>
    <n v="0.06"/>
    <n v="0.14000000000000001"/>
    <n v="0.28999999999999998"/>
    <n v="0.98"/>
    <n v="0.97"/>
    <n v="0.83"/>
    <n v="0.23"/>
    <n v="0.44"/>
    <x v="1"/>
    <s v="Medium Exposure"/>
  </r>
  <r>
    <x v="4"/>
    <x v="2752"/>
    <n v="29"/>
    <x v="0"/>
    <n v="0.39"/>
    <n v="0.54"/>
    <x v="50"/>
    <x v="2"/>
    <n v="7.0000000000000007E-2"/>
    <n v="0.8"/>
    <n v="0.69"/>
    <n v="0.35"/>
    <n v="0.65"/>
    <n v="0.23"/>
    <n v="0.27"/>
    <n v="0.31"/>
    <n v="0.8"/>
    <n v="0.21"/>
    <x v="0"/>
    <s v="Medium Exposure"/>
  </r>
  <r>
    <x v="16"/>
    <x v="2753"/>
    <n v="13"/>
    <x v="0"/>
    <n v="0.2"/>
    <n v="0.79"/>
    <x v="39"/>
    <x v="0"/>
    <n v="0.65"/>
    <n v="0.53"/>
    <n v="0.72"/>
    <n v="0.22"/>
    <n v="0.01"/>
    <n v="0.68"/>
    <n v="0.11"/>
    <n v="0.25"/>
    <n v="0.31"/>
    <n v="0.75"/>
    <x v="2"/>
    <s v="Low Exposure"/>
  </r>
  <r>
    <x v="19"/>
    <x v="2754"/>
    <n v="25"/>
    <x v="3"/>
    <n v="0.18"/>
    <n v="1.1000000000000001"/>
    <x v="14"/>
    <x v="2"/>
    <n v="0.39"/>
    <n v="0.25"/>
    <n v="0.68"/>
    <n v="0.61"/>
    <n v="0.08"/>
    <n v="0.67"/>
    <n v="0.49"/>
    <n v="0.75"/>
    <n v="0.19"/>
    <n v="0.26"/>
    <x v="0"/>
    <s v="Low Exposure"/>
  </r>
  <r>
    <x v="6"/>
    <x v="2755"/>
    <n v="6"/>
    <x v="0"/>
    <n v="0.48"/>
    <n v="0.89"/>
    <x v="3"/>
    <x v="2"/>
    <n v="0.56000000000000005"/>
    <n v="0.71"/>
    <n v="0.15"/>
    <n v="0.73"/>
    <n v="0.46"/>
    <n v="0.03"/>
    <n v="0.23"/>
    <n v="0.03"/>
    <n v="0.46"/>
    <n v="0.33"/>
    <x v="2"/>
    <s v="Medium Exposure"/>
  </r>
  <r>
    <x v="8"/>
    <x v="2756"/>
    <n v="20"/>
    <x v="2"/>
    <n v="0.87"/>
    <n v="1.33"/>
    <x v="11"/>
    <x v="2"/>
    <n v="0.81"/>
    <n v="0.27"/>
    <n v="0.56000000000000005"/>
    <n v="0.39"/>
    <n v="0.17"/>
    <n v="7.0000000000000007E-2"/>
    <n v="0.56000000000000005"/>
    <n v="0.1"/>
    <n v="0.72"/>
    <n v="0.92"/>
    <x v="0"/>
    <s v="High Exposure"/>
  </r>
  <r>
    <x v="13"/>
    <x v="2757"/>
    <n v="16"/>
    <x v="2"/>
    <n v="0.47"/>
    <n v="1.24"/>
    <x v="6"/>
    <x v="2"/>
    <n v="0.92"/>
    <n v="0.89"/>
    <n v="0.1"/>
    <n v="0.03"/>
    <n v="0.98"/>
    <n v="0.96"/>
    <n v="0.42"/>
    <n v="0.05"/>
    <n v="0.62"/>
    <n v="0.28999999999999998"/>
    <x v="0"/>
    <s v="Medium Exposure"/>
  </r>
  <r>
    <x v="3"/>
    <x v="2758"/>
    <n v="3"/>
    <x v="3"/>
    <n v="0.79"/>
    <n v="1.1499999999999999"/>
    <x v="6"/>
    <x v="2"/>
    <n v="0.7"/>
    <n v="0.28999999999999998"/>
    <n v="0.04"/>
    <n v="0.51"/>
    <n v="0.49"/>
    <n v="0.76"/>
    <n v="0.87"/>
    <n v="0.35"/>
    <n v="0.45"/>
    <n v="0.47"/>
    <x v="1"/>
    <s v="High Exposure"/>
  </r>
  <r>
    <x v="3"/>
    <x v="2759"/>
    <n v="8"/>
    <x v="0"/>
    <n v="0.74"/>
    <n v="1.02"/>
    <x v="79"/>
    <x v="2"/>
    <n v="0.65"/>
    <n v="0.21"/>
    <n v="0.16"/>
    <n v="0.37"/>
    <n v="0.35"/>
    <n v="0.41"/>
    <n v="0.18"/>
    <n v="0.98"/>
    <n v="0.15"/>
    <n v="0.65"/>
    <x v="2"/>
    <s v="High Exposure"/>
  </r>
  <r>
    <x v="19"/>
    <x v="2760"/>
    <n v="24"/>
    <x v="1"/>
    <n v="0.41"/>
    <n v="0.81"/>
    <x v="84"/>
    <x v="2"/>
    <n v="0.5"/>
    <n v="0.6"/>
    <n v="0.57999999999999996"/>
    <n v="0.63"/>
    <n v="0.84"/>
    <n v="0.89"/>
    <n v="0.74"/>
    <n v="0.08"/>
    <n v="0.96"/>
    <n v="0.95"/>
    <x v="0"/>
    <s v="Medium Exposure"/>
  </r>
  <r>
    <x v="3"/>
    <x v="2761"/>
    <n v="7"/>
    <x v="3"/>
    <n v="0.54"/>
    <n v="1.1499999999999999"/>
    <x v="50"/>
    <x v="2"/>
    <n v="0.69"/>
    <n v="0.49"/>
    <n v="0.53"/>
    <n v="0.94"/>
    <n v="0.39"/>
    <n v="0.76"/>
    <n v="0.33"/>
    <n v="0.33"/>
    <n v="0.93"/>
    <n v="0.7"/>
    <x v="2"/>
    <s v="Medium Exposure"/>
  </r>
  <r>
    <x v="6"/>
    <x v="2762"/>
    <n v="27"/>
    <x v="0"/>
    <n v="0.99"/>
    <n v="0.5"/>
    <x v="66"/>
    <x v="2"/>
    <n v="0.1"/>
    <n v="7.0000000000000007E-2"/>
    <n v="0.77"/>
    <n v="0.35"/>
    <n v="0.92"/>
    <n v="0.54"/>
    <n v="0.39"/>
    <n v="7.0000000000000007E-2"/>
    <n v="0.46"/>
    <n v="0.28000000000000003"/>
    <x v="0"/>
    <s v="High Exposure"/>
  </r>
  <r>
    <x v="0"/>
    <x v="2763"/>
    <n v="11"/>
    <x v="3"/>
    <n v="0.67"/>
    <n v="1.48"/>
    <x v="77"/>
    <x v="0"/>
    <n v="0.3"/>
    <n v="0.09"/>
    <n v="0.22"/>
    <n v="0.28000000000000003"/>
    <n v="0.34"/>
    <n v="0.63"/>
    <n v="0.11"/>
    <n v="0.06"/>
    <n v="0.93"/>
    <n v="0.8"/>
    <x v="2"/>
    <s v="Medium Exposure"/>
  </r>
  <r>
    <x v="11"/>
    <x v="2764"/>
    <n v="5"/>
    <x v="1"/>
    <n v="0.64"/>
    <n v="1.0900000000000001"/>
    <x v="3"/>
    <x v="2"/>
    <n v="0.86"/>
    <n v="0.36"/>
    <n v="0.66"/>
    <n v="0.8"/>
    <n v="0.7"/>
    <n v="0.92"/>
    <n v="0.49"/>
    <n v="0.8"/>
    <n v="0.91"/>
    <n v="0.56000000000000005"/>
    <x v="1"/>
    <s v="Medium Exposure"/>
  </r>
  <r>
    <x v="14"/>
    <x v="2765"/>
    <n v="12"/>
    <x v="2"/>
    <n v="0.82"/>
    <n v="1.35"/>
    <x v="9"/>
    <x v="0"/>
    <n v="0.23"/>
    <n v="0.98"/>
    <n v="0.55000000000000004"/>
    <n v="0.52"/>
    <n v="0.95"/>
    <n v="0.41"/>
    <n v="0.85"/>
    <n v="0.7"/>
    <n v="0.97"/>
    <n v="0.43"/>
    <x v="2"/>
    <s v="High Exposure"/>
  </r>
  <r>
    <x v="1"/>
    <x v="2766"/>
    <n v="22"/>
    <x v="2"/>
    <n v="0.56999999999999995"/>
    <n v="0.98"/>
    <x v="61"/>
    <x v="1"/>
    <n v="0.55000000000000004"/>
    <n v="0.56999999999999995"/>
    <n v="0.9"/>
    <n v="0.7"/>
    <n v="0.83"/>
    <n v="0.77"/>
    <n v="0.28000000000000003"/>
    <n v="0.21"/>
    <n v="0.26"/>
    <n v="0.15"/>
    <x v="0"/>
    <s v="Medium Exposure"/>
  </r>
  <r>
    <x v="6"/>
    <x v="2767"/>
    <n v="4"/>
    <x v="3"/>
    <n v="0.65"/>
    <n v="1.04"/>
    <x v="64"/>
    <x v="2"/>
    <n v="0.36"/>
    <n v="0.21"/>
    <n v="0.2"/>
    <n v="0.6"/>
    <n v="0.16"/>
    <n v="0.4"/>
    <n v="0.21"/>
    <n v="0.66"/>
    <n v="0.62"/>
    <n v="0.38"/>
    <x v="1"/>
    <s v="Medium Exposure"/>
  </r>
  <r>
    <x v="18"/>
    <x v="2768"/>
    <n v="16"/>
    <x v="3"/>
    <n v="0.21"/>
    <n v="0.97"/>
    <x v="21"/>
    <x v="1"/>
    <n v="0.27"/>
    <n v="0.19"/>
    <n v="0.22"/>
    <n v="0.71"/>
    <n v="0.91"/>
    <n v="0.08"/>
    <n v="0.75"/>
    <n v="0.49"/>
    <n v="0.83"/>
    <n v="0.42"/>
    <x v="0"/>
    <s v="Low Exposure"/>
  </r>
  <r>
    <x v="11"/>
    <x v="2769"/>
    <n v="29"/>
    <x v="1"/>
    <n v="0.37"/>
    <n v="1.32"/>
    <x v="38"/>
    <x v="2"/>
    <n v="0.14000000000000001"/>
    <n v="0.54"/>
    <n v="0.68"/>
    <n v="0.08"/>
    <n v="0.93"/>
    <n v="0.52"/>
    <n v="0.65"/>
    <n v="0.18"/>
    <n v="0.26"/>
    <n v="0.12"/>
    <x v="0"/>
    <s v="Medium Exposure"/>
  </r>
  <r>
    <x v="13"/>
    <x v="2770"/>
    <n v="9"/>
    <x v="1"/>
    <n v="0.49"/>
    <n v="1.33"/>
    <x v="50"/>
    <x v="2"/>
    <n v="0.24"/>
    <n v="0.04"/>
    <n v="0.62"/>
    <n v="0.42"/>
    <n v="0.98"/>
    <n v="0.78"/>
    <n v="0.81"/>
    <n v="0.01"/>
    <n v="0.78"/>
    <n v="0.19"/>
    <x v="2"/>
    <s v="Medium Exposure"/>
  </r>
  <r>
    <x v="11"/>
    <x v="2771"/>
    <n v="24"/>
    <x v="3"/>
    <n v="0.45"/>
    <n v="1.07"/>
    <x v="53"/>
    <x v="2"/>
    <n v="0.46"/>
    <n v="0.04"/>
    <n v="0.04"/>
    <n v="0.66"/>
    <n v="0.95"/>
    <n v="0.78"/>
    <n v="0.47"/>
    <n v="0.06"/>
    <n v="0.05"/>
    <n v="0.16"/>
    <x v="0"/>
    <s v="Medium Exposure"/>
  </r>
  <r>
    <x v="4"/>
    <x v="2772"/>
    <n v="7"/>
    <x v="2"/>
    <n v="0.4"/>
    <n v="1.34"/>
    <x v="14"/>
    <x v="2"/>
    <n v="0.61"/>
    <n v="0.95"/>
    <n v="0.23"/>
    <n v="0.45"/>
    <n v="0.86"/>
    <n v="0.55000000000000004"/>
    <n v="0.25"/>
    <n v="0.21"/>
    <n v="0.75"/>
    <n v="0.01"/>
    <x v="2"/>
    <s v="Medium Exposure"/>
  </r>
  <r>
    <x v="13"/>
    <x v="2773"/>
    <n v="5"/>
    <x v="3"/>
    <n v="0.02"/>
    <n v="1.1299999999999999"/>
    <x v="22"/>
    <x v="2"/>
    <n v="0.57999999999999996"/>
    <n v="0.47"/>
    <n v="0.85"/>
    <n v="0.66"/>
    <n v="0.78"/>
    <n v="0.12"/>
    <n v="0.05"/>
    <n v="0.03"/>
    <n v="0.15"/>
    <n v="0.67"/>
    <x v="1"/>
    <s v="Low Exposure"/>
  </r>
  <r>
    <x v="15"/>
    <x v="2774"/>
    <n v="17"/>
    <x v="1"/>
    <n v="0.75"/>
    <n v="0.69"/>
    <x v="41"/>
    <x v="1"/>
    <n v="0.89"/>
    <n v="0.94"/>
    <n v="0.92"/>
    <n v="0.82"/>
    <n v="0.69"/>
    <n v="0.91"/>
    <n v="0.71"/>
    <n v="0.95"/>
    <n v="0.02"/>
    <n v="0.92"/>
    <x v="0"/>
    <s v="High Exposure"/>
  </r>
  <r>
    <x v="13"/>
    <x v="2775"/>
    <n v="2"/>
    <x v="3"/>
    <n v="0.11"/>
    <n v="0.71"/>
    <x v="4"/>
    <x v="2"/>
    <n v="0.51"/>
    <n v="0.98"/>
    <n v="0.12"/>
    <n v="0.41"/>
    <n v="0.33"/>
    <n v="0.52"/>
    <n v="0.63"/>
    <n v="0.66"/>
    <n v="0"/>
    <n v="0.09"/>
    <x v="1"/>
    <s v="Low Exposure"/>
  </r>
  <r>
    <x v="3"/>
    <x v="2776"/>
    <n v="10"/>
    <x v="3"/>
    <n v="0.06"/>
    <n v="0.92"/>
    <x v="48"/>
    <x v="2"/>
    <n v="0.79"/>
    <n v="0.57999999999999996"/>
    <n v="0.36"/>
    <n v="0.28999999999999998"/>
    <n v="0.56000000000000005"/>
    <n v="0.43"/>
    <n v="0.06"/>
    <n v="0.67"/>
    <n v="0.5"/>
    <n v="0.28000000000000003"/>
    <x v="2"/>
    <s v="Low Exposure"/>
  </r>
  <r>
    <x v="16"/>
    <x v="2777"/>
    <n v="12"/>
    <x v="2"/>
    <n v="0.38"/>
    <n v="1.47"/>
    <x v="51"/>
    <x v="0"/>
    <n v="0.69"/>
    <n v="0.23"/>
    <n v="0.56000000000000005"/>
    <n v="0.36"/>
    <n v="0.24"/>
    <n v="0.9"/>
    <n v="0.38"/>
    <n v="0.28000000000000003"/>
    <n v="0.93"/>
    <n v="0.2"/>
    <x v="2"/>
    <s v="Medium Exposure"/>
  </r>
  <r>
    <x v="17"/>
    <x v="2778"/>
    <n v="3"/>
    <x v="0"/>
    <n v="0.65"/>
    <n v="1.42"/>
    <x v="12"/>
    <x v="2"/>
    <n v="0.71"/>
    <n v="0.31"/>
    <n v="0.5"/>
    <n v="0.94"/>
    <n v="0.02"/>
    <n v="0.79"/>
    <n v="0.25"/>
    <n v="0.19"/>
    <n v="0.23"/>
    <n v="0.06"/>
    <x v="1"/>
    <s v="Medium Exposure"/>
  </r>
  <r>
    <x v="0"/>
    <x v="2779"/>
    <n v="25"/>
    <x v="2"/>
    <n v="0.87"/>
    <n v="1.02"/>
    <x v="51"/>
    <x v="0"/>
    <n v="0.56000000000000005"/>
    <n v="0.81"/>
    <n v="0.84"/>
    <n v="0.23"/>
    <n v="0.46"/>
    <n v="0.63"/>
    <n v="0.98"/>
    <n v="0.68"/>
    <n v="0.9"/>
    <n v="0.85"/>
    <x v="0"/>
    <s v="High Exposure"/>
  </r>
  <r>
    <x v="11"/>
    <x v="2780"/>
    <n v="4"/>
    <x v="3"/>
    <n v="0.89"/>
    <n v="0.88"/>
    <x v="84"/>
    <x v="2"/>
    <n v="0.78"/>
    <n v="0.13"/>
    <n v="0.31"/>
    <n v="0.61"/>
    <n v="0.42"/>
    <n v="0.94"/>
    <n v="0.96"/>
    <n v="0.5"/>
    <n v="0.54"/>
    <n v="0.72"/>
    <x v="1"/>
    <s v="High Exposure"/>
  </r>
  <r>
    <x v="13"/>
    <x v="2781"/>
    <n v="9"/>
    <x v="1"/>
    <n v="0.19"/>
    <n v="1.25"/>
    <x v="3"/>
    <x v="2"/>
    <n v="0.24"/>
    <n v="0.83"/>
    <n v="0.61"/>
    <n v="0.24"/>
    <n v="0.65"/>
    <n v="0.23"/>
    <n v="0.27"/>
    <n v="0.85"/>
    <n v="0.93"/>
    <n v="0.26"/>
    <x v="2"/>
    <s v="Low Exposure"/>
  </r>
  <r>
    <x v="0"/>
    <x v="2782"/>
    <n v="16"/>
    <x v="1"/>
    <n v="0.24"/>
    <n v="0.62"/>
    <x v="76"/>
    <x v="0"/>
    <n v="0.24"/>
    <n v="0.39"/>
    <n v="0.93"/>
    <n v="0.24"/>
    <n v="0.37"/>
    <n v="0.73"/>
    <n v="0.3"/>
    <n v="0.68"/>
    <n v="0.43"/>
    <n v="0.2"/>
    <x v="0"/>
    <s v="Low Exposure"/>
  </r>
  <r>
    <x v="4"/>
    <x v="2783"/>
    <n v="22"/>
    <x v="0"/>
    <n v="0.03"/>
    <n v="0.79"/>
    <x v="30"/>
    <x v="2"/>
    <n v="0.46"/>
    <n v="0.68"/>
    <n v="0.46"/>
    <n v="0.59"/>
    <n v="0.6"/>
    <n v="0.37"/>
    <n v="0.93"/>
    <n v="0.96"/>
    <n v="0.57999999999999996"/>
    <n v="7.0000000000000007E-2"/>
    <x v="0"/>
    <s v="Low Exposure"/>
  </r>
  <r>
    <x v="17"/>
    <x v="2784"/>
    <n v="7"/>
    <x v="3"/>
    <n v="0.18"/>
    <n v="0.98"/>
    <x v="48"/>
    <x v="2"/>
    <n v="0.7"/>
    <n v="0.08"/>
    <n v="0.95"/>
    <n v="0.2"/>
    <n v="0.66"/>
    <n v="0.92"/>
    <n v="0.25"/>
    <n v="0.93"/>
    <n v="0.39"/>
    <n v="0.96"/>
    <x v="2"/>
    <s v="Low Exposure"/>
  </r>
  <r>
    <x v="5"/>
    <x v="2785"/>
    <n v="0"/>
    <x v="0"/>
    <n v="0.19"/>
    <n v="1.33"/>
    <x v="5"/>
    <x v="1"/>
    <n v="0.23"/>
    <n v="0.08"/>
    <n v="0.16"/>
    <n v="0.63"/>
    <n v="0.45"/>
    <n v="0.79"/>
    <n v="0.33"/>
    <n v="0.97"/>
    <n v="0.05"/>
    <n v="0.06"/>
    <x v="1"/>
    <s v="Low Exposure"/>
  </r>
  <r>
    <x v="15"/>
    <x v="2786"/>
    <n v="7"/>
    <x v="1"/>
    <n v="0.89"/>
    <n v="1.3"/>
    <x v="7"/>
    <x v="1"/>
    <n v="0.27"/>
    <n v="0.01"/>
    <n v="0.51"/>
    <n v="0.48"/>
    <n v="0.34"/>
    <n v="0.57999999999999996"/>
    <n v="0.73"/>
    <n v="0.7"/>
    <n v="0.26"/>
    <n v="0.59"/>
    <x v="2"/>
    <s v="High Exposure"/>
  </r>
  <r>
    <x v="10"/>
    <x v="2787"/>
    <n v="14"/>
    <x v="3"/>
    <n v="0.12"/>
    <n v="1.29"/>
    <x v="14"/>
    <x v="2"/>
    <n v="0.77"/>
    <n v="0.15"/>
    <n v="0.91"/>
    <n v="0.13"/>
    <n v="0.87"/>
    <n v="0.35"/>
    <n v="0.11"/>
    <n v="0.28999999999999998"/>
    <n v="0.18"/>
    <n v="0.49"/>
    <x v="2"/>
    <s v="Low Exposure"/>
  </r>
  <r>
    <x v="11"/>
    <x v="2788"/>
    <n v="20"/>
    <x v="1"/>
    <n v="0.33"/>
    <n v="1.1100000000000001"/>
    <x v="72"/>
    <x v="2"/>
    <n v="0.63"/>
    <n v="0.36"/>
    <n v="0.99"/>
    <n v="0.19"/>
    <n v="0.52"/>
    <n v="0.8"/>
    <n v="0"/>
    <n v="0.7"/>
    <n v="0.27"/>
    <n v="0.17"/>
    <x v="0"/>
    <s v="Medium Exposure"/>
  </r>
  <r>
    <x v="7"/>
    <x v="2789"/>
    <n v="18"/>
    <x v="1"/>
    <n v="0.97"/>
    <n v="1.39"/>
    <x v="5"/>
    <x v="1"/>
    <n v="0.12"/>
    <n v="0.36"/>
    <n v="0.59"/>
    <n v="0.87"/>
    <n v="0.97"/>
    <n v="0.75"/>
    <n v="0.6"/>
    <n v="0.14000000000000001"/>
    <n v="7.0000000000000007E-2"/>
    <n v="0.6"/>
    <x v="0"/>
    <s v="High Exposure"/>
  </r>
  <r>
    <x v="7"/>
    <x v="2790"/>
    <n v="13"/>
    <x v="0"/>
    <n v="0.85"/>
    <n v="0.82"/>
    <x v="19"/>
    <x v="1"/>
    <n v="0.42"/>
    <n v="0.97"/>
    <n v="0.8"/>
    <n v="0.03"/>
    <n v="0.87"/>
    <n v="0.47"/>
    <n v="0.36"/>
    <n v="0.35"/>
    <n v="0.6"/>
    <n v="0.53"/>
    <x v="2"/>
    <s v="High Exposure"/>
  </r>
  <r>
    <x v="16"/>
    <x v="2791"/>
    <n v="29"/>
    <x v="2"/>
    <n v="0.56999999999999995"/>
    <n v="0.64"/>
    <x v="39"/>
    <x v="0"/>
    <n v="0.84"/>
    <n v="0.66"/>
    <n v="0.45"/>
    <n v="0.18"/>
    <n v="0.01"/>
    <n v="0.31"/>
    <n v="0.05"/>
    <n v="0.48"/>
    <n v="0.82"/>
    <n v="0.28999999999999998"/>
    <x v="0"/>
    <s v="Medium Exposure"/>
  </r>
  <r>
    <x v="7"/>
    <x v="2249"/>
    <n v="16"/>
    <x v="1"/>
    <n v="0.7"/>
    <n v="0.63"/>
    <x v="13"/>
    <x v="1"/>
    <n v="0.15"/>
    <n v="0.65"/>
    <n v="0.14000000000000001"/>
    <n v="0.39"/>
    <n v="0.56999999999999995"/>
    <n v="0.05"/>
    <n v="0.15"/>
    <n v="0.32"/>
    <n v="0.46"/>
    <n v="0.86"/>
    <x v="0"/>
    <s v="High Exposure"/>
  </r>
  <r>
    <x v="5"/>
    <x v="2792"/>
    <n v="16"/>
    <x v="0"/>
    <n v="0.35"/>
    <n v="0.98"/>
    <x v="54"/>
    <x v="1"/>
    <n v="0.63"/>
    <n v="0.26"/>
    <n v="0.77"/>
    <n v="0.51"/>
    <n v="0.09"/>
    <n v="0.63"/>
    <n v="0.56999999999999995"/>
    <n v="0.34"/>
    <n v="0.01"/>
    <n v="0.2"/>
    <x v="0"/>
    <s v="Medium Exposure"/>
  </r>
  <r>
    <x v="12"/>
    <x v="2793"/>
    <n v="25"/>
    <x v="0"/>
    <n v="0.2"/>
    <n v="1.08"/>
    <x v="14"/>
    <x v="2"/>
    <n v="0.86"/>
    <n v="0.65"/>
    <n v="0.69"/>
    <n v="0.61"/>
    <n v="0.99"/>
    <n v="0.26"/>
    <n v="0.27"/>
    <n v="0.13"/>
    <n v="0.49"/>
    <n v="0.1"/>
    <x v="0"/>
    <s v="Low Exposure"/>
  </r>
  <r>
    <x v="17"/>
    <x v="2794"/>
    <n v="8"/>
    <x v="2"/>
    <n v="0.48"/>
    <n v="1.46"/>
    <x v="66"/>
    <x v="2"/>
    <n v="0.74"/>
    <n v="0.39"/>
    <n v="0.87"/>
    <n v="0.88"/>
    <n v="0.91"/>
    <n v="0.64"/>
    <n v="0.2"/>
    <n v="0.09"/>
    <n v="0.91"/>
    <n v="0.06"/>
    <x v="2"/>
    <s v="Medium Exposure"/>
  </r>
  <r>
    <x v="13"/>
    <x v="2795"/>
    <n v="26"/>
    <x v="2"/>
    <n v="0.49"/>
    <n v="0.52"/>
    <x v="72"/>
    <x v="2"/>
    <n v="0.28999999999999998"/>
    <n v="0.03"/>
    <n v="0.99"/>
    <n v="0.31"/>
    <n v="0.88"/>
    <n v="0.45"/>
    <n v="0.66"/>
    <n v="0.24"/>
    <n v="0.5"/>
    <n v="0.26"/>
    <x v="0"/>
    <s v="Medium Exposure"/>
  </r>
  <r>
    <x v="9"/>
    <x v="2796"/>
    <n v="15"/>
    <x v="2"/>
    <n v="0.06"/>
    <n v="0.77"/>
    <x v="24"/>
    <x v="0"/>
    <n v="0.48"/>
    <n v="0.6"/>
    <n v="0.65"/>
    <n v="7.0000000000000007E-2"/>
    <n v="0.02"/>
    <n v="0.94"/>
    <n v="0.27"/>
    <n v="0.38"/>
    <n v="0.68"/>
    <n v="0.24"/>
    <x v="2"/>
    <s v="Low Exposure"/>
  </r>
  <r>
    <x v="9"/>
    <x v="2797"/>
    <n v="21"/>
    <x v="1"/>
    <n v="0.46"/>
    <n v="1.36"/>
    <x v="62"/>
    <x v="0"/>
    <n v="0.2"/>
    <n v="0.83"/>
    <n v="0.33"/>
    <n v="0.41"/>
    <n v="0.79"/>
    <n v="0.64"/>
    <n v="0.44"/>
    <n v="0.25"/>
    <n v="0.76"/>
    <n v="0.18"/>
    <x v="0"/>
    <s v="Medium Exposure"/>
  </r>
  <r>
    <x v="2"/>
    <x v="2798"/>
    <n v="12"/>
    <x v="3"/>
    <n v="0.15"/>
    <n v="1.3"/>
    <x v="2"/>
    <x v="0"/>
    <n v="0.19"/>
    <n v="0.4"/>
    <n v="0.22"/>
    <n v="0.14000000000000001"/>
    <n v="0.24"/>
    <n v="0.87"/>
    <n v="0.11"/>
    <n v="0.97"/>
    <n v="0"/>
    <n v="0.66"/>
    <x v="2"/>
    <s v="Low Exposure"/>
  </r>
  <r>
    <x v="3"/>
    <x v="2799"/>
    <n v="5"/>
    <x v="2"/>
    <n v="0.93"/>
    <n v="0.64"/>
    <x v="14"/>
    <x v="2"/>
    <n v="0.11"/>
    <n v="0.35"/>
    <n v="0.73"/>
    <n v="0.35"/>
    <n v="0.31"/>
    <n v="0.12"/>
    <n v="7.0000000000000007E-2"/>
    <n v="0.12"/>
    <n v="0.88"/>
    <n v="0.01"/>
    <x v="1"/>
    <s v="High Exposure"/>
  </r>
  <r>
    <x v="3"/>
    <x v="2800"/>
    <n v="29"/>
    <x v="0"/>
    <n v="0.77"/>
    <n v="1.07"/>
    <x v="31"/>
    <x v="2"/>
    <n v="0.65"/>
    <n v="0.46"/>
    <n v="0.38"/>
    <n v="0.94"/>
    <n v="0.97"/>
    <n v="0.65"/>
    <n v="0.2"/>
    <n v="0.45"/>
    <n v="0.5"/>
    <n v="0.76"/>
    <x v="0"/>
    <s v="High Exposure"/>
  </r>
  <r>
    <x v="6"/>
    <x v="2801"/>
    <n v="27"/>
    <x v="0"/>
    <n v="0.51"/>
    <n v="1.18"/>
    <x v="57"/>
    <x v="2"/>
    <n v="0.78"/>
    <n v="0.21"/>
    <n v="0.66"/>
    <n v="0.11"/>
    <n v="0.11"/>
    <n v="0.04"/>
    <n v="0.91"/>
    <n v="0.6"/>
    <n v="0.36"/>
    <n v="0.79"/>
    <x v="0"/>
    <s v="Medium Exposure"/>
  </r>
  <r>
    <x v="5"/>
    <x v="2802"/>
    <n v="8"/>
    <x v="0"/>
    <n v="0.62"/>
    <n v="0.99"/>
    <x v="1"/>
    <x v="1"/>
    <n v="0.26"/>
    <n v="0.11"/>
    <n v="0.66"/>
    <n v="0.25"/>
    <n v="0.45"/>
    <n v="0.35"/>
    <n v="0.14000000000000001"/>
    <n v="0.96"/>
    <n v="0.93"/>
    <n v="0.08"/>
    <x v="2"/>
    <s v="Medium Exposure"/>
  </r>
  <r>
    <x v="14"/>
    <x v="2803"/>
    <n v="17"/>
    <x v="0"/>
    <n v="0.49"/>
    <n v="1.27"/>
    <x v="44"/>
    <x v="0"/>
    <n v="0.13"/>
    <n v="0.89"/>
    <n v="0.9"/>
    <n v="0.47"/>
    <n v="0.87"/>
    <n v="0.67"/>
    <n v="0.19"/>
    <n v="0.33"/>
    <n v="0.14000000000000001"/>
    <n v="0.77"/>
    <x v="0"/>
    <s v="Medium Exposure"/>
  </r>
  <r>
    <x v="16"/>
    <x v="2804"/>
    <n v="18"/>
    <x v="1"/>
    <n v="0.55000000000000004"/>
    <n v="1.1599999999999999"/>
    <x v="81"/>
    <x v="0"/>
    <n v="0.22"/>
    <n v="0.34"/>
    <n v="0.41"/>
    <n v="0.59"/>
    <n v="0.85"/>
    <n v="0.25"/>
    <n v="0.47"/>
    <n v="0.75"/>
    <n v="0.09"/>
    <n v="0.51"/>
    <x v="0"/>
    <s v="Medium Exposure"/>
  </r>
  <r>
    <x v="3"/>
    <x v="2805"/>
    <n v="24"/>
    <x v="0"/>
    <n v="0.54"/>
    <n v="1.27"/>
    <x v="65"/>
    <x v="2"/>
    <n v="0.85"/>
    <n v="0.33"/>
    <n v="0.19"/>
    <n v="0.47"/>
    <n v="0.88"/>
    <n v="7.0000000000000007E-2"/>
    <n v="0.33"/>
    <n v="0.65"/>
    <n v="0.36"/>
    <n v="7.0000000000000007E-2"/>
    <x v="0"/>
    <s v="Medium Exposure"/>
  </r>
  <r>
    <x v="17"/>
    <x v="2806"/>
    <n v="8"/>
    <x v="1"/>
    <n v="0.59"/>
    <n v="1.39"/>
    <x v="11"/>
    <x v="2"/>
    <n v="0.59"/>
    <n v="0.53"/>
    <n v="0.28000000000000003"/>
    <n v="0.64"/>
    <n v="0.51"/>
    <n v="0.23"/>
    <n v="0.9"/>
    <n v="0.95"/>
    <n v="0.06"/>
    <n v="0.62"/>
    <x v="2"/>
    <s v="Medium Exposure"/>
  </r>
  <r>
    <x v="15"/>
    <x v="2807"/>
    <n v="0"/>
    <x v="2"/>
    <n v="0.53"/>
    <n v="0.87"/>
    <x v="7"/>
    <x v="1"/>
    <n v="0.32"/>
    <n v="0.12"/>
    <n v="0.3"/>
    <n v="0.67"/>
    <n v="0.05"/>
    <n v="0.38"/>
    <n v="0.04"/>
    <n v="0.36"/>
    <n v="0.09"/>
    <n v="0.34"/>
    <x v="1"/>
    <s v="Medium Exposure"/>
  </r>
  <r>
    <x v="11"/>
    <x v="2808"/>
    <n v="1"/>
    <x v="2"/>
    <n v="0.61"/>
    <n v="1.18"/>
    <x v="11"/>
    <x v="2"/>
    <n v="0.92"/>
    <n v="0.54"/>
    <n v="0.1"/>
    <n v="0.93"/>
    <n v="0.13"/>
    <n v="1"/>
    <n v="0.44"/>
    <n v="7.0000000000000007E-2"/>
    <n v="0.86"/>
    <n v="0.09"/>
    <x v="1"/>
    <s v="Medium Exposure"/>
  </r>
  <r>
    <x v="9"/>
    <x v="2809"/>
    <n v="19"/>
    <x v="0"/>
    <n v="0.42"/>
    <n v="1.18"/>
    <x v="67"/>
    <x v="0"/>
    <n v="0.62"/>
    <n v="0.78"/>
    <n v="0.12"/>
    <n v="0.65"/>
    <n v="0.96"/>
    <n v="0.97"/>
    <n v="0.16"/>
    <n v="0.76"/>
    <n v="0.85"/>
    <n v="0.89"/>
    <x v="0"/>
    <s v="Medium Exposure"/>
  </r>
  <r>
    <x v="0"/>
    <x v="2810"/>
    <n v="14"/>
    <x v="0"/>
    <n v="0.27"/>
    <n v="0.55000000000000004"/>
    <x v="9"/>
    <x v="0"/>
    <n v="0.12"/>
    <n v="0.79"/>
    <n v="0.14000000000000001"/>
    <n v="0.82"/>
    <n v="0.11"/>
    <n v="0.48"/>
    <n v="0.38"/>
    <n v="0.6"/>
    <n v="0.52"/>
    <n v="0.6"/>
    <x v="2"/>
    <s v="Low Exposure"/>
  </r>
  <r>
    <x v="19"/>
    <x v="2811"/>
    <n v="13"/>
    <x v="0"/>
    <n v="0.13"/>
    <n v="1.02"/>
    <x v="65"/>
    <x v="2"/>
    <n v="0.08"/>
    <n v="0.22"/>
    <n v="0.78"/>
    <n v="0.54"/>
    <n v="0.19"/>
    <n v="0.02"/>
    <n v="0.36"/>
    <n v="0.36"/>
    <n v="0.74"/>
    <n v="0.92"/>
    <x v="2"/>
    <s v="Low Exposure"/>
  </r>
  <r>
    <x v="8"/>
    <x v="2812"/>
    <n v="14"/>
    <x v="0"/>
    <n v="0.69"/>
    <n v="1.1299999999999999"/>
    <x v="25"/>
    <x v="2"/>
    <n v="7.0000000000000007E-2"/>
    <n v="0.47"/>
    <n v="0.35"/>
    <n v="0.55000000000000004"/>
    <n v="0.13"/>
    <n v="0.72"/>
    <n v="0.79"/>
    <n v="0.39"/>
    <n v="0.18"/>
    <n v="0.62"/>
    <x v="2"/>
    <s v="Medium Exposure"/>
  </r>
  <r>
    <x v="11"/>
    <x v="2813"/>
    <n v="22"/>
    <x v="1"/>
    <n v="0.7"/>
    <n v="0.62"/>
    <x v="36"/>
    <x v="2"/>
    <n v="0.92"/>
    <n v="0.63"/>
    <n v="0.15"/>
    <n v="0.72"/>
    <n v="0.35"/>
    <n v="0.49"/>
    <n v="0.42"/>
    <n v="0.73"/>
    <n v="0.22"/>
    <n v="0.39"/>
    <x v="0"/>
    <s v="High Exposure"/>
  </r>
  <r>
    <x v="18"/>
    <x v="2814"/>
    <n v="18"/>
    <x v="3"/>
    <n v="0.7"/>
    <n v="0.7"/>
    <x v="41"/>
    <x v="1"/>
    <n v="0.01"/>
    <n v="0.53"/>
    <n v="0.28000000000000003"/>
    <n v="0.01"/>
    <n v="0.42"/>
    <n v="0.93"/>
    <n v="0.92"/>
    <n v="0.37"/>
    <n v="0.45"/>
    <n v="0.24"/>
    <x v="0"/>
    <s v="High Exposure"/>
  </r>
  <r>
    <x v="16"/>
    <x v="2815"/>
    <n v="20"/>
    <x v="3"/>
    <n v="0.69"/>
    <n v="1.3"/>
    <x v="24"/>
    <x v="0"/>
    <n v="0.94"/>
    <n v="0.92"/>
    <n v="0.03"/>
    <n v="0.98"/>
    <n v="0.38"/>
    <n v="0.89"/>
    <n v="0.44"/>
    <n v="0.42"/>
    <n v="0.01"/>
    <n v="0.05"/>
    <x v="0"/>
    <s v="Medium Exposure"/>
  </r>
  <r>
    <x v="17"/>
    <x v="2816"/>
    <n v="22"/>
    <x v="1"/>
    <n v="0.94"/>
    <n v="0.72"/>
    <x v="55"/>
    <x v="2"/>
    <n v="0.21"/>
    <n v="0.21"/>
    <n v="0.28999999999999998"/>
    <n v="0.09"/>
    <n v="0.24"/>
    <n v="0.92"/>
    <n v="0.89"/>
    <n v="0.32"/>
    <n v="1"/>
    <n v="0.3"/>
    <x v="0"/>
    <s v="High Exposure"/>
  </r>
  <r>
    <x v="19"/>
    <x v="2817"/>
    <n v="11"/>
    <x v="3"/>
    <n v="0.91"/>
    <n v="1.23"/>
    <x v="66"/>
    <x v="2"/>
    <n v="0.89"/>
    <n v="0.22"/>
    <n v="0.76"/>
    <n v="0.05"/>
    <n v="0.82"/>
    <n v="0.6"/>
    <n v="0.96"/>
    <n v="0.96"/>
    <n v="0.05"/>
    <n v="0.16"/>
    <x v="2"/>
    <s v="High Exposure"/>
  </r>
  <r>
    <x v="3"/>
    <x v="2818"/>
    <n v="9"/>
    <x v="3"/>
    <n v="0.88"/>
    <n v="1.31"/>
    <x v="66"/>
    <x v="2"/>
    <n v="0.62"/>
    <n v="0.26"/>
    <n v="0.03"/>
    <n v="0.22"/>
    <n v="0.68"/>
    <n v="0.93"/>
    <n v="0.32"/>
    <n v="0.88"/>
    <n v="0.39"/>
    <n v="0.31"/>
    <x v="2"/>
    <s v="High Exposure"/>
  </r>
  <r>
    <x v="0"/>
    <x v="2819"/>
    <n v="14"/>
    <x v="3"/>
    <n v="0.44"/>
    <n v="1.41"/>
    <x v="90"/>
    <x v="0"/>
    <n v="0.28000000000000003"/>
    <n v="0.84"/>
    <n v="1"/>
    <n v="0.65"/>
    <n v="0.25"/>
    <n v="0.24"/>
    <n v="0.06"/>
    <n v="0.08"/>
    <n v="0.91"/>
    <n v="0.1"/>
    <x v="2"/>
    <s v="Medium Exposure"/>
  </r>
  <r>
    <x v="9"/>
    <x v="2820"/>
    <n v="17"/>
    <x v="1"/>
    <n v="0.14000000000000001"/>
    <n v="1.44"/>
    <x v="40"/>
    <x v="0"/>
    <n v="0.68"/>
    <n v="0.41"/>
    <n v="0.91"/>
    <n v="0.53"/>
    <n v="0.37"/>
    <n v="0.59"/>
    <n v="0.23"/>
    <n v="0.27"/>
    <n v="0.92"/>
    <n v="0.79"/>
    <x v="0"/>
    <s v="Low Exposure"/>
  </r>
  <r>
    <x v="10"/>
    <x v="2821"/>
    <n v="26"/>
    <x v="2"/>
    <n v="0.42"/>
    <n v="1.31"/>
    <x v="68"/>
    <x v="2"/>
    <n v="0.42"/>
    <n v="0.52"/>
    <n v="0.23"/>
    <n v="0.2"/>
    <n v="0.99"/>
    <n v="0.97"/>
    <n v="0.42"/>
    <n v="0.52"/>
    <n v="0.83"/>
    <n v="0.73"/>
    <x v="0"/>
    <s v="Medium Exposure"/>
  </r>
  <r>
    <x v="0"/>
    <x v="2822"/>
    <n v="10"/>
    <x v="2"/>
    <n v="0.37"/>
    <n v="0.75"/>
    <x v="60"/>
    <x v="0"/>
    <n v="0.75"/>
    <n v="0.05"/>
    <n v="0.9"/>
    <n v="0.93"/>
    <n v="0.33"/>
    <n v="0.64"/>
    <n v="0.68"/>
    <n v="0.73"/>
    <n v="0.69"/>
    <n v="0.56000000000000005"/>
    <x v="2"/>
    <s v="Medium Exposure"/>
  </r>
  <r>
    <x v="11"/>
    <x v="2823"/>
    <n v="28"/>
    <x v="2"/>
    <n v="0.51"/>
    <n v="0.61"/>
    <x v="20"/>
    <x v="2"/>
    <n v="0.02"/>
    <n v="0.43"/>
    <n v="0.27"/>
    <n v="0.9"/>
    <n v="0.87"/>
    <n v="0.84"/>
    <n v="0.87"/>
    <n v="0.3"/>
    <n v="0.43"/>
    <n v="0.31"/>
    <x v="0"/>
    <s v="Medium Exposure"/>
  </r>
  <r>
    <x v="17"/>
    <x v="2824"/>
    <n v="7"/>
    <x v="1"/>
    <n v="0.92"/>
    <n v="1.1200000000000001"/>
    <x v="53"/>
    <x v="2"/>
    <n v="0.21"/>
    <n v="0.45"/>
    <n v="0.05"/>
    <n v="0.27"/>
    <n v="0.7"/>
    <n v="0.92"/>
    <n v="0.93"/>
    <n v="0.52"/>
    <n v="0.31"/>
    <n v="0.92"/>
    <x v="2"/>
    <s v="High Exposure"/>
  </r>
  <r>
    <x v="16"/>
    <x v="2825"/>
    <n v="28"/>
    <x v="3"/>
    <n v="0.59"/>
    <n v="1.33"/>
    <x v="2"/>
    <x v="0"/>
    <n v="0.11"/>
    <n v="0.94"/>
    <n v="0.53"/>
    <n v="0.7"/>
    <n v="0.39"/>
    <n v="0.14000000000000001"/>
    <n v="0.27"/>
    <n v="0.04"/>
    <n v="0.09"/>
    <n v="0.2"/>
    <x v="0"/>
    <s v="Medium Exposure"/>
  </r>
  <r>
    <x v="4"/>
    <x v="2826"/>
    <n v="27"/>
    <x v="2"/>
    <n v="0.99"/>
    <n v="1.34"/>
    <x v="20"/>
    <x v="2"/>
    <n v="0.84"/>
    <n v="0.54"/>
    <n v="0.66"/>
    <n v="0.13"/>
    <n v="0.4"/>
    <n v="0.88"/>
    <n v="0.43"/>
    <n v="0.13"/>
    <n v="0.31"/>
    <n v="0.22"/>
    <x v="0"/>
    <s v="High Exposure"/>
  </r>
  <r>
    <x v="15"/>
    <x v="2827"/>
    <n v="29"/>
    <x v="3"/>
    <n v="0.91"/>
    <n v="1.23"/>
    <x v="75"/>
    <x v="1"/>
    <n v="0.81"/>
    <n v="0.01"/>
    <n v="0.12"/>
    <n v="0.42"/>
    <n v="0.11"/>
    <n v="0.73"/>
    <n v="7.0000000000000007E-2"/>
    <n v="0.42"/>
    <n v="0.39"/>
    <n v="0.54"/>
    <x v="0"/>
    <s v="High Exposure"/>
  </r>
  <r>
    <x v="19"/>
    <x v="2828"/>
    <n v="18"/>
    <x v="0"/>
    <n v="0.95"/>
    <n v="0.77"/>
    <x v="64"/>
    <x v="2"/>
    <n v="0.04"/>
    <n v="0"/>
    <n v="0.03"/>
    <n v="0.45"/>
    <n v="0.56000000000000005"/>
    <n v="0.01"/>
    <n v="0.4"/>
    <n v="0.04"/>
    <n v="0.65"/>
    <n v="0.63"/>
    <x v="0"/>
    <s v="High Exposure"/>
  </r>
  <r>
    <x v="2"/>
    <x v="2829"/>
    <n v="6"/>
    <x v="2"/>
    <n v="0.55000000000000004"/>
    <n v="1.1200000000000001"/>
    <x v="62"/>
    <x v="0"/>
    <n v="0.09"/>
    <n v="0.74"/>
    <n v="0.61"/>
    <n v="0.94"/>
    <n v="0.99"/>
    <n v="0.85"/>
    <n v="0.99"/>
    <n v="0.65"/>
    <n v="0.09"/>
    <n v="0.09"/>
    <x v="2"/>
    <s v="Medium Exposure"/>
  </r>
  <r>
    <x v="14"/>
    <x v="2830"/>
    <n v="21"/>
    <x v="1"/>
    <n v="0.24"/>
    <n v="0.56000000000000005"/>
    <x v="90"/>
    <x v="0"/>
    <n v="0.31"/>
    <n v="0.59"/>
    <n v="0.6"/>
    <n v="0.68"/>
    <n v="0.57999999999999996"/>
    <n v="0.38"/>
    <n v="0.02"/>
    <n v="0.91"/>
    <n v="0.33"/>
    <n v="0.51"/>
    <x v="0"/>
    <s v="Low Exposure"/>
  </r>
  <r>
    <x v="12"/>
    <x v="2831"/>
    <n v="4"/>
    <x v="3"/>
    <n v="0.31"/>
    <n v="0.81"/>
    <x v="10"/>
    <x v="2"/>
    <n v="0.24"/>
    <n v="0.03"/>
    <n v="0.96"/>
    <n v="0.6"/>
    <n v="0.11"/>
    <n v="0.59"/>
    <n v="0.23"/>
    <n v="0.31"/>
    <n v="0.8"/>
    <n v="0.89"/>
    <x v="1"/>
    <s v="Medium Exposure"/>
  </r>
  <r>
    <x v="4"/>
    <x v="2832"/>
    <n v="23"/>
    <x v="0"/>
    <n v="0.93"/>
    <n v="1.41"/>
    <x v="43"/>
    <x v="2"/>
    <n v="0.91"/>
    <n v="0.54"/>
    <n v="0.1"/>
    <n v="0.83"/>
    <n v="0.13"/>
    <n v="0.32"/>
    <n v="0.38"/>
    <n v="0.81"/>
    <n v="0.08"/>
    <n v="0.44"/>
    <x v="0"/>
    <s v="High Exposure"/>
  </r>
  <r>
    <x v="1"/>
    <x v="2833"/>
    <n v="9"/>
    <x v="3"/>
    <n v="0.57999999999999996"/>
    <n v="0.85"/>
    <x v="27"/>
    <x v="1"/>
    <n v="0.99"/>
    <n v="7.0000000000000007E-2"/>
    <n v="0.87"/>
    <n v="0.31"/>
    <n v="0.47"/>
    <n v="0.74"/>
    <n v="0.91"/>
    <n v="0.01"/>
    <n v="0.66"/>
    <n v="7.0000000000000007E-2"/>
    <x v="2"/>
    <s v="Medium Exposure"/>
  </r>
  <r>
    <x v="8"/>
    <x v="2834"/>
    <n v="18"/>
    <x v="0"/>
    <n v="0.6"/>
    <n v="0.77"/>
    <x v="48"/>
    <x v="2"/>
    <n v="0.27"/>
    <n v="0.62"/>
    <n v="0.15"/>
    <n v="0.72"/>
    <n v="0.42"/>
    <n v="0.35"/>
    <n v="0.81"/>
    <n v="0.51"/>
    <n v="0.38"/>
    <n v="0.88"/>
    <x v="0"/>
    <s v="Medium Exposure"/>
  </r>
  <r>
    <x v="8"/>
    <x v="2835"/>
    <n v="27"/>
    <x v="1"/>
    <n v="0.86"/>
    <n v="1"/>
    <x v="48"/>
    <x v="2"/>
    <n v="0.61"/>
    <n v="0.28999999999999998"/>
    <n v="0.15"/>
    <n v="0.09"/>
    <n v="0.24"/>
    <n v="0.74"/>
    <n v="0.84"/>
    <n v="0.86"/>
    <n v="0.27"/>
    <n v="0.66"/>
    <x v="0"/>
    <s v="High Exposure"/>
  </r>
  <r>
    <x v="2"/>
    <x v="2836"/>
    <n v="22"/>
    <x v="2"/>
    <n v="0.62"/>
    <n v="1.39"/>
    <x v="76"/>
    <x v="0"/>
    <n v="0.99"/>
    <n v="0.83"/>
    <n v="0.76"/>
    <n v="0.69"/>
    <n v="0.77"/>
    <n v="0.99"/>
    <n v="0.77"/>
    <n v="0.35"/>
    <n v="0.61"/>
    <n v="0.34"/>
    <x v="0"/>
    <s v="Medium Exposure"/>
  </r>
  <r>
    <x v="12"/>
    <x v="2837"/>
    <n v="12"/>
    <x v="3"/>
    <n v="0.9"/>
    <n v="1.07"/>
    <x v="45"/>
    <x v="2"/>
    <n v="0.91"/>
    <n v="0.24"/>
    <n v="0.57999999999999996"/>
    <n v="0.48"/>
    <n v="0.77"/>
    <n v="0.38"/>
    <n v="0.71"/>
    <n v="0.4"/>
    <n v="0.11"/>
    <n v="0.11"/>
    <x v="2"/>
    <s v="High Exposure"/>
  </r>
  <r>
    <x v="19"/>
    <x v="2838"/>
    <n v="18"/>
    <x v="3"/>
    <n v="0.03"/>
    <n v="1.03"/>
    <x v="64"/>
    <x v="2"/>
    <n v="0.13"/>
    <n v="0.61"/>
    <n v="0.6"/>
    <n v="0.15"/>
    <n v="0.4"/>
    <n v="0.76"/>
    <n v="0.02"/>
    <n v="0.15"/>
    <n v="1"/>
    <n v="0.73"/>
    <x v="0"/>
    <s v="Low Exposure"/>
  </r>
  <r>
    <x v="16"/>
    <x v="2839"/>
    <n v="9"/>
    <x v="3"/>
    <n v="0.63"/>
    <n v="1.35"/>
    <x v="32"/>
    <x v="0"/>
    <n v="0.32"/>
    <n v="0.49"/>
    <n v="0.64"/>
    <n v="7.0000000000000007E-2"/>
    <n v="0.95"/>
    <n v="0.43"/>
    <n v="0.37"/>
    <n v="0.91"/>
    <n v="0.12"/>
    <n v="0.04"/>
    <x v="2"/>
    <s v="Medium Exposure"/>
  </r>
  <r>
    <x v="3"/>
    <x v="2840"/>
    <n v="24"/>
    <x v="1"/>
    <n v="0.65"/>
    <n v="0.67"/>
    <x v="57"/>
    <x v="2"/>
    <n v="0.91"/>
    <n v="0.3"/>
    <n v="0.47"/>
    <n v="0.09"/>
    <n v="0.38"/>
    <n v="0.42"/>
    <n v="0.9"/>
    <n v="0.87"/>
    <n v="0.19"/>
    <n v="0.56000000000000005"/>
    <x v="0"/>
    <s v="Medium Exposure"/>
  </r>
  <r>
    <x v="6"/>
    <x v="2841"/>
    <n v="17"/>
    <x v="0"/>
    <n v="0.28999999999999998"/>
    <n v="0.89"/>
    <x v="66"/>
    <x v="2"/>
    <n v="0.76"/>
    <n v="0.44"/>
    <n v="0.53"/>
    <n v="0.63"/>
    <n v="0.5"/>
    <n v="0.41"/>
    <n v="0.36"/>
    <n v="0.17"/>
    <n v="0.97"/>
    <n v="0.09"/>
    <x v="0"/>
    <s v="Low Exposure"/>
  </r>
  <r>
    <x v="3"/>
    <x v="2842"/>
    <n v="25"/>
    <x v="0"/>
    <n v="0.96"/>
    <n v="0.87"/>
    <x v="10"/>
    <x v="2"/>
    <n v="0.96"/>
    <n v="0.8"/>
    <n v="0.66"/>
    <n v="0.61"/>
    <n v="0.36"/>
    <n v="0.64"/>
    <n v="0.73"/>
    <n v="0.03"/>
    <n v="0.12"/>
    <n v="0.32"/>
    <x v="0"/>
    <s v="High Exposure"/>
  </r>
  <r>
    <x v="16"/>
    <x v="2843"/>
    <n v="3"/>
    <x v="0"/>
    <n v="0.9"/>
    <n v="1.18"/>
    <x v="77"/>
    <x v="0"/>
    <n v="0.81"/>
    <n v="0.32"/>
    <n v="0.99"/>
    <n v="0.78"/>
    <n v="0.81"/>
    <n v="0.26"/>
    <n v="0.15"/>
    <n v="0.39"/>
    <n v="0.33"/>
    <n v="0.77"/>
    <x v="1"/>
    <s v="High Exposure"/>
  </r>
  <r>
    <x v="3"/>
    <x v="2844"/>
    <n v="29"/>
    <x v="0"/>
    <n v="0.53"/>
    <n v="1.1299999999999999"/>
    <x v="84"/>
    <x v="2"/>
    <n v="0.2"/>
    <n v="0.9"/>
    <n v="0.14000000000000001"/>
    <n v="0.3"/>
    <n v="0.76"/>
    <n v="0.61"/>
    <n v="0.73"/>
    <n v="0.81"/>
    <n v="0.9"/>
    <n v="0.3"/>
    <x v="0"/>
    <s v="Medium Exposure"/>
  </r>
  <r>
    <x v="9"/>
    <x v="2845"/>
    <n v="4"/>
    <x v="0"/>
    <n v="0.64"/>
    <n v="0.83"/>
    <x v="39"/>
    <x v="0"/>
    <n v="0.21"/>
    <n v="0.4"/>
    <n v="0.19"/>
    <n v="0.14000000000000001"/>
    <n v="0.36"/>
    <n v="0.61"/>
    <n v="0.15"/>
    <n v="0.04"/>
    <n v="0.03"/>
    <n v="0.27"/>
    <x v="1"/>
    <s v="Medium Exposure"/>
  </r>
  <r>
    <x v="16"/>
    <x v="2846"/>
    <n v="27"/>
    <x v="0"/>
    <n v="0.54"/>
    <n v="0.96"/>
    <x v="80"/>
    <x v="0"/>
    <n v="0.83"/>
    <n v="0.5"/>
    <n v="0.09"/>
    <n v="0.3"/>
    <n v="0.97"/>
    <n v="0.98"/>
    <n v="0.25"/>
    <n v="0.17"/>
    <n v="0.5"/>
    <n v="0.48"/>
    <x v="0"/>
    <s v="Medium Exposure"/>
  </r>
  <r>
    <x v="10"/>
    <x v="2847"/>
    <n v="29"/>
    <x v="3"/>
    <n v="0.53"/>
    <n v="0.73"/>
    <x v="53"/>
    <x v="2"/>
    <n v="0.56999999999999995"/>
    <n v="0.93"/>
    <n v="0.14000000000000001"/>
    <n v="0.7"/>
    <n v="0.44"/>
    <n v="0.28999999999999998"/>
    <n v="0.85"/>
    <n v="0.46"/>
    <n v="0.57999999999999996"/>
    <n v="0.44"/>
    <x v="0"/>
    <s v="Medium Exposure"/>
  </r>
  <r>
    <x v="19"/>
    <x v="2848"/>
    <n v="29"/>
    <x v="0"/>
    <n v="0.59"/>
    <n v="0.92"/>
    <x v="20"/>
    <x v="2"/>
    <n v="0.6"/>
    <n v="0.01"/>
    <n v="0.21"/>
    <n v="0.78"/>
    <n v="0.04"/>
    <n v="0.65"/>
    <n v="0.95"/>
    <n v="0.17"/>
    <n v="0.42"/>
    <n v="0.57999999999999996"/>
    <x v="0"/>
    <s v="Medium Exposure"/>
  </r>
  <r>
    <x v="14"/>
    <x v="2849"/>
    <n v="22"/>
    <x v="1"/>
    <n v="0.62"/>
    <n v="0.9"/>
    <x v="44"/>
    <x v="0"/>
    <n v="0.09"/>
    <n v="0.74"/>
    <n v="0.24"/>
    <n v="0.85"/>
    <n v="0.74"/>
    <n v="0.05"/>
    <n v="0.2"/>
    <n v="0.28999999999999998"/>
    <n v="0.59"/>
    <n v="0.81"/>
    <x v="0"/>
    <s v="Medium Exposure"/>
  </r>
  <r>
    <x v="8"/>
    <x v="2111"/>
    <n v="9"/>
    <x v="3"/>
    <n v="0.25"/>
    <n v="0.88"/>
    <x v="49"/>
    <x v="2"/>
    <n v="0.55000000000000004"/>
    <n v="0.48"/>
    <n v="0.32"/>
    <n v="0.52"/>
    <n v="0.36"/>
    <n v="0.34"/>
    <n v="0.27"/>
    <n v="0.54"/>
    <n v="0.44"/>
    <n v="0.2"/>
    <x v="2"/>
    <s v="Low Exposure"/>
  </r>
  <r>
    <x v="10"/>
    <x v="2850"/>
    <n v="27"/>
    <x v="3"/>
    <n v="0.15"/>
    <n v="0.54"/>
    <x v="25"/>
    <x v="2"/>
    <n v="0.23"/>
    <n v="0.42"/>
    <n v="0.33"/>
    <n v="0.54"/>
    <n v="0.72"/>
    <n v="0.48"/>
    <n v="0.06"/>
    <n v="0.02"/>
    <n v="0.21"/>
    <n v="0.42"/>
    <x v="0"/>
    <s v="Low Exposure"/>
  </r>
  <r>
    <x v="5"/>
    <x v="2851"/>
    <n v="7"/>
    <x v="0"/>
    <n v="0.33"/>
    <n v="1.39"/>
    <x v="34"/>
    <x v="1"/>
    <n v="0.95"/>
    <n v="0.86"/>
    <n v="0.83"/>
    <n v="0.86"/>
    <n v="0.08"/>
    <n v="0.15"/>
    <n v="0.13"/>
    <n v="0.11"/>
    <n v="0.33"/>
    <n v="0.83"/>
    <x v="2"/>
    <s v="Medium Exposure"/>
  </r>
  <r>
    <x v="2"/>
    <x v="2852"/>
    <n v="1"/>
    <x v="1"/>
    <n v="0.24"/>
    <n v="1.18"/>
    <x v="28"/>
    <x v="0"/>
    <n v="0.36"/>
    <n v="0.3"/>
    <n v="0.85"/>
    <n v="0.51"/>
    <n v="0.65"/>
    <n v="0.13"/>
    <n v="0.93"/>
    <n v="0.32"/>
    <n v="0.71"/>
    <n v="0.95"/>
    <x v="1"/>
    <s v="Low Exposure"/>
  </r>
  <r>
    <x v="10"/>
    <x v="2853"/>
    <n v="3"/>
    <x v="0"/>
    <n v="0.51"/>
    <n v="0.62"/>
    <x v="36"/>
    <x v="2"/>
    <n v="0.85"/>
    <n v="0.14000000000000001"/>
    <n v="0.92"/>
    <n v="0.67"/>
    <n v="0.42"/>
    <n v="0.55000000000000004"/>
    <n v="0.15"/>
    <n v="0.22"/>
    <n v="0.28999999999999998"/>
    <n v="0.38"/>
    <x v="1"/>
    <s v="Medium Exposure"/>
  </r>
  <r>
    <x v="7"/>
    <x v="2854"/>
    <n v="18"/>
    <x v="0"/>
    <n v="0.37"/>
    <n v="1.02"/>
    <x v="63"/>
    <x v="1"/>
    <n v="0.74"/>
    <n v="0.56000000000000005"/>
    <n v="0.44"/>
    <n v="0.95"/>
    <n v="0.89"/>
    <n v="0.66"/>
    <n v="0.92"/>
    <n v="0.56000000000000005"/>
    <n v="0.83"/>
    <n v="0.41"/>
    <x v="0"/>
    <s v="Medium Exposure"/>
  </r>
  <r>
    <x v="1"/>
    <x v="2855"/>
    <n v="15"/>
    <x v="1"/>
    <n v="0.99"/>
    <n v="0.67"/>
    <x v="37"/>
    <x v="1"/>
    <n v="0.16"/>
    <n v="0.34"/>
    <n v="0.28999999999999998"/>
    <n v="0.6"/>
    <n v="1"/>
    <n v="0.05"/>
    <n v="0.78"/>
    <n v="0.13"/>
    <n v="0.02"/>
    <n v="0.64"/>
    <x v="2"/>
    <s v="High Exposure"/>
  </r>
  <r>
    <x v="19"/>
    <x v="2856"/>
    <n v="7"/>
    <x v="0"/>
    <n v="0.18"/>
    <n v="0.84"/>
    <x v="49"/>
    <x v="2"/>
    <n v="0.91"/>
    <n v="0.27"/>
    <n v="0.44"/>
    <n v="0.89"/>
    <n v="0.55000000000000004"/>
    <n v="0.93"/>
    <n v="0.93"/>
    <n v="0.46"/>
    <n v="0.57999999999999996"/>
    <n v="0.23"/>
    <x v="2"/>
    <s v="Low Exposure"/>
  </r>
  <r>
    <x v="0"/>
    <x v="2857"/>
    <n v="2"/>
    <x v="2"/>
    <n v="0.28000000000000003"/>
    <n v="1.28"/>
    <x v="80"/>
    <x v="0"/>
    <n v="0.31"/>
    <n v="0.1"/>
    <n v="0.56000000000000005"/>
    <n v="0.24"/>
    <n v="0.15"/>
    <n v="0.23"/>
    <n v="0.25"/>
    <n v="0.5"/>
    <n v="0.39"/>
    <n v="0.08"/>
    <x v="1"/>
    <s v="Low Exposure"/>
  </r>
  <r>
    <x v="0"/>
    <x v="2858"/>
    <n v="10"/>
    <x v="3"/>
    <n v="0.79"/>
    <n v="1.07"/>
    <x v="89"/>
    <x v="0"/>
    <n v="0.1"/>
    <n v="0.82"/>
    <n v="0.51"/>
    <n v="0.52"/>
    <n v="0.52"/>
    <n v="0.33"/>
    <n v="0.32"/>
    <n v="0.63"/>
    <n v="0.04"/>
    <n v="0.59"/>
    <x v="2"/>
    <s v="High Exposure"/>
  </r>
  <r>
    <x v="14"/>
    <x v="2859"/>
    <n v="18"/>
    <x v="0"/>
    <n v="0.36"/>
    <n v="0.72"/>
    <x v="73"/>
    <x v="0"/>
    <n v="0.08"/>
    <n v="0.09"/>
    <n v="0.17"/>
    <n v="0.02"/>
    <n v="0.27"/>
    <n v="0.31"/>
    <n v="1"/>
    <n v="0.99"/>
    <n v="0.19"/>
    <n v="0.21"/>
    <x v="0"/>
    <s v="Medium Exposure"/>
  </r>
  <r>
    <x v="9"/>
    <x v="2860"/>
    <n v="27"/>
    <x v="1"/>
    <n v="0.15"/>
    <n v="1"/>
    <x v="9"/>
    <x v="0"/>
    <n v="0.32"/>
    <n v="0.82"/>
    <n v="0.83"/>
    <n v="0.99"/>
    <n v="0.22"/>
    <n v="0.89"/>
    <n v="0.54"/>
    <n v="0.59"/>
    <n v="0.9"/>
    <n v="0.94"/>
    <x v="0"/>
    <s v="Low Exposure"/>
  </r>
  <r>
    <x v="14"/>
    <x v="2861"/>
    <n v="9"/>
    <x v="0"/>
    <n v="0.35"/>
    <n v="0.99"/>
    <x v="0"/>
    <x v="0"/>
    <n v="0.83"/>
    <n v="0.66"/>
    <n v="0.37"/>
    <n v="0.42"/>
    <n v="0.05"/>
    <n v="0.92"/>
    <n v="0.09"/>
    <n v="0.57999999999999996"/>
    <n v="0.87"/>
    <n v="0.42"/>
    <x v="2"/>
    <s v="Medium Exposure"/>
  </r>
  <r>
    <x v="14"/>
    <x v="2862"/>
    <n v="26"/>
    <x v="1"/>
    <n v="0.8"/>
    <n v="0.56000000000000005"/>
    <x v="9"/>
    <x v="0"/>
    <n v="0.69"/>
    <n v="0.42"/>
    <n v="0.55000000000000004"/>
    <n v="0.59"/>
    <n v="0.15"/>
    <n v="0.41"/>
    <n v="0.03"/>
    <n v="0.15"/>
    <n v="0.51"/>
    <n v="0.56999999999999995"/>
    <x v="0"/>
    <s v="High Exposure"/>
  </r>
  <r>
    <x v="12"/>
    <x v="2863"/>
    <n v="16"/>
    <x v="3"/>
    <n v="0.68"/>
    <n v="1.38"/>
    <x v="31"/>
    <x v="2"/>
    <n v="0.95"/>
    <n v="0.89"/>
    <n v="0.86"/>
    <n v="0.39"/>
    <n v="0.39"/>
    <n v="0.74"/>
    <n v="0.08"/>
    <n v="0.32"/>
    <n v="0.93"/>
    <n v="0.45"/>
    <x v="0"/>
    <s v="Medium Exposure"/>
  </r>
  <r>
    <x v="2"/>
    <x v="2864"/>
    <n v="3"/>
    <x v="1"/>
    <n v="0.48"/>
    <n v="0.79"/>
    <x v="81"/>
    <x v="0"/>
    <n v="0.85"/>
    <n v="0.78"/>
    <n v="0.15"/>
    <n v="0.34"/>
    <n v="0.21"/>
    <n v="0.04"/>
    <n v="0.74"/>
    <n v="0.43"/>
    <n v="0.28000000000000003"/>
    <n v="0.31"/>
    <x v="1"/>
    <s v="Medium Exposure"/>
  </r>
  <r>
    <x v="3"/>
    <x v="2865"/>
    <n v="18"/>
    <x v="0"/>
    <n v="0.83"/>
    <n v="0.64"/>
    <x v="30"/>
    <x v="2"/>
    <n v="0.01"/>
    <n v="0.44"/>
    <n v="0.35"/>
    <n v="0.72"/>
    <n v="0.72"/>
    <n v="0.04"/>
    <n v="0.12"/>
    <n v="0.9"/>
    <n v="0.79"/>
    <n v="0.39"/>
    <x v="0"/>
    <s v="High Exposure"/>
  </r>
  <r>
    <x v="5"/>
    <x v="2866"/>
    <n v="7"/>
    <x v="2"/>
    <n v="0.26"/>
    <n v="1.1599999999999999"/>
    <x v="21"/>
    <x v="1"/>
    <n v="0.62"/>
    <n v="0.03"/>
    <n v="0.65"/>
    <n v="0.94"/>
    <n v="0.36"/>
    <n v="0.93"/>
    <n v="0.67"/>
    <n v="0.19"/>
    <n v="0.15"/>
    <n v="0.18"/>
    <x v="2"/>
    <s v="Low Exposure"/>
  </r>
  <r>
    <x v="17"/>
    <x v="2867"/>
    <n v="12"/>
    <x v="3"/>
    <n v="0.59"/>
    <n v="0.96"/>
    <x v="6"/>
    <x v="2"/>
    <n v="0.91"/>
    <n v="0.21"/>
    <n v="0.28000000000000003"/>
    <n v="0.05"/>
    <n v="0.28000000000000003"/>
    <n v="0.92"/>
    <n v="0.19"/>
    <n v="0.2"/>
    <n v="0.6"/>
    <n v="0.56999999999999995"/>
    <x v="2"/>
    <s v="Medium Exposure"/>
  </r>
  <r>
    <x v="10"/>
    <x v="2868"/>
    <n v="26"/>
    <x v="1"/>
    <n v="0.15"/>
    <n v="0.62"/>
    <x v="4"/>
    <x v="2"/>
    <n v="0.65"/>
    <n v="0.95"/>
    <n v="0.17"/>
    <n v="0.46"/>
    <n v="0.74"/>
    <n v="0.21"/>
    <n v="0.68"/>
    <n v="0.47"/>
    <n v="0.43"/>
    <n v="0.64"/>
    <x v="0"/>
    <s v="Low Exposure"/>
  </r>
  <r>
    <x v="18"/>
    <x v="2869"/>
    <n v="15"/>
    <x v="2"/>
    <n v="0.82"/>
    <n v="1.43"/>
    <x v="42"/>
    <x v="1"/>
    <n v="0.3"/>
    <n v="0.78"/>
    <n v="0.17"/>
    <n v="0.09"/>
    <n v="0.52"/>
    <n v="0.65"/>
    <n v="0.83"/>
    <n v="0.96"/>
    <n v="0.87"/>
    <n v="0.99"/>
    <x v="2"/>
    <s v="High Exposure"/>
  </r>
  <r>
    <x v="5"/>
    <x v="2870"/>
    <n v="18"/>
    <x v="2"/>
    <n v="0.32"/>
    <n v="0.96"/>
    <x v="13"/>
    <x v="1"/>
    <n v="0.51"/>
    <n v="0.63"/>
    <n v="0.89"/>
    <n v="0.17"/>
    <n v="0.12"/>
    <n v="0.5"/>
    <n v="0.98"/>
    <n v="0.06"/>
    <n v="0.99"/>
    <n v="0.97"/>
    <x v="0"/>
    <s v="Medium Exposure"/>
  </r>
  <r>
    <x v="19"/>
    <x v="2871"/>
    <n v="14"/>
    <x v="2"/>
    <n v="0.89"/>
    <n v="0.51"/>
    <x v="8"/>
    <x v="2"/>
    <n v="0.4"/>
    <n v="0.9"/>
    <n v="0.47"/>
    <n v="0.42"/>
    <n v="0.64"/>
    <n v="0.38"/>
    <n v="0.54"/>
    <n v="0.96"/>
    <n v="0.2"/>
    <n v="0.46"/>
    <x v="2"/>
    <s v="High Exposure"/>
  </r>
  <r>
    <x v="7"/>
    <x v="2872"/>
    <n v="13"/>
    <x v="3"/>
    <n v="0.84"/>
    <n v="0.59"/>
    <x v="34"/>
    <x v="1"/>
    <n v="0.88"/>
    <n v="0.41"/>
    <n v="0.69"/>
    <n v="0.86"/>
    <n v="0.37"/>
    <n v="0.26"/>
    <n v="0.17"/>
    <n v="0.61"/>
    <n v="0.25"/>
    <n v="0.63"/>
    <x v="2"/>
    <s v="High Exposure"/>
  </r>
  <r>
    <x v="16"/>
    <x v="2873"/>
    <n v="5"/>
    <x v="1"/>
    <n v="0.35"/>
    <n v="0.75"/>
    <x v="9"/>
    <x v="0"/>
    <n v="0.16"/>
    <n v="0.32"/>
    <n v="0.78"/>
    <n v="0.22"/>
    <n v="0.95"/>
    <n v="0.49"/>
    <n v="0.11"/>
    <n v="0.94"/>
    <n v="0.46"/>
    <n v="0.56000000000000005"/>
    <x v="1"/>
    <s v="Medium Exposure"/>
  </r>
  <r>
    <x v="19"/>
    <x v="2874"/>
    <n v="6"/>
    <x v="2"/>
    <n v="0.33"/>
    <n v="1.2"/>
    <x v="53"/>
    <x v="2"/>
    <n v="0.56999999999999995"/>
    <n v="0.69"/>
    <n v="0"/>
    <n v="0.84"/>
    <n v="0.06"/>
    <n v="0.25"/>
    <n v="0.96"/>
    <n v="0.08"/>
    <n v="0.83"/>
    <n v="0.65"/>
    <x v="2"/>
    <s v="Medium Exposure"/>
  </r>
  <r>
    <x v="2"/>
    <x v="2875"/>
    <n v="23"/>
    <x v="0"/>
    <n v="0.57999999999999996"/>
    <n v="0.67"/>
    <x v="59"/>
    <x v="0"/>
    <n v="0.95"/>
    <n v="0.08"/>
    <n v="0.33"/>
    <n v="0.47"/>
    <n v="0.23"/>
    <n v="0.74"/>
    <n v="0.69"/>
    <n v="0.12"/>
    <n v="0.56999999999999995"/>
    <n v="0.37"/>
    <x v="0"/>
    <s v="Medium Exposure"/>
  </r>
  <r>
    <x v="13"/>
    <x v="2456"/>
    <n v="1"/>
    <x v="3"/>
    <n v="0.85"/>
    <n v="0.55000000000000004"/>
    <x v="78"/>
    <x v="2"/>
    <n v="0.48"/>
    <n v="0.56999999999999995"/>
    <n v="0.2"/>
    <n v="0.87"/>
    <n v="0.97"/>
    <n v="0.55000000000000004"/>
    <n v="0.26"/>
    <n v="0.88"/>
    <n v="0.99"/>
    <n v="0.74"/>
    <x v="1"/>
    <s v="High Exposure"/>
  </r>
  <r>
    <x v="1"/>
    <x v="2876"/>
    <n v="16"/>
    <x v="0"/>
    <n v="0.24"/>
    <n v="0.66"/>
    <x v="37"/>
    <x v="1"/>
    <n v="0.23"/>
    <n v="0.97"/>
    <n v="0.64"/>
    <n v="0.17"/>
    <n v="0.49"/>
    <n v="0.18"/>
    <n v="0.61"/>
    <n v="0.34"/>
    <n v="0.2"/>
    <n v="0.24"/>
    <x v="0"/>
    <s v="Low Exposure"/>
  </r>
  <r>
    <x v="5"/>
    <x v="2877"/>
    <n v="23"/>
    <x v="2"/>
    <n v="0.41"/>
    <n v="1.01"/>
    <x v="75"/>
    <x v="1"/>
    <n v="0.66"/>
    <n v="0.46"/>
    <n v="0.95"/>
    <n v="0.21"/>
    <n v="0.28999999999999998"/>
    <n v="0.91"/>
    <n v="0.85"/>
    <n v="0.13"/>
    <n v="0.93"/>
    <n v="0.01"/>
    <x v="0"/>
    <s v="Medium Exposure"/>
  </r>
  <r>
    <x v="15"/>
    <x v="2878"/>
    <n v="13"/>
    <x v="1"/>
    <n v="0.28000000000000003"/>
    <n v="0.69"/>
    <x v="74"/>
    <x v="1"/>
    <n v="0.9"/>
    <n v="0.79"/>
    <n v="0.97"/>
    <n v="0.54"/>
    <n v="0.51"/>
    <n v="0.01"/>
    <n v="0.18"/>
    <n v="0.5"/>
    <n v="0.75"/>
    <n v="0.82"/>
    <x v="2"/>
    <s v="Low Exposure"/>
  </r>
  <r>
    <x v="9"/>
    <x v="2879"/>
    <n v="5"/>
    <x v="2"/>
    <n v="0.71"/>
    <n v="1.33"/>
    <x v="77"/>
    <x v="0"/>
    <n v="0.7"/>
    <n v="0.44"/>
    <n v="0.99"/>
    <n v="0.01"/>
    <n v="0.41"/>
    <n v="0.26"/>
    <n v="0.85"/>
    <n v="0.28999999999999998"/>
    <n v="0.54"/>
    <n v="0.74"/>
    <x v="1"/>
    <s v="High Exposure"/>
  </r>
  <r>
    <x v="9"/>
    <x v="2880"/>
    <n v="10"/>
    <x v="0"/>
    <n v="0.41"/>
    <n v="0.54"/>
    <x v="76"/>
    <x v="0"/>
    <n v="0.96"/>
    <n v="0.64"/>
    <n v="0.83"/>
    <n v="0.48"/>
    <n v="0.26"/>
    <n v="0.28999999999999998"/>
    <n v="0.04"/>
    <n v="0.79"/>
    <n v="0.57999999999999996"/>
    <n v="0.48"/>
    <x v="2"/>
    <s v="Medium Exposure"/>
  </r>
  <r>
    <x v="10"/>
    <x v="2881"/>
    <n v="22"/>
    <x v="1"/>
    <n v="0.44"/>
    <n v="1.45"/>
    <x v="57"/>
    <x v="2"/>
    <n v="0.98"/>
    <n v="0.82"/>
    <n v="0.35"/>
    <n v="0.6"/>
    <n v="0.86"/>
    <n v="0.48"/>
    <n v="0.05"/>
    <n v="0.9"/>
    <n v="0.52"/>
    <n v="0.55000000000000004"/>
    <x v="0"/>
    <s v="Medium Exposure"/>
  </r>
  <r>
    <x v="14"/>
    <x v="2882"/>
    <n v="16"/>
    <x v="1"/>
    <n v="0.1"/>
    <n v="1.28"/>
    <x v="2"/>
    <x v="0"/>
    <n v="1"/>
    <n v="0.7"/>
    <n v="0.95"/>
    <n v="0.28000000000000003"/>
    <n v="0.18"/>
    <n v="0.38"/>
    <n v="0.26"/>
    <n v="0.61"/>
    <n v="0.74"/>
    <n v="0.4"/>
    <x v="0"/>
    <s v="Low Exposure"/>
  </r>
  <r>
    <x v="1"/>
    <x v="2883"/>
    <n v="6"/>
    <x v="1"/>
    <n v="0.03"/>
    <n v="0.72"/>
    <x v="70"/>
    <x v="1"/>
    <n v="0.22"/>
    <n v="0.91"/>
    <n v="0.65"/>
    <n v="0.86"/>
    <n v="0.39"/>
    <n v="0.98"/>
    <n v="0.68"/>
    <n v="0.36"/>
    <n v="0.21"/>
    <n v="0.87"/>
    <x v="2"/>
    <s v="Low Exposure"/>
  </r>
  <r>
    <x v="0"/>
    <x v="2884"/>
    <n v="5"/>
    <x v="1"/>
    <n v="0.04"/>
    <n v="0.78"/>
    <x v="44"/>
    <x v="0"/>
    <n v="0.32"/>
    <n v="0.61"/>
    <n v="0.5"/>
    <n v="0.71"/>
    <n v="0.33"/>
    <n v="0.12"/>
    <n v="0.16"/>
    <n v="0.8"/>
    <n v="0.1"/>
    <n v="0.8"/>
    <x v="1"/>
    <s v="Low Exposure"/>
  </r>
  <r>
    <x v="3"/>
    <x v="2885"/>
    <n v="3"/>
    <x v="1"/>
    <n v="0.68"/>
    <n v="1.1200000000000001"/>
    <x v="55"/>
    <x v="2"/>
    <n v="0.67"/>
    <n v="0.45"/>
    <n v="0.71"/>
    <n v="0.84"/>
    <n v="0.04"/>
    <n v="0.65"/>
    <n v="0.1"/>
    <n v="0.38"/>
    <n v="0.01"/>
    <n v="0.33"/>
    <x v="1"/>
    <s v="Medium Exposure"/>
  </r>
  <r>
    <x v="6"/>
    <x v="9"/>
    <n v="6"/>
    <x v="2"/>
    <n v="0.82"/>
    <n v="1.49"/>
    <x v="84"/>
    <x v="2"/>
    <n v="0.51"/>
    <n v="0.44"/>
    <n v="0.89"/>
    <n v="0.01"/>
    <n v="0.65"/>
    <n v="0.65"/>
    <n v="0.38"/>
    <n v="0.22"/>
    <n v="0.24"/>
    <n v="0.8"/>
    <x v="2"/>
    <s v="High Exposure"/>
  </r>
  <r>
    <x v="17"/>
    <x v="2886"/>
    <n v="3"/>
    <x v="2"/>
    <n v="0.9"/>
    <n v="1.0900000000000001"/>
    <x v="3"/>
    <x v="2"/>
    <n v="0.43"/>
    <n v="0.43"/>
    <n v="7.0000000000000007E-2"/>
    <n v="0.73"/>
    <n v="0.1"/>
    <n v="0.76"/>
    <n v="0.19"/>
    <n v="0.25"/>
    <n v="0.92"/>
    <n v="0.47"/>
    <x v="1"/>
    <s v="High Exposure"/>
  </r>
  <r>
    <x v="18"/>
    <x v="2887"/>
    <n v="4"/>
    <x v="2"/>
    <n v="0.23"/>
    <n v="0.56999999999999995"/>
    <x v="70"/>
    <x v="1"/>
    <n v="0.28999999999999998"/>
    <n v="0.39"/>
    <n v="0.92"/>
    <n v="0.56999999999999995"/>
    <n v="0.1"/>
    <n v="0.8"/>
    <n v="0.26"/>
    <n v="0.55000000000000004"/>
    <n v="0.51"/>
    <n v="0.24"/>
    <x v="1"/>
    <s v="Low Exposure"/>
  </r>
  <r>
    <x v="3"/>
    <x v="2888"/>
    <n v="4"/>
    <x v="2"/>
    <n v="0.21"/>
    <n v="0.6"/>
    <x v="6"/>
    <x v="2"/>
    <n v="1"/>
    <n v="0.4"/>
    <n v="0.86"/>
    <n v="0.55000000000000004"/>
    <n v="0.67"/>
    <n v="0.16"/>
    <n v="0.27"/>
    <n v="0.51"/>
    <n v="0.88"/>
    <n v="0.04"/>
    <x v="1"/>
    <s v="Low Exposure"/>
  </r>
  <r>
    <x v="5"/>
    <x v="2889"/>
    <n v="7"/>
    <x v="0"/>
    <n v="0.05"/>
    <n v="0.96"/>
    <x v="13"/>
    <x v="1"/>
    <n v="0.74"/>
    <n v="0.14000000000000001"/>
    <n v="0.17"/>
    <n v="0.47"/>
    <n v="1"/>
    <n v="0.36"/>
    <n v="0.43"/>
    <n v="0.43"/>
    <n v="0.08"/>
    <n v="0.77"/>
    <x v="2"/>
    <s v="Low Exposure"/>
  </r>
  <r>
    <x v="3"/>
    <x v="2890"/>
    <n v="29"/>
    <x v="2"/>
    <n v="0.64"/>
    <n v="0.63"/>
    <x v="57"/>
    <x v="2"/>
    <n v="0.43"/>
    <n v="0.16"/>
    <n v="0.55000000000000004"/>
    <n v="0.45"/>
    <n v="0.12"/>
    <n v="0.67"/>
    <n v="0.02"/>
    <n v="0.13"/>
    <n v="0.7"/>
    <n v="0.53"/>
    <x v="0"/>
    <s v="Medium Exposure"/>
  </r>
  <r>
    <x v="6"/>
    <x v="2891"/>
    <n v="11"/>
    <x v="2"/>
    <n v="0.18"/>
    <n v="1.1399999999999999"/>
    <x v="48"/>
    <x v="2"/>
    <n v="0.98"/>
    <n v="0.87"/>
    <n v="0.13"/>
    <n v="0.86"/>
    <n v="0.35"/>
    <n v="0.49"/>
    <n v="0.14000000000000001"/>
    <n v="0.12"/>
    <n v="0.87"/>
    <n v="0.63"/>
    <x v="2"/>
    <s v="Low Exposure"/>
  </r>
  <r>
    <x v="8"/>
    <x v="2892"/>
    <n v="3"/>
    <x v="1"/>
    <n v="0.04"/>
    <n v="1.42"/>
    <x v="84"/>
    <x v="2"/>
    <n v="0.42"/>
    <n v="0.28999999999999998"/>
    <n v="0.89"/>
    <n v="0.34"/>
    <n v="0.17"/>
    <n v="0.5"/>
    <n v="0.78"/>
    <n v="0.37"/>
    <n v="0.65"/>
    <n v="0.3"/>
    <x v="1"/>
    <s v="Low Exposure"/>
  </r>
  <r>
    <x v="4"/>
    <x v="2893"/>
    <n v="22"/>
    <x v="0"/>
    <n v="0.67"/>
    <n v="1.18"/>
    <x v="23"/>
    <x v="2"/>
    <n v="0.16"/>
    <n v="0.89"/>
    <n v="0.59"/>
    <n v="0.38"/>
    <n v="0.17"/>
    <n v="0.78"/>
    <n v="0.51"/>
    <n v="0.15"/>
    <n v="0.92"/>
    <n v="0.11"/>
    <x v="0"/>
    <s v="Medium Exposure"/>
  </r>
  <r>
    <x v="16"/>
    <x v="2894"/>
    <n v="25"/>
    <x v="0"/>
    <n v="0.61"/>
    <n v="1.5"/>
    <x v="44"/>
    <x v="0"/>
    <n v="0.61"/>
    <n v="0.48"/>
    <n v="0.26"/>
    <n v="0.94"/>
    <n v="0.79"/>
    <n v="0.78"/>
    <n v="0.9"/>
    <n v="0.73"/>
    <n v="0.51"/>
    <n v="0.39"/>
    <x v="0"/>
    <s v="Medium Exposure"/>
  </r>
  <r>
    <x v="10"/>
    <x v="2895"/>
    <n v="4"/>
    <x v="2"/>
    <n v="0.6"/>
    <n v="1.04"/>
    <x v="22"/>
    <x v="2"/>
    <n v="0.66"/>
    <n v="0.97"/>
    <n v="0.75"/>
    <n v="0.18"/>
    <n v="0.47"/>
    <n v="0.68"/>
    <n v="0.18"/>
    <n v="0.93"/>
    <n v="0.08"/>
    <n v="0.61"/>
    <x v="1"/>
    <s v="Medium Exposure"/>
  </r>
  <r>
    <x v="9"/>
    <x v="2896"/>
    <n v="10"/>
    <x v="1"/>
    <n v="0.73"/>
    <n v="1.18"/>
    <x v="60"/>
    <x v="0"/>
    <n v="0.79"/>
    <n v="0.97"/>
    <n v="0.7"/>
    <n v="0.67"/>
    <n v="0.76"/>
    <n v="0.19"/>
    <n v="0.81"/>
    <n v="0.97"/>
    <n v="0.61"/>
    <n v="0.01"/>
    <x v="2"/>
    <s v="High Exposure"/>
  </r>
  <r>
    <x v="6"/>
    <x v="2897"/>
    <n v="9"/>
    <x v="3"/>
    <n v="0.23"/>
    <n v="0.99"/>
    <x v="25"/>
    <x v="2"/>
    <n v="0.98"/>
    <n v="0.95"/>
    <n v="0.39"/>
    <n v="0.79"/>
    <n v="0.64"/>
    <n v="0.24"/>
    <n v="0.93"/>
    <n v="0.26"/>
    <n v="0.87"/>
    <n v="0.64"/>
    <x v="2"/>
    <s v="Low Exposure"/>
  </r>
  <r>
    <x v="18"/>
    <x v="2898"/>
    <n v="0"/>
    <x v="3"/>
    <n v="0.84"/>
    <n v="0.99"/>
    <x v="75"/>
    <x v="1"/>
    <n v="0.55000000000000004"/>
    <n v="0.98"/>
    <n v="0.66"/>
    <n v="0.37"/>
    <n v="0.76"/>
    <n v="0.51"/>
    <n v="0.81"/>
    <n v="0.83"/>
    <n v="0.62"/>
    <n v="0.87"/>
    <x v="1"/>
    <s v="High Exposure"/>
  </r>
  <r>
    <x v="3"/>
    <x v="2899"/>
    <n v="4"/>
    <x v="2"/>
    <n v="0.06"/>
    <n v="1.1599999999999999"/>
    <x v="45"/>
    <x v="2"/>
    <n v="7.0000000000000007E-2"/>
    <n v="0.77"/>
    <n v="0.64"/>
    <n v="0.12"/>
    <n v="0.54"/>
    <n v="0.11"/>
    <n v="0.32"/>
    <n v="0.8"/>
    <n v="0.1"/>
    <n v="0.46"/>
    <x v="1"/>
    <s v="Low Exposure"/>
  </r>
  <r>
    <x v="19"/>
    <x v="2900"/>
    <n v="4"/>
    <x v="1"/>
    <n v="0.94"/>
    <n v="1.24"/>
    <x v="46"/>
    <x v="2"/>
    <n v="0.97"/>
    <n v="0.48"/>
    <n v="0.37"/>
    <n v="0.13"/>
    <n v="0.93"/>
    <n v="0.59"/>
    <n v="0.99"/>
    <n v="0.17"/>
    <n v="0.55000000000000004"/>
    <n v="0.11"/>
    <x v="1"/>
    <s v="High Exposure"/>
  </r>
  <r>
    <x v="16"/>
    <x v="2901"/>
    <n v="28"/>
    <x v="1"/>
    <n v="0.89"/>
    <n v="0.61"/>
    <x v="62"/>
    <x v="0"/>
    <n v="0.68"/>
    <n v="0.08"/>
    <n v="0.45"/>
    <n v="0.33"/>
    <n v="0.84"/>
    <n v="0.05"/>
    <n v="0.86"/>
    <n v="0.7"/>
    <n v="0.3"/>
    <n v="0.2"/>
    <x v="0"/>
    <s v="High Exposure"/>
  </r>
  <r>
    <x v="9"/>
    <x v="2902"/>
    <n v="15"/>
    <x v="3"/>
    <n v="0.55000000000000004"/>
    <n v="0.84"/>
    <x v="76"/>
    <x v="0"/>
    <n v="0.17"/>
    <n v="0.6"/>
    <n v="0.51"/>
    <n v="0.76"/>
    <n v="0.83"/>
    <n v="0.4"/>
    <n v="0.1"/>
    <n v="0.79"/>
    <n v="0.55000000000000004"/>
    <n v="0.98"/>
    <x v="2"/>
    <s v="Medium Exposure"/>
  </r>
  <r>
    <x v="2"/>
    <x v="2903"/>
    <n v="29"/>
    <x v="1"/>
    <n v="0.33"/>
    <n v="0.93"/>
    <x v="39"/>
    <x v="0"/>
    <n v="0.51"/>
    <n v="0.71"/>
    <n v="0.61"/>
    <n v="0.34"/>
    <n v="0.82"/>
    <n v="0.11"/>
    <n v="0.14000000000000001"/>
    <n v="0.4"/>
    <n v="0.7"/>
    <n v="0.69"/>
    <x v="0"/>
    <s v="Medium Exposure"/>
  </r>
  <r>
    <x v="17"/>
    <x v="2904"/>
    <n v="23"/>
    <x v="2"/>
    <n v="0.7"/>
    <n v="0.56000000000000005"/>
    <x v="71"/>
    <x v="2"/>
    <n v="0.69"/>
    <n v="0.18"/>
    <n v="0.21"/>
    <n v="0.09"/>
    <n v="0.36"/>
    <n v="0.82"/>
    <n v="0.84"/>
    <n v="0.86"/>
    <n v="0.04"/>
    <n v="0.99"/>
    <x v="0"/>
    <s v="High Exposure"/>
  </r>
  <r>
    <x v="2"/>
    <x v="2905"/>
    <n v="14"/>
    <x v="2"/>
    <n v="0.87"/>
    <n v="1.41"/>
    <x v="35"/>
    <x v="0"/>
    <n v="0.05"/>
    <n v="0.6"/>
    <n v="0.33"/>
    <n v="0.21"/>
    <n v="0.18"/>
    <n v="0.56000000000000005"/>
    <n v="0.1"/>
    <n v="0.82"/>
    <n v="0.23"/>
    <n v="0.55000000000000004"/>
    <x v="2"/>
    <s v="High Exposure"/>
  </r>
  <r>
    <x v="16"/>
    <x v="2906"/>
    <n v="28"/>
    <x v="1"/>
    <n v="0.86"/>
    <n v="1.19"/>
    <x v="73"/>
    <x v="0"/>
    <n v="0.72"/>
    <n v="0.08"/>
    <n v="0.77"/>
    <n v="0.49"/>
    <n v="0.12"/>
    <n v="0.55000000000000004"/>
    <n v="0.2"/>
    <n v="0.67"/>
    <n v="0.71"/>
    <n v="0.76"/>
    <x v="0"/>
    <s v="High Exposure"/>
  </r>
  <r>
    <x v="1"/>
    <x v="2907"/>
    <n v="9"/>
    <x v="2"/>
    <n v="0.65"/>
    <n v="0.99"/>
    <x v="75"/>
    <x v="1"/>
    <n v="0.9"/>
    <n v="0.78"/>
    <n v="0.94"/>
    <n v="0.98"/>
    <n v="0.25"/>
    <n v="0.18"/>
    <n v="0.45"/>
    <n v="1"/>
    <n v="0.09"/>
    <n v="0.71"/>
    <x v="2"/>
    <s v="Medium Exposure"/>
  </r>
  <r>
    <x v="14"/>
    <x v="2908"/>
    <n v="23"/>
    <x v="1"/>
    <n v="0.97"/>
    <n v="1.47"/>
    <x v="17"/>
    <x v="0"/>
    <n v="0.36"/>
    <n v="0.37"/>
    <n v="0.85"/>
    <n v="0.73"/>
    <n v="0.7"/>
    <n v="0.28000000000000003"/>
    <n v="0.83"/>
    <n v="0.57999999999999996"/>
    <n v="0.45"/>
    <n v="0.87"/>
    <x v="0"/>
    <s v="High Exposure"/>
  </r>
  <r>
    <x v="6"/>
    <x v="2909"/>
    <n v="17"/>
    <x v="0"/>
    <n v="0.65"/>
    <n v="0.97"/>
    <x v="22"/>
    <x v="2"/>
    <n v="0.04"/>
    <n v="0.46"/>
    <n v="0.56000000000000005"/>
    <n v="0.49"/>
    <n v="0.85"/>
    <n v="0.31"/>
    <n v="0.88"/>
    <n v="0.4"/>
    <n v="0.69"/>
    <n v="0.09"/>
    <x v="0"/>
    <s v="Medium Exposure"/>
  </r>
  <r>
    <x v="14"/>
    <x v="2910"/>
    <n v="3"/>
    <x v="0"/>
    <n v="0.76"/>
    <n v="0.51"/>
    <x v="89"/>
    <x v="0"/>
    <n v="0.19"/>
    <n v="0.9"/>
    <n v="0.52"/>
    <n v="0.56000000000000005"/>
    <n v="0.08"/>
    <n v="0.37"/>
    <n v="0.16"/>
    <n v="0.53"/>
    <n v="0.55000000000000004"/>
    <n v="0.71"/>
    <x v="1"/>
    <s v="High Exposure"/>
  </r>
  <r>
    <x v="16"/>
    <x v="2911"/>
    <n v="25"/>
    <x v="3"/>
    <n v="0.47"/>
    <n v="0.73"/>
    <x v="80"/>
    <x v="0"/>
    <n v="0.85"/>
    <n v="0.15"/>
    <n v="0.63"/>
    <n v="0.01"/>
    <n v="0.25"/>
    <n v="0.59"/>
    <n v="0.46"/>
    <n v="0.49"/>
    <n v="0.66"/>
    <n v="0.23"/>
    <x v="0"/>
    <s v="Medium Exposure"/>
  </r>
  <r>
    <x v="10"/>
    <x v="2912"/>
    <n v="25"/>
    <x v="3"/>
    <n v="0.68"/>
    <n v="1.04"/>
    <x v="57"/>
    <x v="2"/>
    <n v="0.67"/>
    <n v="0.62"/>
    <n v="0.08"/>
    <n v="0.75"/>
    <n v="0.52"/>
    <n v="0.2"/>
    <n v="0.56000000000000005"/>
    <n v="0.6"/>
    <n v="0.92"/>
    <n v="0.74"/>
    <x v="0"/>
    <s v="Medium Exposure"/>
  </r>
  <r>
    <x v="10"/>
    <x v="2913"/>
    <n v="19"/>
    <x v="3"/>
    <n v="0.12"/>
    <n v="1.35"/>
    <x v="4"/>
    <x v="2"/>
    <n v="0.18"/>
    <n v="0.06"/>
    <n v="0.71"/>
    <n v="0.72"/>
    <n v="0.18"/>
    <n v="0.67"/>
    <n v="0.28000000000000003"/>
    <n v="0.26"/>
    <n v="0.32"/>
    <n v="0.52"/>
    <x v="0"/>
    <s v="Low Exposure"/>
  </r>
  <r>
    <x v="1"/>
    <x v="2914"/>
    <n v="9"/>
    <x v="1"/>
    <n v="0.33"/>
    <n v="0.95"/>
    <x v="85"/>
    <x v="1"/>
    <n v="0.92"/>
    <n v="0.98"/>
    <n v="0.43"/>
    <n v="0.8"/>
    <n v="0.87"/>
    <n v="0.04"/>
    <n v="0.27"/>
    <n v="0.88"/>
    <n v="0.39"/>
    <n v="0.28000000000000003"/>
    <x v="2"/>
    <s v="Medium Exposure"/>
  </r>
  <r>
    <x v="2"/>
    <x v="2915"/>
    <n v="21"/>
    <x v="1"/>
    <n v="0.38"/>
    <n v="0.74"/>
    <x v="58"/>
    <x v="2"/>
    <n v="0.17"/>
    <n v="0.88"/>
    <n v="0.08"/>
    <n v="0.41"/>
    <n v="0.46"/>
    <n v="0.78"/>
    <n v="0.25"/>
    <n v="0.31"/>
    <n v="0.01"/>
    <n v="0.9"/>
    <x v="0"/>
    <s v="Medium Exposure"/>
  </r>
  <r>
    <x v="9"/>
    <x v="2916"/>
    <n v="1"/>
    <x v="0"/>
    <n v="0.64"/>
    <n v="1.2"/>
    <x v="17"/>
    <x v="0"/>
    <n v="0.81"/>
    <n v="0.61"/>
    <n v="0.66"/>
    <n v="0.15"/>
    <n v="0.47"/>
    <n v="0.3"/>
    <n v="0.43"/>
    <n v="0.66"/>
    <n v="0.15"/>
    <n v="0.02"/>
    <x v="1"/>
    <s v="Medium Exposure"/>
  </r>
  <r>
    <x v="10"/>
    <x v="2917"/>
    <n v="26"/>
    <x v="3"/>
    <n v="0.32"/>
    <n v="0.92"/>
    <x v="79"/>
    <x v="2"/>
    <n v="0.71"/>
    <n v="0.33"/>
    <n v="0.18"/>
    <n v="0.62"/>
    <n v="0.66"/>
    <n v="0.48"/>
    <n v="0.21"/>
    <n v="0.03"/>
    <n v="0.27"/>
    <n v="0.46"/>
    <x v="0"/>
    <s v="Medium Exposure"/>
  </r>
  <r>
    <x v="18"/>
    <x v="2918"/>
    <n v="18"/>
    <x v="2"/>
    <n v="0.85"/>
    <n v="0.91"/>
    <x v="88"/>
    <x v="1"/>
    <n v="0.99"/>
    <n v="0.72"/>
    <n v="0.73"/>
    <n v="0.91"/>
    <n v="0.34"/>
    <n v="0.01"/>
    <n v="0.99"/>
    <n v="0.49"/>
    <n v="0.79"/>
    <n v="0.81"/>
    <x v="0"/>
    <s v="High Exposure"/>
  </r>
  <r>
    <x v="13"/>
    <x v="2919"/>
    <n v="8"/>
    <x v="1"/>
    <n v="0.54"/>
    <n v="1.04"/>
    <x v="65"/>
    <x v="2"/>
    <n v="0.12"/>
    <n v="0.54"/>
    <n v="0.12"/>
    <n v="0.35"/>
    <n v="0.19"/>
    <n v="0.71"/>
    <n v="0.87"/>
    <n v="0.57999999999999996"/>
    <n v="0.41"/>
    <n v="1"/>
    <x v="2"/>
    <s v="Medium Exposure"/>
  </r>
  <r>
    <x v="13"/>
    <x v="2920"/>
    <n v="5"/>
    <x v="2"/>
    <n v="0.86"/>
    <n v="0.9"/>
    <x v="33"/>
    <x v="2"/>
    <n v="0.46"/>
    <n v="0.37"/>
    <n v="0.25"/>
    <n v="0.44"/>
    <n v="0.81"/>
    <n v="0.84"/>
    <n v="0.96"/>
    <n v="0.28999999999999998"/>
    <n v="0.65"/>
    <n v="0.69"/>
    <x v="1"/>
    <s v="High Exposure"/>
  </r>
  <r>
    <x v="7"/>
    <x v="2921"/>
    <n v="27"/>
    <x v="2"/>
    <n v="0.37"/>
    <n v="0.84"/>
    <x v="85"/>
    <x v="1"/>
    <n v="0.96"/>
    <n v="0.82"/>
    <n v="0.47"/>
    <n v="0.26"/>
    <n v="0.92"/>
    <n v="0.27"/>
    <n v="0.52"/>
    <n v="0.25"/>
    <n v="0.97"/>
    <n v="0.04"/>
    <x v="0"/>
    <s v="Medium Exposure"/>
  </r>
  <r>
    <x v="8"/>
    <x v="2922"/>
    <n v="28"/>
    <x v="0"/>
    <n v="0.77"/>
    <n v="0.65"/>
    <x v="66"/>
    <x v="2"/>
    <n v="0.32"/>
    <n v="0.92"/>
    <n v="0.66"/>
    <n v="0.63"/>
    <n v="0.92"/>
    <n v="0.51"/>
    <n v="0.4"/>
    <n v="0.22"/>
    <n v="0.14000000000000001"/>
    <n v="0.79"/>
    <x v="0"/>
    <s v="High Exposure"/>
  </r>
  <r>
    <x v="6"/>
    <x v="2923"/>
    <n v="22"/>
    <x v="0"/>
    <n v="0.39"/>
    <n v="0.91"/>
    <x v="64"/>
    <x v="2"/>
    <n v="0.28000000000000003"/>
    <n v="0.84"/>
    <n v="0.21"/>
    <n v="0.79"/>
    <n v="0.85"/>
    <n v="0.19"/>
    <n v="0.81"/>
    <n v="0.71"/>
    <n v="0.87"/>
    <n v="0.51"/>
    <x v="0"/>
    <s v="Medium Exposure"/>
  </r>
  <r>
    <x v="6"/>
    <x v="2924"/>
    <n v="9"/>
    <x v="0"/>
    <n v="0.91"/>
    <n v="1.29"/>
    <x v="57"/>
    <x v="2"/>
    <n v="0.94"/>
    <n v="0.95"/>
    <n v="0.36"/>
    <n v="0.01"/>
    <n v="0.55000000000000004"/>
    <n v="0.91"/>
    <n v="0.12"/>
    <n v="0.59"/>
    <n v="0.73"/>
    <n v="0.13"/>
    <x v="2"/>
    <s v="High Exposure"/>
  </r>
  <r>
    <x v="9"/>
    <x v="2925"/>
    <n v="10"/>
    <x v="3"/>
    <n v="0.87"/>
    <n v="1.48"/>
    <x v="90"/>
    <x v="0"/>
    <n v="0.28999999999999998"/>
    <n v="0.77"/>
    <n v="0.18"/>
    <n v="0.24"/>
    <n v="0.26"/>
    <n v="0.95"/>
    <n v="0.73"/>
    <n v="0.13"/>
    <n v="0.09"/>
    <n v="0.84"/>
    <x v="2"/>
    <s v="High Exposure"/>
  </r>
  <r>
    <x v="12"/>
    <x v="2926"/>
    <n v="21"/>
    <x v="0"/>
    <n v="0.76"/>
    <n v="0.52"/>
    <x v="84"/>
    <x v="2"/>
    <n v="0.01"/>
    <n v="0.04"/>
    <n v="0.48"/>
    <n v="0.36"/>
    <n v="0.56000000000000005"/>
    <n v="7.0000000000000007E-2"/>
    <n v="0.59"/>
    <n v="7.0000000000000007E-2"/>
    <n v="0.42"/>
    <n v="0.35"/>
    <x v="0"/>
    <s v="High Exposure"/>
  </r>
  <r>
    <x v="12"/>
    <x v="2927"/>
    <n v="1"/>
    <x v="1"/>
    <n v="0.31"/>
    <n v="0.5"/>
    <x v="87"/>
    <x v="2"/>
    <n v="0.08"/>
    <n v="0.92"/>
    <n v="7.0000000000000007E-2"/>
    <n v="0.95"/>
    <n v="0.49"/>
    <n v="0.51"/>
    <n v="0.79"/>
    <n v="0.7"/>
    <n v="0.24"/>
    <n v="0.03"/>
    <x v="1"/>
    <s v="Medium Exposure"/>
  </r>
  <r>
    <x v="10"/>
    <x v="2928"/>
    <n v="26"/>
    <x v="0"/>
    <n v="0.13"/>
    <n v="1.1000000000000001"/>
    <x v="26"/>
    <x v="2"/>
    <n v="0.55000000000000004"/>
    <n v="0.28999999999999998"/>
    <n v="0.18"/>
    <n v="0.03"/>
    <n v="0.62"/>
    <n v="0.56000000000000005"/>
    <n v="0.46"/>
    <n v="0.19"/>
    <n v="0.24"/>
    <n v="0.96"/>
    <x v="0"/>
    <s v="Low Exposure"/>
  </r>
  <r>
    <x v="15"/>
    <x v="2929"/>
    <n v="16"/>
    <x v="2"/>
    <n v="0.36"/>
    <n v="0.54"/>
    <x v="5"/>
    <x v="1"/>
    <n v="0.93"/>
    <n v="0.15"/>
    <n v="0.6"/>
    <n v="0.35"/>
    <n v="0.63"/>
    <n v="0.85"/>
    <n v="0.28999999999999998"/>
    <n v="0.08"/>
    <n v="0.2"/>
    <n v="0.44"/>
    <x v="0"/>
    <s v="Medium Exposure"/>
  </r>
  <r>
    <x v="13"/>
    <x v="2930"/>
    <n v="28"/>
    <x v="3"/>
    <n v="0.94"/>
    <n v="0.52"/>
    <x v="3"/>
    <x v="2"/>
    <n v="7.0000000000000007E-2"/>
    <n v="0.08"/>
    <n v="0.65"/>
    <n v="0.91"/>
    <n v="0.28999999999999998"/>
    <n v="0.27"/>
    <n v="0.62"/>
    <n v="0.78"/>
    <n v="0.87"/>
    <n v="0.25"/>
    <x v="0"/>
    <s v="High Exposure"/>
  </r>
  <r>
    <x v="2"/>
    <x v="2931"/>
    <n v="22"/>
    <x v="1"/>
    <n v="0.31"/>
    <n v="1.04"/>
    <x v="73"/>
    <x v="0"/>
    <n v="0.15"/>
    <n v="0.94"/>
    <n v="0.55000000000000004"/>
    <n v="0"/>
    <n v="0.79"/>
    <n v="0.69"/>
    <n v="0.33"/>
    <n v="0.46"/>
    <n v="0.45"/>
    <n v="0.27"/>
    <x v="0"/>
    <s v="Medium Exposure"/>
  </r>
  <r>
    <x v="1"/>
    <x v="2932"/>
    <n v="9"/>
    <x v="1"/>
    <n v="0.54"/>
    <n v="1.4"/>
    <x v="42"/>
    <x v="1"/>
    <n v="0.69"/>
    <n v="0.03"/>
    <n v="0.51"/>
    <n v="0.72"/>
    <n v="0.12"/>
    <n v="0.68"/>
    <n v="0.08"/>
    <n v="0.81"/>
    <n v="0.98"/>
    <n v="0.63"/>
    <x v="2"/>
    <s v="Medium Exposure"/>
  </r>
  <r>
    <x v="3"/>
    <x v="2933"/>
    <n v="7"/>
    <x v="0"/>
    <n v="0.89"/>
    <n v="0.83"/>
    <x v="33"/>
    <x v="2"/>
    <n v="0.33"/>
    <n v="0.79"/>
    <n v="0.47"/>
    <n v="0.34"/>
    <n v="0.42"/>
    <n v="0.09"/>
    <n v="0.87"/>
    <n v="0.96"/>
    <n v="0.48"/>
    <n v="0.22"/>
    <x v="2"/>
    <s v="High Exposure"/>
  </r>
  <r>
    <x v="12"/>
    <x v="275"/>
    <n v="7"/>
    <x v="3"/>
    <n v="0.45"/>
    <n v="0.75"/>
    <x v="86"/>
    <x v="2"/>
    <n v="0.89"/>
    <n v="0.8"/>
    <n v="0.83"/>
    <n v="0.44"/>
    <n v="0.75"/>
    <n v="0.57999999999999996"/>
    <n v="0.37"/>
    <n v="0.84"/>
    <n v="1"/>
    <n v="0.9"/>
    <x v="2"/>
    <s v="Medium Exposure"/>
  </r>
  <r>
    <x v="14"/>
    <x v="2934"/>
    <n v="27"/>
    <x v="3"/>
    <n v="0.75"/>
    <n v="1.1499999999999999"/>
    <x v="32"/>
    <x v="0"/>
    <n v="0.49"/>
    <n v="0.18"/>
    <n v="0.77"/>
    <n v="0.92"/>
    <n v="0.34"/>
    <n v="0.78"/>
    <n v="0.27"/>
    <n v="0.94"/>
    <n v="0.68"/>
    <n v="0.56999999999999995"/>
    <x v="0"/>
    <s v="High Exposure"/>
  </r>
  <r>
    <x v="15"/>
    <x v="2935"/>
    <n v="3"/>
    <x v="3"/>
    <n v="0.81"/>
    <n v="1.39"/>
    <x v="16"/>
    <x v="1"/>
    <n v="0.05"/>
    <n v="0.12"/>
    <n v="0.83"/>
    <n v="0.95"/>
    <n v="0.31"/>
    <n v="0.01"/>
    <n v="0.32"/>
    <n v="0.38"/>
    <n v="0.76"/>
    <n v="0.05"/>
    <x v="1"/>
    <s v="High Exposure"/>
  </r>
  <r>
    <x v="4"/>
    <x v="2936"/>
    <n v="0"/>
    <x v="2"/>
    <n v="0.89"/>
    <n v="0.65"/>
    <x v="3"/>
    <x v="2"/>
    <n v="0.36"/>
    <n v="0.66"/>
    <n v="7.0000000000000007E-2"/>
    <n v="0.28999999999999998"/>
    <n v="0.42"/>
    <n v="0.86"/>
    <n v="0.56000000000000005"/>
    <n v="0.05"/>
    <n v="0.8"/>
    <n v="0.05"/>
    <x v="1"/>
    <s v="High Exposure"/>
  </r>
  <r>
    <x v="10"/>
    <x v="2937"/>
    <n v="29"/>
    <x v="3"/>
    <n v="0.21"/>
    <n v="0.99"/>
    <x v="20"/>
    <x v="2"/>
    <n v="0.56000000000000005"/>
    <n v="0.5"/>
    <n v="0.41"/>
    <n v="0.04"/>
    <n v="0.88"/>
    <n v="0.8"/>
    <n v="0.63"/>
    <n v="0.56999999999999995"/>
    <n v="0.69"/>
    <n v="0.14000000000000001"/>
    <x v="0"/>
    <s v="Low Exposure"/>
  </r>
  <r>
    <x v="7"/>
    <x v="2938"/>
    <n v="26"/>
    <x v="0"/>
    <n v="0.28000000000000003"/>
    <n v="1.1599999999999999"/>
    <x v="42"/>
    <x v="1"/>
    <n v="0.64"/>
    <n v="0.88"/>
    <n v="0.3"/>
    <n v="0.75"/>
    <n v="0.6"/>
    <n v="0.08"/>
    <n v="0.41"/>
    <n v="0.84"/>
    <n v="0.32"/>
    <n v="0.48"/>
    <x v="0"/>
    <s v="Low Exposure"/>
  </r>
  <r>
    <x v="17"/>
    <x v="2939"/>
    <n v="23"/>
    <x v="1"/>
    <n v="0.62"/>
    <n v="1.38"/>
    <x v="49"/>
    <x v="2"/>
    <n v="0.5"/>
    <n v="0.42"/>
    <n v="0.3"/>
    <n v="0.92"/>
    <n v="0.01"/>
    <n v="0.12"/>
    <n v="0.73"/>
    <n v="0.26"/>
    <n v="0.72"/>
    <n v="0.83"/>
    <x v="0"/>
    <s v="Medium Exposure"/>
  </r>
  <r>
    <x v="7"/>
    <x v="2940"/>
    <n v="21"/>
    <x v="3"/>
    <n v="0.19"/>
    <n v="0.65"/>
    <x v="5"/>
    <x v="1"/>
    <n v="0.27"/>
    <n v="0.87"/>
    <n v="0.77"/>
    <n v="0"/>
    <n v="0.87"/>
    <n v="0.08"/>
    <n v="0.66"/>
    <n v="0.15"/>
    <n v="0.06"/>
    <n v="0.76"/>
    <x v="0"/>
    <s v="Low Exposure"/>
  </r>
  <r>
    <x v="9"/>
    <x v="2941"/>
    <n v="17"/>
    <x v="0"/>
    <n v="0.6"/>
    <n v="0.93"/>
    <x v="28"/>
    <x v="0"/>
    <n v="0.74"/>
    <n v="0.82"/>
    <n v="0.04"/>
    <n v="0.38"/>
    <n v="0.56000000000000005"/>
    <n v="0.61"/>
    <n v="0.57999999999999996"/>
    <n v="0.69"/>
    <n v="0.97"/>
    <n v="0.39"/>
    <x v="0"/>
    <s v="Medium Exposure"/>
  </r>
  <r>
    <x v="15"/>
    <x v="2942"/>
    <n v="27"/>
    <x v="2"/>
    <n v="0.7"/>
    <n v="1.0900000000000001"/>
    <x v="18"/>
    <x v="1"/>
    <n v="0.62"/>
    <n v="0.65"/>
    <n v="0.57999999999999996"/>
    <n v="0.21"/>
    <n v="0.51"/>
    <n v="0.88"/>
    <n v="0.87"/>
    <n v="0.75"/>
    <n v="0.7"/>
    <n v="0.15"/>
    <x v="0"/>
    <s v="High Exposure"/>
  </r>
  <r>
    <x v="5"/>
    <x v="2943"/>
    <n v="12"/>
    <x v="3"/>
    <n v="0.11"/>
    <n v="1.32"/>
    <x v="54"/>
    <x v="1"/>
    <n v="0.77"/>
    <n v="0.81"/>
    <n v="0.89"/>
    <n v="0.75"/>
    <n v="0.56000000000000005"/>
    <n v="0.6"/>
    <n v="0.32"/>
    <n v="0.18"/>
    <n v="0.13"/>
    <n v="0.18"/>
    <x v="2"/>
    <s v="Low Exposure"/>
  </r>
  <r>
    <x v="16"/>
    <x v="2944"/>
    <n v="17"/>
    <x v="0"/>
    <n v="0.16"/>
    <n v="1.22"/>
    <x v="73"/>
    <x v="0"/>
    <n v="0.98"/>
    <n v="0.37"/>
    <n v="0.41"/>
    <n v="0.4"/>
    <n v="0.82"/>
    <n v="0.22"/>
    <n v="0.83"/>
    <n v="0.66"/>
    <n v="0.22"/>
    <n v="7.0000000000000007E-2"/>
    <x v="0"/>
    <s v="Low Exposure"/>
  </r>
  <r>
    <x v="8"/>
    <x v="2945"/>
    <n v="16"/>
    <x v="1"/>
    <n v="0.53"/>
    <n v="1.43"/>
    <x v="86"/>
    <x v="2"/>
    <n v="0.51"/>
    <n v="0.2"/>
    <n v="0.78"/>
    <n v="0.68"/>
    <n v="0.1"/>
    <n v="0.62"/>
    <n v="0.98"/>
    <n v="0.53"/>
    <n v="0.28999999999999998"/>
    <n v="0.15"/>
    <x v="0"/>
    <s v="Medium Exposure"/>
  </r>
  <r>
    <x v="1"/>
    <x v="2946"/>
    <n v="22"/>
    <x v="2"/>
    <n v="0.56000000000000005"/>
    <n v="0.87"/>
    <x v="5"/>
    <x v="1"/>
    <n v="0.95"/>
    <n v="0.63"/>
    <n v="0.06"/>
    <n v="0.06"/>
    <n v="0.94"/>
    <n v="0.71"/>
    <n v="0.1"/>
    <n v="0.62"/>
    <n v="0.42"/>
    <n v="0.79"/>
    <x v="0"/>
    <s v="Medium Exposure"/>
  </r>
  <r>
    <x v="14"/>
    <x v="2947"/>
    <n v="7"/>
    <x v="3"/>
    <n v="0.38"/>
    <n v="0.67"/>
    <x v="39"/>
    <x v="0"/>
    <n v="0.19"/>
    <n v="0.02"/>
    <n v="0.05"/>
    <n v="0.84"/>
    <n v="0.8"/>
    <n v="0.14000000000000001"/>
    <n v="0.67"/>
    <n v="0.75"/>
    <n v="0.05"/>
    <n v="0.09"/>
    <x v="2"/>
    <s v="Medium Exposure"/>
  </r>
  <r>
    <x v="14"/>
    <x v="2948"/>
    <n v="12"/>
    <x v="3"/>
    <n v="0.2"/>
    <n v="0.91"/>
    <x v="51"/>
    <x v="0"/>
    <n v="0.71"/>
    <n v="0.97"/>
    <n v="0.19"/>
    <n v="0.02"/>
    <n v="0.32"/>
    <n v="0.15"/>
    <n v="0.55000000000000004"/>
    <n v="0.9"/>
    <n v="0.69"/>
    <n v="0.14000000000000001"/>
    <x v="2"/>
    <s v="Low Exposure"/>
  </r>
  <r>
    <x v="12"/>
    <x v="2949"/>
    <n v="6"/>
    <x v="3"/>
    <n v="0.91"/>
    <n v="0.99"/>
    <x v="79"/>
    <x v="2"/>
    <n v="0.74"/>
    <n v="0.99"/>
    <n v="0.87"/>
    <n v="0.41"/>
    <n v="0.76"/>
    <n v="0.47"/>
    <n v="0.23"/>
    <n v="0.24"/>
    <n v="0.4"/>
    <n v="0.11"/>
    <x v="2"/>
    <s v="High Exposure"/>
  </r>
  <r>
    <x v="0"/>
    <x v="1695"/>
    <n v="3"/>
    <x v="2"/>
    <n v="0.5"/>
    <n v="1.45"/>
    <x v="56"/>
    <x v="0"/>
    <n v="0.41"/>
    <n v="0.24"/>
    <n v="0.2"/>
    <n v="0.66"/>
    <n v="0.85"/>
    <n v="0.4"/>
    <n v="0.55000000000000004"/>
    <n v="0.71"/>
    <n v="0.06"/>
    <n v="0.35"/>
    <x v="1"/>
    <s v="Medium Exposure"/>
  </r>
  <r>
    <x v="8"/>
    <x v="2950"/>
    <n v="5"/>
    <x v="2"/>
    <n v="0.68"/>
    <n v="0.55000000000000004"/>
    <x v="10"/>
    <x v="2"/>
    <n v="0.68"/>
    <n v="0.27"/>
    <n v="0.81"/>
    <n v="0.03"/>
    <n v="0.19"/>
    <n v="0.28000000000000003"/>
    <n v="0.93"/>
    <n v="0.8"/>
    <n v="0.88"/>
    <n v="0.44"/>
    <x v="1"/>
    <s v="Medium Exposure"/>
  </r>
  <r>
    <x v="12"/>
    <x v="2951"/>
    <n v="7"/>
    <x v="3"/>
    <n v="0.85"/>
    <n v="0.9"/>
    <x v="58"/>
    <x v="2"/>
    <n v="0.85"/>
    <n v="0.97"/>
    <n v="0.87"/>
    <n v="0.78"/>
    <n v="0.94"/>
    <n v="0.42"/>
    <n v="0.78"/>
    <n v="0.21"/>
    <n v="0.73"/>
    <n v="0.79"/>
    <x v="2"/>
    <s v="High Exposure"/>
  </r>
  <r>
    <x v="4"/>
    <x v="2952"/>
    <n v="10"/>
    <x v="0"/>
    <n v="0.85"/>
    <n v="0.91"/>
    <x v="43"/>
    <x v="2"/>
    <n v="0.01"/>
    <n v="0.15"/>
    <n v="0.64"/>
    <n v="0.56000000000000005"/>
    <n v="0.2"/>
    <n v="0.24"/>
    <n v="0.34"/>
    <n v="0.72"/>
    <n v="0.61"/>
    <n v="7.0000000000000007E-2"/>
    <x v="2"/>
    <s v="High Exposure"/>
  </r>
  <r>
    <x v="16"/>
    <x v="2953"/>
    <n v="13"/>
    <x v="3"/>
    <n v="0.26"/>
    <n v="1.17"/>
    <x v="67"/>
    <x v="0"/>
    <n v="1"/>
    <n v="0.08"/>
    <n v="0.74"/>
    <n v="0.54"/>
    <n v="0.09"/>
    <n v="0.03"/>
    <n v="0.36"/>
    <n v="0.8"/>
    <n v="0.04"/>
    <n v="0.7"/>
    <x v="2"/>
    <s v="Low Exposure"/>
  </r>
  <r>
    <x v="5"/>
    <x v="2954"/>
    <n v="25"/>
    <x v="2"/>
    <n v="0.27"/>
    <n v="0.57999999999999996"/>
    <x v="16"/>
    <x v="1"/>
    <n v="0.3"/>
    <n v="0.11"/>
    <n v="0.68"/>
    <n v="0.22"/>
    <n v="0.48"/>
    <n v="0.05"/>
    <n v="0.99"/>
    <n v="0.45"/>
    <n v="1"/>
    <n v="0.39"/>
    <x v="0"/>
    <s v="Low Exposure"/>
  </r>
  <r>
    <x v="6"/>
    <x v="2955"/>
    <n v="18"/>
    <x v="2"/>
    <n v="0.91"/>
    <n v="0.83"/>
    <x v="25"/>
    <x v="2"/>
    <n v="0.08"/>
    <n v="0.96"/>
    <n v="0.09"/>
    <n v="0.77"/>
    <n v="0.54"/>
    <n v="0.06"/>
    <n v="0"/>
    <n v="0.94"/>
    <n v="0.74"/>
    <n v="0.69"/>
    <x v="0"/>
    <s v="High Exposure"/>
  </r>
  <r>
    <x v="15"/>
    <x v="2956"/>
    <n v="6"/>
    <x v="3"/>
    <n v="0.24"/>
    <n v="1.18"/>
    <x v="42"/>
    <x v="1"/>
    <n v="0.73"/>
    <n v="0.37"/>
    <n v="0.99"/>
    <n v="7.0000000000000007E-2"/>
    <n v="0.08"/>
    <n v="0.92"/>
    <n v="0.65"/>
    <n v="0.33"/>
    <n v="0.76"/>
    <n v="0.45"/>
    <x v="2"/>
    <s v="Low Exposure"/>
  </r>
  <r>
    <x v="10"/>
    <x v="2957"/>
    <n v="29"/>
    <x v="1"/>
    <n v="0.65"/>
    <n v="0.74"/>
    <x v="53"/>
    <x v="2"/>
    <n v="0.23"/>
    <n v="0.48"/>
    <n v="0.05"/>
    <n v="0.88"/>
    <n v="0.56000000000000005"/>
    <n v="0.28999999999999998"/>
    <n v="0.69"/>
    <n v="0.8"/>
    <n v="0.61"/>
    <n v="0.2"/>
    <x v="0"/>
    <s v="Medium Exposure"/>
  </r>
  <r>
    <x v="12"/>
    <x v="2958"/>
    <n v="23"/>
    <x v="0"/>
    <n v="0.64"/>
    <n v="0.94"/>
    <x v="65"/>
    <x v="2"/>
    <n v="0.28000000000000003"/>
    <n v="0.62"/>
    <n v="0.73"/>
    <n v="0.21"/>
    <n v="0.96"/>
    <n v="0.01"/>
    <n v="0.7"/>
    <n v="0.28999999999999998"/>
    <n v="0.48"/>
    <n v="0.56999999999999995"/>
    <x v="0"/>
    <s v="Medium Exposure"/>
  </r>
  <r>
    <x v="13"/>
    <x v="2930"/>
    <n v="7"/>
    <x v="1"/>
    <n v="0.95"/>
    <n v="1.23"/>
    <x v="36"/>
    <x v="2"/>
    <n v="0.21"/>
    <n v="0.18"/>
    <n v="0.14000000000000001"/>
    <n v="0.22"/>
    <n v="0.55000000000000004"/>
    <n v="0.68"/>
    <n v="0.31"/>
    <n v="0.55000000000000004"/>
    <n v="0.34"/>
    <n v="0.7"/>
    <x v="2"/>
    <s v="High Exposure"/>
  </r>
  <r>
    <x v="13"/>
    <x v="2959"/>
    <n v="25"/>
    <x v="1"/>
    <n v="0.69"/>
    <n v="0.56000000000000005"/>
    <x v="78"/>
    <x v="2"/>
    <n v="0.77"/>
    <n v="0.54"/>
    <n v="0.95"/>
    <n v="0.05"/>
    <n v="0.28999999999999998"/>
    <n v="0.22"/>
    <n v="0.77"/>
    <n v="0.52"/>
    <n v="0.14000000000000001"/>
    <n v="0.28999999999999998"/>
    <x v="0"/>
    <s v="Medium Exposure"/>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8E5AD88-EBB4-46D6-9416-2476213363C8}"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I21:J32" firstHeaderRow="1" firstDataRow="1" firstDataCol="1"/>
  <pivotFields count="20">
    <pivotField axis="axisRow" showAll="0" measureFilter="1" sortType="descending">
      <items count="21">
        <item x="5"/>
        <item x="17"/>
        <item x="2"/>
        <item x="9"/>
        <item x="12"/>
        <item x="15"/>
        <item x="4"/>
        <item x="13"/>
        <item x="8"/>
        <item x="11"/>
        <item x="19"/>
        <item x="6"/>
        <item x="18"/>
        <item x="1"/>
        <item x="14"/>
        <item x="0"/>
        <item x="3"/>
        <item x="7"/>
        <item x="16"/>
        <item x="10"/>
        <item t="default"/>
      </items>
      <autoSortScope>
        <pivotArea dataOnly="0" outline="0" fieldPosition="0">
          <references count="1">
            <reference field="4294967294" count="1" selected="0">
              <x v="0"/>
            </reference>
          </references>
        </pivotArea>
      </autoSortScope>
    </pivotField>
    <pivotField showAll="0"/>
    <pivotField showAll="0"/>
    <pivotField showAll="0">
      <items count="5">
        <item x="3"/>
        <item x="2"/>
        <item x="0"/>
        <item x="1"/>
        <item t="default"/>
      </items>
    </pivotField>
    <pivotField showAll="0"/>
    <pivotField numFmtId="2" showAll="0"/>
    <pivotField dataField="1" numFmtId="2" showAll="0"/>
    <pivotField showAll="0">
      <items count="4">
        <item x="0"/>
        <item x="1"/>
        <item x="2"/>
        <item t="default"/>
      </items>
    </pivotField>
    <pivotField showAll="0"/>
    <pivotField showAll="0"/>
    <pivotField showAll="0"/>
    <pivotField showAll="0"/>
    <pivotField showAll="0"/>
    <pivotField showAll="0"/>
    <pivotField showAll="0"/>
    <pivotField showAll="0"/>
    <pivotField showAll="0"/>
    <pivotField showAll="0"/>
    <pivotField showAll="0">
      <items count="4">
        <item x="1"/>
        <item x="2"/>
        <item x="0"/>
        <item t="default"/>
      </items>
    </pivotField>
    <pivotField showAll="0"/>
  </pivotFields>
  <rowFields count="1">
    <field x="0"/>
  </rowFields>
  <rowItems count="11">
    <i>
      <x v="14"/>
    </i>
    <i>
      <x v="15"/>
    </i>
    <i>
      <x v="2"/>
    </i>
    <i>
      <x v="3"/>
    </i>
    <i>
      <x v="18"/>
    </i>
    <i>
      <x v="7"/>
    </i>
    <i>
      <x v="16"/>
    </i>
    <i>
      <x v="4"/>
    </i>
    <i>
      <x v="1"/>
    </i>
    <i>
      <x v="10"/>
    </i>
    <i t="grand">
      <x/>
    </i>
  </rowItems>
  <colItems count="1">
    <i/>
  </colItems>
  <dataFields count="1">
    <dataField name="Average of Automation_Probability_2030" fld="6" subtotal="average" baseField="0" baseItem="14" numFmtId="2"/>
  </dataFields>
  <chartFormats count="1">
    <chartFormat chart="3"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2C30798-F66B-4A7E-8552-34B099C1E8FD}"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12:J16" firstHeaderRow="1" firstDataRow="1" firstDataCol="1"/>
  <pivotFields count="20">
    <pivotField dataField="1" showAll="0"/>
    <pivotField showAll="0"/>
    <pivotField showAll="0"/>
    <pivotField showAll="0">
      <items count="5">
        <item x="3"/>
        <item x="2"/>
        <item x="0"/>
        <item x="1"/>
        <item t="default"/>
      </items>
    </pivotField>
    <pivotField showAll="0"/>
    <pivotField numFmtId="2" showAll="0"/>
    <pivotField numFmtId="2" showAll="0"/>
    <pivotField showAll="0">
      <items count="4">
        <item x="0"/>
        <item x="1"/>
        <item x="2"/>
        <item t="default"/>
      </items>
    </pivotField>
    <pivotField showAll="0"/>
    <pivotField showAll="0"/>
    <pivotField showAll="0"/>
    <pivotField showAll="0"/>
    <pivotField showAll="0"/>
    <pivotField showAll="0"/>
    <pivotField showAll="0"/>
    <pivotField showAll="0"/>
    <pivotField showAll="0"/>
    <pivotField showAll="0"/>
    <pivotField axis="axisRow" showAll="0">
      <items count="4">
        <item x="1"/>
        <item x="2"/>
        <item x="0"/>
        <item t="default"/>
      </items>
    </pivotField>
    <pivotField showAll="0"/>
  </pivotFields>
  <rowFields count="1">
    <field x="18"/>
  </rowFields>
  <rowItems count="4">
    <i>
      <x/>
    </i>
    <i>
      <x v="1"/>
    </i>
    <i>
      <x v="2"/>
    </i>
    <i t="grand">
      <x/>
    </i>
  </rowItems>
  <colItems count="1">
    <i/>
  </colItems>
  <dataFields count="1">
    <dataField name="Count of Job" fld="0" subtotal="count" baseField="18"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DDE7EA4-CB82-45C5-B967-9FBD2A078827}"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H4:J9" firstHeaderRow="0" firstDataRow="1" firstDataCol="1"/>
  <pivotFields count="20">
    <pivotField showAll="0"/>
    <pivotField dataField="1" showAll="0">
      <items count="2961">
        <item x="2111"/>
        <item x="70"/>
        <item x="52"/>
        <item x="1357"/>
        <item x="396"/>
        <item x="1413"/>
        <item x="1376"/>
        <item x="173"/>
        <item x="1976"/>
        <item x="2900"/>
        <item x="795"/>
        <item x="656"/>
        <item x="591"/>
        <item x="805"/>
        <item x="987"/>
        <item x="2177"/>
        <item x="365"/>
        <item x="525"/>
        <item x="2316"/>
        <item x="2283"/>
        <item x="326"/>
        <item x="662"/>
        <item x="755"/>
        <item x="942"/>
        <item x="2267"/>
        <item x="2557"/>
        <item x="1956"/>
        <item x="2924"/>
        <item x="1009"/>
        <item x="2347"/>
        <item x="757"/>
        <item x="81"/>
        <item x="688"/>
        <item x="1264"/>
        <item x="501"/>
        <item x="2107"/>
        <item x="932"/>
        <item x="2224"/>
        <item x="1862"/>
        <item x="354"/>
        <item x="835"/>
        <item x="414"/>
        <item x="1029"/>
        <item x="1059"/>
        <item x="1753"/>
        <item x="1592"/>
        <item x="1741"/>
        <item x="131"/>
        <item x="82"/>
        <item x="1013"/>
        <item x="2947"/>
        <item x="233"/>
        <item x="1024"/>
        <item x="836"/>
        <item x="2275"/>
        <item x="15"/>
        <item x="2709"/>
        <item x="557"/>
        <item x="218"/>
        <item x="601"/>
        <item x="2000"/>
        <item x="758"/>
        <item x="357"/>
        <item x="1958"/>
        <item x="1656"/>
        <item x="27"/>
        <item x="2024"/>
        <item x="400"/>
        <item x="965"/>
        <item x="23"/>
        <item x="1475"/>
        <item x="2864"/>
        <item x="2672"/>
        <item x="1401"/>
        <item x="1329"/>
        <item x="1806"/>
        <item x="1619"/>
        <item x="780"/>
        <item x="843"/>
        <item x="963"/>
        <item x="2688"/>
        <item x="736"/>
        <item x="2144"/>
        <item x="2822"/>
        <item x="645"/>
        <item x="1920"/>
        <item x="2925"/>
        <item x="851"/>
        <item x="1133"/>
        <item x="1491"/>
        <item x="2918"/>
        <item x="554"/>
        <item x="571"/>
        <item x="2845"/>
        <item x="2279"/>
        <item x="2379"/>
        <item x="1711"/>
        <item x="1665"/>
        <item x="1510"/>
        <item x="2453"/>
        <item x="1336"/>
        <item x="1611"/>
        <item x="345"/>
        <item x="834"/>
        <item x="2656"/>
        <item x="223"/>
        <item x="2805"/>
        <item x="506"/>
        <item x="1966"/>
        <item x="2566"/>
        <item x="1504"/>
        <item x="1876"/>
        <item x="2558"/>
        <item x="1224"/>
        <item x="317"/>
        <item x="426"/>
        <item x="2366"/>
        <item x="1746"/>
        <item x="1581"/>
        <item x="1961"/>
        <item x="2949"/>
        <item x="1178"/>
        <item x="2660"/>
        <item x="405"/>
        <item x="244"/>
        <item x="854"/>
        <item x="1421"/>
        <item x="2350"/>
        <item x="428"/>
        <item x="2546"/>
        <item x="1754"/>
        <item x="2497"/>
        <item x="2787"/>
        <item x="2780"/>
        <item x="1524"/>
        <item x="2349"/>
        <item x="609"/>
        <item x="1328"/>
        <item x="2639"/>
        <item x="1574"/>
        <item x="2385"/>
        <item x="1422"/>
        <item x="1373"/>
        <item x="1695"/>
        <item x="1203"/>
        <item x="1686"/>
        <item x="2813"/>
        <item x="892"/>
        <item x="2895"/>
        <item x="797"/>
        <item x="2713"/>
        <item x="2749"/>
        <item x="2696"/>
        <item x="140"/>
        <item x="823"/>
        <item x="1776"/>
        <item x="2501"/>
        <item x="86"/>
        <item x="124"/>
        <item x="1564"/>
        <item x="2694"/>
        <item x="158"/>
        <item x="1927"/>
        <item x="912"/>
        <item x="16"/>
        <item x="2790"/>
        <item x="1229"/>
        <item x="1993"/>
        <item x="2748"/>
        <item x="1545"/>
        <item x="1651"/>
        <item x="1774"/>
        <item x="127"/>
        <item x="2487"/>
        <item x="2663"/>
        <item x="1633"/>
        <item x="1088"/>
        <item x="292"/>
        <item x="1529"/>
        <item x="207"/>
        <item x="149"/>
        <item x="1940"/>
        <item x="2547"/>
        <item x="1878"/>
        <item x="2606"/>
        <item x="440"/>
        <item x="626"/>
        <item x="1002"/>
        <item x="2701"/>
        <item x="1969"/>
        <item x="1537"/>
        <item x="46"/>
        <item x="2210"/>
        <item x="2437"/>
        <item x="1759"/>
        <item x="895"/>
        <item x="1900"/>
        <item x="359"/>
        <item x="1319"/>
        <item x="1769"/>
        <item x="2121"/>
        <item x="577"/>
        <item x="1817"/>
        <item x="1362"/>
        <item x="465"/>
        <item x="2284"/>
        <item x="2478"/>
        <item x="1249"/>
        <item x="827"/>
        <item x="2886"/>
        <item x="632"/>
        <item x="2009"/>
        <item x="1266"/>
        <item x="453"/>
        <item x="2153"/>
        <item x="430"/>
        <item x="271"/>
        <item x="486"/>
        <item x="1213"/>
        <item x="2088"/>
        <item x="2736"/>
        <item x="2243"/>
        <item x="565"/>
        <item x="2881"/>
        <item x="48"/>
        <item x="1254"/>
        <item x="2635"/>
        <item x="2166"/>
        <item x="341"/>
        <item x="799"/>
        <item x="1889"/>
        <item x="358"/>
        <item x="274"/>
        <item x="2879"/>
        <item x="513"/>
        <item x="2190"/>
        <item x="2952"/>
        <item x="2718"/>
        <item x="1241"/>
        <item x="2360"/>
        <item x="155"/>
        <item x="25"/>
        <item x="152"/>
        <item x="2844"/>
        <item x="2341"/>
        <item x="115"/>
        <item x="675"/>
        <item x="425"/>
        <item x="2883"/>
        <item x="985"/>
        <item x="492"/>
        <item x="1323"/>
        <item x="2532"/>
        <item x="1998"/>
        <item x="1004"/>
        <item x="487"/>
        <item x="222"/>
        <item x="2485"/>
        <item x="2734"/>
        <item x="701"/>
        <item x="2236"/>
        <item x="1146"/>
        <item x="2423"/>
        <item x="449"/>
        <item x="896"/>
        <item x="2499"/>
        <item x="1291"/>
        <item x="2906"/>
        <item x="1714"/>
        <item x="125"/>
        <item x="117"/>
        <item x="2178"/>
        <item x="910"/>
        <item x="1359"/>
        <item x="116"/>
        <item x="179"/>
        <item x="2215"/>
        <item x="1576"/>
        <item x="1138"/>
        <item x="2246"/>
        <item x="2766"/>
        <item x="364"/>
        <item x="1033"/>
        <item x="2375"/>
        <item x="2531"/>
        <item x="975"/>
        <item x="1311"/>
        <item x="1639"/>
        <item x="1025"/>
        <item x="2299"/>
        <item x="2878"/>
        <item x="2697"/>
        <item x="1560"/>
        <item x="89"/>
        <item x="789"/>
        <item x="303"/>
        <item x="1287"/>
        <item x="470"/>
        <item x="2806"/>
        <item x="2399"/>
        <item x="2311"/>
        <item x="2290"/>
        <item x="2155"/>
        <item x="1035"/>
        <item x="2578"/>
        <item x="2338"/>
        <item x="1168"/>
        <item x="1184"/>
        <item x="1771"/>
        <item x="2898"/>
        <item x="2674"/>
        <item x="575"/>
        <item x="1159"/>
        <item x="2922"/>
        <item x="388"/>
        <item x="2371"/>
        <item x="498"/>
        <item x="1048"/>
        <item x="1531"/>
        <item x="202"/>
        <item x="2633"/>
        <item x="1582"/>
        <item x="1465"/>
        <item x="1188"/>
        <item x="2521"/>
        <item x="927"/>
        <item x="592"/>
        <item x="1262"/>
        <item x="1410"/>
        <item x="2735"/>
        <item x="2516"/>
        <item x="959"/>
        <item x="2180"/>
        <item x="1871"/>
        <item x="1985"/>
        <item x="20"/>
        <item x="1955"/>
        <item x="597"/>
        <item x="1948"/>
        <item x="2837"/>
        <item x="976"/>
        <item x="716"/>
        <item x="2112"/>
        <item x="2774"/>
        <item x="1122"/>
        <item x="1290"/>
        <item x="619"/>
        <item x="1087"/>
        <item x="444"/>
        <item x="2762"/>
        <item x="1158"/>
        <item x="2418"/>
        <item x="34"/>
        <item x="517"/>
        <item x="1634"/>
        <item x="1404"/>
        <item x="2256"/>
        <item x="1706"/>
        <item x="256"/>
        <item x="1445"/>
        <item x="2803"/>
        <item x="946"/>
        <item x="636"/>
        <item x="1499"/>
        <item x="1881"/>
        <item x="2957"/>
        <item x="809"/>
        <item x="1992"/>
        <item x="2761"/>
        <item x="1932"/>
        <item x="1286"/>
        <item x="2010"/>
        <item x="2346"/>
        <item x="1054"/>
        <item x="1606"/>
        <item x="427"/>
        <item x="1730"/>
        <item x="1732"/>
        <item x="2715"/>
        <item x="2405"/>
        <item x="1325"/>
        <item x="2417"/>
        <item x="1127"/>
        <item x="1225"/>
        <item x="2291"/>
        <item x="934"/>
        <item x="172"/>
        <item x="2873"/>
        <item x="2574"/>
        <item x="273"/>
        <item x="1671"/>
        <item x="1858"/>
        <item x="1978"/>
        <item x="748"/>
        <item x="2421"/>
        <item x="2165"/>
        <item x="2796"/>
        <item x="2907"/>
        <item x="1867"/>
        <item x="1733"/>
        <item x="1226"/>
        <item x="1579"/>
        <item x="2162"/>
        <item x="558"/>
        <item x="1914"/>
        <item x="1268"/>
        <item x="1586"/>
        <item x="2739"/>
        <item x="2260"/>
        <item x="182"/>
        <item x="2731"/>
        <item x="418"/>
        <item x="397"/>
        <item x="2352"/>
        <item x="1300"/>
        <item x="519"/>
        <item x="1056"/>
        <item x="815"/>
        <item x="0"/>
        <item x="1064"/>
        <item x="822"/>
        <item x="2192"/>
        <item x="392"/>
        <item x="2690"/>
        <item x="112"/>
        <item x="1397"/>
        <item x="137"/>
        <item x="1052"/>
        <item x="1788"/>
        <item x="673"/>
        <item x="921"/>
        <item x="2655"/>
        <item x="227"/>
        <item x="2699"/>
        <item x="282"/>
        <item x="2148"/>
        <item x="297"/>
        <item x="1902"/>
        <item x="1365"/>
        <item x="1169"/>
        <item x="324"/>
        <item x="469"/>
        <item x="237"/>
        <item x="1435"/>
        <item x="2340"/>
        <item x="539"/>
        <item x="2335"/>
        <item x="1480"/>
        <item x="318"/>
        <item x="104"/>
        <item x="560"/>
        <item x="511"/>
        <item x="1102"/>
        <item x="1045"/>
        <item x="2367"/>
        <item x="2607"/>
        <item x="2604"/>
        <item x="438"/>
        <item x="2188"/>
        <item x="1556"/>
        <item x="638"/>
        <item x="2508"/>
        <item x="1204"/>
        <item x="2164"/>
        <item x="1361"/>
        <item x="928"/>
        <item x="1995"/>
        <item x="1905"/>
        <item x="936"/>
        <item x="863"/>
        <item x="1850"/>
        <item x="1779"/>
        <item x="482"/>
        <item x="1335"/>
        <item x="1855"/>
        <item x="1693"/>
        <item x="1991"/>
        <item x="1182"/>
        <item x="2829"/>
        <item x="1650"/>
        <item x="2509"/>
        <item x="2432"/>
        <item x="296"/>
        <item x="1847"/>
        <item x="699"/>
        <item x="771"/>
        <item x="144"/>
        <item x="782"/>
        <item x="2240"/>
        <item x="251"/>
        <item x="1472"/>
        <item x="316"/>
        <item x="955"/>
        <item x="1971"/>
        <item x="1402"/>
        <item x="370"/>
        <item x="796"/>
        <item x="417"/>
        <item x="1756"/>
        <item x="720"/>
        <item x="145"/>
        <item x="939"/>
        <item x="21"/>
        <item x="1258"/>
        <item x="871"/>
        <item x="2298"/>
        <item x="1395"/>
        <item x="1500"/>
        <item x="141"/>
        <item x="1487"/>
        <item x="1974"/>
        <item x="671"/>
        <item x="2861"/>
        <item x="2033"/>
        <item x="97"/>
        <item x="600"/>
        <item x="1082"/>
        <item x="55"/>
        <item x="522"/>
        <item x="2353"/>
        <item x="295"/>
        <item x="2528"/>
        <item x="2524"/>
        <item x="876"/>
        <item x="2812"/>
        <item x="133"/>
        <item x="2098"/>
        <item x="711"/>
        <item x="2769"/>
        <item x="2126"/>
        <item x="2313"/>
        <item x="2251"/>
        <item x="1666"/>
        <item x="648"/>
        <item x="742"/>
        <item x="749"/>
        <item x="1380"/>
        <item x="2272"/>
        <item x="2840"/>
        <item x="2452"/>
        <item x="1209"/>
        <item x="204"/>
        <item x="459"/>
        <item x="346"/>
        <item x="1509"/>
        <item x="623"/>
        <item x="629"/>
        <item x="1050"/>
        <item x="1823"/>
        <item x="1016"/>
        <item x="2342"/>
        <item x="2794"/>
        <item x="804"/>
        <item x="2037"/>
        <item x="548"/>
        <item x="1550"/>
        <item x="1722"/>
        <item x="944"/>
        <item x="690"/>
        <item x="2093"/>
        <item x="157"/>
        <item x="2585"/>
        <item x="1768"/>
        <item x="1135"/>
        <item x="2199"/>
        <item x="894"/>
        <item x="187"/>
        <item x="1608"/>
        <item x="2425"/>
        <item x="772"/>
        <item x="2443"/>
        <item x="986"/>
        <item x="833"/>
        <item x="294"/>
        <item x="42"/>
        <item x="2893"/>
        <item x="1778"/>
        <item x="2130"/>
        <item x="991"/>
        <item x="1320"/>
        <item x="2424"/>
        <item x="134"/>
        <item x="567"/>
        <item x="2641"/>
        <item x="1423"/>
        <item x="1766"/>
        <item x="1709"/>
        <item x="1326"/>
        <item x="2273"/>
        <item x="2759"/>
        <item x="917"/>
        <item x="2737"/>
        <item x="1277"/>
        <item x="2458"/>
        <item x="402"/>
        <item x="1411"/>
        <item x="1765"/>
        <item x="1885"/>
        <item x="7"/>
        <item x="2467"/>
        <item x="1590"/>
        <item x="319"/>
        <item x="2565"/>
        <item x="2044"/>
        <item x="186"/>
        <item x="2434"/>
        <item x="2003"/>
        <item x="38"/>
        <item x="1317"/>
        <item x="2238"/>
        <item x="247"/>
        <item x="159"/>
        <item x="1046"/>
        <item x="1937"/>
        <item x="66"/>
        <item x="2116"/>
        <item x="810"/>
        <item x="2645"/>
        <item x="132"/>
        <item x="2908"/>
        <item x="2163"/>
        <item x="2185"/>
        <item x="1573"/>
        <item x="340"/>
        <item x="2042"/>
        <item x="239"/>
        <item x="1166"/>
        <item x="2799"/>
        <item x="2071"/>
        <item x="1390"/>
        <item x="2239"/>
        <item x="219"/>
        <item x="962"/>
        <item x="1067"/>
        <item x="378"/>
        <item x="678"/>
        <item x="1303"/>
        <item x="2049"/>
        <item x="2616"/>
        <item x="627"/>
        <item x="1199"/>
        <item x="1638"/>
        <item x="499"/>
        <item x="93"/>
        <item x="2312"/>
        <item x="85"/>
        <item x="793"/>
        <item x="165"/>
        <item x="2867"/>
        <item x="1738"/>
        <item x="2212"/>
        <item x="1160"/>
        <item x="1681"/>
        <item x="2659"/>
        <item x="1427"/>
        <item x="1767"/>
        <item x="325"/>
        <item x="2337"/>
        <item x="1109"/>
        <item x="267"/>
        <item x="2254"/>
        <item x="2496"/>
        <item x="80"/>
        <item x="2721"/>
        <item x="2779"/>
        <item x="1211"/>
        <item x="1728"/>
        <item x="101"/>
        <item x="1308"/>
        <item x="861"/>
        <item x="773"/>
        <item x="1289"/>
        <item x="1058"/>
        <item x="2209"/>
        <item x="1267"/>
        <item x="1737"/>
        <item x="923"/>
        <item x="1743"/>
        <item x="2217"/>
        <item x="1157"/>
        <item x="2092"/>
        <item x="214"/>
        <item x="1684"/>
        <item x="2733"/>
        <item x="2526"/>
        <item x="721"/>
        <item x="2330"/>
        <item x="2767"/>
        <item x="2329"/>
        <item x="2646"/>
        <item x="614"/>
        <item x="2306"/>
        <item x="2318"/>
        <item x="660"/>
        <item x="1864"/>
        <item x="1834"/>
        <item x="1869"/>
        <item x="1618"/>
        <item x="564"/>
        <item x="2361"/>
        <item x="2702"/>
        <item x="2725"/>
        <item x="2295"/>
        <item x="1007"/>
        <item x="2722"/>
        <item x="2249"/>
        <item x="717"/>
        <item x="200"/>
        <item x="1070"/>
        <item x="2411"/>
        <item x="436"/>
        <item x="107"/>
        <item x="1936"/>
        <item x="676"/>
        <item x="535"/>
        <item x="2171"/>
        <item x="1321"/>
        <item x="1794"/>
        <item x="2608"/>
        <item x="2826"/>
        <item x="1193"/>
        <item x="1192"/>
        <item x="685"/>
        <item x="121"/>
        <item x="2753"/>
        <item x="22"/>
        <item x="1836"/>
        <item x="1234"/>
        <item x="507"/>
        <item x="2277"/>
        <item x="1419"/>
        <item x="431"/>
        <item x="1352"/>
        <item x="2407"/>
        <item x="2666"/>
        <item x="2390"/>
        <item x="2807"/>
        <item x="1899"/>
        <item x="87"/>
        <item x="103"/>
        <item x="1552"/>
        <item x="2021"/>
        <item x="1331"/>
        <item x="500"/>
        <item x="1620"/>
        <item x="2865"/>
        <item x="890"/>
        <item x="1126"/>
        <item x="2005"/>
        <item x="1621"/>
        <item x="1913"/>
        <item x="435"/>
        <item x="447"/>
        <item x="1757"/>
        <item x="1170"/>
        <item x="2754"/>
        <item x="1972"/>
        <item x="2928"/>
        <item x="891"/>
        <item x="1630"/>
        <item x="2472"/>
        <item x="1929"/>
        <item x="615"/>
        <item x="1750"/>
        <item x="1663"/>
        <item x="224"/>
        <item x="410"/>
        <item x="1093"/>
        <item x="75"/>
        <item x="2849"/>
        <item x="35"/>
        <item x="356"/>
        <item x="2498"/>
        <item x="308"/>
        <item x="351"/>
        <item x="1464"/>
        <item x="2564"/>
        <item x="839"/>
        <item x="864"/>
        <item x="1020"/>
        <item x="2354"/>
        <item x="1707"/>
        <item x="2047"/>
        <item x="819"/>
        <item x="1803"/>
        <item x="2435"/>
        <item x="1027"/>
        <item x="1195"/>
        <item x="663"/>
        <item x="504"/>
        <item x="496"/>
        <item x="1385"/>
        <item x="2945"/>
        <item x="1628"/>
        <item x="2218"/>
        <item x="1790"/>
        <item x="1006"/>
        <item x="2838"/>
        <item x="1664"/>
        <item x="2136"/>
        <item x="2355"/>
        <item x="984"/>
        <item x="2958"/>
        <item x="2904"/>
        <item x="887"/>
        <item x="335"/>
        <item x="2880"/>
        <item x="637"/>
        <item x="2836"/>
        <item x="2827"/>
        <item x="1073"/>
        <item x="94"/>
        <item x="1982"/>
        <item x="2398"/>
        <item x="2682"/>
        <item x="1176"/>
        <item x="613"/>
        <item x="2252"/>
        <item x="1802"/>
        <item x="1827"/>
        <item x="347"/>
        <item x="2221"/>
        <item x="988"/>
        <item x="2773"/>
        <item x="1981"/>
        <item x="1398"/>
        <item x="185"/>
        <item x="483"/>
        <item x="705"/>
        <item x="824"/>
        <item x="2406"/>
        <item x="2271"/>
        <item x="1605"/>
        <item x="1116"/>
        <item x="126"/>
        <item x="997"/>
        <item x="2675"/>
        <item x="2551"/>
        <item x="1983"/>
        <item x="2561"/>
        <item x="2108"/>
        <item x="562"/>
        <item x="2760"/>
        <item x="1409"/>
        <item x="456"/>
        <item x="1837"/>
        <item x="1825"/>
        <item x="559"/>
        <item x="2846"/>
        <item x="2691"/>
        <item x="385"/>
        <item x="2788"/>
        <item x="337"/>
        <item x="241"/>
        <item x="1502"/>
        <item x="394"/>
        <item x="2940"/>
        <item x="1708"/>
        <item x="2934"/>
        <item x="336"/>
        <item x="2511"/>
        <item x="546"/>
        <item x="2196"/>
        <item x="1800"/>
        <item x="2179"/>
        <item x="751"/>
        <item x="1431"/>
        <item x="36"/>
        <item x="1012"/>
        <item x="505"/>
        <item x="2124"/>
        <item x="2014"/>
        <item x="485"/>
        <item x="1795"/>
        <item x="682"/>
        <item x="279"/>
        <item x="1840"/>
        <item x="1952"/>
        <item x="2466"/>
        <item x="2396"/>
        <item x="661"/>
        <item x="1901"/>
        <item x="966"/>
        <item x="2784"/>
        <item x="1101"/>
        <item x="2648"/>
        <item x="1610"/>
        <item x="2455"/>
        <item x="1588"/>
        <item x="889"/>
        <item x="423"/>
        <item x="2630"/>
        <item x="2229"/>
        <item x="1275"/>
        <item x="2095"/>
        <item x="1583"/>
        <item x="2517"/>
        <item x="1782"/>
        <item x="2843"/>
        <item x="2755"/>
        <item x="236"/>
        <item x="2710"/>
        <item x="1330"/>
        <item x="2149"/>
        <item x="2814"/>
        <item x="1174"/>
        <item x="1719"/>
        <item x="1731"/>
        <item x="1849"/>
        <item x="1447"/>
        <item x="2426"/>
        <item x="2257"/>
        <item x="1496"/>
        <item x="2225"/>
        <item x="323"/>
        <item x="841"/>
        <item x="2442"/>
        <item x="2553"/>
        <item x="893"/>
        <item x="1811"/>
        <item x="2373"/>
        <item x="448"/>
        <item x="260"/>
        <item x="1044"/>
        <item x="393"/>
        <item x="1923"/>
        <item x="1996"/>
        <item x="1791"/>
        <item x="1580"/>
        <item x="334"/>
        <item x="2582"/>
        <item x="2797"/>
        <item x="2923"/>
        <item x="2427"/>
        <item x="1433"/>
        <item x="1696"/>
        <item x="73"/>
        <item x="1797"/>
        <item x="2419"/>
        <item x="1542"/>
        <item x="1894"/>
        <item x="1615"/>
        <item x="321"/>
        <item x="2661"/>
        <item x="2550"/>
        <item x="945"/>
        <item x="2105"/>
        <item x="904"/>
        <item x="2250"/>
        <item x="1302"/>
        <item x="1271"/>
        <item x="2065"/>
        <item x="2535"/>
        <item x="2728"/>
        <item x="72"/>
        <item x="2643"/>
        <item x="2101"/>
        <item x="138"/>
        <item x="1874"/>
        <item x="468"/>
        <item x="2002"/>
        <item x="1868"/>
        <item x="2793"/>
        <item x="551"/>
        <item x="1272"/>
        <item x="398"/>
        <item x="1368"/>
        <item x="2665"/>
        <item x="2445"/>
        <item x="2389"/>
        <item x="1761"/>
        <item x="26"/>
        <item x="1796"/>
        <item x="740"/>
        <item x="2051"/>
        <item x="1607"/>
        <item x="406"/>
        <item x="2369"/>
        <item x="767"/>
        <item x="2420"/>
        <item x="2852"/>
        <item x="1378"/>
        <item x="1091"/>
        <item x="2506"/>
        <item x="1460"/>
        <item x="1200"/>
        <item x="2287"/>
        <item x="2523"/>
        <item x="31"/>
        <item x="2402"/>
        <item x="1163"/>
        <item x="1333"/>
        <item x="1895"/>
        <item x="930"/>
        <item x="766"/>
        <item x="1941"/>
        <item x="88"/>
        <item x="2082"/>
        <item x="2468"/>
        <item x="403"/>
        <item x="2842"/>
        <item x="527"/>
        <item x="1612"/>
        <item x="2469"/>
        <item x="2833"/>
        <item x="2276"/>
        <item x="1891"/>
        <item x="2723"/>
        <item x="280"/>
        <item x="913"/>
        <item x="2205"/>
        <item x="2636"/>
        <item x="2334"/>
        <item x="276"/>
        <item x="2220"/>
        <item x="1528"/>
        <item x="4"/>
        <item x="119"/>
        <item x="989"/>
        <item x="2029"/>
        <item x="2815"/>
        <item x="2738"/>
        <item x="2204"/>
        <item x="489"/>
        <item x="1434"/>
        <item x="1208"/>
        <item x="587"/>
        <item x="1305"/>
        <item x="868"/>
        <item x="2941"/>
        <item x="1259"/>
        <item x="2034"/>
        <item x="683"/>
        <item x="1783"/>
        <item x="2119"/>
        <item x="2064"/>
        <item x="1578"/>
        <item x="1944"/>
        <item x="2061"/>
        <item x="862"/>
        <item x="594"/>
        <item x="2297"/>
        <item x="1918"/>
        <item x="908"/>
        <item x="2652"/>
        <item x="284"/>
        <item x="728"/>
        <item x="852"/>
        <item x="262"/>
        <item x="59"/>
        <item x="476"/>
        <item x="1655"/>
        <item x="1389"/>
        <item x="1100"/>
        <item x="1369"/>
        <item x="2471"/>
        <item x="2054"/>
        <item x="49"/>
        <item x="555"/>
        <item x="2777"/>
        <item x="1055"/>
        <item x="948"/>
        <item x="2479"/>
        <item x="2937"/>
        <item x="1646"/>
        <item x="2897"/>
        <item x="2127"/>
        <item x="666"/>
        <item x="832"/>
        <item x="479"/>
        <item x="1416"/>
        <item x="442"/>
        <item x="2194"/>
        <item x="726"/>
        <item x="110"/>
        <item x="1888"/>
        <item x="1644"/>
        <item x="2927"/>
        <item x="777"/>
        <item x="583"/>
        <item x="2097"/>
        <item x="1530"/>
        <item x="148"/>
        <item x="2519"/>
        <item x="961"/>
        <item x="2301"/>
        <item x="163"/>
        <item x="582"/>
        <item x="2280"/>
        <item x="373"/>
        <item x="2227"/>
        <item x="1848"/>
        <item x="2916"/>
        <item x="689"/>
        <item x="640"/>
        <item x="2156"/>
        <item x="2441"/>
        <item x="1859"/>
        <item x="2700"/>
        <item x="1185"/>
        <item x="1699"/>
        <item x="2480"/>
        <item x="2169"/>
        <item x="2476"/>
        <item x="1819"/>
        <item x="2746"/>
        <item x="2103"/>
        <item x="2586"/>
        <item x="1454"/>
        <item x="1145"/>
        <item x="315"/>
        <item x="2684"/>
        <item x="1521"/>
        <item x="230"/>
        <item x="2237"/>
        <item x="2140"/>
        <item x="2428"/>
        <item x="307"/>
        <item x="2926"/>
        <item x="1939"/>
        <item x="1295"/>
        <item x="1856"/>
        <item x="596"/>
        <item x="521"/>
        <item x="1553"/>
        <item x="2529"/>
        <item x="1382"/>
        <item x="1713"/>
        <item x="196"/>
        <item x="254"/>
        <item x="1438"/>
        <item x="879"/>
        <item x="175"/>
        <item x="220"/>
        <item x="2623"/>
        <item x="2408"/>
        <item x="128"/>
        <item x="298"/>
        <item x="1647"/>
        <item x="2514"/>
        <item x="1798"/>
        <item x="829"/>
        <item x="674"/>
        <item x="2400"/>
        <item x="2914"/>
        <item x="108"/>
        <item x="2680"/>
        <item x="2520"/>
        <item x="1540"/>
        <item x="542"/>
        <item x="1631"/>
        <item x="95"/>
        <item x="2599"/>
        <item x="1038"/>
        <item x="995"/>
        <item x="1893"/>
        <item x="2074"/>
        <item x="98"/>
        <item x="1165"/>
        <item x="818"/>
        <item x="360"/>
        <item x="752"/>
        <item x="1065"/>
        <item x="1772"/>
        <item x="885"/>
        <item x="2383"/>
        <item x="420"/>
        <item x="2642"/>
        <item x="588"/>
        <item x="2431"/>
        <item x="735"/>
        <item x="883"/>
        <item x="578"/>
        <item x="642"/>
        <item x="1117"/>
        <item x="1600"/>
        <item x="363"/>
        <item x="1701"/>
        <item x="2772"/>
        <item x="471"/>
        <item x="1345"/>
        <item x="983"/>
        <item x="2771"/>
        <item x="2019"/>
        <item x="2491"/>
        <item x="424"/>
        <item x="935"/>
        <item x="1999"/>
        <item x="2791"/>
        <item x="2560"/>
        <item x="911"/>
        <item x="495"/>
        <item x="2484"/>
        <item x="350"/>
        <item x="135"/>
        <item x="778"/>
        <item x="2460"/>
        <item x="979"/>
        <item x="1717"/>
        <item x="873"/>
        <item x="512"/>
        <item x="2513"/>
        <item x="1092"/>
        <item x="1954"/>
        <item x="2817"/>
        <item x="1953"/>
        <item x="1022"/>
        <item x="1922"/>
        <item x="1478"/>
        <item x="1021"/>
        <item x="2248"/>
        <item x="2954"/>
        <item x="177"/>
        <item x="1493"/>
        <item x="180"/>
        <item x="608"/>
        <item x="1230"/>
        <item x="765"/>
        <item x="2356"/>
        <item x="399"/>
        <item x="2089"/>
        <item x="91"/>
        <item x="2820"/>
        <item x="589"/>
        <item x="473"/>
        <item x="288"/>
        <item x="523"/>
        <item x="621"/>
        <item x="530"/>
        <item x="1488"/>
        <item x="1299"/>
        <item x="2244"/>
        <item x="1973"/>
        <item x="1459"/>
        <item x="229"/>
        <item x="2782"/>
        <item x="1497"/>
        <item x="2902"/>
        <item x="1826"/>
        <item x="1218"/>
        <item x="2232"/>
        <item x="408"/>
        <item x="1780"/>
        <item x="1522"/>
        <item x="2891"/>
        <item x="12"/>
        <item x="1451"/>
        <item x="549"/>
        <item x="1960"/>
        <item x="1692"/>
        <item x="784"/>
        <item x="1613"/>
        <item x="540"/>
        <item x="2948"/>
        <item x="1414"/>
        <item x="800"/>
        <item x="1186"/>
        <item x="1943"/>
        <item x="1363"/>
        <item x="1906"/>
        <item x="331"/>
        <item x="1003"/>
        <item x="1946"/>
        <item x="2848"/>
        <item x="2892"/>
        <item x="769"/>
        <item x="811"/>
        <item x="1616"/>
        <item x="1124"/>
        <item x="1518"/>
        <item x="2039"/>
        <item x="381"/>
        <item x="655"/>
        <item x="831"/>
        <item x="2859"/>
        <item x="1533"/>
        <item x="1687"/>
        <item x="445"/>
        <item x="2490"/>
        <item x="2293"/>
        <item x="761"/>
        <item x="1245"/>
        <item x="1257"/>
        <item x="2030"/>
        <item x="2510"/>
        <item x="576"/>
        <item x="1720"/>
        <item x="2847"/>
        <item x="2821"/>
        <item x="1111"/>
        <item x="2548"/>
        <item x="1942"/>
        <item x="2810"/>
        <item x="1950"/>
        <item x="1787"/>
        <item x="1313"/>
        <item x="2640"/>
        <item x="1407"/>
        <item x="1751"/>
        <item x="1105"/>
        <item x="2450"/>
        <item x="2703"/>
        <item x="1037"/>
        <item x="434"/>
        <item x="593"/>
        <item x="595"/>
        <item x="1011"/>
        <item x="478"/>
        <item x="2658"/>
        <item x="2726"/>
        <item x="842"/>
        <item x="607"/>
        <item x="283"/>
        <item x="188"/>
        <item x="193"/>
        <item x="2160"/>
        <item x="1575"/>
        <item x="1729"/>
        <item x="62"/>
        <item x="1654"/>
        <item x="1131"/>
        <item x="10"/>
        <item x="1781"/>
        <item x="1561"/>
        <item x="1285"/>
        <item x="556"/>
        <item x="2198"/>
        <item x="2634"/>
        <item x="723"/>
        <item x="329"/>
        <item x="2081"/>
        <item x="747"/>
        <item x="461"/>
        <item x="2022"/>
        <item x="2853"/>
        <item x="2086"/>
        <item x="1125"/>
        <item x="1672"/>
        <item x="64"/>
        <item x="1658"/>
        <item x="1381"/>
        <item x="1949"/>
        <item x="628"/>
        <item x="2618"/>
        <item x="333"/>
        <item x="1292"/>
        <item x="1831"/>
        <item x="2869"/>
        <item x="2104"/>
        <item x="2135"/>
        <item x="1495"/>
        <item x="484"/>
        <item x="1244"/>
        <item x="2173"/>
        <item x="533"/>
        <item x="1248"/>
        <item x="2036"/>
        <item x="537"/>
        <item x="189"/>
        <item x="2439"/>
        <item x="508"/>
        <item x="2912"/>
        <item x="1010"/>
        <item x="270"/>
        <item x="1541"/>
        <item x="215"/>
        <item x="2911"/>
        <item x="2677"/>
        <item x="2917"/>
        <item x="2621"/>
        <item x="327"/>
        <item x="2502"/>
        <item x="9"/>
        <item x="2050"/>
        <item x="1904"/>
        <item x="2079"/>
        <item x="1238"/>
        <item x="2265"/>
        <item x="866"/>
        <item x="191"/>
        <item x="1559"/>
        <item x="1694"/>
        <item x="875"/>
        <item x="2186"/>
        <item x="722"/>
        <item x="2011"/>
        <item x="2234"/>
        <item x="2362"/>
        <item x="235"/>
        <item x="76"/>
        <item x="1426"/>
        <item x="192"/>
        <item x="994"/>
        <item x="2600"/>
        <item x="268"/>
        <item x="454"/>
        <item x="2326"/>
        <item x="2368"/>
        <item x="729"/>
        <item x="2219"/>
        <item x="2161"/>
        <item x="1337"/>
        <item x="1678"/>
        <item x="1177"/>
        <item x="898"/>
        <item x="1425"/>
        <item x="1818"/>
        <item x="212"/>
        <item x="538"/>
        <item x="929"/>
        <item x="1449"/>
        <item x="1114"/>
        <item x="1851"/>
        <item x="2575"/>
        <item x="2573"/>
        <item x="2955"/>
        <item x="2230"/>
        <item x="451"/>
        <item x="516"/>
        <item x="1079"/>
        <item x="1875"/>
        <item x="2834"/>
        <item x="2855"/>
        <item x="462"/>
        <item x="1990"/>
        <item x="2174"/>
        <item x="768"/>
        <item x="1239"/>
        <item x="71"/>
        <item x="2572"/>
        <item x="1001"/>
        <item x="1181"/>
        <item x="1115"/>
        <item x="2154"/>
        <item x="1469"/>
        <item x="664"/>
        <item x="1596"/>
        <item x="2885"/>
        <item x="1591"/>
        <item x="694"/>
        <item x="2438"/>
        <item x="1467"/>
        <item x="2828"/>
        <item x="2102"/>
        <item x="919"/>
        <item x="2522"/>
        <item x="708"/>
        <item x="672"/>
        <item x="2942"/>
        <item x="2698"/>
        <item x="374"/>
        <item x="514"/>
        <item x="515"/>
        <item x="39"/>
        <item x="872"/>
        <item x="1670"/>
        <item x="825"/>
        <item x="2884"/>
        <item x="1872"/>
        <item x="1880"/>
        <item x="2580"/>
        <item x="2851"/>
        <item x="1173"/>
        <item x="2208"/>
        <item x="412"/>
        <item x="996"/>
        <item x="1334"/>
        <item x="1214"/>
        <item x="1589"/>
        <item x="2286"/>
        <item x="2692"/>
        <item x="2896"/>
        <item x="176"/>
        <item x="28"/>
        <item x="1515"/>
        <item x="1236"/>
        <item x="164"/>
        <item x="1571"/>
        <item x="612"/>
        <item x="692"/>
        <item x="2825"/>
        <item x="1269"/>
        <item x="2333"/>
        <item x="1841"/>
        <item x="2226"/>
        <item x="344"/>
        <item x="275"/>
        <item x="1069"/>
        <item x="952"/>
        <item x="1546"/>
        <item x="130"/>
        <item x="429"/>
        <item x="139"/>
        <item x="2651"/>
        <item x="762"/>
        <item x="2628"/>
        <item x="1598"/>
        <item x="2594"/>
        <item x="2913"/>
        <item x="2808"/>
        <item x="1432"/>
        <item x="584"/>
        <item x="2763"/>
        <item x="475"/>
        <item x="1727"/>
        <item x="1822"/>
        <item x="2233"/>
        <item x="1643"/>
        <item x="1307"/>
        <item x="847"/>
        <item x="1602"/>
        <item x="1854"/>
        <item x="2802"/>
        <item x="840"/>
        <item x="1649"/>
        <item x="2874"/>
        <item x="2182"/>
        <item x="1072"/>
        <item x="990"/>
        <item x="1223"/>
        <item x="1506"/>
        <item x="2653"/>
        <item x="858"/>
        <item x="2909"/>
        <item x="129"/>
        <item x="882"/>
        <item x="2601"/>
        <item x="2554"/>
        <item x="1513"/>
        <item x="293"/>
        <item x="949"/>
        <item x="1049"/>
        <item x="1924"/>
        <item x="1265"/>
        <item x="724"/>
        <item x="1026"/>
        <item x="718"/>
        <item x="2308"/>
        <item x="2027"/>
        <item x="1057"/>
        <item x="264"/>
        <item x="33"/>
        <item x="2901"/>
        <item x="830"/>
        <item x="1832"/>
        <item x="1078"/>
        <item x="1567"/>
        <item x="2816"/>
        <item x="1076"/>
        <item x="161"/>
        <item x="2689"/>
        <item x="2113"/>
        <item x="1947"/>
        <item x="2543"/>
        <item x="37"/>
        <item x="2200"/>
        <item x="1150"/>
        <item x="679"/>
        <item x="888"/>
        <item x="113"/>
        <item x="65"/>
        <item x="2046"/>
        <item x="289"/>
        <item x="5"/>
        <item x="2744"/>
        <item x="1339"/>
        <item x="2348"/>
        <item x="225"/>
        <item x="745"/>
        <item x="680"/>
        <item x="2214"/>
        <item x="502"/>
        <item x="1112"/>
        <item x="58"/>
        <item x="902"/>
        <item x="1143"/>
        <item x="1153"/>
        <item x="1354"/>
        <item x="914"/>
        <item x="2087"/>
        <item x="2292"/>
        <item x="2657"/>
        <item x="349"/>
        <item x="814"/>
        <item x="2544"/>
        <item x="1418"/>
        <item x="147"/>
        <item x="1099"/>
        <item x="1877"/>
        <item x="788"/>
        <item x="1812"/>
        <item x="2693"/>
        <item x="328"/>
        <item x="2475"/>
        <item x="491"/>
        <item x="1060"/>
        <item x="443"/>
        <item x="2100"/>
        <item x="2776"/>
        <item x="2464"/>
        <item x="1458"/>
        <item x="2515"/>
        <item x="1386"/>
        <item x="248"/>
        <item x="1725"/>
        <item x="2307"/>
        <item x="1187"/>
        <item x="2631"/>
        <item x="1041"/>
        <item x="2461"/>
        <item x="2503"/>
        <item x="466"/>
        <item x="1221"/>
        <item x="1601"/>
        <item x="1471"/>
        <item x="2525"/>
        <item x="1517"/>
        <item x="2818"/>
        <item x="686"/>
        <item x="1394"/>
        <item x="2899"/>
        <item x="96"/>
        <item x="2183"/>
        <item x="901"/>
        <item x="1231"/>
        <item x="1690"/>
        <item x="1501"/>
        <item x="1327"/>
        <item x="737"/>
        <item x="57"/>
        <item x="2386"/>
        <item x="2404"/>
        <item x="1917"/>
        <item x="2288"/>
        <item x="352"/>
        <item x="1503"/>
        <item x="1042"/>
        <item x="2170"/>
        <item x="156"/>
        <item x="2197"/>
        <item x="1083"/>
        <item x="1838"/>
        <item x="287"/>
        <item x="2172"/>
        <item x="272"/>
        <item x="1343"/>
        <item x="198"/>
        <item x="651"/>
        <item x="497"/>
        <item x="382"/>
        <item x="1085"/>
        <item x="2775"/>
        <item x="2541"/>
        <item x="2536"/>
        <item x="2494"/>
        <item x="1463"/>
        <item x="1405"/>
        <item x="14"/>
        <item x="286"/>
        <item x="550"/>
        <item x="1688"/>
        <item x="1705"/>
        <item x="2571"/>
        <item x="45"/>
        <item x="2862"/>
        <item x="670"/>
        <item x="2345"/>
        <item x="2324"/>
        <item x="446"/>
        <item x="1691"/>
        <item x="51"/>
        <item x="1392"/>
        <item x="2465"/>
        <item x="878"/>
        <item x="167"/>
        <item x="311"/>
        <item x="1293"/>
        <item x="2488"/>
        <item x="634"/>
        <item x="2282"/>
        <item x="1860"/>
        <item x="2882"/>
        <item x="1206"/>
        <item x="2391"/>
        <item x="624"/>
        <item x="2500"/>
        <item x="1387"/>
        <item x="1086"/>
        <item x="2589"/>
        <item x="1482"/>
        <item x="585"/>
        <item x="1346"/>
        <item x="801"/>
        <item x="2380"/>
        <item x="1814"/>
        <item x="2072"/>
        <item x="1685"/>
        <item x="2327"/>
        <item x="1523"/>
        <item x="312"/>
        <item x="1450"/>
        <item x="441"/>
        <item x="924"/>
        <item x="92"/>
        <item x="146"/>
        <item x="1316"/>
        <item x="999"/>
        <item x="2008"/>
        <item x="1498"/>
        <item x="907"/>
        <item x="2841"/>
        <item x="1659"/>
        <item x="599"/>
        <item x="2495"/>
        <item x="1288"/>
        <item x="1584"/>
        <item x="677"/>
        <item x="1457"/>
        <item x="367"/>
        <item x="1965"/>
        <item x="2181"/>
        <item x="1253"/>
        <item x="1762"/>
        <item x="2032"/>
        <item x="1547"/>
        <item x="2562"/>
        <item x="846"/>
        <item x="1773"/>
        <item x="1374"/>
        <item x="510"/>
        <item x="2314"/>
        <item x="243"/>
        <item x="1652"/>
        <item x="1032"/>
        <item x="1809"/>
        <item x="281"/>
        <item x="1470"/>
        <item x="2673"/>
        <item x="1747"/>
        <item x="166"/>
        <item x="1371"/>
        <item x="2158"/>
        <item x="228"/>
        <item x="2004"/>
        <item x="1106"/>
        <item x="1740"/>
        <item x="1675"/>
        <item x="739"/>
        <item x="1415"/>
        <item x="389"/>
        <item x="2758"/>
        <item x="956"/>
        <item x="2167"/>
        <item x="837"/>
        <item x="1661"/>
        <item x="1294"/>
        <item x="1662"/>
        <item x="938"/>
        <item x="1554"/>
        <item x="1689"/>
        <item x="2201"/>
        <item x="2605"/>
        <item x="2950"/>
        <item x="967"/>
        <item x="1018"/>
        <item x="631"/>
        <item x="968"/>
        <item x="1702"/>
        <item x="1494"/>
        <item x="2321"/>
        <item x="2028"/>
        <item x="659"/>
        <item x="937"/>
        <item x="2141"/>
        <item x="2576"/>
        <item x="2446"/>
        <item x="2289"/>
        <item x="1570"/>
        <item x="653"/>
        <item x="2905"/>
        <item x="1544"/>
        <item x="1789"/>
        <item x="1008"/>
        <item x="277"/>
        <item x="1071"/>
        <item x="309"/>
        <item x="32"/>
        <item x="2676"/>
        <item x="2084"/>
        <item x="114"/>
        <item x="1047"/>
        <item x="1379"/>
        <item x="2129"/>
        <item x="2381"/>
        <item x="1980"/>
        <item x="2507"/>
        <item x="320"/>
        <item x="1863"/>
        <item x="1935"/>
        <item x="2016"/>
        <item x="1679"/>
        <item x="2915"/>
        <item x="1139"/>
        <item x="647"/>
        <item x="1263"/>
        <item x="2213"/>
        <item x="2470"/>
        <item x="29"/>
        <item x="1338"/>
        <item x="1227"/>
        <item x="2823"/>
        <item x="2336"/>
        <item x="2372"/>
        <item x="1015"/>
        <item x="2228"/>
        <item x="1828"/>
        <item x="339"/>
        <item x="620"/>
        <item x="257"/>
        <item x="17"/>
        <item x="221"/>
        <item x="616"/>
        <item x="2537"/>
        <item x="457"/>
        <item x="2255"/>
        <item x="419"/>
        <item x="120"/>
        <item x="2278"/>
        <item x="2792"/>
        <item x="1830"/>
        <item x="1815"/>
        <item x="1132"/>
        <item x="1428"/>
        <item x="1816"/>
        <item x="903"/>
        <item x="2013"/>
        <item x="1957"/>
        <item x="2612"/>
        <item x="853"/>
        <item x="960"/>
        <item x="1149"/>
        <item x="725"/>
        <item x="2025"/>
        <item x="2315"/>
        <item x="1667"/>
        <item x="774"/>
        <item x="2264"/>
        <item x="2416"/>
        <item x="439"/>
        <item x="1549"/>
        <item x="1190"/>
        <item x="383"/>
        <item x="1609"/>
        <item x="404"/>
        <item x="950"/>
        <item x="2146"/>
        <item x="1215"/>
        <item x="1444"/>
        <item x="1744"/>
        <item x="174"/>
        <item x="1653"/>
        <item x="1372"/>
        <item x="1910"/>
        <item x="1839"/>
        <item x="1367"/>
        <item x="2006"/>
        <item x="2920"/>
        <item x="2678"/>
        <item x="1453"/>
        <item x="931"/>
        <item x="2269"/>
        <item x="261"/>
        <item x="1350"/>
        <item x="649"/>
        <item x="1977"/>
        <item x="2486"/>
        <item x="639"/>
        <item x="553"/>
        <item x="2056"/>
        <item x="1476"/>
        <item x="2007"/>
        <item x="849"/>
        <item x="1129"/>
        <item x="1516"/>
        <item x="2921"/>
        <item x="79"/>
        <item x="1964"/>
        <item x="2811"/>
        <item x="250"/>
        <item x="635"/>
        <item x="2319"/>
        <item x="877"/>
        <item x="1107"/>
        <item x="668"/>
        <item x="536"/>
        <item x="2462"/>
        <item x="1568"/>
        <item x="2602"/>
        <item x="232"/>
        <item x="2045"/>
        <item x="2125"/>
        <item x="1348"/>
        <item x="2123"/>
        <item x="2344"/>
        <item x="99"/>
        <item x="2858"/>
        <item x="2888"/>
        <item x="1614"/>
        <item x="658"/>
        <item x="1677"/>
        <item x="1406"/>
        <item x="413"/>
        <item x="1715"/>
        <item x="941"/>
        <item x="2534"/>
        <item x="2388"/>
        <item x="545"/>
        <item x="1975"/>
        <item x="973"/>
        <item x="998"/>
        <item x="194"/>
        <item x="867"/>
        <item x="1282"/>
        <item x="1511"/>
        <item x="1585"/>
        <item x="371"/>
        <item x="171"/>
        <item x="1324"/>
        <item x="2062"/>
        <item x="6"/>
        <item x="1676"/>
        <item x="2598"/>
        <item x="2090"/>
        <item x="306"/>
        <item x="170"/>
        <item x="1793"/>
        <item x="2627"/>
        <item x="828"/>
        <item x="1617"/>
        <item x="1332"/>
        <item x="2745"/>
        <item x="817"/>
        <item x="1777"/>
        <item x="870"/>
        <item x="1256"/>
        <item x="2593"/>
        <item x="850"/>
        <item x="355"/>
        <item x="19"/>
        <item x="2151"/>
        <item x="1273"/>
        <item x="102"/>
        <item x="1090"/>
        <item x="978"/>
        <item x="2716"/>
        <item x="1156"/>
        <item x="2946"/>
        <item x="313"/>
        <item x="2322"/>
        <item x="2043"/>
        <item x="67"/>
        <item x="348"/>
        <item x="1440"/>
        <item x="681"/>
        <item x="750"/>
        <item x="2929"/>
        <item x="1648"/>
        <item x="993"/>
        <item x="1399"/>
        <item x="925"/>
        <item x="1912"/>
        <item x="1938"/>
        <item x="2412"/>
        <item x="1704"/>
        <item x="377"/>
        <item x="2048"/>
        <item x="44"/>
        <item x="1853"/>
        <item x="1557"/>
        <item x="2052"/>
        <item x="719"/>
        <item x="900"/>
        <item x="1353"/>
        <item x="1452"/>
        <item x="1807"/>
        <item x="106"/>
        <item x="203"/>
        <item x="2302"/>
        <item x="610"/>
        <item x="1342"/>
        <item x="1383"/>
        <item x="1813"/>
        <item x="2351"/>
        <item x="2930"/>
        <item x="1280"/>
        <item x="255"/>
        <item x="2637"/>
        <item x="1804"/>
        <item x="2711"/>
        <item x="2740"/>
        <item x="2247"/>
        <item x="1074"/>
        <item x="1468"/>
        <item x="1536"/>
        <item x="1144"/>
        <item x="422"/>
        <item x="569"/>
        <item x="844"/>
        <item x="1724"/>
        <item x="2456"/>
        <item x="40"/>
        <item x="2956"/>
        <item x="450"/>
        <item x="1207"/>
        <item x="305"/>
        <item x="2839"/>
        <item x="1151"/>
        <item x="1412"/>
        <item x="2263"/>
        <item x="2625"/>
        <item x="1097"/>
        <item x="1030"/>
        <item x="2742"/>
        <item x="1039"/>
        <item x="2714"/>
        <item x="2143"/>
        <item x="1886"/>
        <item x="2085"/>
        <item x="2671"/>
        <item x="169"/>
        <item x="467"/>
        <item x="1623"/>
        <item x="981"/>
        <item x="1882"/>
        <item x="2681"/>
        <item x="881"/>
        <item x="1217"/>
        <item x="2041"/>
        <item x="926"/>
        <item x="1697"/>
        <item x="310"/>
        <item x="190"/>
        <item x="886"/>
        <item x="1775"/>
        <item x="2410"/>
        <item x="2890"/>
        <item x="1210"/>
        <item x="753"/>
        <item x="1682"/>
        <item x="1786"/>
        <item x="509"/>
        <item x="520"/>
        <item x="2430"/>
        <item x="1636"/>
        <item x="1014"/>
        <item x="366"/>
        <item x="1196"/>
        <item x="2877"/>
        <item x="1758"/>
        <item x="1439"/>
        <item x="2358"/>
        <item x="566"/>
        <item x="933"/>
        <item x="2241"/>
        <item x="738"/>
        <item x="2624"/>
        <item x="1104"/>
        <item x="2444"/>
        <item x="90"/>
        <item x="100"/>
        <item x="1120"/>
        <item x="2473"/>
        <item x="1322"/>
        <item x="2145"/>
        <item x="693"/>
        <item x="1028"/>
        <item x="695"/>
        <item x="2270"/>
        <item x="2492"/>
        <item x="1164"/>
        <item x="2069"/>
        <item x="391"/>
        <item x="741"/>
        <item x="1928"/>
        <item x="1172"/>
        <item x="2592"/>
        <item x="1593"/>
        <item x="30"/>
        <item x="1240"/>
        <item x="2783"/>
        <item x="2474"/>
        <item x="526"/>
        <item x="2577"/>
        <item x="1152"/>
        <item x="1189"/>
        <item x="1446"/>
        <item x="1525"/>
        <item x="1366"/>
        <item x="2070"/>
        <item x="1865"/>
        <item x="245"/>
        <item x="1925"/>
        <item x="2073"/>
        <item x="1735"/>
        <item x="1489"/>
        <item x="573"/>
        <item x="2667"/>
        <item x="954"/>
        <item x="2563"/>
        <item x="1824"/>
        <item x="1437"/>
        <item x="1857"/>
        <item x="2910"/>
        <item x="1232"/>
        <item x="368"/>
        <item x="2712"/>
        <item x="1110"/>
        <item x="2785"/>
        <item x="787"/>
        <item x="1242"/>
        <item x="2206"/>
        <item x="1063"/>
        <item x="2679"/>
        <item x="1113"/>
        <item x="301"/>
        <item x="463"/>
        <item x="2058"/>
        <item x="1017"/>
        <item x="2786"/>
        <item x="2378"/>
        <item x="759"/>
        <item x="240"/>
        <item x="2518"/>
        <item x="1461"/>
        <item x="2068"/>
        <item x="1870"/>
        <item x="922"/>
        <item x="2176"/>
        <item x="1548"/>
        <item x="13"/>
        <item x="1128"/>
        <item x="1726"/>
        <item x="1979"/>
        <item x="1448"/>
        <item x="2132"/>
        <item x="2781"/>
        <item x="68"/>
        <item x="1077"/>
        <item x="503"/>
        <item x="2202"/>
        <item x="1645"/>
        <item x="2060"/>
        <item x="2729"/>
        <item x="880"/>
        <item x="2091"/>
        <item x="1147"/>
        <item x="855"/>
        <item x="531"/>
        <item x="253"/>
        <item x="178"/>
        <item x="712"/>
        <item x="246"/>
        <item x="1829"/>
        <item x="1577"/>
        <item x="1669"/>
        <item x="611"/>
        <item x="2094"/>
        <item x="2538"/>
        <item x="1970"/>
        <item x="83"/>
        <item x="2168"/>
        <item x="754"/>
        <item x="1808"/>
        <item x="1739"/>
        <item x="943"/>
        <item x="2717"/>
        <item x="899"/>
        <item x="2235"/>
        <item x="11"/>
        <item x="300"/>
        <item x="1712"/>
        <item x="1370"/>
        <item x="1252"/>
        <item x="332"/>
        <item x="2584"/>
        <item x="1309"/>
        <item x="361"/>
        <item x="1243"/>
        <item x="2875"/>
        <item x="249"/>
        <item x="50"/>
        <item x="154"/>
        <item x="2261"/>
        <item x="1700"/>
        <item x="812"/>
        <item x="650"/>
        <item x="1745"/>
        <item x="353"/>
        <item x="859"/>
        <item x="285"/>
        <item x="1481"/>
        <item x="2765"/>
        <item x="490"/>
        <item x="1963"/>
        <item x="697"/>
        <item x="1304"/>
        <item x="906"/>
        <item x="1551"/>
        <item x="1123"/>
        <item x="205"/>
        <item x="1723"/>
        <item x="211"/>
        <item x="1520"/>
        <item x="602"/>
        <item x="1233"/>
        <item x="387"/>
        <item x="61"/>
        <item x="2894"/>
        <item x="1792"/>
        <item x="1171"/>
        <item x="209"/>
        <item x="1703"/>
        <item x="657"/>
        <item x="775"/>
        <item x="2268"/>
        <item x="2211"/>
        <item x="1604"/>
        <item x="2747"/>
        <item x="2732"/>
        <item x="2556"/>
        <item x="184"/>
        <item x="1191"/>
        <item x="918"/>
        <item x="779"/>
        <item x="2953"/>
        <item x="1103"/>
        <item x="2695"/>
        <item x="2422"/>
        <item x="2138"/>
        <item x="1034"/>
        <item x="2393"/>
        <item x="2370"/>
        <item x="957"/>
        <item x="2933"/>
        <item x="195"/>
        <item x="547"/>
        <item x="1162"/>
        <item x="153"/>
        <item x="1081"/>
        <item x="118"/>
        <item x="1930"/>
        <item x="1246"/>
        <item x="206"/>
        <item x="2359"/>
        <item x="785"/>
        <item x="2533"/>
        <item x="2057"/>
        <item x="2018"/>
        <item x="1833"/>
        <item x="1799"/>
        <item x="1933"/>
        <item x="2325"/>
        <item x="2804"/>
        <item x="160"/>
        <item x="2620"/>
        <item x="84"/>
        <item x="1595"/>
        <item x="2704"/>
        <item x="226"/>
        <item x="1358"/>
        <item x="2026"/>
        <item x="1216"/>
        <item x="2778"/>
        <item x="2830"/>
        <item x="579"/>
        <item x="709"/>
        <item x="1921"/>
        <item x="1594"/>
        <item x="2075"/>
        <item x="437"/>
        <item x="2128"/>
        <item x="210"/>
        <item x="2824"/>
        <item x="395"/>
        <item x="798"/>
        <item x="977"/>
        <item x="1296"/>
        <item x="2668"/>
        <item x="142"/>
        <item x="1430"/>
        <item x="322"/>
        <item x="1391"/>
        <item x="1945"/>
        <item x="2939"/>
        <item x="2686"/>
        <item x="964"/>
        <item x="1484"/>
        <item x="1417"/>
        <item x="807"/>
        <item x="2187"/>
        <item x="734"/>
        <item x="2770"/>
        <item x="1919"/>
        <item x="369"/>
        <item x="1640"/>
        <item x="704"/>
        <item x="1632"/>
        <item x="455"/>
        <item x="971"/>
        <item x="1951"/>
        <item x="1084"/>
        <item x="2017"/>
        <item x="1873"/>
        <item x="2118"/>
        <item x="168"/>
        <item x="1490"/>
        <item x="1967"/>
        <item x="2951"/>
        <item x="1424"/>
        <item x="691"/>
        <item x="2549"/>
        <item x="162"/>
        <item x="2959"/>
        <item x="1879"/>
        <item x="2131"/>
        <item x="2617"/>
        <item x="2449"/>
        <item x="2035"/>
        <item x="552"/>
        <item x="1846"/>
        <item x="2706"/>
        <item x="2110"/>
        <item x="763"/>
        <item x="2801"/>
        <item x="1637"/>
        <item x="2504"/>
        <item x="343"/>
        <item x="69"/>
        <item x="2610"/>
        <item x="2512"/>
        <item x="481"/>
        <item x="1915"/>
        <item x="2377"/>
        <item x="1883"/>
        <item x="2195"/>
        <item x="1527"/>
        <item x="2539"/>
        <item x="2795"/>
        <item x="2447"/>
        <item x="2357"/>
        <item x="2559"/>
        <item x="2457"/>
        <item x="1801"/>
        <item x="24"/>
        <item x="2622"/>
        <item x="568"/>
        <item x="1642"/>
        <item x="2647"/>
        <item x="2203"/>
        <item x="2409"/>
        <item x="122"/>
        <item x="1538"/>
        <item x="1562"/>
        <item x="1884"/>
        <item x="687"/>
        <item x="813"/>
        <item x="980"/>
        <item x="2831"/>
        <item x="1167"/>
        <item x="1997"/>
        <item x="2309"/>
        <item x="2122"/>
        <item x="2364"/>
        <item x="2303"/>
        <item x="1155"/>
        <item x="2133"/>
        <item x="982"/>
        <item x="2944"/>
        <item x="1845"/>
        <item x="1455"/>
        <item x="1558"/>
        <item x="2724"/>
        <item x="1673"/>
        <item x="1119"/>
        <item x="2870"/>
        <item x="2294"/>
        <item x="1062"/>
        <item x="2943"/>
        <item x="2619"/>
        <item x="604"/>
        <item x="2542"/>
        <item x="2296"/>
        <item x="1760"/>
        <item x="1096"/>
        <item x="2481"/>
        <item x="2505"/>
        <item x="1136"/>
        <item x="1911"/>
        <item x="643"/>
        <item x="1903"/>
        <item x="1247"/>
        <item x="1220"/>
        <item x="1347"/>
        <item x="2545"/>
        <item x="1597"/>
        <item x="816"/>
        <item x="915"/>
        <item x="2080"/>
        <item x="1625"/>
        <item x="1466"/>
        <item x="1019"/>
        <item x="730"/>
        <item x="714"/>
        <item x="953"/>
        <item x="1222"/>
        <item x="2382"/>
        <item x="920"/>
        <item x="2012"/>
        <item x="480"/>
        <item x="1228"/>
        <item x="54"/>
        <item x="2317"/>
        <item x="1036"/>
        <item x="630"/>
        <item x="2040"/>
        <item x="2392"/>
        <item x="2756"/>
        <item x="1507"/>
        <item x="617"/>
        <item x="2720"/>
        <item x="1351"/>
        <item x="1462"/>
        <item x="2083"/>
        <item x="2567"/>
        <item x="1674"/>
        <item x="760"/>
        <item x="494"/>
        <item x="2304"/>
        <item x="1310"/>
        <item x="838"/>
        <item x="1474"/>
        <item x="2310"/>
        <item x="123"/>
        <item x="2889"/>
        <item x="2242"/>
        <item x="1934"/>
        <item x="1748"/>
        <item x="1175"/>
        <item x="1587"/>
        <item x="1987"/>
        <item x="379"/>
        <item x="1356"/>
        <item x="1526"/>
        <item x="572"/>
        <item x="1926"/>
        <item x="452"/>
        <item x="1909"/>
        <item x="1897"/>
        <item x="2253"/>
        <item x="2866"/>
        <item x="432"/>
        <item x="263"/>
        <item x="1890"/>
        <item x="1749"/>
        <item x="2596"/>
        <item x="1393"/>
        <item x="2159"/>
        <item x="1898"/>
        <item x="746"/>
        <item x="2142"/>
        <item x="2588"/>
        <item x="477"/>
        <item x="1068"/>
        <item x="1108"/>
        <item x="2117"/>
        <item x="2530"/>
        <item x="958"/>
        <item x="1721"/>
        <item x="2454"/>
        <item x="2719"/>
        <item x="1543"/>
        <item x="299"/>
        <item x="2579"/>
        <item x="2451"/>
        <item x="667"/>
        <item x="848"/>
        <item x="2077"/>
        <item x="314"/>
        <item x="109"/>
        <item x="2038"/>
        <item x="905"/>
        <item x="2394"/>
        <item x="715"/>
        <item x="2328"/>
        <item x="1835"/>
        <item x="2750"/>
        <item x="1130"/>
        <item x="2157"/>
        <item x="1137"/>
        <item x="1988"/>
        <item x="1212"/>
        <item x="1403"/>
        <item x="1563"/>
        <item x="1680"/>
        <item x="856"/>
        <item x="1994"/>
        <item x="581"/>
        <item x="242"/>
        <item x="532"/>
        <item x="1668"/>
        <item x="1555"/>
        <item x="2020"/>
        <item x="63"/>
        <item x="1297"/>
        <item x="1442"/>
        <item x="1095"/>
        <item x="1396"/>
        <item x="474"/>
        <item x="1306"/>
        <item x="1360"/>
        <item x="2583"/>
        <item x="1314"/>
        <item x="2685"/>
        <item x="199"/>
        <item x="2231"/>
        <item x="2581"/>
        <item x="2632"/>
        <item x="909"/>
        <item x="2055"/>
        <item x="2274"/>
        <item x="2063"/>
        <item x="1344"/>
        <item x="2764"/>
        <item x="534"/>
        <item x="586"/>
        <item x="2258"/>
        <item x="2216"/>
        <item x="2134"/>
        <item x="60"/>
        <item x="1896"/>
        <item x="974"/>
        <item x="2615"/>
        <item x="1820"/>
        <item x="703"/>
        <item x="792"/>
        <item x="845"/>
        <item x="372"/>
        <item x="2611"/>
        <item x="2374"/>
        <item x="2935"/>
        <item x="2590"/>
        <item x="1866"/>
        <item x="2222"/>
        <item x="733"/>
        <item x="2687"/>
        <item x="2707"/>
        <item x="2751"/>
        <item x="1624"/>
        <item x="2331"/>
        <item x="869"/>
        <item x="269"/>
        <item x="2860"/>
        <item x="1603"/>
        <item x="1"/>
        <item x="580"/>
        <item x="2493"/>
        <item x="1180"/>
        <item x="407"/>
        <item x="1384"/>
        <item x="731"/>
        <item x="2708"/>
        <item x="744"/>
        <item x="518"/>
        <item x="472"/>
        <item x="713"/>
        <item x="1140"/>
        <item x="1565"/>
        <item x="376"/>
        <item x="143"/>
        <item x="216"/>
        <item x="2629"/>
        <item x="2856"/>
        <item x="2175"/>
        <item x="1301"/>
        <item x="1121"/>
        <item x="1183"/>
        <item x="2903"/>
        <item x="857"/>
        <item x="972"/>
        <item x="1764"/>
        <item x="2936"/>
        <item x="1660"/>
        <item x="860"/>
        <item x="2483"/>
        <item x="947"/>
        <item x="2245"/>
        <item x="2662"/>
        <item x="2147"/>
        <item x="384"/>
        <item x="2809"/>
        <item x="2114"/>
        <item x="43"/>
        <item x="1770"/>
        <item x="2099"/>
        <item x="183"/>
        <item x="1089"/>
        <item x="1959"/>
        <item x="2259"/>
        <item x="2152"/>
        <item x="1312"/>
        <item x="259"/>
        <item x="696"/>
        <item x="1477"/>
        <item x="1916"/>
        <item x="2059"/>
        <item x="2752"/>
        <item x="2789"/>
        <item x="1194"/>
        <item x="727"/>
        <item x="458"/>
        <item x="409"/>
        <item x="1023"/>
        <item x="2285"/>
        <item x="2609"/>
        <item x="1441"/>
        <item x="2644"/>
        <item x="1283"/>
        <item x="1142"/>
        <item x="1519"/>
        <item x="786"/>
        <item x="743"/>
        <item x="2819"/>
        <item x="2741"/>
        <item x="2587"/>
        <item x="2654"/>
        <item x="1219"/>
        <item x="1061"/>
        <item x="2863"/>
        <item x="1852"/>
        <item x="770"/>
        <item x="181"/>
        <item x="706"/>
        <item x="488"/>
        <item x="2868"/>
        <item x="375"/>
        <item x="897"/>
        <item x="213"/>
        <item x="77"/>
        <item x="3"/>
        <item x="2115"/>
        <item x="1141"/>
        <item x="2569"/>
        <item x="380"/>
        <item x="1710"/>
        <item x="362"/>
        <item x="2768"/>
        <item x="1861"/>
        <item x="865"/>
        <item x="606"/>
        <item x="1388"/>
        <item x="1755"/>
        <item x="1508"/>
        <item x="2323"/>
        <item x="808"/>
        <item x="1261"/>
        <item x="756"/>
        <item x="2436"/>
        <item x="820"/>
        <item x="590"/>
        <item x="265"/>
        <item x="1844"/>
        <item x="136"/>
        <item x="2191"/>
        <item x="2459"/>
        <item x="401"/>
        <item x="1629"/>
        <item x="2193"/>
        <item x="460"/>
        <item x="1098"/>
        <item x="1908"/>
        <item x="2854"/>
        <item x="201"/>
        <item x="2120"/>
        <item x="764"/>
        <item x="2076"/>
        <item x="2207"/>
        <item x="884"/>
        <item x="1485"/>
        <item x="1205"/>
        <item x="1989"/>
        <item x="2919"/>
        <item x="1318"/>
        <item x="625"/>
        <item x="684"/>
        <item x="2477"/>
        <item x="1698"/>
        <item x="2649"/>
        <item x="1486"/>
        <item x="2876"/>
        <item x="2482"/>
        <item x="1984"/>
        <item x="1284"/>
        <item x="2800"/>
        <item x="2433"/>
        <item x="2832"/>
        <item x="411"/>
        <item x="524"/>
        <item x="1202"/>
        <item x="1641"/>
        <item x="633"/>
        <item x="1349"/>
        <item x="1535"/>
        <item x="1734"/>
        <item x="2106"/>
        <item x="570"/>
        <item x="2570"/>
        <item x="421"/>
        <item x="8"/>
        <item x="2413"/>
        <item x="208"/>
        <item x="2109"/>
        <item x="1274"/>
        <item x="781"/>
        <item x="1276"/>
        <item x="669"/>
        <item x="1539"/>
        <item x="1000"/>
        <item x="1278"/>
        <item x="1514"/>
        <item x="2305"/>
        <item x="916"/>
        <item x="2376"/>
        <item x="1179"/>
        <item x="1436"/>
        <item x="197"/>
        <item x="1198"/>
        <item x="290"/>
        <item x="2339"/>
        <item x="622"/>
        <item x="2626"/>
        <item x="598"/>
        <item x="561"/>
        <item x="2001"/>
        <item x="783"/>
        <item x="732"/>
        <item x="2015"/>
        <item x="1235"/>
        <item x="1742"/>
        <item x="2440"/>
        <item x="992"/>
        <item x="415"/>
        <item x="2603"/>
        <item x="2137"/>
        <item x="1843"/>
        <item x="1599"/>
        <item x="111"/>
        <item x="1201"/>
        <item x="1492"/>
        <item x="2664"/>
        <item x="802"/>
        <item x="2931"/>
        <item x="1429"/>
        <item x="1251"/>
        <item x="702"/>
        <item x="2384"/>
        <item x="1572"/>
        <item x="2023"/>
        <item x="2591"/>
        <item x="541"/>
        <item x="1736"/>
        <item x="1683"/>
        <item x="1505"/>
        <item x="2395"/>
        <item x="776"/>
        <item x="2527"/>
        <item x="710"/>
        <item x="1627"/>
        <item x="330"/>
        <item x="464"/>
        <item x="646"/>
        <item x="1892"/>
        <item x="1718"/>
        <item x="1887"/>
        <item x="707"/>
        <item x="2670"/>
        <item x="386"/>
        <item x="1080"/>
        <item x="1473"/>
        <item x="1635"/>
        <item x="1260"/>
        <item x="2300"/>
        <item x="234"/>
        <item x="1066"/>
        <item x="2403"/>
        <item x="2638"/>
        <item x="47"/>
        <item x="1270"/>
        <item x="1805"/>
        <item x="1400"/>
        <item x="1408"/>
        <item x="238"/>
        <item x="806"/>
        <item x="1986"/>
        <item x="2414"/>
        <item x="1355"/>
        <item x="969"/>
        <item x="2650"/>
        <item x="1237"/>
        <item x="1075"/>
        <item x="2139"/>
        <item x="2613"/>
        <item x="1250"/>
        <item x="2798"/>
        <item x="2614"/>
        <item x="217"/>
        <item x="1255"/>
        <item x="2448"/>
        <item x="1763"/>
        <item x="291"/>
        <item x="1375"/>
        <item x="302"/>
        <item x="258"/>
        <item x="105"/>
        <item x="2835"/>
        <item x="2332"/>
        <item x="2184"/>
        <item x="1657"/>
        <item x="1154"/>
        <item x="1377"/>
        <item x="2463"/>
        <item x="654"/>
        <item x="529"/>
        <item x="1043"/>
        <item x="794"/>
        <item x="1512"/>
        <item x="603"/>
        <item x="2365"/>
        <item x="493"/>
        <item x="2568"/>
        <item x="2066"/>
        <item x="790"/>
        <item x="2078"/>
        <item x="1785"/>
        <item x="528"/>
        <item x="1341"/>
        <item x="2150"/>
        <item x="1094"/>
        <item x="605"/>
        <item x="41"/>
        <item x="1821"/>
        <item x="2595"/>
        <item x="56"/>
        <item x="2857"/>
        <item x="1315"/>
        <item x="644"/>
        <item x="1483"/>
        <item x="803"/>
        <item x="1569"/>
        <item x="2850"/>
        <item x="433"/>
        <item x="1479"/>
        <item x="2320"/>
        <item x="2669"/>
        <item x="1340"/>
        <item x="2266"/>
        <item x="2887"/>
        <item x="74"/>
        <item x="2705"/>
        <item x="2415"/>
        <item x="1040"/>
        <item x="278"/>
        <item x="2387"/>
        <item x="1931"/>
        <item x="1005"/>
        <item x="2872"/>
        <item x="563"/>
        <item x="2031"/>
        <item x="1197"/>
        <item x="2938"/>
        <item x="2"/>
        <item x="1784"/>
        <item x="1279"/>
        <item x="231"/>
        <item x="1031"/>
        <item x="2067"/>
        <item x="2730"/>
        <item x="1298"/>
        <item x="1053"/>
        <item x="652"/>
        <item x="304"/>
        <item x="700"/>
        <item x="2757"/>
        <item x="2727"/>
        <item x="826"/>
        <item x="2932"/>
        <item x="2597"/>
        <item x="544"/>
        <item x="1281"/>
        <item x="543"/>
        <item x="338"/>
        <item x="1626"/>
        <item x="618"/>
        <item x="821"/>
        <item x="2281"/>
        <item x="641"/>
        <item x="2555"/>
        <item x="1161"/>
        <item x="2743"/>
        <item x="2683"/>
        <item x="2262"/>
        <item x="1364"/>
        <item x="1051"/>
        <item x="2401"/>
        <item x="2540"/>
        <item x="791"/>
        <item x="2397"/>
        <item x="2363"/>
        <item x="1118"/>
        <item x="252"/>
        <item x="1532"/>
        <item x="18"/>
        <item x="2871"/>
        <item x="951"/>
        <item x="1622"/>
        <item x="1962"/>
        <item x="1752"/>
        <item x="1420"/>
        <item x="266"/>
        <item x="665"/>
        <item x="78"/>
        <item x="940"/>
        <item x="416"/>
        <item x="1534"/>
        <item x="53"/>
        <item x="390"/>
        <item x="1134"/>
        <item x="2096"/>
        <item x="1842"/>
        <item x="1443"/>
        <item x="698"/>
        <item x="1907"/>
        <item x="151"/>
        <item x="574"/>
        <item x="1566"/>
        <item x="2429"/>
        <item x="2189"/>
        <item x="2053"/>
        <item x="1148"/>
        <item x="1968"/>
        <item x="342"/>
        <item x="1810"/>
        <item x="970"/>
        <item x="2343"/>
        <item x="874"/>
        <item x="2552"/>
        <item x="2489"/>
        <item x="1456"/>
        <item x="1716"/>
        <item x="2223"/>
        <item x="150"/>
        <item t="default"/>
      </items>
    </pivotField>
    <pivotField showAll="0"/>
    <pivotField axis="axisRow" showAll="0">
      <items count="5">
        <item x="3"/>
        <item x="2"/>
        <item x="0"/>
        <item x="1"/>
        <item t="default"/>
      </items>
    </pivotField>
    <pivotField showAll="0"/>
    <pivotField numFmtId="2" showAll="0"/>
    <pivotField dataField="1" numFmtId="2" showAll="0">
      <items count="92">
        <item x="1"/>
        <item x="19"/>
        <item x="34"/>
        <item x="47"/>
        <item x="63"/>
        <item x="5"/>
        <item x="37"/>
        <item x="54"/>
        <item x="61"/>
        <item x="41"/>
        <item x="18"/>
        <item x="74"/>
        <item x="7"/>
        <item x="82"/>
        <item x="27"/>
        <item x="42"/>
        <item x="13"/>
        <item x="29"/>
        <item x="70"/>
        <item x="52"/>
        <item x="88"/>
        <item x="75"/>
        <item x="15"/>
        <item x="16"/>
        <item x="21"/>
        <item x="85"/>
        <item x="57"/>
        <item x="86"/>
        <item x="20"/>
        <item x="55"/>
        <item x="53"/>
        <item x="46"/>
        <item x="49"/>
        <item x="48"/>
        <item x="65"/>
        <item x="10"/>
        <item x="6"/>
        <item x="71"/>
        <item x="87"/>
        <item x="30"/>
        <item x="84"/>
        <item x="36"/>
        <item x="25"/>
        <item x="8"/>
        <item x="78"/>
        <item x="11"/>
        <item x="50"/>
        <item x="43"/>
        <item x="68"/>
        <item x="22"/>
        <item x="33"/>
        <item x="23"/>
        <item x="64"/>
        <item x="14"/>
        <item x="31"/>
        <item x="3"/>
        <item x="45"/>
        <item x="69"/>
        <item x="12"/>
        <item x="4"/>
        <item x="38"/>
        <item x="72"/>
        <item x="79"/>
        <item x="26"/>
        <item x="66"/>
        <item x="58"/>
        <item x="76"/>
        <item x="28"/>
        <item x="67"/>
        <item x="44"/>
        <item x="73"/>
        <item x="39"/>
        <item x="62"/>
        <item x="80"/>
        <item x="77"/>
        <item x="9"/>
        <item x="2"/>
        <item x="90"/>
        <item x="35"/>
        <item x="56"/>
        <item x="0"/>
        <item x="83"/>
        <item x="59"/>
        <item x="51"/>
        <item x="81"/>
        <item x="40"/>
        <item x="32"/>
        <item x="24"/>
        <item x="17"/>
        <item x="89"/>
        <item x="60"/>
        <item t="default"/>
      </items>
    </pivotField>
    <pivotField showAll="0">
      <items count="4">
        <item x="0"/>
        <item x="1"/>
        <item x="2"/>
        <item t="default"/>
      </items>
    </pivotField>
    <pivotField showAll="0"/>
    <pivotField showAll="0"/>
    <pivotField showAll="0"/>
    <pivotField showAll="0"/>
    <pivotField showAll="0"/>
    <pivotField showAll="0"/>
    <pivotField showAll="0"/>
    <pivotField showAll="0"/>
    <pivotField showAll="0"/>
    <pivotField showAll="0"/>
    <pivotField showAll="0">
      <items count="4">
        <item x="1"/>
        <item x="2"/>
        <item x="0"/>
        <item t="default"/>
      </items>
    </pivotField>
    <pivotField showAll="0"/>
  </pivotFields>
  <rowFields count="1">
    <field x="3"/>
  </rowFields>
  <rowItems count="5">
    <i>
      <x/>
    </i>
    <i>
      <x v="1"/>
    </i>
    <i>
      <x v="2"/>
    </i>
    <i>
      <x v="3"/>
    </i>
    <i t="grand">
      <x/>
    </i>
  </rowItems>
  <colFields count="1">
    <field x="-2"/>
  </colFields>
  <colItems count="2">
    <i>
      <x/>
    </i>
    <i i="1">
      <x v="1"/>
    </i>
  </colItems>
  <dataFields count="2">
    <dataField name="Averge_Salary" fld="1" subtotal="average" baseField="3" baseItem="0"/>
    <dataField name="Average of Automation_Probability_2030" fld="6" subtotal="average" baseField="3" baseItem="1" numFmtId="2"/>
  </dataFields>
  <chartFormats count="2">
    <chartFormat chart="3" format="6"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194309B-2ED7-4A93-A8D2-3CD9D2BC4044}"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A4:C25" firstHeaderRow="0" firstDataRow="1" firstDataCol="1"/>
  <pivotFields count="20">
    <pivotField axis="axisRow" showAll="0">
      <items count="21">
        <item x="5"/>
        <item x="17"/>
        <item x="2"/>
        <item x="9"/>
        <item x="12"/>
        <item x="15"/>
        <item x="4"/>
        <item x="13"/>
        <item x="8"/>
        <item x="11"/>
        <item x="19"/>
        <item x="6"/>
        <item x="18"/>
        <item x="1"/>
        <item x="14"/>
        <item x="0"/>
        <item x="3"/>
        <item x="7"/>
        <item x="16"/>
        <item x="10"/>
        <item t="default"/>
      </items>
    </pivotField>
    <pivotField dataField="1" showAll="0">
      <items count="2961">
        <item x="2111"/>
        <item x="70"/>
        <item x="52"/>
        <item x="1357"/>
        <item x="396"/>
        <item x="1413"/>
        <item x="1376"/>
        <item x="173"/>
        <item x="1976"/>
        <item x="2900"/>
        <item x="795"/>
        <item x="656"/>
        <item x="591"/>
        <item x="805"/>
        <item x="987"/>
        <item x="2177"/>
        <item x="365"/>
        <item x="525"/>
        <item x="2316"/>
        <item x="2283"/>
        <item x="326"/>
        <item x="662"/>
        <item x="755"/>
        <item x="942"/>
        <item x="2267"/>
        <item x="2557"/>
        <item x="1956"/>
        <item x="2924"/>
        <item x="1009"/>
        <item x="2347"/>
        <item x="757"/>
        <item x="81"/>
        <item x="688"/>
        <item x="1264"/>
        <item x="501"/>
        <item x="2107"/>
        <item x="932"/>
        <item x="2224"/>
        <item x="1862"/>
        <item x="354"/>
        <item x="835"/>
        <item x="414"/>
        <item x="1029"/>
        <item x="1059"/>
        <item x="1753"/>
        <item x="1592"/>
        <item x="1741"/>
        <item x="131"/>
        <item x="82"/>
        <item x="1013"/>
        <item x="2947"/>
        <item x="233"/>
        <item x="1024"/>
        <item x="836"/>
        <item x="2275"/>
        <item x="15"/>
        <item x="2709"/>
        <item x="557"/>
        <item x="218"/>
        <item x="601"/>
        <item x="2000"/>
        <item x="758"/>
        <item x="357"/>
        <item x="1958"/>
        <item x="1656"/>
        <item x="27"/>
        <item x="2024"/>
        <item x="400"/>
        <item x="965"/>
        <item x="23"/>
        <item x="1475"/>
        <item x="2864"/>
        <item x="2672"/>
        <item x="1401"/>
        <item x="1329"/>
        <item x="1806"/>
        <item x="1619"/>
        <item x="780"/>
        <item x="843"/>
        <item x="963"/>
        <item x="2688"/>
        <item x="736"/>
        <item x="2144"/>
        <item x="2822"/>
        <item x="645"/>
        <item x="1920"/>
        <item x="2925"/>
        <item x="851"/>
        <item x="1133"/>
        <item x="1491"/>
        <item x="2918"/>
        <item x="554"/>
        <item x="571"/>
        <item x="2845"/>
        <item x="2279"/>
        <item x="2379"/>
        <item x="1711"/>
        <item x="1665"/>
        <item x="1510"/>
        <item x="2453"/>
        <item x="1336"/>
        <item x="1611"/>
        <item x="345"/>
        <item x="834"/>
        <item x="2656"/>
        <item x="223"/>
        <item x="2805"/>
        <item x="506"/>
        <item x="1966"/>
        <item x="2566"/>
        <item x="1504"/>
        <item x="1876"/>
        <item x="2558"/>
        <item x="1224"/>
        <item x="317"/>
        <item x="426"/>
        <item x="2366"/>
        <item x="1746"/>
        <item x="1581"/>
        <item x="1961"/>
        <item x="2949"/>
        <item x="1178"/>
        <item x="2660"/>
        <item x="405"/>
        <item x="244"/>
        <item x="854"/>
        <item x="1421"/>
        <item x="2350"/>
        <item x="428"/>
        <item x="2546"/>
        <item x="1754"/>
        <item x="2497"/>
        <item x="2787"/>
        <item x="2780"/>
        <item x="1524"/>
        <item x="2349"/>
        <item x="609"/>
        <item x="1328"/>
        <item x="2639"/>
        <item x="1574"/>
        <item x="2385"/>
        <item x="1422"/>
        <item x="1373"/>
        <item x="1695"/>
        <item x="1203"/>
        <item x="1686"/>
        <item x="2813"/>
        <item x="892"/>
        <item x="2895"/>
        <item x="797"/>
        <item x="2713"/>
        <item x="2749"/>
        <item x="2696"/>
        <item x="140"/>
        <item x="823"/>
        <item x="1776"/>
        <item x="2501"/>
        <item x="86"/>
        <item x="124"/>
        <item x="1564"/>
        <item x="2694"/>
        <item x="158"/>
        <item x="1927"/>
        <item x="912"/>
        <item x="16"/>
        <item x="2790"/>
        <item x="1229"/>
        <item x="1993"/>
        <item x="2748"/>
        <item x="1545"/>
        <item x="1651"/>
        <item x="1774"/>
        <item x="127"/>
        <item x="2487"/>
        <item x="2663"/>
        <item x="1633"/>
        <item x="1088"/>
        <item x="292"/>
        <item x="1529"/>
        <item x="207"/>
        <item x="149"/>
        <item x="1940"/>
        <item x="2547"/>
        <item x="1878"/>
        <item x="2606"/>
        <item x="440"/>
        <item x="626"/>
        <item x="1002"/>
        <item x="2701"/>
        <item x="1969"/>
        <item x="1537"/>
        <item x="46"/>
        <item x="2210"/>
        <item x="2437"/>
        <item x="1759"/>
        <item x="895"/>
        <item x="1900"/>
        <item x="359"/>
        <item x="1319"/>
        <item x="1769"/>
        <item x="2121"/>
        <item x="577"/>
        <item x="1817"/>
        <item x="1362"/>
        <item x="465"/>
        <item x="2284"/>
        <item x="2478"/>
        <item x="1249"/>
        <item x="827"/>
        <item x="2886"/>
        <item x="632"/>
        <item x="2009"/>
        <item x="1266"/>
        <item x="453"/>
        <item x="2153"/>
        <item x="430"/>
        <item x="271"/>
        <item x="486"/>
        <item x="1213"/>
        <item x="2088"/>
        <item x="2736"/>
        <item x="2243"/>
        <item x="565"/>
        <item x="2881"/>
        <item x="48"/>
        <item x="1254"/>
        <item x="2635"/>
        <item x="2166"/>
        <item x="341"/>
        <item x="799"/>
        <item x="1889"/>
        <item x="358"/>
        <item x="274"/>
        <item x="2879"/>
        <item x="513"/>
        <item x="2190"/>
        <item x="2952"/>
        <item x="2718"/>
        <item x="1241"/>
        <item x="2360"/>
        <item x="155"/>
        <item x="25"/>
        <item x="152"/>
        <item x="2844"/>
        <item x="2341"/>
        <item x="115"/>
        <item x="675"/>
        <item x="425"/>
        <item x="2883"/>
        <item x="985"/>
        <item x="492"/>
        <item x="1323"/>
        <item x="2532"/>
        <item x="1998"/>
        <item x="1004"/>
        <item x="487"/>
        <item x="222"/>
        <item x="2485"/>
        <item x="2734"/>
        <item x="701"/>
        <item x="2236"/>
        <item x="1146"/>
        <item x="2423"/>
        <item x="449"/>
        <item x="896"/>
        <item x="2499"/>
        <item x="1291"/>
        <item x="2906"/>
        <item x="1714"/>
        <item x="125"/>
        <item x="117"/>
        <item x="2178"/>
        <item x="910"/>
        <item x="1359"/>
        <item x="116"/>
        <item x="179"/>
        <item x="2215"/>
        <item x="1576"/>
        <item x="1138"/>
        <item x="2246"/>
        <item x="2766"/>
        <item x="364"/>
        <item x="1033"/>
        <item x="2375"/>
        <item x="2531"/>
        <item x="975"/>
        <item x="1311"/>
        <item x="1639"/>
        <item x="1025"/>
        <item x="2299"/>
        <item x="2878"/>
        <item x="2697"/>
        <item x="1560"/>
        <item x="89"/>
        <item x="789"/>
        <item x="303"/>
        <item x="1287"/>
        <item x="470"/>
        <item x="2806"/>
        <item x="2399"/>
        <item x="2311"/>
        <item x="2290"/>
        <item x="2155"/>
        <item x="1035"/>
        <item x="2578"/>
        <item x="2338"/>
        <item x="1168"/>
        <item x="1184"/>
        <item x="1771"/>
        <item x="2898"/>
        <item x="2674"/>
        <item x="575"/>
        <item x="1159"/>
        <item x="2922"/>
        <item x="388"/>
        <item x="2371"/>
        <item x="498"/>
        <item x="1048"/>
        <item x="1531"/>
        <item x="202"/>
        <item x="2633"/>
        <item x="1582"/>
        <item x="1465"/>
        <item x="1188"/>
        <item x="2521"/>
        <item x="927"/>
        <item x="592"/>
        <item x="1262"/>
        <item x="1410"/>
        <item x="2735"/>
        <item x="2516"/>
        <item x="959"/>
        <item x="2180"/>
        <item x="1871"/>
        <item x="1985"/>
        <item x="20"/>
        <item x="1955"/>
        <item x="597"/>
        <item x="1948"/>
        <item x="2837"/>
        <item x="976"/>
        <item x="716"/>
        <item x="2112"/>
        <item x="2774"/>
        <item x="1122"/>
        <item x="1290"/>
        <item x="619"/>
        <item x="1087"/>
        <item x="444"/>
        <item x="2762"/>
        <item x="1158"/>
        <item x="2418"/>
        <item x="34"/>
        <item x="517"/>
        <item x="1634"/>
        <item x="1404"/>
        <item x="2256"/>
        <item x="1706"/>
        <item x="256"/>
        <item x="1445"/>
        <item x="2803"/>
        <item x="946"/>
        <item x="636"/>
        <item x="1499"/>
        <item x="1881"/>
        <item x="2957"/>
        <item x="809"/>
        <item x="1992"/>
        <item x="2761"/>
        <item x="1932"/>
        <item x="1286"/>
        <item x="2010"/>
        <item x="2346"/>
        <item x="1054"/>
        <item x="1606"/>
        <item x="427"/>
        <item x="1730"/>
        <item x="1732"/>
        <item x="2715"/>
        <item x="2405"/>
        <item x="1325"/>
        <item x="2417"/>
        <item x="1127"/>
        <item x="1225"/>
        <item x="2291"/>
        <item x="934"/>
        <item x="172"/>
        <item x="2873"/>
        <item x="2574"/>
        <item x="273"/>
        <item x="1671"/>
        <item x="1858"/>
        <item x="1978"/>
        <item x="748"/>
        <item x="2421"/>
        <item x="2165"/>
        <item x="2796"/>
        <item x="2907"/>
        <item x="1867"/>
        <item x="1733"/>
        <item x="1226"/>
        <item x="1579"/>
        <item x="2162"/>
        <item x="558"/>
        <item x="1914"/>
        <item x="1268"/>
        <item x="1586"/>
        <item x="2739"/>
        <item x="2260"/>
        <item x="182"/>
        <item x="2731"/>
        <item x="418"/>
        <item x="397"/>
        <item x="2352"/>
        <item x="1300"/>
        <item x="519"/>
        <item x="1056"/>
        <item x="815"/>
        <item x="0"/>
        <item x="1064"/>
        <item x="822"/>
        <item x="2192"/>
        <item x="392"/>
        <item x="2690"/>
        <item x="112"/>
        <item x="1397"/>
        <item x="137"/>
        <item x="1052"/>
        <item x="1788"/>
        <item x="673"/>
        <item x="921"/>
        <item x="2655"/>
        <item x="227"/>
        <item x="2699"/>
        <item x="282"/>
        <item x="2148"/>
        <item x="297"/>
        <item x="1902"/>
        <item x="1365"/>
        <item x="1169"/>
        <item x="324"/>
        <item x="469"/>
        <item x="237"/>
        <item x="1435"/>
        <item x="2340"/>
        <item x="539"/>
        <item x="2335"/>
        <item x="1480"/>
        <item x="318"/>
        <item x="104"/>
        <item x="560"/>
        <item x="511"/>
        <item x="1102"/>
        <item x="1045"/>
        <item x="2367"/>
        <item x="2607"/>
        <item x="2604"/>
        <item x="438"/>
        <item x="2188"/>
        <item x="1556"/>
        <item x="638"/>
        <item x="2508"/>
        <item x="1204"/>
        <item x="2164"/>
        <item x="1361"/>
        <item x="928"/>
        <item x="1995"/>
        <item x="1905"/>
        <item x="936"/>
        <item x="863"/>
        <item x="1850"/>
        <item x="1779"/>
        <item x="482"/>
        <item x="1335"/>
        <item x="1855"/>
        <item x="1693"/>
        <item x="1991"/>
        <item x="1182"/>
        <item x="2829"/>
        <item x="1650"/>
        <item x="2509"/>
        <item x="2432"/>
        <item x="296"/>
        <item x="1847"/>
        <item x="699"/>
        <item x="771"/>
        <item x="144"/>
        <item x="782"/>
        <item x="2240"/>
        <item x="251"/>
        <item x="1472"/>
        <item x="316"/>
        <item x="955"/>
        <item x="1971"/>
        <item x="1402"/>
        <item x="370"/>
        <item x="796"/>
        <item x="417"/>
        <item x="1756"/>
        <item x="720"/>
        <item x="145"/>
        <item x="939"/>
        <item x="21"/>
        <item x="1258"/>
        <item x="871"/>
        <item x="2298"/>
        <item x="1395"/>
        <item x="1500"/>
        <item x="141"/>
        <item x="1487"/>
        <item x="1974"/>
        <item x="671"/>
        <item x="2861"/>
        <item x="2033"/>
        <item x="97"/>
        <item x="600"/>
        <item x="1082"/>
        <item x="55"/>
        <item x="522"/>
        <item x="2353"/>
        <item x="295"/>
        <item x="2528"/>
        <item x="2524"/>
        <item x="876"/>
        <item x="2812"/>
        <item x="133"/>
        <item x="2098"/>
        <item x="711"/>
        <item x="2769"/>
        <item x="2126"/>
        <item x="2313"/>
        <item x="2251"/>
        <item x="1666"/>
        <item x="648"/>
        <item x="742"/>
        <item x="749"/>
        <item x="1380"/>
        <item x="2272"/>
        <item x="2840"/>
        <item x="2452"/>
        <item x="1209"/>
        <item x="204"/>
        <item x="459"/>
        <item x="346"/>
        <item x="1509"/>
        <item x="623"/>
        <item x="629"/>
        <item x="1050"/>
        <item x="1823"/>
        <item x="1016"/>
        <item x="2342"/>
        <item x="2794"/>
        <item x="804"/>
        <item x="2037"/>
        <item x="548"/>
        <item x="1550"/>
        <item x="1722"/>
        <item x="944"/>
        <item x="690"/>
        <item x="2093"/>
        <item x="157"/>
        <item x="2585"/>
        <item x="1768"/>
        <item x="1135"/>
        <item x="2199"/>
        <item x="894"/>
        <item x="187"/>
        <item x="1608"/>
        <item x="2425"/>
        <item x="772"/>
        <item x="2443"/>
        <item x="986"/>
        <item x="833"/>
        <item x="294"/>
        <item x="42"/>
        <item x="2893"/>
        <item x="1778"/>
        <item x="2130"/>
        <item x="991"/>
        <item x="1320"/>
        <item x="2424"/>
        <item x="134"/>
        <item x="567"/>
        <item x="2641"/>
        <item x="1423"/>
        <item x="1766"/>
        <item x="1709"/>
        <item x="1326"/>
        <item x="2273"/>
        <item x="2759"/>
        <item x="917"/>
        <item x="2737"/>
        <item x="1277"/>
        <item x="2458"/>
        <item x="402"/>
        <item x="1411"/>
        <item x="1765"/>
        <item x="1885"/>
        <item x="7"/>
        <item x="2467"/>
        <item x="1590"/>
        <item x="319"/>
        <item x="2565"/>
        <item x="2044"/>
        <item x="186"/>
        <item x="2434"/>
        <item x="2003"/>
        <item x="38"/>
        <item x="1317"/>
        <item x="2238"/>
        <item x="247"/>
        <item x="159"/>
        <item x="1046"/>
        <item x="1937"/>
        <item x="66"/>
        <item x="2116"/>
        <item x="810"/>
        <item x="2645"/>
        <item x="132"/>
        <item x="2908"/>
        <item x="2163"/>
        <item x="2185"/>
        <item x="1573"/>
        <item x="340"/>
        <item x="2042"/>
        <item x="239"/>
        <item x="1166"/>
        <item x="2799"/>
        <item x="2071"/>
        <item x="1390"/>
        <item x="2239"/>
        <item x="219"/>
        <item x="962"/>
        <item x="1067"/>
        <item x="378"/>
        <item x="678"/>
        <item x="1303"/>
        <item x="2049"/>
        <item x="2616"/>
        <item x="627"/>
        <item x="1199"/>
        <item x="1638"/>
        <item x="499"/>
        <item x="93"/>
        <item x="2312"/>
        <item x="85"/>
        <item x="793"/>
        <item x="165"/>
        <item x="2867"/>
        <item x="1738"/>
        <item x="2212"/>
        <item x="1160"/>
        <item x="1681"/>
        <item x="2659"/>
        <item x="1427"/>
        <item x="1767"/>
        <item x="325"/>
        <item x="2337"/>
        <item x="1109"/>
        <item x="267"/>
        <item x="2254"/>
        <item x="2496"/>
        <item x="80"/>
        <item x="2721"/>
        <item x="2779"/>
        <item x="1211"/>
        <item x="1728"/>
        <item x="101"/>
        <item x="1308"/>
        <item x="861"/>
        <item x="773"/>
        <item x="1289"/>
        <item x="1058"/>
        <item x="2209"/>
        <item x="1267"/>
        <item x="1737"/>
        <item x="923"/>
        <item x="1743"/>
        <item x="2217"/>
        <item x="1157"/>
        <item x="2092"/>
        <item x="214"/>
        <item x="1684"/>
        <item x="2733"/>
        <item x="2526"/>
        <item x="721"/>
        <item x="2330"/>
        <item x="2767"/>
        <item x="2329"/>
        <item x="2646"/>
        <item x="614"/>
        <item x="2306"/>
        <item x="2318"/>
        <item x="660"/>
        <item x="1864"/>
        <item x="1834"/>
        <item x="1869"/>
        <item x="1618"/>
        <item x="564"/>
        <item x="2361"/>
        <item x="2702"/>
        <item x="2725"/>
        <item x="2295"/>
        <item x="1007"/>
        <item x="2722"/>
        <item x="2249"/>
        <item x="717"/>
        <item x="200"/>
        <item x="1070"/>
        <item x="2411"/>
        <item x="436"/>
        <item x="107"/>
        <item x="1936"/>
        <item x="676"/>
        <item x="535"/>
        <item x="2171"/>
        <item x="1321"/>
        <item x="1794"/>
        <item x="2608"/>
        <item x="2826"/>
        <item x="1193"/>
        <item x="1192"/>
        <item x="685"/>
        <item x="121"/>
        <item x="2753"/>
        <item x="22"/>
        <item x="1836"/>
        <item x="1234"/>
        <item x="507"/>
        <item x="2277"/>
        <item x="1419"/>
        <item x="431"/>
        <item x="1352"/>
        <item x="2407"/>
        <item x="2666"/>
        <item x="2390"/>
        <item x="2807"/>
        <item x="1899"/>
        <item x="87"/>
        <item x="103"/>
        <item x="1552"/>
        <item x="2021"/>
        <item x="1331"/>
        <item x="500"/>
        <item x="1620"/>
        <item x="2865"/>
        <item x="890"/>
        <item x="1126"/>
        <item x="2005"/>
        <item x="1621"/>
        <item x="1913"/>
        <item x="435"/>
        <item x="447"/>
        <item x="1757"/>
        <item x="1170"/>
        <item x="2754"/>
        <item x="1972"/>
        <item x="2928"/>
        <item x="891"/>
        <item x="1630"/>
        <item x="2472"/>
        <item x="1929"/>
        <item x="615"/>
        <item x="1750"/>
        <item x="1663"/>
        <item x="224"/>
        <item x="410"/>
        <item x="1093"/>
        <item x="75"/>
        <item x="2849"/>
        <item x="35"/>
        <item x="356"/>
        <item x="2498"/>
        <item x="308"/>
        <item x="351"/>
        <item x="1464"/>
        <item x="2564"/>
        <item x="839"/>
        <item x="864"/>
        <item x="1020"/>
        <item x="2354"/>
        <item x="1707"/>
        <item x="2047"/>
        <item x="819"/>
        <item x="1803"/>
        <item x="2435"/>
        <item x="1027"/>
        <item x="1195"/>
        <item x="663"/>
        <item x="504"/>
        <item x="496"/>
        <item x="1385"/>
        <item x="2945"/>
        <item x="1628"/>
        <item x="2218"/>
        <item x="1790"/>
        <item x="1006"/>
        <item x="2838"/>
        <item x="1664"/>
        <item x="2136"/>
        <item x="2355"/>
        <item x="984"/>
        <item x="2958"/>
        <item x="2904"/>
        <item x="887"/>
        <item x="335"/>
        <item x="2880"/>
        <item x="637"/>
        <item x="2836"/>
        <item x="2827"/>
        <item x="1073"/>
        <item x="94"/>
        <item x="1982"/>
        <item x="2398"/>
        <item x="2682"/>
        <item x="1176"/>
        <item x="613"/>
        <item x="2252"/>
        <item x="1802"/>
        <item x="1827"/>
        <item x="347"/>
        <item x="2221"/>
        <item x="988"/>
        <item x="2773"/>
        <item x="1981"/>
        <item x="1398"/>
        <item x="185"/>
        <item x="483"/>
        <item x="705"/>
        <item x="824"/>
        <item x="2406"/>
        <item x="2271"/>
        <item x="1605"/>
        <item x="1116"/>
        <item x="126"/>
        <item x="997"/>
        <item x="2675"/>
        <item x="2551"/>
        <item x="1983"/>
        <item x="2561"/>
        <item x="2108"/>
        <item x="562"/>
        <item x="2760"/>
        <item x="1409"/>
        <item x="456"/>
        <item x="1837"/>
        <item x="1825"/>
        <item x="559"/>
        <item x="2846"/>
        <item x="2691"/>
        <item x="385"/>
        <item x="2788"/>
        <item x="337"/>
        <item x="241"/>
        <item x="1502"/>
        <item x="394"/>
        <item x="2940"/>
        <item x="1708"/>
        <item x="2934"/>
        <item x="336"/>
        <item x="2511"/>
        <item x="546"/>
        <item x="2196"/>
        <item x="1800"/>
        <item x="2179"/>
        <item x="751"/>
        <item x="1431"/>
        <item x="36"/>
        <item x="1012"/>
        <item x="505"/>
        <item x="2124"/>
        <item x="2014"/>
        <item x="485"/>
        <item x="1795"/>
        <item x="682"/>
        <item x="279"/>
        <item x="1840"/>
        <item x="1952"/>
        <item x="2466"/>
        <item x="2396"/>
        <item x="661"/>
        <item x="1901"/>
        <item x="966"/>
        <item x="2784"/>
        <item x="1101"/>
        <item x="2648"/>
        <item x="1610"/>
        <item x="2455"/>
        <item x="1588"/>
        <item x="889"/>
        <item x="423"/>
        <item x="2630"/>
        <item x="2229"/>
        <item x="1275"/>
        <item x="2095"/>
        <item x="1583"/>
        <item x="2517"/>
        <item x="1782"/>
        <item x="2843"/>
        <item x="2755"/>
        <item x="236"/>
        <item x="2710"/>
        <item x="1330"/>
        <item x="2149"/>
        <item x="2814"/>
        <item x="1174"/>
        <item x="1719"/>
        <item x="1731"/>
        <item x="1849"/>
        <item x="1447"/>
        <item x="2426"/>
        <item x="2257"/>
        <item x="1496"/>
        <item x="2225"/>
        <item x="323"/>
        <item x="841"/>
        <item x="2442"/>
        <item x="2553"/>
        <item x="893"/>
        <item x="1811"/>
        <item x="2373"/>
        <item x="448"/>
        <item x="260"/>
        <item x="1044"/>
        <item x="393"/>
        <item x="1923"/>
        <item x="1996"/>
        <item x="1791"/>
        <item x="1580"/>
        <item x="334"/>
        <item x="2582"/>
        <item x="2797"/>
        <item x="2923"/>
        <item x="2427"/>
        <item x="1433"/>
        <item x="1696"/>
        <item x="73"/>
        <item x="1797"/>
        <item x="2419"/>
        <item x="1542"/>
        <item x="1894"/>
        <item x="1615"/>
        <item x="321"/>
        <item x="2661"/>
        <item x="2550"/>
        <item x="945"/>
        <item x="2105"/>
        <item x="904"/>
        <item x="2250"/>
        <item x="1302"/>
        <item x="1271"/>
        <item x="2065"/>
        <item x="2535"/>
        <item x="2728"/>
        <item x="72"/>
        <item x="2643"/>
        <item x="2101"/>
        <item x="138"/>
        <item x="1874"/>
        <item x="468"/>
        <item x="2002"/>
        <item x="1868"/>
        <item x="2793"/>
        <item x="551"/>
        <item x="1272"/>
        <item x="398"/>
        <item x="1368"/>
        <item x="2665"/>
        <item x="2445"/>
        <item x="2389"/>
        <item x="1761"/>
        <item x="26"/>
        <item x="1796"/>
        <item x="740"/>
        <item x="2051"/>
        <item x="1607"/>
        <item x="406"/>
        <item x="2369"/>
        <item x="767"/>
        <item x="2420"/>
        <item x="2852"/>
        <item x="1378"/>
        <item x="1091"/>
        <item x="2506"/>
        <item x="1460"/>
        <item x="1200"/>
        <item x="2287"/>
        <item x="2523"/>
        <item x="31"/>
        <item x="2402"/>
        <item x="1163"/>
        <item x="1333"/>
        <item x="1895"/>
        <item x="930"/>
        <item x="766"/>
        <item x="1941"/>
        <item x="88"/>
        <item x="2082"/>
        <item x="2468"/>
        <item x="403"/>
        <item x="2842"/>
        <item x="527"/>
        <item x="1612"/>
        <item x="2469"/>
        <item x="2833"/>
        <item x="2276"/>
        <item x="1891"/>
        <item x="2723"/>
        <item x="280"/>
        <item x="913"/>
        <item x="2205"/>
        <item x="2636"/>
        <item x="2334"/>
        <item x="276"/>
        <item x="2220"/>
        <item x="1528"/>
        <item x="4"/>
        <item x="119"/>
        <item x="989"/>
        <item x="2029"/>
        <item x="2815"/>
        <item x="2738"/>
        <item x="2204"/>
        <item x="489"/>
        <item x="1434"/>
        <item x="1208"/>
        <item x="587"/>
        <item x="1305"/>
        <item x="868"/>
        <item x="2941"/>
        <item x="1259"/>
        <item x="2034"/>
        <item x="683"/>
        <item x="1783"/>
        <item x="2119"/>
        <item x="2064"/>
        <item x="1578"/>
        <item x="1944"/>
        <item x="2061"/>
        <item x="862"/>
        <item x="594"/>
        <item x="2297"/>
        <item x="1918"/>
        <item x="908"/>
        <item x="2652"/>
        <item x="284"/>
        <item x="728"/>
        <item x="852"/>
        <item x="262"/>
        <item x="59"/>
        <item x="476"/>
        <item x="1655"/>
        <item x="1389"/>
        <item x="1100"/>
        <item x="1369"/>
        <item x="2471"/>
        <item x="2054"/>
        <item x="49"/>
        <item x="555"/>
        <item x="2777"/>
        <item x="1055"/>
        <item x="948"/>
        <item x="2479"/>
        <item x="2937"/>
        <item x="1646"/>
        <item x="2897"/>
        <item x="2127"/>
        <item x="666"/>
        <item x="832"/>
        <item x="479"/>
        <item x="1416"/>
        <item x="442"/>
        <item x="2194"/>
        <item x="726"/>
        <item x="110"/>
        <item x="1888"/>
        <item x="1644"/>
        <item x="2927"/>
        <item x="777"/>
        <item x="583"/>
        <item x="2097"/>
        <item x="1530"/>
        <item x="148"/>
        <item x="2519"/>
        <item x="961"/>
        <item x="2301"/>
        <item x="163"/>
        <item x="582"/>
        <item x="2280"/>
        <item x="373"/>
        <item x="2227"/>
        <item x="1848"/>
        <item x="2916"/>
        <item x="689"/>
        <item x="640"/>
        <item x="2156"/>
        <item x="2441"/>
        <item x="1859"/>
        <item x="2700"/>
        <item x="1185"/>
        <item x="1699"/>
        <item x="2480"/>
        <item x="2169"/>
        <item x="2476"/>
        <item x="1819"/>
        <item x="2746"/>
        <item x="2103"/>
        <item x="2586"/>
        <item x="1454"/>
        <item x="1145"/>
        <item x="315"/>
        <item x="2684"/>
        <item x="1521"/>
        <item x="230"/>
        <item x="2237"/>
        <item x="2140"/>
        <item x="2428"/>
        <item x="307"/>
        <item x="2926"/>
        <item x="1939"/>
        <item x="1295"/>
        <item x="1856"/>
        <item x="596"/>
        <item x="521"/>
        <item x="1553"/>
        <item x="2529"/>
        <item x="1382"/>
        <item x="1713"/>
        <item x="196"/>
        <item x="254"/>
        <item x="1438"/>
        <item x="879"/>
        <item x="175"/>
        <item x="220"/>
        <item x="2623"/>
        <item x="2408"/>
        <item x="128"/>
        <item x="298"/>
        <item x="1647"/>
        <item x="2514"/>
        <item x="1798"/>
        <item x="829"/>
        <item x="674"/>
        <item x="2400"/>
        <item x="2914"/>
        <item x="108"/>
        <item x="2680"/>
        <item x="2520"/>
        <item x="1540"/>
        <item x="542"/>
        <item x="1631"/>
        <item x="95"/>
        <item x="2599"/>
        <item x="1038"/>
        <item x="995"/>
        <item x="1893"/>
        <item x="2074"/>
        <item x="98"/>
        <item x="1165"/>
        <item x="818"/>
        <item x="360"/>
        <item x="752"/>
        <item x="1065"/>
        <item x="1772"/>
        <item x="885"/>
        <item x="2383"/>
        <item x="420"/>
        <item x="2642"/>
        <item x="588"/>
        <item x="2431"/>
        <item x="735"/>
        <item x="883"/>
        <item x="578"/>
        <item x="642"/>
        <item x="1117"/>
        <item x="1600"/>
        <item x="363"/>
        <item x="1701"/>
        <item x="2772"/>
        <item x="471"/>
        <item x="1345"/>
        <item x="983"/>
        <item x="2771"/>
        <item x="2019"/>
        <item x="2491"/>
        <item x="424"/>
        <item x="935"/>
        <item x="1999"/>
        <item x="2791"/>
        <item x="2560"/>
        <item x="911"/>
        <item x="495"/>
        <item x="2484"/>
        <item x="350"/>
        <item x="135"/>
        <item x="778"/>
        <item x="2460"/>
        <item x="979"/>
        <item x="1717"/>
        <item x="873"/>
        <item x="512"/>
        <item x="2513"/>
        <item x="1092"/>
        <item x="1954"/>
        <item x="2817"/>
        <item x="1953"/>
        <item x="1022"/>
        <item x="1922"/>
        <item x="1478"/>
        <item x="1021"/>
        <item x="2248"/>
        <item x="2954"/>
        <item x="177"/>
        <item x="1493"/>
        <item x="180"/>
        <item x="608"/>
        <item x="1230"/>
        <item x="765"/>
        <item x="2356"/>
        <item x="399"/>
        <item x="2089"/>
        <item x="91"/>
        <item x="2820"/>
        <item x="589"/>
        <item x="473"/>
        <item x="288"/>
        <item x="523"/>
        <item x="621"/>
        <item x="530"/>
        <item x="1488"/>
        <item x="1299"/>
        <item x="2244"/>
        <item x="1973"/>
        <item x="1459"/>
        <item x="229"/>
        <item x="2782"/>
        <item x="1497"/>
        <item x="2902"/>
        <item x="1826"/>
        <item x="1218"/>
        <item x="2232"/>
        <item x="408"/>
        <item x="1780"/>
        <item x="1522"/>
        <item x="2891"/>
        <item x="12"/>
        <item x="1451"/>
        <item x="549"/>
        <item x="1960"/>
        <item x="1692"/>
        <item x="784"/>
        <item x="1613"/>
        <item x="540"/>
        <item x="2948"/>
        <item x="1414"/>
        <item x="800"/>
        <item x="1186"/>
        <item x="1943"/>
        <item x="1363"/>
        <item x="1906"/>
        <item x="331"/>
        <item x="1003"/>
        <item x="1946"/>
        <item x="2848"/>
        <item x="2892"/>
        <item x="769"/>
        <item x="811"/>
        <item x="1616"/>
        <item x="1124"/>
        <item x="1518"/>
        <item x="2039"/>
        <item x="381"/>
        <item x="655"/>
        <item x="831"/>
        <item x="2859"/>
        <item x="1533"/>
        <item x="1687"/>
        <item x="445"/>
        <item x="2490"/>
        <item x="2293"/>
        <item x="761"/>
        <item x="1245"/>
        <item x="1257"/>
        <item x="2030"/>
        <item x="2510"/>
        <item x="576"/>
        <item x="1720"/>
        <item x="2847"/>
        <item x="2821"/>
        <item x="1111"/>
        <item x="2548"/>
        <item x="1942"/>
        <item x="2810"/>
        <item x="1950"/>
        <item x="1787"/>
        <item x="1313"/>
        <item x="2640"/>
        <item x="1407"/>
        <item x="1751"/>
        <item x="1105"/>
        <item x="2450"/>
        <item x="2703"/>
        <item x="1037"/>
        <item x="434"/>
        <item x="593"/>
        <item x="595"/>
        <item x="1011"/>
        <item x="478"/>
        <item x="2658"/>
        <item x="2726"/>
        <item x="842"/>
        <item x="607"/>
        <item x="283"/>
        <item x="188"/>
        <item x="193"/>
        <item x="2160"/>
        <item x="1575"/>
        <item x="1729"/>
        <item x="62"/>
        <item x="1654"/>
        <item x="1131"/>
        <item x="10"/>
        <item x="1781"/>
        <item x="1561"/>
        <item x="1285"/>
        <item x="556"/>
        <item x="2198"/>
        <item x="2634"/>
        <item x="723"/>
        <item x="329"/>
        <item x="2081"/>
        <item x="747"/>
        <item x="461"/>
        <item x="2022"/>
        <item x="2853"/>
        <item x="2086"/>
        <item x="1125"/>
        <item x="1672"/>
        <item x="64"/>
        <item x="1658"/>
        <item x="1381"/>
        <item x="1949"/>
        <item x="628"/>
        <item x="2618"/>
        <item x="333"/>
        <item x="1292"/>
        <item x="1831"/>
        <item x="2869"/>
        <item x="2104"/>
        <item x="2135"/>
        <item x="1495"/>
        <item x="484"/>
        <item x="1244"/>
        <item x="2173"/>
        <item x="533"/>
        <item x="1248"/>
        <item x="2036"/>
        <item x="537"/>
        <item x="189"/>
        <item x="2439"/>
        <item x="508"/>
        <item x="2912"/>
        <item x="1010"/>
        <item x="270"/>
        <item x="1541"/>
        <item x="215"/>
        <item x="2911"/>
        <item x="2677"/>
        <item x="2917"/>
        <item x="2621"/>
        <item x="327"/>
        <item x="2502"/>
        <item x="9"/>
        <item x="2050"/>
        <item x="1904"/>
        <item x="2079"/>
        <item x="1238"/>
        <item x="2265"/>
        <item x="866"/>
        <item x="191"/>
        <item x="1559"/>
        <item x="1694"/>
        <item x="875"/>
        <item x="2186"/>
        <item x="722"/>
        <item x="2011"/>
        <item x="2234"/>
        <item x="2362"/>
        <item x="235"/>
        <item x="76"/>
        <item x="1426"/>
        <item x="192"/>
        <item x="994"/>
        <item x="2600"/>
        <item x="268"/>
        <item x="454"/>
        <item x="2326"/>
        <item x="2368"/>
        <item x="729"/>
        <item x="2219"/>
        <item x="2161"/>
        <item x="1337"/>
        <item x="1678"/>
        <item x="1177"/>
        <item x="898"/>
        <item x="1425"/>
        <item x="1818"/>
        <item x="212"/>
        <item x="538"/>
        <item x="929"/>
        <item x="1449"/>
        <item x="1114"/>
        <item x="1851"/>
        <item x="2575"/>
        <item x="2573"/>
        <item x="2955"/>
        <item x="2230"/>
        <item x="451"/>
        <item x="516"/>
        <item x="1079"/>
        <item x="1875"/>
        <item x="2834"/>
        <item x="2855"/>
        <item x="462"/>
        <item x="1990"/>
        <item x="2174"/>
        <item x="768"/>
        <item x="1239"/>
        <item x="71"/>
        <item x="2572"/>
        <item x="1001"/>
        <item x="1181"/>
        <item x="1115"/>
        <item x="2154"/>
        <item x="1469"/>
        <item x="664"/>
        <item x="1596"/>
        <item x="2885"/>
        <item x="1591"/>
        <item x="694"/>
        <item x="2438"/>
        <item x="1467"/>
        <item x="2828"/>
        <item x="2102"/>
        <item x="919"/>
        <item x="2522"/>
        <item x="708"/>
        <item x="672"/>
        <item x="2942"/>
        <item x="2698"/>
        <item x="374"/>
        <item x="514"/>
        <item x="515"/>
        <item x="39"/>
        <item x="872"/>
        <item x="1670"/>
        <item x="825"/>
        <item x="2884"/>
        <item x="1872"/>
        <item x="1880"/>
        <item x="2580"/>
        <item x="2851"/>
        <item x="1173"/>
        <item x="2208"/>
        <item x="412"/>
        <item x="996"/>
        <item x="1334"/>
        <item x="1214"/>
        <item x="1589"/>
        <item x="2286"/>
        <item x="2692"/>
        <item x="2896"/>
        <item x="176"/>
        <item x="28"/>
        <item x="1515"/>
        <item x="1236"/>
        <item x="164"/>
        <item x="1571"/>
        <item x="612"/>
        <item x="692"/>
        <item x="2825"/>
        <item x="1269"/>
        <item x="2333"/>
        <item x="1841"/>
        <item x="2226"/>
        <item x="344"/>
        <item x="275"/>
        <item x="1069"/>
        <item x="952"/>
        <item x="1546"/>
        <item x="130"/>
        <item x="429"/>
        <item x="139"/>
        <item x="2651"/>
        <item x="762"/>
        <item x="2628"/>
        <item x="1598"/>
        <item x="2594"/>
        <item x="2913"/>
        <item x="2808"/>
        <item x="1432"/>
        <item x="584"/>
        <item x="2763"/>
        <item x="475"/>
        <item x="1727"/>
        <item x="1822"/>
        <item x="2233"/>
        <item x="1643"/>
        <item x="1307"/>
        <item x="847"/>
        <item x="1602"/>
        <item x="1854"/>
        <item x="2802"/>
        <item x="840"/>
        <item x="1649"/>
        <item x="2874"/>
        <item x="2182"/>
        <item x="1072"/>
        <item x="990"/>
        <item x="1223"/>
        <item x="1506"/>
        <item x="2653"/>
        <item x="858"/>
        <item x="2909"/>
        <item x="129"/>
        <item x="882"/>
        <item x="2601"/>
        <item x="2554"/>
        <item x="1513"/>
        <item x="293"/>
        <item x="949"/>
        <item x="1049"/>
        <item x="1924"/>
        <item x="1265"/>
        <item x="724"/>
        <item x="1026"/>
        <item x="718"/>
        <item x="2308"/>
        <item x="2027"/>
        <item x="1057"/>
        <item x="264"/>
        <item x="33"/>
        <item x="2901"/>
        <item x="830"/>
        <item x="1832"/>
        <item x="1078"/>
        <item x="1567"/>
        <item x="2816"/>
        <item x="1076"/>
        <item x="161"/>
        <item x="2689"/>
        <item x="2113"/>
        <item x="1947"/>
        <item x="2543"/>
        <item x="37"/>
        <item x="2200"/>
        <item x="1150"/>
        <item x="679"/>
        <item x="888"/>
        <item x="113"/>
        <item x="65"/>
        <item x="2046"/>
        <item x="289"/>
        <item x="5"/>
        <item x="2744"/>
        <item x="1339"/>
        <item x="2348"/>
        <item x="225"/>
        <item x="745"/>
        <item x="680"/>
        <item x="2214"/>
        <item x="502"/>
        <item x="1112"/>
        <item x="58"/>
        <item x="902"/>
        <item x="1143"/>
        <item x="1153"/>
        <item x="1354"/>
        <item x="914"/>
        <item x="2087"/>
        <item x="2292"/>
        <item x="2657"/>
        <item x="349"/>
        <item x="814"/>
        <item x="2544"/>
        <item x="1418"/>
        <item x="147"/>
        <item x="1099"/>
        <item x="1877"/>
        <item x="788"/>
        <item x="1812"/>
        <item x="2693"/>
        <item x="328"/>
        <item x="2475"/>
        <item x="491"/>
        <item x="1060"/>
        <item x="443"/>
        <item x="2100"/>
        <item x="2776"/>
        <item x="2464"/>
        <item x="1458"/>
        <item x="2515"/>
        <item x="1386"/>
        <item x="248"/>
        <item x="1725"/>
        <item x="2307"/>
        <item x="1187"/>
        <item x="2631"/>
        <item x="1041"/>
        <item x="2461"/>
        <item x="2503"/>
        <item x="466"/>
        <item x="1221"/>
        <item x="1601"/>
        <item x="1471"/>
        <item x="2525"/>
        <item x="1517"/>
        <item x="2818"/>
        <item x="686"/>
        <item x="1394"/>
        <item x="2899"/>
        <item x="96"/>
        <item x="2183"/>
        <item x="901"/>
        <item x="1231"/>
        <item x="1690"/>
        <item x="1501"/>
        <item x="1327"/>
        <item x="737"/>
        <item x="57"/>
        <item x="2386"/>
        <item x="2404"/>
        <item x="1917"/>
        <item x="2288"/>
        <item x="352"/>
        <item x="1503"/>
        <item x="1042"/>
        <item x="2170"/>
        <item x="156"/>
        <item x="2197"/>
        <item x="1083"/>
        <item x="1838"/>
        <item x="287"/>
        <item x="2172"/>
        <item x="272"/>
        <item x="1343"/>
        <item x="198"/>
        <item x="651"/>
        <item x="497"/>
        <item x="382"/>
        <item x="1085"/>
        <item x="2775"/>
        <item x="2541"/>
        <item x="2536"/>
        <item x="2494"/>
        <item x="1463"/>
        <item x="1405"/>
        <item x="14"/>
        <item x="286"/>
        <item x="550"/>
        <item x="1688"/>
        <item x="1705"/>
        <item x="2571"/>
        <item x="45"/>
        <item x="2862"/>
        <item x="670"/>
        <item x="2345"/>
        <item x="2324"/>
        <item x="446"/>
        <item x="1691"/>
        <item x="51"/>
        <item x="1392"/>
        <item x="2465"/>
        <item x="878"/>
        <item x="167"/>
        <item x="311"/>
        <item x="1293"/>
        <item x="2488"/>
        <item x="634"/>
        <item x="2282"/>
        <item x="1860"/>
        <item x="2882"/>
        <item x="1206"/>
        <item x="2391"/>
        <item x="624"/>
        <item x="2500"/>
        <item x="1387"/>
        <item x="1086"/>
        <item x="2589"/>
        <item x="1482"/>
        <item x="585"/>
        <item x="1346"/>
        <item x="801"/>
        <item x="2380"/>
        <item x="1814"/>
        <item x="2072"/>
        <item x="1685"/>
        <item x="2327"/>
        <item x="1523"/>
        <item x="312"/>
        <item x="1450"/>
        <item x="441"/>
        <item x="924"/>
        <item x="92"/>
        <item x="146"/>
        <item x="1316"/>
        <item x="999"/>
        <item x="2008"/>
        <item x="1498"/>
        <item x="907"/>
        <item x="2841"/>
        <item x="1659"/>
        <item x="599"/>
        <item x="2495"/>
        <item x="1288"/>
        <item x="1584"/>
        <item x="677"/>
        <item x="1457"/>
        <item x="367"/>
        <item x="1965"/>
        <item x="2181"/>
        <item x="1253"/>
        <item x="1762"/>
        <item x="2032"/>
        <item x="1547"/>
        <item x="2562"/>
        <item x="846"/>
        <item x="1773"/>
        <item x="1374"/>
        <item x="510"/>
        <item x="2314"/>
        <item x="243"/>
        <item x="1652"/>
        <item x="1032"/>
        <item x="1809"/>
        <item x="281"/>
        <item x="1470"/>
        <item x="2673"/>
        <item x="1747"/>
        <item x="166"/>
        <item x="1371"/>
        <item x="2158"/>
        <item x="228"/>
        <item x="2004"/>
        <item x="1106"/>
        <item x="1740"/>
        <item x="1675"/>
        <item x="739"/>
        <item x="1415"/>
        <item x="389"/>
        <item x="2758"/>
        <item x="956"/>
        <item x="2167"/>
        <item x="837"/>
        <item x="1661"/>
        <item x="1294"/>
        <item x="1662"/>
        <item x="938"/>
        <item x="1554"/>
        <item x="1689"/>
        <item x="2201"/>
        <item x="2605"/>
        <item x="2950"/>
        <item x="967"/>
        <item x="1018"/>
        <item x="631"/>
        <item x="968"/>
        <item x="1702"/>
        <item x="1494"/>
        <item x="2321"/>
        <item x="2028"/>
        <item x="659"/>
        <item x="937"/>
        <item x="2141"/>
        <item x="2576"/>
        <item x="2446"/>
        <item x="2289"/>
        <item x="1570"/>
        <item x="653"/>
        <item x="2905"/>
        <item x="1544"/>
        <item x="1789"/>
        <item x="1008"/>
        <item x="277"/>
        <item x="1071"/>
        <item x="309"/>
        <item x="32"/>
        <item x="2676"/>
        <item x="2084"/>
        <item x="114"/>
        <item x="1047"/>
        <item x="1379"/>
        <item x="2129"/>
        <item x="2381"/>
        <item x="1980"/>
        <item x="2507"/>
        <item x="320"/>
        <item x="1863"/>
        <item x="1935"/>
        <item x="2016"/>
        <item x="1679"/>
        <item x="2915"/>
        <item x="1139"/>
        <item x="647"/>
        <item x="1263"/>
        <item x="2213"/>
        <item x="2470"/>
        <item x="29"/>
        <item x="1338"/>
        <item x="1227"/>
        <item x="2823"/>
        <item x="2336"/>
        <item x="2372"/>
        <item x="1015"/>
        <item x="2228"/>
        <item x="1828"/>
        <item x="339"/>
        <item x="620"/>
        <item x="257"/>
        <item x="17"/>
        <item x="221"/>
        <item x="616"/>
        <item x="2537"/>
        <item x="457"/>
        <item x="2255"/>
        <item x="419"/>
        <item x="120"/>
        <item x="2278"/>
        <item x="2792"/>
        <item x="1830"/>
        <item x="1815"/>
        <item x="1132"/>
        <item x="1428"/>
        <item x="1816"/>
        <item x="903"/>
        <item x="2013"/>
        <item x="1957"/>
        <item x="2612"/>
        <item x="853"/>
        <item x="960"/>
        <item x="1149"/>
        <item x="725"/>
        <item x="2025"/>
        <item x="2315"/>
        <item x="1667"/>
        <item x="774"/>
        <item x="2264"/>
        <item x="2416"/>
        <item x="439"/>
        <item x="1549"/>
        <item x="1190"/>
        <item x="383"/>
        <item x="1609"/>
        <item x="404"/>
        <item x="950"/>
        <item x="2146"/>
        <item x="1215"/>
        <item x="1444"/>
        <item x="1744"/>
        <item x="174"/>
        <item x="1653"/>
        <item x="1372"/>
        <item x="1910"/>
        <item x="1839"/>
        <item x="1367"/>
        <item x="2006"/>
        <item x="2920"/>
        <item x="2678"/>
        <item x="1453"/>
        <item x="931"/>
        <item x="2269"/>
        <item x="261"/>
        <item x="1350"/>
        <item x="649"/>
        <item x="1977"/>
        <item x="2486"/>
        <item x="639"/>
        <item x="553"/>
        <item x="2056"/>
        <item x="1476"/>
        <item x="2007"/>
        <item x="849"/>
        <item x="1129"/>
        <item x="1516"/>
        <item x="2921"/>
        <item x="79"/>
        <item x="1964"/>
        <item x="2811"/>
        <item x="250"/>
        <item x="635"/>
        <item x="2319"/>
        <item x="877"/>
        <item x="1107"/>
        <item x="668"/>
        <item x="536"/>
        <item x="2462"/>
        <item x="1568"/>
        <item x="2602"/>
        <item x="232"/>
        <item x="2045"/>
        <item x="2125"/>
        <item x="1348"/>
        <item x="2123"/>
        <item x="2344"/>
        <item x="99"/>
        <item x="2858"/>
        <item x="2888"/>
        <item x="1614"/>
        <item x="658"/>
        <item x="1677"/>
        <item x="1406"/>
        <item x="413"/>
        <item x="1715"/>
        <item x="941"/>
        <item x="2534"/>
        <item x="2388"/>
        <item x="545"/>
        <item x="1975"/>
        <item x="973"/>
        <item x="998"/>
        <item x="194"/>
        <item x="867"/>
        <item x="1282"/>
        <item x="1511"/>
        <item x="1585"/>
        <item x="371"/>
        <item x="171"/>
        <item x="1324"/>
        <item x="2062"/>
        <item x="6"/>
        <item x="1676"/>
        <item x="2598"/>
        <item x="2090"/>
        <item x="306"/>
        <item x="170"/>
        <item x="1793"/>
        <item x="2627"/>
        <item x="828"/>
        <item x="1617"/>
        <item x="1332"/>
        <item x="2745"/>
        <item x="817"/>
        <item x="1777"/>
        <item x="870"/>
        <item x="1256"/>
        <item x="2593"/>
        <item x="850"/>
        <item x="355"/>
        <item x="19"/>
        <item x="2151"/>
        <item x="1273"/>
        <item x="102"/>
        <item x="1090"/>
        <item x="978"/>
        <item x="2716"/>
        <item x="1156"/>
        <item x="2946"/>
        <item x="313"/>
        <item x="2322"/>
        <item x="2043"/>
        <item x="67"/>
        <item x="348"/>
        <item x="1440"/>
        <item x="681"/>
        <item x="750"/>
        <item x="2929"/>
        <item x="1648"/>
        <item x="993"/>
        <item x="1399"/>
        <item x="925"/>
        <item x="1912"/>
        <item x="1938"/>
        <item x="2412"/>
        <item x="1704"/>
        <item x="377"/>
        <item x="2048"/>
        <item x="44"/>
        <item x="1853"/>
        <item x="1557"/>
        <item x="2052"/>
        <item x="719"/>
        <item x="900"/>
        <item x="1353"/>
        <item x="1452"/>
        <item x="1807"/>
        <item x="106"/>
        <item x="203"/>
        <item x="2302"/>
        <item x="610"/>
        <item x="1342"/>
        <item x="1383"/>
        <item x="1813"/>
        <item x="2351"/>
        <item x="2930"/>
        <item x="1280"/>
        <item x="255"/>
        <item x="2637"/>
        <item x="1804"/>
        <item x="2711"/>
        <item x="2740"/>
        <item x="2247"/>
        <item x="1074"/>
        <item x="1468"/>
        <item x="1536"/>
        <item x="1144"/>
        <item x="422"/>
        <item x="569"/>
        <item x="844"/>
        <item x="1724"/>
        <item x="2456"/>
        <item x="40"/>
        <item x="2956"/>
        <item x="450"/>
        <item x="1207"/>
        <item x="305"/>
        <item x="2839"/>
        <item x="1151"/>
        <item x="1412"/>
        <item x="2263"/>
        <item x="2625"/>
        <item x="1097"/>
        <item x="1030"/>
        <item x="2742"/>
        <item x="1039"/>
        <item x="2714"/>
        <item x="2143"/>
        <item x="1886"/>
        <item x="2085"/>
        <item x="2671"/>
        <item x="169"/>
        <item x="467"/>
        <item x="1623"/>
        <item x="981"/>
        <item x="1882"/>
        <item x="2681"/>
        <item x="881"/>
        <item x="1217"/>
        <item x="2041"/>
        <item x="926"/>
        <item x="1697"/>
        <item x="310"/>
        <item x="190"/>
        <item x="886"/>
        <item x="1775"/>
        <item x="2410"/>
        <item x="2890"/>
        <item x="1210"/>
        <item x="753"/>
        <item x="1682"/>
        <item x="1786"/>
        <item x="509"/>
        <item x="520"/>
        <item x="2430"/>
        <item x="1636"/>
        <item x="1014"/>
        <item x="366"/>
        <item x="1196"/>
        <item x="2877"/>
        <item x="1758"/>
        <item x="1439"/>
        <item x="2358"/>
        <item x="566"/>
        <item x="933"/>
        <item x="2241"/>
        <item x="738"/>
        <item x="2624"/>
        <item x="1104"/>
        <item x="2444"/>
        <item x="90"/>
        <item x="100"/>
        <item x="1120"/>
        <item x="2473"/>
        <item x="1322"/>
        <item x="2145"/>
        <item x="693"/>
        <item x="1028"/>
        <item x="695"/>
        <item x="2270"/>
        <item x="2492"/>
        <item x="1164"/>
        <item x="2069"/>
        <item x="391"/>
        <item x="741"/>
        <item x="1928"/>
        <item x="1172"/>
        <item x="2592"/>
        <item x="1593"/>
        <item x="30"/>
        <item x="1240"/>
        <item x="2783"/>
        <item x="2474"/>
        <item x="526"/>
        <item x="2577"/>
        <item x="1152"/>
        <item x="1189"/>
        <item x="1446"/>
        <item x="1525"/>
        <item x="1366"/>
        <item x="2070"/>
        <item x="1865"/>
        <item x="245"/>
        <item x="1925"/>
        <item x="2073"/>
        <item x="1735"/>
        <item x="1489"/>
        <item x="573"/>
        <item x="2667"/>
        <item x="954"/>
        <item x="2563"/>
        <item x="1824"/>
        <item x="1437"/>
        <item x="1857"/>
        <item x="2910"/>
        <item x="1232"/>
        <item x="368"/>
        <item x="2712"/>
        <item x="1110"/>
        <item x="2785"/>
        <item x="787"/>
        <item x="1242"/>
        <item x="2206"/>
        <item x="1063"/>
        <item x="2679"/>
        <item x="1113"/>
        <item x="301"/>
        <item x="463"/>
        <item x="2058"/>
        <item x="1017"/>
        <item x="2786"/>
        <item x="2378"/>
        <item x="759"/>
        <item x="240"/>
        <item x="2518"/>
        <item x="1461"/>
        <item x="2068"/>
        <item x="1870"/>
        <item x="922"/>
        <item x="2176"/>
        <item x="1548"/>
        <item x="13"/>
        <item x="1128"/>
        <item x="1726"/>
        <item x="1979"/>
        <item x="1448"/>
        <item x="2132"/>
        <item x="2781"/>
        <item x="68"/>
        <item x="1077"/>
        <item x="503"/>
        <item x="2202"/>
        <item x="1645"/>
        <item x="2060"/>
        <item x="2729"/>
        <item x="880"/>
        <item x="2091"/>
        <item x="1147"/>
        <item x="855"/>
        <item x="531"/>
        <item x="253"/>
        <item x="178"/>
        <item x="712"/>
        <item x="246"/>
        <item x="1829"/>
        <item x="1577"/>
        <item x="1669"/>
        <item x="611"/>
        <item x="2094"/>
        <item x="2538"/>
        <item x="1970"/>
        <item x="83"/>
        <item x="2168"/>
        <item x="754"/>
        <item x="1808"/>
        <item x="1739"/>
        <item x="943"/>
        <item x="2717"/>
        <item x="899"/>
        <item x="2235"/>
        <item x="11"/>
        <item x="300"/>
        <item x="1712"/>
        <item x="1370"/>
        <item x="1252"/>
        <item x="332"/>
        <item x="2584"/>
        <item x="1309"/>
        <item x="361"/>
        <item x="1243"/>
        <item x="2875"/>
        <item x="249"/>
        <item x="50"/>
        <item x="154"/>
        <item x="2261"/>
        <item x="1700"/>
        <item x="812"/>
        <item x="650"/>
        <item x="1745"/>
        <item x="353"/>
        <item x="859"/>
        <item x="285"/>
        <item x="1481"/>
        <item x="2765"/>
        <item x="490"/>
        <item x="1963"/>
        <item x="697"/>
        <item x="1304"/>
        <item x="906"/>
        <item x="1551"/>
        <item x="1123"/>
        <item x="205"/>
        <item x="1723"/>
        <item x="211"/>
        <item x="1520"/>
        <item x="602"/>
        <item x="1233"/>
        <item x="387"/>
        <item x="61"/>
        <item x="2894"/>
        <item x="1792"/>
        <item x="1171"/>
        <item x="209"/>
        <item x="1703"/>
        <item x="657"/>
        <item x="775"/>
        <item x="2268"/>
        <item x="2211"/>
        <item x="1604"/>
        <item x="2747"/>
        <item x="2732"/>
        <item x="2556"/>
        <item x="184"/>
        <item x="1191"/>
        <item x="918"/>
        <item x="779"/>
        <item x="2953"/>
        <item x="1103"/>
        <item x="2695"/>
        <item x="2422"/>
        <item x="2138"/>
        <item x="1034"/>
        <item x="2393"/>
        <item x="2370"/>
        <item x="957"/>
        <item x="2933"/>
        <item x="195"/>
        <item x="547"/>
        <item x="1162"/>
        <item x="153"/>
        <item x="1081"/>
        <item x="118"/>
        <item x="1930"/>
        <item x="1246"/>
        <item x="206"/>
        <item x="2359"/>
        <item x="785"/>
        <item x="2533"/>
        <item x="2057"/>
        <item x="2018"/>
        <item x="1833"/>
        <item x="1799"/>
        <item x="1933"/>
        <item x="2325"/>
        <item x="2804"/>
        <item x="160"/>
        <item x="2620"/>
        <item x="84"/>
        <item x="1595"/>
        <item x="2704"/>
        <item x="226"/>
        <item x="1358"/>
        <item x="2026"/>
        <item x="1216"/>
        <item x="2778"/>
        <item x="2830"/>
        <item x="579"/>
        <item x="709"/>
        <item x="1921"/>
        <item x="1594"/>
        <item x="2075"/>
        <item x="437"/>
        <item x="2128"/>
        <item x="210"/>
        <item x="2824"/>
        <item x="395"/>
        <item x="798"/>
        <item x="977"/>
        <item x="1296"/>
        <item x="2668"/>
        <item x="142"/>
        <item x="1430"/>
        <item x="322"/>
        <item x="1391"/>
        <item x="1945"/>
        <item x="2939"/>
        <item x="2686"/>
        <item x="964"/>
        <item x="1484"/>
        <item x="1417"/>
        <item x="807"/>
        <item x="2187"/>
        <item x="734"/>
        <item x="2770"/>
        <item x="1919"/>
        <item x="369"/>
        <item x="1640"/>
        <item x="704"/>
        <item x="1632"/>
        <item x="455"/>
        <item x="971"/>
        <item x="1951"/>
        <item x="1084"/>
        <item x="2017"/>
        <item x="1873"/>
        <item x="2118"/>
        <item x="168"/>
        <item x="1490"/>
        <item x="1967"/>
        <item x="2951"/>
        <item x="1424"/>
        <item x="691"/>
        <item x="2549"/>
        <item x="162"/>
        <item x="2959"/>
        <item x="1879"/>
        <item x="2131"/>
        <item x="2617"/>
        <item x="2449"/>
        <item x="2035"/>
        <item x="552"/>
        <item x="1846"/>
        <item x="2706"/>
        <item x="2110"/>
        <item x="763"/>
        <item x="2801"/>
        <item x="1637"/>
        <item x="2504"/>
        <item x="343"/>
        <item x="69"/>
        <item x="2610"/>
        <item x="2512"/>
        <item x="481"/>
        <item x="1915"/>
        <item x="2377"/>
        <item x="1883"/>
        <item x="2195"/>
        <item x="1527"/>
        <item x="2539"/>
        <item x="2795"/>
        <item x="2447"/>
        <item x="2357"/>
        <item x="2559"/>
        <item x="2457"/>
        <item x="1801"/>
        <item x="24"/>
        <item x="2622"/>
        <item x="568"/>
        <item x="1642"/>
        <item x="2647"/>
        <item x="2203"/>
        <item x="2409"/>
        <item x="122"/>
        <item x="1538"/>
        <item x="1562"/>
        <item x="1884"/>
        <item x="687"/>
        <item x="813"/>
        <item x="980"/>
        <item x="2831"/>
        <item x="1167"/>
        <item x="1997"/>
        <item x="2309"/>
        <item x="2122"/>
        <item x="2364"/>
        <item x="2303"/>
        <item x="1155"/>
        <item x="2133"/>
        <item x="982"/>
        <item x="2944"/>
        <item x="1845"/>
        <item x="1455"/>
        <item x="1558"/>
        <item x="2724"/>
        <item x="1673"/>
        <item x="1119"/>
        <item x="2870"/>
        <item x="2294"/>
        <item x="1062"/>
        <item x="2943"/>
        <item x="2619"/>
        <item x="604"/>
        <item x="2542"/>
        <item x="2296"/>
        <item x="1760"/>
        <item x="1096"/>
        <item x="2481"/>
        <item x="2505"/>
        <item x="1136"/>
        <item x="1911"/>
        <item x="643"/>
        <item x="1903"/>
        <item x="1247"/>
        <item x="1220"/>
        <item x="1347"/>
        <item x="2545"/>
        <item x="1597"/>
        <item x="816"/>
        <item x="915"/>
        <item x="2080"/>
        <item x="1625"/>
        <item x="1466"/>
        <item x="1019"/>
        <item x="730"/>
        <item x="714"/>
        <item x="953"/>
        <item x="1222"/>
        <item x="2382"/>
        <item x="920"/>
        <item x="2012"/>
        <item x="480"/>
        <item x="1228"/>
        <item x="54"/>
        <item x="2317"/>
        <item x="1036"/>
        <item x="630"/>
        <item x="2040"/>
        <item x="2392"/>
        <item x="2756"/>
        <item x="1507"/>
        <item x="617"/>
        <item x="2720"/>
        <item x="1351"/>
        <item x="1462"/>
        <item x="2083"/>
        <item x="2567"/>
        <item x="1674"/>
        <item x="760"/>
        <item x="494"/>
        <item x="2304"/>
        <item x="1310"/>
        <item x="838"/>
        <item x="1474"/>
        <item x="2310"/>
        <item x="123"/>
        <item x="2889"/>
        <item x="2242"/>
        <item x="1934"/>
        <item x="1748"/>
        <item x="1175"/>
        <item x="1587"/>
        <item x="1987"/>
        <item x="379"/>
        <item x="1356"/>
        <item x="1526"/>
        <item x="572"/>
        <item x="1926"/>
        <item x="452"/>
        <item x="1909"/>
        <item x="1897"/>
        <item x="2253"/>
        <item x="2866"/>
        <item x="432"/>
        <item x="263"/>
        <item x="1890"/>
        <item x="1749"/>
        <item x="2596"/>
        <item x="1393"/>
        <item x="2159"/>
        <item x="1898"/>
        <item x="746"/>
        <item x="2142"/>
        <item x="2588"/>
        <item x="477"/>
        <item x="1068"/>
        <item x="1108"/>
        <item x="2117"/>
        <item x="2530"/>
        <item x="958"/>
        <item x="1721"/>
        <item x="2454"/>
        <item x="2719"/>
        <item x="1543"/>
        <item x="299"/>
        <item x="2579"/>
        <item x="2451"/>
        <item x="667"/>
        <item x="848"/>
        <item x="2077"/>
        <item x="314"/>
        <item x="109"/>
        <item x="2038"/>
        <item x="905"/>
        <item x="2394"/>
        <item x="715"/>
        <item x="2328"/>
        <item x="1835"/>
        <item x="2750"/>
        <item x="1130"/>
        <item x="2157"/>
        <item x="1137"/>
        <item x="1988"/>
        <item x="1212"/>
        <item x="1403"/>
        <item x="1563"/>
        <item x="1680"/>
        <item x="856"/>
        <item x="1994"/>
        <item x="581"/>
        <item x="242"/>
        <item x="532"/>
        <item x="1668"/>
        <item x="1555"/>
        <item x="2020"/>
        <item x="63"/>
        <item x="1297"/>
        <item x="1442"/>
        <item x="1095"/>
        <item x="1396"/>
        <item x="474"/>
        <item x="1306"/>
        <item x="1360"/>
        <item x="2583"/>
        <item x="1314"/>
        <item x="2685"/>
        <item x="199"/>
        <item x="2231"/>
        <item x="2581"/>
        <item x="2632"/>
        <item x="909"/>
        <item x="2055"/>
        <item x="2274"/>
        <item x="2063"/>
        <item x="1344"/>
        <item x="2764"/>
        <item x="534"/>
        <item x="586"/>
        <item x="2258"/>
        <item x="2216"/>
        <item x="2134"/>
        <item x="60"/>
        <item x="1896"/>
        <item x="974"/>
        <item x="2615"/>
        <item x="1820"/>
        <item x="703"/>
        <item x="792"/>
        <item x="845"/>
        <item x="372"/>
        <item x="2611"/>
        <item x="2374"/>
        <item x="2935"/>
        <item x="2590"/>
        <item x="1866"/>
        <item x="2222"/>
        <item x="733"/>
        <item x="2687"/>
        <item x="2707"/>
        <item x="2751"/>
        <item x="1624"/>
        <item x="2331"/>
        <item x="869"/>
        <item x="269"/>
        <item x="2860"/>
        <item x="1603"/>
        <item x="1"/>
        <item x="580"/>
        <item x="2493"/>
        <item x="1180"/>
        <item x="407"/>
        <item x="1384"/>
        <item x="731"/>
        <item x="2708"/>
        <item x="744"/>
        <item x="518"/>
        <item x="472"/>
        <item x="713"/>
        <item x="1140"/>
        <item x="1565"/>
        <item x="376"/>
        <item x="143"/>
        <item x="216"/>
        <item x="2629"/>
        <item x="2856"/>
        <item x="2175"/>
        <item x="1301"/>
        <item x="1121"/>
        <item x="1183"/>
        <item x="2903"/>
        <item x="857"/>
        <item x="972"/>
        <item x="1764"/>
        <item x="2936"/>
        <item x="1660"/>
        <item x="860"/>
        <item x="2483"/>
        <item x="947"/>
        <item x="2245"/>
        <item x="2662"/>
        <item x="2147"/>
        <item x="384"/>
        <item x="2809"/>
        <item x="2114"/>
        <item x="43"/>
        <item x="1770"/>
        <item x="2099"/>
        <item x="183"/>
        <item x="1089"/>
        <item x="1959"/>
        <item x="2259"/>
        <item x="2152"/>
        <item x="1312"/>
        <item x="259"/>
        <item x="696"/>
        <item x="1477"/>
        <item x="1916"/>
        <item x="2059"/>
        <item x="2752"/>
        <item x="2789"/>
        <item x="1194"/>
        <item x="727"/>
        <item x="458"/>
        <item x="409"/>
        <item x="1023"/>
        <item x="2285"/>
        <item x="2609"/>
        <item x="1441"/>
        <item x="2644"/>
        <item x="1283"/>
        <item x="1142"/>
        <item x="1519"/>
        <item x="786"/>
        <item x="743"/>
        <item x="2819"/>
        <item x="2741"/>
        <item x="2587"/>
        <item x="2654"/>
        <item x="1219"/>
        <item x="1061"/>
        <item x="2863"/>
        <item x="1852"/>
        <item x="770"/>
        <item x="181"/>
        <item x="706"/>
        <item x="488"/>
        <item x="2868"/>
        <item x="375"/>
        <item x="897"/>
        <item x="213"/>
        <item x="77"/>
        <item x="3"/>
        <item x="2115"/>
        <item x="1141"/>
        <item x="2569"/>
        <item x="380"/>
        <item x="1710"/>
        <item x="362"/>
        <item x="2768"/>
        <item x="1861"/>
        <item x="865"/>
        <item x="606"/>
        <item x="1388"/>
        <item x="1755"/>
        <item x="1508"/>
        <item x="2323"/>
        <item x="808"/>
        <item x="1261"/>
        <item x="756"/>
        <item x="2436"/>
        <item x="820"/>
        <item x="590"/>
        <item x="265"/>
        <item x="1844"/>
        <item x="136"/>
        <item x="2191"/>
        <item x="2459"/>
        <item x="401"/>
        <item x="1629"/>
        <item x="2193"/>
        <item x="460"/>
        <item x="1098"/>
        <item x="1908"/>
        <item x="2854"/>
        <item x="201"/>
        <item x="2120"/>
        <item x="764"/>
        <item x="2076"/>
        <item x="2207"/>
        <item x="884"/>
        <item x="1485"/>
        <item x="1205"/>
        <item x="1989"/>
        <item x="2919"/>
        <item x="1318"/>
        <item x="625"/>
        <item x="684"/>
        <item x="2477"/>
        <item x="1698"/>
        <item x="2649"/>
        <item x="1486"/>
        <item x="2876"/>
        <item x="2482"/>
        <item x="1984"/>
        <item x="1284"/>
        <item x="2800"/>
        <item x="2433"/>
        <item x="2832"/>
        <item x="411"/>
        <item x="524"/>
        <item x="1202"/>
        <item x="1641"/>
        <item x="633"/>
        <item x="1349"/>
        <item x="1535"/>
        <item x="1734"/>
        <item x="2106"/>
        <item x="570"/>
        <item x="2570"/>
        <item x="421"/>
        <item x="8"/>
        <item x="2413"/>
        <item x="208"/>
        <item x="2109"/>
        <item x="1274"/>
        <item x="781"/>
        <item x="1276"/>
        <item x="669"/>
        <item x="1539"/>
        <item x="1000"/>
        <item x="1278"/>
        <item x="1514"/>
        <item x="2305"/>
        <item x="916"/>
        <item x="2376"/>
        <item x="1179"/>
        <item x="1436"/>
        <item x="197"/>
        <item x="1198"/>
        <item x="290"/>
        <item x="2339"/>
        <item x="622"/>
        <item x="2626"/>
        <item x="598"/>
        <item x="561"/>
        <item x="2001"/>
        <item x="783"/>
        <item x="732"/>
        <item x="2015"/>
        <item x="1235"/>
        <item x="1742"/>
        <item x="2440"/>
        <item x="992"/>
        <item x="415"/>
        <item x="2603"/>
        <item x="2137"/>
        <item x="1843"/>
        <item x="1599"/>
        <item x="111"/>
        <item x="1201"/>
        <item x="1492"/>
        <item x="2664"/>
        <item x="802"/>
        <item x="2931"/>
        <item x="1429"/>
        <item x="1251"/>
        <item x="702"/>
        <item x="2384"/>
        <item x="1572"/>
        <item x="2023"/>
        <item x="2591"/>
        <item x="541"/>
        <item x="1736"/>
        <item x="1683"/>
        <item x="1505"/>
        <item x="2395"/>
        <item x="776"/>
        <item x="2527"/>
        <item x="710"/>
        <item x="1627"/>
        <item x="330"/>
        <item x="464"/>
        <item x="646"/>
        <item x="1892"/>
        <item x="1718"/>
        <item x="1887"/>
        <item x="707"/>
        <item x="2670"/>
        <item x="386"/>
        <item x="1080"/>
        <item x="1473"/>
        <item x="1635"/>
        <item x="1260"/>
        <item x="2300"/>
        <item x="234"/>
        <item x="1066"/>
        <item x="2403"/>
        <item x="2638"/>
        <item x="47"/>
        <item x="1270"/>
        <item x="1805"/>
        <item x="1400"/>
        <item x="1408"/>
        <item x="238"/>
        <item x="806"/>
        <item x="1986"/>
        <item x="2414"/>
        <item x="1355"/>
        <item x="969"/>
        <item x="2650"/>
        <item x="1237"/>
        <item x="1075"/>
        <item x="2139"/>
        <item x="2613"/>
        <item x="1250"/>
        <item x="2798"/>
        <item x="2614"/>
        <item x="217"/>
        <item x="1255"/>
        <item x="2448"/>
        <item x="1763"/>
        <item x="291"/>
        <item x="1375"/>
        <item x="302"/>
        <item x="258"/>
        <item x="105"/>
        <item x="2835"/>
        <item x="2332"/>
        <item x="2184"/>
        <item x="1657"/>
        <item x="1154"/>
        <item x="1377"/>
        <item x="2463"/>
        <item x="654"/>
        <item x="529"/>
        <item x="1043"/>
        <item x="794"/>
        <item x="1512"/>
        <item x="603"/>
        <item x="2365"/>
        <item x="493"/>
        <item x="2568"/>
        <item x="2066"/>
        <item x="790"/>
        <item x="2078"/>
        <item x="1785"/>
        <item x="528"/>
        <item x="1341"/>
        <item x="2150"/>
        <item x="1094"/>
        <item x="605"/>
        <item x="41"/>
        <item x="1821"/>
        <item x="2595"/>
        <item x="56"/>
        <item x="2857"/>
        <item x="1315"/>
        <item x="644"/>
        <item x="1483"/>
        <item x="803"/>
        <item x="1569"/>
        <item x="2850"/>
        <item x="433"/>
        <item x="1479"/>
        <item x="2320"/>
        <item x="2669"/>
        <item x="1340"/>
        <item x="2266"/>
        <item x="2887"/>
        <item x="74"/>
        <item x="2705"/>
        <item x="2415"/>
        <item x="1040"/>
        <item x="278"/>
        <item x="2387"/>
        <item x="1931"/>
        <item x="1005"/>
        <item x="2872"/>
        <item x="563"/>
        <item x="2031"/>
        <item x="1197"/>
        <item x="2938"/>
        <item x="2"/>
        <item x="1784"/>
        <item x="1279"/>
        <item x="231"/>
        <item x="1031"/>
        <item x="2067"/>
        <item x="2730"/>
        <item x="1298"/>
        <item x="1053"/>
        <item x="652"/>
        <item x="304"/>
        <item x="700"/>
        <item x="2757"/>
        <item x="2727"/>
        <item x="826"/>
        <item x="2932"/>
        <item x="2597"/>
        <item x="544"/>
        <item x="1281"/>
        <item x="543"/>
        <item x="338"/>
        <item x="1626"/>
        <item x="618"/>
        <item x="821"/>
        <item x="2281"/>
        <item x="641"/>
        <item x="2555"/>
        <item x="1161"/>
        <item x="2743"/>
        <item x="2683"/>
        <item x="2262"/>
        <item x="1364"/>
        <item x="1051"/>
        <item x="2401"/>
        <item x="2540"/>
        <item x="791"/>
        <item x="2397"/>
        <item x="2363"/>
        <item x="1118"/>
        <item x="252"/>
        <item x="1532"/>
        <item x="18"/>
        <item x="2871"/>
        <item x="951"/>
        <item x="1622"/>
        <item x="1962"/>
        <item x="1752"/>
        <item x="1420"/>
        <item x="266"/>
        <item x="665"/>
        <item x="78"/>
        <item x="940"/>
        <item x="416"/>
        <item x="1534"/>
        <item x="53"/>
        <item x="390"/>
        <item x="1134"/>
        <item x="2096"/>
        <item x="1842"/>
        <item x="1443"/>
        <item x="698"/>
        <item x="1907"/>
        <item x="151"/>
        <item x="574"/>
        <item x="1566"/>
        <item x="2429"/>
        <item x="2189"/>
        <item x="2053"/>
        <item x="1148"/>
        <item x="1968"/>
        <item x="342"/>
        <item x="1810"/>
        <item x="970"/>
        <item x="2343"/>
        <item x="874"/>
        <item x="2552"/>
        <item x="2489"/>
        <item x="1456"/>
        <item x="1716"/>
        <item x="2223"/>
        <item x="150"/>
        <item t="default"/>
      </items>
    </pivotField>
    <pivotField showAll="0"/>
    <pivotField showAll="0">
      <items count="5">
        <item x="3"/>
        <item x="2"/>
        <item x="0"/>
        <item x="1"/>
        <item t="default"/>
      </items>
    </pivotField>
    <pivotField showAll="0"/>
    <pivotField numFmtId="2" showAll="0"/>
    <pivotField numFmtId="2" showAll="0"/>
    <pivotField dataField="1" showAll="0">
      <items count="4">
        <item x="0"/>
        <item x="1"/>
        <item x="2"/>
        <item t="default"/>
      </items>
    </pivotField>
    <pivotField showAll="0"/>
    <pivotField showAll="0"/>
    <pivotField showAll="0"/>
    <pivotField showAll="0"/>
    <pivotField showAll="0"/>
    <pivotField showAll="0"/>
    <pivotField showAll="0"/>
    <pivotField showAll="0"/>
    <pivotField showAll="0"/>
    <pivotField showAll="0"/>
    <pivotField showAll="0">
      <items count="4">
        <item x="1"/>
        <item x="2"/>
        <item x="0"/>
        <item t="default"/>
      </items>
    </pivotField>
    <pivotField showAll="0"/>
  </pivotFields>
  <rowFields count="1">
    <field x="0"/>
  </rowFields>
  <rowItems count="21">
    <i>
      <x/>
    </i>
    <i>
      <x v="1"/>
    </i>
    <i>
      <x v="2"/>
    </i>
    <i>
      <x v="3"/>
    </i>
    <i>
      <x v="4"/>
    </i>
    <i>
      <x v="5"/>
    </i>
    <i>
      <x v="6"/>
    </i>
    <i>
      <x v="7"/>
    </i>
    <i>
      <x v="8"/>
    </i>
    <i>
      <x v="9"/>
    </i>
    <i>
      <x v="10"/>
    </i>
    <i>
      <x v="11"/>
    </i>
    <i>
      <x v="12"/>
    </i>
    <i>
      <x v="13"/>
    </i>
    <i>
      <x v="14"/>
    </i>
    <i>
      <x v="15"/>
    </i>
    <i>
      <x v="16"/>
    </i>
    <i>
      <x v="17"/>
    </i>
    <i>
      <x v="18"/>
    </i>
    <i>
      <x v="19"/>
    </i>
    <i t="grand">
      <x/>
    </i>
  </rowItems>
  <colFields count="1">
    <field x="-2"/>
  </colFields>
  <colItems count="2">
    <i>
      <x/>
    </i>
    <i i="1">
      <x v="1"/>
    </i>
  </colItems>
  <dataFields count="2">
    <dataField name="Count of Risk_Category" fld="7" subtotal="count" baseField="0" baseItem="0"/>
    <dataField name="Avg_Salary" fld="1" subtotal="average" baseField="0" baseItem="0"/>
  </dataFields>
  <chartFormats count="42">
    <chartFormat chart="18" format="86" series="1">
      <pivotArea type="data" outline="0" fieldPosition="0">
        <references count="1">
          <reference field="4294967294" count="1" selected="0">
            <x v="0"/>
          </reference>
        </references>
      </pivotArea>
    </chartFormat>
    <chartFormat chart="18" format="87">
      <pivotArea type="data" outline="0" fieldPosition="0">
        <references count="2">
          <reference field="4294967294" count="1" selected="0">
            <x v="0"/>
          </reference>
          <reference field="0" count="1" selected="0">
            <x v="0"/>
          </reference>
        </references>
      </pivotArea>
    </chartFormat>
    <chartFormat chart="18" format="88">
      <pivotArea type="data" outline="0" fieldPosition="0">
        <references count="2">
          <reference field="4294967294" count="1" selected="0">
            <x v="0"/>
          </reference>
          <reference field="0" count="1" selected="0">
            <x v="1"/>
          </reference>
        </references>
      </pivotArea>
    </chartFormat>
    <chartFormat chart="18" format="89">
      <pivotArea type="data" outline="0" fieldPosition="0">
        <references count="2">
          <reference field="4294967294" count="1" selected="0">
            <x v="0"/>
          </reference>
          <reference field="0" count="1" selected="0">
            <x v="2"/>
          </reference>
        </references>
      </pivotArea>
    </chartFormat>
    <chartFormat chart="18" format="90">
      <pivotArea type="data" outline="0" fieldPosition="0">
        <references count="2">
          <reference field="4294967294" count="1" selected="0">
            <x v="0"/>
          </reference>
          <reference field="0" count="1" selected="0">
            <x v="3"/>
          </reference>
        </references>
      </pivotArea>
    </chartFormat>
    <chartFormat chart="18" format="91">
      <pivotArea type="data" outline="0" fieldPosition="0">
        <references count="2">
          <reference field="4294967294" count="1" selected="0">
            <x v="0"/>
          </reference>
          <reference field="0" count="1" selected="0">
            <x v="4"/>
          </reference>
        </references>
      </pivotArea>
    </chartFormat>
    <chartFormat chart="18" format="92">
      <pivotArea type="data" outline="0" fieldPosition="0">
        <references count="2">
          <reference field="4294967294" count="1" selected="0">
            <x v="0"/>
          </reference>
          <reference field="0" count="1" selected="0">
            <x v="5"/>
          </reference>
        </references>
      </pivotArea>
    </chartFormat>
    <chartFormat chart="18" format="93">
      <pivotArea type="data" outline="0" fieldPosition="0">
        <references count="2">
          <reference field="4294967294" count="1" selected="0">
            <x v="0"/>
          </reference>
          <reference field="0" count="1" selected="0">
            <x v="6"/>
          </reference>
        </references>
      </pivotArea>
    </chartFormat>
    <chartFormat chart="18" format="94">
      <pivotArea type="data" outline="0" fieldPosition="0">
        <references count="2">
          <reference field="4294967294" count="1" selected="0">
            <x v="0"/>
          </reference>
          <reference field="0" count="1" selected="0">
            <x v="7"/>
          </reference>
        </references>
      </pivotArea>
    </chartFormat>
    <chartFormat chart="18" format="95">
      <pivotArea type="data" outline="0" fieldPosition="0">
        <references count="2">
          <reference field="4294967294" count="1" selected="0">
            <x v="0"/>
          </reference>
          <reference field="0" count="1" selected="0">
            <x v="8"/>
          </reference>
        </references>
      </pivotArea>
    </chartFormat>
    <chartFormat chart="18" format="96">
      <pivotArea type="data" outline="0" fieldPosition="0">
        <references count="2">
          <reference field="4294967294" count="1" selected="0">
            <x v="0"/>
          </reference>
          <reference field="0" count="1" selected="0">
            <x v="9"/>
          </reference>
        </references>
      </pivotArea>
    </chartFormat>
    <chartFormat chart="18" format="97">
      <pivotArea type="data" outline="0" fieldPosition="0">
        <references count="2">
          <reference field="4294967294" count="1" selected="0">
            <x v="0"/>
          </reference>
          <reference field="0" count="1" selected="0">
            <x v="10"/>
          </reference>
        </references>
      </pivotArea>
    </chartFormat>
    <chartFormat chart="18" format="98">
      <pivotArea type="data" outline="0" fieldPosition="0">
        <references count="2">
          <reference field="4294967294" count="1" selected="0">
            <x v="0"/>
          </reference>
          <reference field="0" count="1" selected="0">
            <x v="11"/>
          </reference>
        </references>
      </pivotArea>
    </chartFormat>
    <chartFormat chart="18" format="99">
      <pivotArea type="data" outline="0" fieldPosition="0">
        <references count="2">
          <reference field="4294967294" count="1" selected="0">
            <x v="0"/>
          </reference>
          <reference field="0" count="1" selected="0">
            <x v="12"/>
          </reference>
        </references>
      </pivotArea>
    </chartFormat>
    <chartFormat chart="18" format="100">
      <pivotArea type="data" outline="0" fieldPosition="0">
        <references count="2">
          <reference field="4294967294" count="1" selected="0">
            <x v="0"/>
          </reference>
          <reference field="0" count="1" selected="0">
            <x v="13"/>
          </reference>
        </references>
      </pivotArea>
    </chartFormat>
    <chartFormat chart="18" format="101">
      <pivotArea type="data" outline="0" fieldPosition="0">
        <references count="2">
          <reference field="4294967294" count="1" selected="0">
            <x v="0"/>
          </reference>
          <reference field="0" count="1" selected="0">
            <x v="14"/>
          </reference>
        </references>
      </pivotArea>
    </chartFormat>
    <chartFormat chart="18" format="102">
      <pivotArea type="data" outline="0" fieldPosition="0">
        <references count="2">
          <reference field="4294967294" count="1" selected="0">
            <x v="0"/>
          </reference>
          <reference field="0" count="1" selected="0">
            <x v="15"/>
          </reference>
        </references>
      </pivotArea>
    </chartFormat>
    <chartFormat chart="18" format="103">
      <pivotArea type="data" outline="0" fieldPosition="0">
        <references count="2">
          <reference field="4294967294" count="1" selected="0">
            <x v="0"/>
          </reference>
          <reference field="0" count="1" selected="0">
            <x v="16"/>
          </reference>
        </references>
      </pivotArea>
    </chartFormat>
    <chartFormat chart="18" format="104">
      <pivotArea type="data" outline="0" fieldPosition="0">
        <references count="2">
          <reference field="4294967294" count="1" selected="0">
            <x v="0"/>
          </reference>
          <reference field="0" count="1" selected="0">
            <x v="17"/>
          </reference>
        </references>
      </pivotArea>
    </chartFormat>
    <chartFormat chart="18" format="105">
      <pivotArea type="data" outline="0" fieldPosition="0">
        <references count="2">
          <reference field="4294967294" count="1" selected="0">
            <x v="0"/>
          </reference>
          <reference field="0" count="1" selected="0">
            <x v="18"/>
          </reference>
        </references>
      </pivotArea>
    </chartFormat>
    <chartFormat chart="18" format="106">
      <pivotArea type="data" outline="0" fieldPosition="0">
        <references count="2">
          <reference field="4294967294" count="1" selected="0">
            <x v="0"/>
          </reference>
          <reference field="0" count="1" selected="0">
            <x v="19"/>
          </reference>
        </references>
      </pivotArea>
    </chartFormat>
    <chartFormat chart="18" format="107" series="1">
      <pivotArea type="data" outline="0" fieldPosition="0">
        <references count="1">
          <reference field="4294967294" count="1" selected="0">
            <x v="1"/>
          </reference>
        </references>
      </pivotArea>
    </chartFormat>
    <chartFormat chart="18" format="108">
      <pivotArea type="data" outline="0" fieldPosition="0">
        <references count="2">
          <reference field="4294967294" count="1" selected="0">
            <x v="1"/>
          </reference>
          <reference field="0" count="1" selected="0">
            <x v="0"/>
          </reference>
        </references>
      </pivotArea>
    </chartFormat>
    <chartFormat chart="18" format="109">
      <pivotArea type="data" outline="0" fieldPosition="0">
        <references count="2">
          <reference field="4294967294" count="1" selected="0">
            <x v="1"/>
          </reference>
          <reference field="0" count="1" selected="0">
            <x v="1"/>
          </reference>
        </references>
      </pivotArea>
    </chartFormat>
    <chartFormat chart="18" format="110">
      <pivotArea type="data" outline="0" fieldPosition="0">
        <references count="2">
          <reference field="4294967294" count="1" selected="0">
            <x v="1"/>
          </reference>
          <reference field="0" count="1" selected="0">
            <x v="2"/>
          </reference>
        </references>
      </pivotArea>
    </chartFormat>
    <chartFormat chart="18" format="111">
      <pivotArea type="data" outline="0" fieldPosition="0">
        <references count="2">
          <reference field="4294967294" count="1" selected="0">
            <x v="1"/>
          </reference>
          <reference field="0" count="1" selected="0">
            <x v="3"/>
          </reference>
        </references>
      </pivotArea>
    </chartFormat>
    <chartFormat chart="18" format="112">
      <pivotArea type="data" outline="0" fieldPosition="0">
        <references count="2">
          <reference field="4294967294" count="1" selected="0">
            <x v="1"/>
          </reference>
          <reference field="0" count="1" selected="0">
            <x v="4"/>
          </reference>
        </references>
      </pivotArea>
    </chartFormat>
    <chartFormat chart="18" format="113">
      <pivotArea type="data" outline="0" fieldPosition="0">
        <references count="2">
          <reference field="4294967294" count="1" selected="0">
            <x v="1"/>
          </reference>
          <reference field="0" count="1" selected="0">
            <x v="5"/>
          </reference>
        </references>
      </pivotArea>
    </chartFormat>
    <chartFormat chart="18" format="114">
      <pivotArea type="data" outline="0" fieldPosition="0">
        <references count="2">
          <reference field="4294967294" count="1" selected="0">
            <x v="1"/>
          </reference>
          <reference field="0" count="1" selected="0">
            <x v="6"/>
          </reference>
        </references>
      </pivotArea>
    </chartFormat>
    <chartFormat chart="18" format="115">
      <pivotArea type="data" outline="0" fieldPosition="0">
        <references count="2">
          <reference field="4294967294" count="1" selected="0">
            <x v="1"/>
          </reference>
          <reference field="0" count="1" selected="0">
            <x v="7"/>
          </reference>
        </references>
      </pivotArea>
    </chartFormat>
    <chartFormat chart="18" format="116">
      <pivotArea type="data" outline="0" fieldPosition="0">
        <references count="2">
          <reference field="4294967294" count="1" selected="0">
            <x v="1"/>
          </reference>
          <reference field="0" count="1" selected="0">
            <x v="8"/>
          </reference>
        </references>
      </pivotArea>
    </chartFormat>
    <chartFormat chart="18" format="117">
      <pivotArea type="data" outline="0" fieldPosition="0">
        <references count="2">
          <reference field="4294967294" count="1" selected="0">
            <x v="1"/>
          </reference>
          <reference field="0" count="1" selected="0">
            <x v="9"/>
          </reference>
        </references>
      </pivotArea>
    </chartFormat>
    <chartFormat chart="18" format="118">
      <pivotArea type="data" outline="0" fieldPosition="0">
        <references count="2">
          <reference field="4294967294" count="1" selected="0">
            <x v="1"/>
          </reference>
          <reference field="0" count="1" selected="0">
            <x v="10"/>
          </reference>
        </references>
      </pivotArea>
    </chartFormat>
    <chartFormat chart="18" format="119">
      <pivotArea type="data" outline="0" fieldPosition="0">
        <references count="2">
          <reference field="4294967294" count="1" selected="0">
            <x v="1"/>
          </reference>
          <reference field="0" count="1" selected="0">
            <x v="11"/>
          </reference>
        </references>
      </pivotArea>
    </chartFormat>
    <chartFormat chart="18" format="120">
      <pivotArea type="data" outline="0" fieldPosition="0">
        <references count="2">
          <reference field="4294967294" count="1" selected="0">
            <x v="1"/>
          </reference>
          <reference field="0" count="1" selected="0">
            <x v="12"/>
          </reference>
        </references>
      </pivotArea>
    </chartFormat>
    <chartFormat chart="18" format="121">
      <pivotArea type="data" outline="0" fieldPosition="0">
        <references count="2">
          <reference field="4294967294" count="1" selected="0">
            <x v="1"/>
          </reference>
          <reference field="0" count="1" selected="0">
            <x v="13"/>
          </reference>
        </references>
      </pivotArea>
    </chartFormat>
    <chartFormat chart="18" format="122">
      <pivotArea type="data" outline="0" fieldPosition="0">
        <references count="2">
          <reference field="4294967294" count="1" selected="0">
            <x v="1"/>
          </reference>
          <reference field="0" count="1" selected="0">
            <x v="14"/>
          </reference>
        </references>
      </pivotArea>
    </chartFormat>
    <chartFormat chart="18" format="123">
      <pivotArea type="data" outline="0" fieldPosition="0">
        <references count="2">
          <reference field="4294967294" count="1" selected="0">
            <x v="1"/>
          </reference>
          <reference field="0" count="1" selected="0">
            <x v="15"/>
          </reference>
        </references>
      </pivotArea>
    </chartFormat>
    <chartFormat chart="18" format="124">
      <pivotArea type="data" outline="0" fieldPosition="0">
        <references count="2">
          <reference field="4294967294" count="1" selected="0">
            <x v="1"/>
          </reference>
          <reference field="0" count="1" selected="0">
            <x v="16"/>
          </reference>
        </references>
      </pivotArea>
    </chartFormat>
    <chartFormat chart="18" format="125">
      <pivotArea type="data" outline="0" fieldPosition="0">
        <references count="2">
          <reference field="4294967294" count="1" selected="0">
            <x v="1"/>
          </reference>
          <reference field="0" count="1" selected="0">
            <x v="17"/>
          </reference>
        </references>
      </pivotArea>
    </chartFormat>
    <chartFormat chart="18" format="126">
      <pivotArea type="data" outline="0" fieldPosition="0">
        <references count="2">
          <reference field="4294967294" count="1" selected="0">
            <x v="1"/>
          </reference>
          <reference field="0" count="1" selected="0">
            <x v="18"/>
          </reference>
        </references>
      </pivotArea>
    </chartFormat>
    <chartFormat chart="18" format="127">
      <pivotArea type="data" outline="0" fieldPosition="0">
        <references count="2">
          <reference field="4294967294" count="1" selected="0">
            <x v="1"/>
          </reference>
          <reference field="0" count="1" selected="0">
            <x v="1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_Level1" xr10:uid="{DA35D51B-769B-43B0-BA33-D9A29E709A32}" sourceName="Education_Level">
  <pivotTables>
    <pivotTable tabId="3" name="PivotTable1"/>
    <pivotTable tabId="3" name="PivotTable2"/>
    <pivotTable tabId="3" name="PivotTable3"/>
    <pivotTable tabId="3" name="PivotTable4"/>
  </pivotTables>
  <data>
    <tabular pivotCacheId="181258117">
      <items count="4">
        <i x="3" s="1"/>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isk_Category1" xr10:uid="{C8D872EC-F59A-4F18-BA64-82F8C7D67BE6}" sourceName="Risk_Category">
  <pivotTables>
    <pivotTable tabId="3" name="PivotTable1"/>
    <pivotTable tabId="3" name="PivotTable2"/>
    <pivotTable tabId="3" name="PivotTable3"/>
    <pivotTable tabId="3" name="PivotTable4"/>
  </pivotTables>
  <data>
    <tabular pivotCacheId="181258117">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reer_Stage1" xr10:uid="{32A5561E-12A3-4DA9-A7C7-21E969874FF1}" sourceName="Career_Stage">
  <pivotTables>
    <pivotTable tabId="3" name="PivotTable1"/>
    <pivotTable tabId="3" name="PivotTable2"/>
    <pivotTable tabId="3" name="PivotTable3"/>
    <pivotTable tabId="3" name="PivotTable4"/>
  </pivotTables>
  <data>
    <tabular pivotCacheId="181258117">
      <items count="3">
        <i x="1"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ducation_Level 2" xr10:uid="{9480D128-EEDA-42F8-A60E-F21058098DC4}" cache="Slicer_Education_Level1" caption="Education_Level" rowHeight="241300"/>
  <slicer name="Risk_Category 2" xr10:uid="{0DABB7B2-E5B2-4774-97D3-B22B6D5103B1}" cache="Slicer_Risk_Category1" caption="Risk_Category" rowHeight="241300"/>
  <slicer name="Career_Stage 2" xr10:uid="{6D7FD4A2-D444-4D58-BCEE-044AEA736C6E}" cache="Slicer_Career_Stage1" caption="Career_Stage"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ducation_Level" xr10:uid="{FDB3C210-196A-4611-ACEB-81CF6EC98FC2}" cache="Slicer_Education_Level1" caption="Education_Level" rowHeight="241300"/>
  <slicer name="Risk_Category" xr10:uid="{7EC2DA0C-C4CF-4F7A-821F-2F456A1EC30B}" cache="Slicer_Risk_Category1" caption="Risk_Category" rowHeight="241300"/>
  <slicer name="Career_Stage" xr10:uid="{74FBE70C-08BA-40F7-AE61-DD2288A1FA2D}" cache="Slicer_Career_Stage1" caption="Career_Stage"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4197A3A-75FB-4035-ABBC-8402AAE44F0A}" name="Table1" displayName="Table1" ref="A1:T3001" totalsRowShown="0" headerRowDxfId="8">
  <autoFilter ref="A1:T3001" xr:uid="{5BCA9118-D887-47E9-B763-3E5CE457FE3D}"/>
  <tableColumns count="20">
    <tableColumn id="1" xr3:uid="{28B4A3CB-CF80-4A24-A860-992E4FA9A746}" name="Job_Title"/>
    <tableColumn id="2" xr3:uid="{5DE744AF-74FE-45C5-BEDD-24B348BB5ED0}" name="Average_Salary"/>
    <tableColumn id="3" xr3:uid="{1D4DE172-BE55-46BB-B3AA-21F3BE0F20AD}" name="Years_Experience" dataDxfId="7"/>
    <tableColumn id="4" xr3:uid="{B347DF0F-E484-4A6B-AAFD-27FDD02EC645}" name="Education_Level"/>
    <tableColumn id="22" xr3:uid="{634D7D35-390F-4216-8DED-55347AB87263}" name="Tech_Growth_Factor" dataDxfId="6"/>
    <tableColumn id="5" xr3:uid="{F37290C5-25FC-45B8-9671-3CA8AC3F859F}" name="AI_Exposure_Index" dataDxfId="5"/>
    <tableColumn id="7" xr3:uid="{EAA320FE-C11D-4EEF-A1D2-B33911B6498B}" name="Automation_Probability_2030" dataDxfId="4"/>
    <tableColumn id="8" xr3:uid="{DD726E18-3BEA-4B02-B5C3-2675FD6E0786}" name="Risk_Category" dataDxfId="3"/>
    <tableColumn id="9" xr3:uid="{99C07887-AB6C-411C-8638-A97DA3560887}" name="Skill_1"/>
    <tableColumn id="10" xr3:uid="{188C0216-EECA-4438-8443-CE84A0E2318B}" name="Skill_2"/>
    <tableColumn id="11" xr3:uid="{4A1C6CEB-98CD-4E58-9ED3-09A1F4145AED}" name="Skill_3"/>
    <tableColumn id="12" xr3:uid="{44D1EC1A-C877-4674-BD55-F9FBA5D28861}" name="Skill_4"/>
    <tableColumn id="13" xr3:uid="{6EC8D503-987B-4FF3-9D9E-0FBE629C9D65}" name="Skill_5"/>
    <tableColumn id="14" xr3:uid="{2D60B64C-5160-421F-983F-5D19980BD914}" name="Skill_6"/>
    <tableColumn id="15" xr3:uid="{1C9B94B0-2947-4C92-974E-84C24161C2AA}" name="Skill_7"/>
    <tableColumn id="16" xr3:uid="{3AD77836-769A-4B6C-B4BA-595CAAC6AA31}" name="Skill_8"/>
    <tableColumn id="17" xr3:uid="{CFF23601-ED26-4650-A67E-B7648B7D4724}" name="Skill_9"/>
    <tableColumn id="18" xr3:uid="{9D6CAFEF-73C5-4213-9854-845B673F7242}" name="Skill_10" dataDxfId="2"/>
    <tableColumn id="19" xr3:uid="{EC1E92CE-0549-4E36-B194-325DAD41CDF4}" name="Career_Stage">
      <calculatedColumnFormula>IF(Table1[[#This Row],[Years_Experience]]&lt;=5,"Early Career",
IF(Table1[[#This Row],[Years_Experience]]&lt;=15,"Mid Career","Senior Level"))</calculatedColumnFormula>
    </tableColumn>
    <tableColumn id="20" xr3:uid="{7F3BC086-0447-4842-A74E-F8DC1E1BCEF0}" name="Exposure_Level_Text">
      <calculatedColumnFormula>IF(Table1[[#This Row],[AI_Exposure_Index]]&gt;=0.7,"High Exposure", IF(Table1[[#This Row],[AI_Exposure_Index]]&gt;=0.3,"Medium Exposure","Low Exposure"))</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2.xml"/><Relationship Id="rId5" Type="http://schemas.openxmlformats.org/officeDocument/2006/relationships/drawing" Target="../drawings/drawing2.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C3A51D-A8D2-4C80-9D9A-99A7A09E7564}">
  <dimension ref="E8"/>
  <sheetViews>
    <sheetView tabSelected="1" topLeftCell="D1" zoomScale="80" zoomScaleNormal="80" workbookViewId="0">
      <selection activeCell="D7" sqref="D7"/>
    </sheetView>
  </sheetViews>
  <sheetFormatPr defaultRowHeight="15" x14ac:dyDescent="0.25"/>
  <sheetData>
    <row r="8" spans="5:5" x14ac:dyDescent="0.25">
      <c r="E8" s="20"/>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E8122B-1A0F-4473-92BF-5F8351E322AE}">
  <dimension ref="A2:J32"/>
  <sheetViews>
    <sheetView topLeftCell="A4" workbookViewId="0">
      <selection activeCell="B10" sqref="B10"/>
    </sheetView>
  </sheetViews>
  <sheetFormatPr defaultRowHeight="15" x14ac:dyDescent="0.25"/>
  <cols>
    <col min="1" max="1" width="19.5703125" bestFit="1" customWidth="1"/>
    <col min="2" max="2" width="21.85546875" bestFit="1" customWidth="1"/>
    <col min="3" max="3" width="12" bestFit="1" customWidth="1"/>
    <col min="4" max="7" width="6" bestFit="1" customWidth="1"/>
    <col min="8" max="8" width="13.140625" bestFit="1" customWidth="1"/>
    <col min="9" max="9" width="19.5703125" bestFit="1" customWidth="1"/>
    <col min="10" max="10" width="38.28515625" bestFit="1" customWidth="1"/>
    <col min="11" max="99" width="8" bestFit="1" customWidth="1"/>
    <col min="100" max="100" width="11.28515625" bestFit="1" customWidth="1"/>
    <col min="101" max="1739" width="6" bestFit="1" customWidth="1"/>
    <col min="1740" max="2968" width="7" bestFit="1" customWidth="1"/>
    <col min="2969" max="2969" width="11.28515625" bestFit="1" customWidth="1"/>
  </cols>
  <sheetData>
    <row r="2" spans="1:10" x14ac:dyDescent="0.25">
      <c r="B2" s="16" t="s">
        <v>56</v>
      </c>
      <c r="I2" s="18" t="s">
        <v>57</v>
      </c>
    </row>
    <row r="4" spans="1:10" x14ac:dyDescent="0.25">
      <c r="A4" s="14" t="s">
        <v>54</v>
      </c>
      <c r="B4" t="s">
        <v>53</v>
      </c>
      <c r="C4" t="s">
        <v>65</v>
      </c>
      <c r="H4" s="14" t="s">
        <v>54</v>
      </c>
      <c r="I4" t="s">
        <v>63</v>
      </c>
      <c r="J4" t="s">
        <v>58</v>
      </c>
    </row>
    <row r="5" spans="1:10" x14ac:dyDescent="0.25">
      <c r="A5" s="15" t="s">
        <v>29</v>
      </c>
      <c r="B5" s="21">
        <v>140</v>
      </c>
      <c r="C5" s="21">
        <v>90759.828571428574</v>
      </c>
      <c r="H5" s="15" t="s">
        <v>38</v>
      </c>
      <c r="I5" s="21">
        <v>88815.495424836598</v>
      </c>
      <c r="J5" s="17">
        <v>0.50035294117647022</v>
      </c>
    </row>
    <row r="6" spans="1:10" x14ac:dyDescent="0.25">
      <c r="A6" s="15" t="s">
        <v>42</v>
      </c>
      <c r="B6" s="21">
        <v>141</v>
      </c>
      <c r="C6" s="21">
        <v>91407.801418439718</v>
      </c>
      <c r="H6" s="15" t="s">
        <v>25</v>
      </c>
      <c r="I6" s="21">
        <v>88389.293367346938</v>
      </c>
      <c r="J6" s="17">
        <v>0.50905612244897902</v>
      </c>
    </row>
    <row r="7" spans="1:10" x14ac:dyDescent="0.25">
      <c r="A7" s="15" t="s">
        <v>24</v>
      </c>
      <c r="B7" s="21">
        <v>156</v>
      </c>
      <c r="C7" s="21">
        <v>90800.333333333328</v>
      </c>
      <c r="H7" s="15" t="s">
        <v>19</v>
      </c>
      <c r="I7" s="21">
        <v>91318.56462585034</v>
      </c>
      <c r="J7" s="17">
        <v>0.49563265306122434</v>
      </c>
    </row>
    <row r="8" spans="1:10" x14ac:dyDescent="0.25">
      <c r="A8" s="15" t="s">
        <v>33</v>
      </c>
      <c r="B8" s="21">
        <v>133</v>
      </c>
      <c r="C8" s="21">
        <v>87487</v>
      </c>
      <c r="H8" s="15" t="s">
        <v>22</v>
      </c>
      <c r="I8" s="21">
        <v>89045.575418994413</v>
      </c>
      <c r="J8" s="17">
        <v>0.50048882681564233</v>
      </c>
    </row>
    <row r="9" spans="1:10" x14ac:dyDescent="0.25">
      <c r="A9" s="15" t="s">
        <v>36</v>
      </c>
      <c r="B9" s="21">
        <v>167</v>
      </c>
      <c r="C9" s="21">
        <v>90629.550898203597</v>
      </c>
      <c r="H9" s="15" t="s">
        <v>55</v>
      </c>
      <c r="I9" s="21">
        <v>89372.278999999995</v>
      </c>
      <c r="J9" s="17">
        <v>0.5015033333333333</v>
      </c>
    </row>
    <row r="10" spans="1:10" x14ac:dyDescent="0.25">
      <c r="A10" s="15" t="s">
        <v>40</v>
      </c>
      <c r="B10" s="21">
        <v>132</v>
      </c>
      <c r="C10" s="21">
        <v>89091.742424242431</v>
      </c>
    </row>
    <row r="11" spans="1:10" x14ac:dyDescent="0.25">
      <c r="A11" s="15" t="s">
        <v>28</v>
      </c>
      <c r="B11" s="21">
        <v>151</v>
      </c>
      <c r="C11" s="21">
        <v>88030.311258278147</v>
      </c>
      <c r="J11" s="19" t="s">
        <v>59</v>
      </c>
    </row>
    <row r="12" spans="1:10" x14ac:dyDescent="0.25">
      <c r="A12" s="15" t="s">
        <v>37</v>
      </c>
      <c r="B12" s="21">
        <v>160</v>
      </c>
      <c r="C12" s="21">
        <v>96423.46875</v>
      </c>
      <c r="I12" s="14" t="s">
        <v>54</v>
      </c>
      <c r="J12" t="s">
        <v>64</v>
      </c>
    </row>
    <row r="13" spans="1:10" x14ac:dyDescent="0.25">
      <c r="A13" s="15" t="s">
        <v>32</v>
      </c>
      <c r="B13" s="21">
        <v>157</v>
      </c>
      <c r="C13" s="21">
        <v>89242.254777070062</v>
      </c>
      <c r="I13" s="15" t="s">
        <v>60</v>
      </c>
      <c r="J13" s="21">
        <v>595</v>
      </c>
    </row>
    <row r="14" spans="1:10" x14ac:dyDescent="0.25">
      <c r="A14" s="15" t="s">
        <v>35</v>
      </c>
      <c r="B14" s="21">
        <v>132</v>
      </c>
      <c r="C14" s="21">
        <v>92441.878787878784</v>
      </c>
      <c r="I14" s="15" t="s">
        <v>61</v>
      </c>
      <c r="J14" s="21">
        <v>983</v>
      </c>
    </row>
    <row r="15" spans="1:10" x14ac:dyDescent="0.25">
      <c r="A15" s="15" t="s">
        <v>44</v>
      </c>
      <c r="B15" s="21">
        <v>134</v>
      </c>
      <c r="C15" s="21">
        <v>86458.111940298506</v>
      </c>
      <c r="I15" s="15" t="s">
        <v>62</v>
      </c>
      <c r="J15" s="21">
        <v>1422</v>
      </c>
    </row>
    <row r="16" spans="1:10" x14ac:dyDescent="0.25">
      <c r="A16" s="15" t="s">
        <v>30</v>
      </c>
      <c r="B16" s="21">
        <v>136</v>
      </c>
      <c r="C16" s="21">
        <v>89807.647058823524</v>
      </c>
      <c r="I16" s="15" t="s">
        <v>55</v>
      </c>
      <c r="J16" s="21">
        <v>3000</v>
      </c>
    </row>
    <row r="17" spans="1:10" x14ac:dyDescent="0.25">
      <c r="A17" s="15" t="s">
        <v>43</v>
      </c>
      <c r="B17" s="21">
        <v>142</v>
      </c>
      <c r="C17" s="21">
        <v>88955.323943661977</v>
      </c>
    </row>
    <row r="18" spans="1:10" x14ac:dyDescent="0.25">
      <c r="A18" s="15" t="s">
        <v>21</v>
      </c>
      <c r="B18" s="21">
        <v>149</v>
      </c>
      <c r="C18" s="21">
        <v>87204.744966442959</v>
      </c>
    </row>
    <row r="19" spans="1:10" x14ac:dyDescent="0.25">
      <c r="A19" s="15" t="s">
        <v>39</v>
      </c>
      <c r="B19" s="21">
        <v>155</v>
      </c>
      <c r="C19" s="21">
        <v>87208.412903225806</v>
      </c>
    </row>
    <row r="20" spans="1:10" x14ac:dyDescent="0.25">
      <c r="A20" s="15" t="s">
        <v>18</v>
      </c>
      <c r="B20" s="21">
        <v>154</v>
      </c>
      <c r="C20" s="21">
        <v>87290.435064935067</v>
      </c>
    </row>
    <row r="21" spans="1:10" x14ac:dyDescent="0.25">
      <c r="A21" s="15" t="s">
        <v>26</v>
      </c>
      <c r="B21" s="21">
        <v>175</v>
      </c>
      <c r="C21" s="21">
        <v>90264.73714285715</v>
      </c>
      <c r="I21" s="14" t="s">
        <v>54</v>
      </c>
      <c r="J21" t="s">
        <v>58</v>
      </c>
    </row>
    <row r="22" spans="1:10" x14ac:dyDescent="0.25">
      <c r="A22" s="15" t="s">
        <v>31</v>
      </c>
      <c r="B22" s="21">
        <v>166</v>
      </c>
      <c r="C22" s="21">
        <v>90885.759036144576</v>
      </c>
      <c r="I22" s="15" t="s">
        <v>39</v>
      </c>
      <c r="J22" s="17">
        <v>0.83470967741935465</v>
      </c>
    </row>
    <row r="23" spans="1:10" x14ac:dyDescent="0.25">
      <c r="A23" s="15" t="s">
        <v>41</v>
      </c>
      <c r="B23" s="21">
        <v>153</v>
      </c>
      <c r="C23" s="21">
        <v>84519.92810457517</v>
      </c>
      <c r="I23" s="15" t="s">
        <v>18</v>
      </c>
      <c r="J23" s="17">
        <v>0.83305194805194804</v>
      </c>
    </row>
    <row r="24" spans="1:10" x14ac:dyDescent="0.25">
      <c r="A24" s="15" t="s">
        <v>34</v>
      </c>
      <c r="B24" s="21">
        <v>167</v>
      </c>
      <c r="C24" s="21">
        <v>87982.419161676647</v>
      </c>
      <c r="I24" s="15" t="s">
        <v>24</v>
      </c>
      <c r="J24" s="17">
        <v>0.82596153846153819</v>
      </c>
    </row>
    <row r="25" spans="1:10" x14ac:dyDescent="0.25">
      <c r="A25" s="15" t="s">
        <v>55</v>
      </c>
      <c r="B25" s="21">
        <v>3000</v>
      </c>
      <c r="C25" s="21">
        <v>89372.278999999995</v>
      </c>
      <c r="I25" s="15" t="s">
        <v>33</v>
      </c>
      <c r="J25" s="17">
        <v>0.82526315789473692</v>
      </c>
    </row>
    <row r="26" spans="1:10" x14ac:dyDescent="0.25">
      <c r="I26" s="15" t="s">
        <v>41</v>
      </c>
      <c r="J26" s="17">
        <v>0.81862745098039225</v>
      </c>
    </row>
    <row r="27" spans="1:10" x14ac:dyDescent="0.25">
      <c r="I27" s="15" t="s">
        <v>37</v>
      </c>
      <c r="J27" s="17">
        <v>0.52899999999999969</v>
      </c>
    </row>
    <row r="28" spans="1:10" x14ac:dyDescent="0.25">
      <c r="I28" s="15" t="s">
        <v>26</v>
      </c>
      <c r="J28" s="17">
        <v>0.5086857142857143</v>
      </c>
    </row>
    <row r="29" spans="1:10" x14ac:dyDescent="0.25">
      <c r="I29" s="15" t="s">
        <v>36</v>
      </c>
      <c r="J29" s="17">
        <v>0.49628742514970076</v>
      </c>
    </row>
    <row r="30" spans="1:10" x14ac:dyDescent="0.25">
      <c r="I30" s="15" t="s">
        <v>42</v>
      </c>
      <c r="J30" s="17">
        <v>0.49567375886524812</v>
      </c>
    </row>
    <row r="31" spans="1:10" x14ac:dyDescent="0.25">
      <c r="I31" s="15" t="s">
        <v>44</v>
      </c>
      <c r="J31" s="17">
        <v>0.49477611940298494</v>
      </c>
    </row>
    <row r="32" spans="1:10" x14ac:dyDescent="0.25">
      <c r="I32" s="15" t="s">
        <v>55</v>
      </c>
      <c r="J32" s="17">
        <v>0.66378272251308845</v>
      </c>
    </row>
  </sheetData>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8A173D-9AC7-4E30-8863-952ACAB51E54}">
  <dimension ref="A1:I23"/>
  <sheetViews>
    <sheetView topLeftCell="A2" workbookViewId="0">
      <selection activeCell="F3" sqref="F3"/>
    </sheetView>
  </sheetViews>
  <sheetFormatPr defaultRowHeight="15" x14ac:dyDescent="0.25"/>
  <cols>
    <col min="1" max="1" width="22.140625" customWidth="1"/>
    <col min="2" max="2" width="25.7109375" customWidth="1"/>
    <col min="3" max="3" width="38" customWidth="1"/>
    <col min="7" max="7" width="21.42578125" customWidth="1"/>
    <col min="8" max="8" width="18.28515625" customWidth="1"/>
    <col min="9" max="9" width="15.42578125" customWidth="1"/>
  </cols>
  <sheetData>
    <row r="1" spans="1:9" ht="18.75" x14ac:dyDescent="0.3">
      <c r="H1" s="12" t="s">
        <v>52</v>
      </c>
    </row>
    <row r="3" spans="1:9" s="3" customFormat="1" x14ac:dyDescent="0.25">
      <c r="A3" s="13" t="s">
        <v>47</v>
      </c>
      <c r="B3" s="13" t="s">
        <v>48</v>
      </c>
      <c r="C3" s="13" t="s">
        <v>49</v>
      </c>
      <c r="D3" s="20"/>
      <c r="E3" s="20"/>
      <c r="G3" s="11" t="s">
        <v>47</v>
      </c>
      <c r="H3" s="11" t="s">
        <v>50</v>
      </c>
      <c r="I3" s="11" t="s">
        <v>51</v>
      </c>
    </row>
    <row r="4" spans="1:9" x14ac:dyDescent="0.25">
      <c r="A4" t="str" cm="1">
        <f t="array" ref="A4:A23">_xlfn.UNIQUE(Table1[Job_Title])</f>
        <v>Security Guard</v>
      </c>
      <c r="B4">
        <f>AVERAGEIF(Table1[Job_Title],Table1[[#This Row],[Job_Title]],Table1[Average_Salary])</f>
        <v>90800.333333333328</v>
      </c>
      <c r="C4">
        <f>AVERAGEIF(Table1[Job_Title],Table1[[#This Row],[Job_Title]],Table1[Years_Experience])</f>
        <v>14.557692307692308</v>
      </c>
      <c r="G4" t="str" cm="1">
        <f t="array" ref="G4:G23">_xlfn.UNIQUE(Table1[Job_Title])</f>
        <v>Security Guard</v>
      </c>
      <c r="H4">
        <f t="shared" ref="H4:H23" si="0">VLOOKUP(A4,A:C,2,FALSE)</f>
        <v>90800.333333333328</v>
      </c>
      <c r="I4">
        <f t="shared" ref="I4:I23" si="1">VLOOKUP(A4,A:C,3,FALSE)</f>
        <v>14.557692307692308</v>
      </c>
    </row>
    <row r="5" spans="1:9" x14ac:dyDescent="0.25">
      <c r="A5" t="str">
        <v>Research Scientist</v>
      </c>
      <c r="B5">
        <f>AVERAGEIF(Table1[Job_Title],Table1[[#This Row],[Job_Title]],Table1[Average_Salary])</f>
        <v>90264.73714285715</v>
      </c>
      <c r="C5">
        <f>AVERAGEIF(Table1[Job_Title],Table1[[#This Row],[Job_Title]],Table1[Years_Experience])</f>
        <v>14.177142857142858</v>
      </c>
      <c r="G5" t="str">
        <v>Research Scientist</v>
      </c>
      <c r="H5">
        <f t="shared" si="0"/>
        <v>90264.73714285715</v>
      </c>
      <c r="I5">
        <f t="shared" si="1"/>
        <v>14.177142857142858</v>
      </c>
    </row>
    <row r="6" spans="1:9" x14ac:dyDescent="0.25">
      <c r="A6" t="str">
        <v>Construction Worker</v>
      </c>
      <c r="B6">
        <f>AVERAGEIF(Table1[Job_Title],Table1[[#This Row],[Job_Title]],Table1[Average_Salary])</f>
        <v>88030.311258278147</v>
      </c>
      <c r="C6">
        <f>AVERAGEIF(Table1[Job_Title],Table1[[#This Row],[Job_Title]],Table1[Years_Experience])</f>
        <v>14.350993377483444</v>
      </c>
      <c r="G6" t="str">
        <v>Construction Worker</v>
      </c>
      <c r="H6">
        <f t="shared" si="0"/>
        <v>88030.311258278147</v>
      </c>
      <c r="I6">
        <f t="shared" si="1"/>
        <v>14.350993377483444</v>
      </c>
    </row>
    <row r="7" spans="1:9" x14ac:dyDescent="0.25">
      <c r="A7" t="str">
        <v>Software Engineer</v>
      </c>
      <c r="B7">
        <f>AVERAGEIF(Table1[Job_Title],Table1[[#This Row],[Job_Title]],Table1[Average_Salary])</f>
        <v>90759.828571428574</v>
      </c>
      <c r="C7">
        <f>AVERAGEIF(Table1[Job_Title],Table1[[#This Row],[Job_Title]],Table1[Years_Experience])</f>
        <v>14.442857142857143</v>
      </c>
      <c r="G7" t="str">
        <v>Software Engineer</v>
      </c>
      <c r="H7">
        <f t="shared" si="0"/>
        <v>90759.828571428574</v>
      </c>
      <c r="I7">
        <f t="shared" si="1"/>
        <v>14.442857142857143</v>
      </c>
    </row>
    <row r="8" spans="1:9" x14ac:dyDescent="0.25">
      <c r="A8" t="str">
        <v>Financial Analyst</v>
      </c>
      <c r="B8">
        <f>AVERAGEIF(Table1[Job_Title],Table1[[#This Row],[Job_Title]],Table1[Average_Salary])</f>
        <v>89807.647058823524</v>
      </c>
      <c r="C8">
        <f>AVERAGEIF(Table1[Job_Title],Table1[[#This Row],[Job_Title]],Table1[Years_Experience])</f>
        <v>16.227941176470587</v>
      </c>
      <c r="G8" t="str">
        <v>Financial Analyst</v>
      </c>
      <c r="H8">
        <f t="shared" si="0"/>
        <v>89807.647058823524</v>
      </c>
      <c r="I8">
        <f t="shared" si="1"/>
        <v>16.227941176470587</v>
      </c>
    </row>
    <row r="9" spans="1:9" x14ac:dyDescent="0.25">
      <c r="A9" t="str">
        <v>AI Engineer</v>
      </c>
      <c r="B9">
        <f>AVERAGEIF(Table1[Job_Title],Table1[[#This Row],[Job_Title]],Table1[Average_Salary])</f>
        <v>90885.759036144576</v>
      </c>
      <c r="C9">
        <f>AVERAGEIF(Table1[Job_Title],Table1[[#This Row],[Job_Title]],Table1[Years_Experience])</f>
        <v>15.524096385542169</v>
      </c>
      <c r="G9" t="str">
        <v>AI Engineer</v>
      </c>
      <c r="H9">
        <f t="shared" si="0"/>
        <v>90885.759036144576</v>
      </c>
      <c r="I9">
        <f t="shared" si="1"/>
        <v>15.524096385542169</v>
      </c>
    </row>
    <row r="10" spans="1:9" x14ac:dyDescent="0.25">
      <c r="A10" t="str">
        <v>Mechanic</v>
      </c>
      <c r="B10">
        <f>AVERAGEIF(Table1[Job_Title],Table1[[#This Row],[Job_Title]],Table1[Average_Salary])</f>
        <v>89242.254777070062</v>
      </c>
      <c r="C10">
        <f>AVERAGEIF(Table1[Job_Title],Table1[[#This Row],[Job_Title]],Table1[Years_Experience])</f>
        <v>15.439490445859873</v>
      </c>
      <c r="G10" t="str">
        <v>Mechanic</v>
      </c>
      <c r="H10">
        <f t="shared" si="0"/>
        <v>89242.254777070062</v>
      </c>
      <c r="I10">
        <f t="shared" si="1"/>
        <v>15.439490445859873</v>
      </c>
    </row>
    <row r="11" spans="1:9" x14ac:dyDescent="0.25">
      <c r="A11" t="str">
        <v>Teacher</v>
      </c>
      <c r="B11">
        <f>AVERAGEIF(Table1[Job_Title],Table1[[#This Row],[Job_Title]],Table1[Average_Salary])</f>
        <v>87487</v>
      </c>
      <c r="C11">
        <f>AVERAGEIF(Table1[Job_Title],Table1[[#This Row],[Job_Title]],Table1[Years_Experience])</f>
        <v>14</v>
      </c>
      <c r="G11" t="str">
        <v>Teacher</v>
      </c>
      <c r="H11">
        <f t="shared" si="0"/>
        <v>87487</v>
      </c>
      <c r="I11">
        <f t="shared" si="1"/>
        <v>14</v>
      </c>
    </row>
    <row r="12" spans="1:9" x14ac:dyDescent="0.25">
      <c r="A12" t="str">
        <v>HR Specialist</v>
      </c>
      <c r="B12">
        <f>AVERAGEIF(Table1[Job_Title],Table1[[#This Row],[Job_Title]],Table1[Average_Salary])</f>
        <v>87982.419161676647</v>
      </c>
      <c r="C12">
        <f>AVERAGEIF(Table1[Job_Title],Table1[[#This Row],[Job_Title]],Table1[Years_Experience])</f>
        <v>15.580838323353293</v>
      </c>
      <c r="G12" t="str">
        <v>HR Specialist</v>
      </c>
      <c r="H12">
        <f t="shared" si="0"/>
        <v>87982.419161676647</v>
      </c>
      <c r="I12">
        <f t="shared" si="1"/>
        <v>15.580838323353293</v>
      </c>
    </row>
    <row r="13" spans="1:9" x14ac:dyDescent="0.25">
      <c r="A13" t="str">
        <v>Customer Support</v>
      </c>
      <c r="B13">
        <f>AVERAGEIF(Table1[Job_Title],Table1[[#This Row],[Job_Title]],Table1[Average_Salary])</f>
        <v>88030.311258278147</v>
      </c>
      <c r="C13">
        <f>AVERAGEIF(Table1[Job_Title],Table1[[#This Row],[Job_Title]],Table1[Years_Experience])</f>
        <v>14.350993377483444</v>
      </c>
      <c r="G13" t="str">
        <v>Customer Support</v>
      </c>
      <c r="H13">
        <f t="shared" si="0"/>
        <v>88030.311258278147</v>
      </c>
      <c r="I13">
        <f t="shared" si="1"/>
        <v>14.350993377483444</v>
      </c>
    </row>
    <row r="14" spans="1:9" x14ac:dyDescent="0.25">
      <c r="A14" t="str">
        <v>UX Researcher</v>
      </c>
      <c r="B14">
        <f>AVERAGEIF(Table1[Job_Title],Table1[[#This Row],[Job_Title]],Table1[Average_Salary])</f>
        <v>92441.878787878784</v>
      </c>
      <c r="C14">
        <f>AVERAGEIF(Table1[Job_Title],Table1[[#This Row],[Job_Title]],Table1[Years_Experience])</f>
        <v>14.719696969696969</v>
      </c>
      <c r="G14" t="str">
        <v>UX Researcher</v>
      </c>
      <c r="H14">
        <f t="shared" si="0"/>
        <v>92441.878787878784</v>
      </c>
      <c r="I14">
        <f t="shared" si="1"/>
        <v>14.719696969696969</v>
      </c>
    </row>
    <row r="15" spans="1:9" x14ac:dyDescent="0.25">
      <c r="A15" t="str">
        <v>Lawyer</v>
      </c>
      <c r="B15">
        <f>AVERAGEIF(Table1[Job_Title],Table1[[#This Row],[Job_Title]],Table1[Average_Salary])</f>
        <v>90629.550898203597</v>
      </c>
      <c r="C15">
        <f>AVERAGEIF(Table1[Job_Title],Table1[[#This Row],[Job_Title]],Table1[Years_Experience])</f>
        <v>13.898203592814371</v>
      </c>
      <c r="G15" t="str">
        <v>Lawyer</v>
      </c>
      <c r="H15">
        <f t="shared" si="0"/>
        <v>90629.550898203597</v>
      </c>
      <c r="I15">
        <f t="shared" si="1"/>
        <v>13.898203592814371</v>
      </c>
    </row>
    <row r="16" spans="1:9" x14ac:dyDescent="0.25">
      <c r="A16" t="str">
        <v>Data Scientist</v>
      </c>
      <c r="B16">
        <f>AVERAGEIF(Table1[Job_Title],Table1[[#This Row],[Job_Title]],Table1[Average_Salary])</f>
        <v>87204.744966442959</v>
      </c>
      <c r="C16">
        <f>AVERAGEIF(Table1[Job_Title],Table1[[#This Row],[Job_Title]],Table1[Years_Experience])</f>
        <v>14.838926174496644</v>
      </c>
      <c r="G16" t="str">
        <v>Data Scientist</v>
      </c>
      <c r="H16">
        <f t="shared" si="0"/>
        <v>87204.744966442959</v>
      </c>
      <c r="I16">
        <f t="shared" si="1"/>
        <v>14.838926174496644</v>
      </c>
    </row>
    <row r="17" spans="1:9" x14ac:dyDescent="0.25">
      <c r="A17" t="str">
        <v>Graphic Designer</v>
      </c>
      <c r="B17">
        <f>AVERAGEIF(Table1[Job_Title],Table1[[#This Row],[Job_Title]],Table1[Average_Salary])</f>
        <v>96423.46875</v>
      </c>
      <c r="C17">
        <f>AVERAGEIF(Table1[Job_Title],Table1[[#This Row],[Job_Title]],Table1[Years_Experience])</f>
        <v>14.63125</v>
      </c>
      <c r="G17" t="str">
        <v>Graphic Designer</v>
      </c>
      <c r="H17">
        <f t="shared" si="0"/>
        <v>96423.46875</v>
      </c>
      <c r="I17">
        <f t="shared" si="1"/>
        <v>14.63125</v>
      </c>
    </row>
    <row r="18" spans="1:9" x14ac:dyDescent="0.25">
      <c r="A18" t="str">
        <v>Retail Worker</v>
      </c>
      <c r="B18">
        <f>AVERAGEIF(Table1[Job_Title],Table1[[#This Row],[Job_Title]],Table1[Average_Salary])</f>
        <v>90885.759036144576</v>
      </c>
      <c r="C18">
        <f>AVERAGEIF(Table1[Job_Title],Table1[[#This Row],[Job_Title]],Table1[Years_Experience])</f>
        <v>15.524096385542169</v>
      </c>
      <c r="G18" t="str">
        <v>Retail Worker</v>
      </c>
      <c r="H18">
        <f t="shared" si="0"/>
        <v>90885.759036144576</v>
      </c>
      <c r="I18">
        <f t="shared" si="1"/>
        <v>15.524096385542169</v>
      </c>
    </row>
    <row r="19" spans="1:9" x14ac:dyDescent="0.25">
      <c r="A19" t="str">
        <v>Doctor</v>
      </c>
      <c r="B19">
        <f>AVERAGEIF(Table1[Job_Title],Table1[[#This Row],[Job_Title]],Table1[Average_Salary])</f>
        <v>90885.759036144576</v>
      </c>
      <c r="C19">
        <f>AVERAGEIF(Table1[Job_Title],Table1[[#This Row],[Job_Title]],Table1[Years_Experience])</f>
        <v>15.524096385542169</v>
      </c>
      <c r="G19" t="str">
        <v>Doctor</v>
      </c>
      <c r="H19">
        <f t="shared" si="0"/>
        <v>90885.759036144576</v>
      </c>
      <c r="I19">
        <f t="shared" si="1"/>
        <v>15.524096385542169</v>
      </c>
    </row>
    <row r="20" spans="1:9" x14ac:dyDescent="0.25">
      <c r="A20" t="str">
        <v>Truck Driver</v>
      </c>
      <c r="B20">
        <f>AVERAGEIF(Table1[Job_Title],Table1[[#This Row],[Job_Title]],Table1[Average_Salary])</f>
        <v>87208.412903225806</v>
      </c>
      <c r="C20">
        <f>AVERAGEIF(Table1[Job_Title],Table1[[#This Row],[Job_Title]],Table1[Years_Experience])</f>
        <v>14.838709677419354</v>
      </c>
      <c r="G20" t="str">
        <v>Truck Driver</v>
      </c>
      <c r="H20">
        <f t="shared" si="0"/>
        <v>87208.412903225806</v>
      </c>
      <c r="I20">
        <f t="shared" si="1"/>
        <v>14.838709677419354</v>
      </c>
    </row>
    <row r="21" spans="1:9" x14ac:dyDescent="0.25">
      <c r="A21" t="str">
        <v>Chef</v>
      </c>
      <c r="B21">
        <f>AVERAGEIF(Table1[Job_Title],Table1[[#This Row],[Job_Title]],Table1[Average_Salary])</f>
        <v>89091.742424242431</v>
      </c>
      <c r="C21">
        <f>AVERAGEIF(Table1[Job_Title],Table1[[#This Row],[Job_Title]],Table1[Years_Experience])</f>
        <v>14.674242424242424</v>
      </c>
      <c r="G21" t="str">
        <v>Chef</v>
      </c>
      <c r="H21">
        <f t="shared" si="0"/>
        <v>89091.742424242431</v>
      </c>
      <c r="I21">
        <f t="shared" si="1"/>
        <v>14.674242424242424</v>
      </c>
    </row>
    <row r="22" spans="1:9" x14ac:dyDescent="0.25">
      <c r="A22" t="str">
        <v>Nurse</v>
      </c>
      <c r="B22">
        <f>AVERAGEIF(Table1[Job_Title],Table1[[#This Row],[Job_Title]],Table1[Average_Salary])</f>
        <v>90759.828571428574</v>
      </c>
      <c r="C22">
        <f>AVERAGEIF(Table1[Job_Title],Table1[[#This Row],[Job_Title]],Table1[Years_Experience])</f>
        <v>14.442857142857143</v>
      </c>
      <c r="G22" t="str">
        <v>Nurse</v>
      </c>
      <c r="H22">
        <f t="shared" si="0"/>
        <v>90759.828571428574</v>
      </c>
      <c r="I22">
        <f t="shared" si="1"/>
        <v>14.442857142857143</v>
      </c>
    </row>
    <row r="23" spans="1:9" x14ac:dyDescent="0.25">
      <c r="A23" t="str">
        <v>Marketing Manager</v>
      </c>
      <c r="B23">
        <f>AVERAGEIF(Table1[Job_Title],Table1[[#This Row],[Job_Title]],Table1[Average_Salary])</f>
        <v>89242.254777070062</v>
      </c>
      <c r="C23">
        <f>AVERAGEIF(Table1[Job_Title],Table1[[#This Row],[Job_Title]],Table1[Years_Experience])</f>
        <v>15.439490445859873</v>
      </c>
      <c r="G23" t="str">
        <v>Marketing Manager</v>
      </c>
      <c r="H23">
        <f t="shared" si="0"/>
        <v>89242.254777070062</v>
      </c>
      <c r="I23">
        <f t="shared" si="1"/>
        <v>15.439490445859873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CA9118-D887-47E9-B763-3E5CE457FE3D}">
  <dimension ref="A1:T3001"/>
  <sheetViews>
    <sheetView topLeftCell="D11" zoomScale="77" workbookViewId="0">
      <selection activeCell="Q6" sqref="Q6"/>
    </sheetView>
  </sheetViews>
  <sheetFormatPr defaultRowHeight="15" x14ac:dyDescent="0.25"/>
  <cols>
    <col min="1" max="1" width="18.85546875" customWidth="1"/>
    <col min="2" max="2" width="16.7109375" customWidth="1"/>
    <col min="3" max="3" width="18.85546875" style="1" customWidth="1"/>
    <col min="4" max="4" width="21" customWidth="1"/>
    <col min="5" max="5" width="24.140625" style="2" customWidth="1"/>
    <col min="6" max="6" width="23.85546875" style="7" customWidth="1"/>
    <col min="7" max="7" width="16.42578125" style="9" customWidth="1"/>
    <col min="17" max="17" width="9.85546875" style="2" customWidth="1"/>
    <col min="18" max="18" width="21.140625" customWidth="1"/>
    <col min="19" max="19" width="20.85546875" customWidth="1"/>
    <col min="20" max="20" width="20" customWidth="1"/>
  </cols>
  <sheetData>
    <row r="1" spans="1:20" s="3" customFormat="1" x14ac:dyDescent="0.25">
      <c r="A1" s="3" t="s">
        <v>0</v>
      </c>
      <c r="B1" s="3" t="s">
        <v>1</v>
      </c>
      <c r="C1" s="4" t="s">
        <v>2</v>
      </c>
      <c r="D1" s="3" t="s">
        <v>3</v>
      </c>
      <c r="E1" s="3" t="s">
        <v>5</v>
      </c>
      <c r="F1" s="5" t="s">
        <v>4</v>
      </c>
      <c r="G1" s="6" t="s">
        <v>6</v>
      </c>
      <c r="H1" s="8" t="s">
        <v>7</v>
      </c>
      <c r="I1" s="3" t="s">
        <v>8</v>
      </c>
      <c r="J1" s="3" t="s">
        <v>9</v>
      </c>
      <c r="K1" s="3" t="s">
        <v>10</v>
      </c>
      <c r="L1" s="3" t="s">
        <v>11</v>
      </c>
      <c r="M1" s="3" t="s">
        <v>12</v>
      </c>
      <c r="N1" s="3" t="s">
        <v>13</v>
      </c>
      <c r="O1" s="3" t="s">
        <v>14</v>
      </c>
      <c r="P1" s="3" t="s">
        <v>15</v>
      </c>
      <c r="Q1" s="3" t="s">
        <v>16</v>
      </c>
      <c r="R1" s="5" t="s">
        <v>17</v>
      </c>
      <c r="S1" s="10" t="s">
        <v>45</v>
      </c>
      <c r="T1" s="3" t="s">
        <v>46</v>
      </c>
    </row>
    <row r="2" spans="1:20" x14ac:dyDescent="0.25">
      <c r="A2" t="s">
        <v>18</v>
      </c>
      <c r="B2">
        <v>45795</v>
      </c>
      <c r="C2" s="1">
        <v>28</v>
      </c>
      <c r="D2" t="s">
        <v>19</v>
      </c>
      <c r="E2" s="7">
        <v>1.28</v>
      </c>
      <c r="F2" s="2">
        <v>0.18</v>
      </c>
      <c r="G2" s="7">
        <v>0.85</v>
      </c>
      <c r="H2" s="9" t="s">
        <v>20</v>
      </c>
      <c r="I2">
        <v>0.45</v>
      </c>
      <c r="J2">
        <v>0.1</v>
      </c>
      <c r="K2">
        <v>0.46</v>
      </c>
      <c r="L2">
        <v>0.33</v>
      </c>
      <c r="M2">
        <v>0.14000000000000001</v>
      </c>
      <c r="N2">
        <v>0.65</v>
      </c>
      <c r="O2">
        <v>0.06</v>
      </c>
      <c r="P2">
        <v>0.72</v>
      </c>
      <c r="Q2">
        <v>0.94</v>
      </c>
      <c r="R2" s="2">
        <v>0</v>
      </c>
      <c r="S2" t="str">
        <f>IF(Table1[[#This Row],[Years_Experience]]&lt;=5,"Early Career",
IF(Table1[[#This Row],[Years_Experience]]&lt;=15,"Mid Career","Senior Level"))</f>
        <v>Senior Level</v>
      </c>
      <c r="T2" t="str">
        <f>IF(Table1[[#This Row],[AI_Exposure_Index]]&gt;=0.7,"High Exposure", IF(Table1[[#This Row],[AI_Exposure_Index]]&gt;=0.3,"Medium Exposure","Low Exposure"))</f>
        <v>Low Exposure</v>
      </c>
    </row>
    <row r="3" spans="1:20" x14ac:dyDescent="0.25">
      <c r="A3" t="s">
        <v>21</v>
      </c>
      <c r="B3">
        <v>133355</v>
      </c>
      <c r="C3" s="1">
        <v>20</v>
      </c>
      <c r="D3" t="s">
        <v>22</v>
      </c>
      <c r="E3" s="7">
        <v>1.1100000000000001</v>
      </c>
      <c r="F3" s="2">
        <v>0.62</v>
      </c>
      <c r="G3" s="7">
        <v>0.05</v>
      </c>
      <c r="H3" s="9" t="s">
        <v>23</v>
      </c>
      <c r="I3">
        <v>0.02</v>
      </c>
      <c r="J3">
        <v>0.52</v>
      </c>
      <c r="K3">
        <v>0.4</v>
      </c>
      <c r="L3">
        <v>0.05</v>
      </c>
      <c r="M3">
        <v>0.97</v>
      </c>
      <c r="N3">
        <v>0.23</v>
      </c>
      <c r="O3">
        <v>0.09</v>
      </c>
      <c r="P3">
        <v>0.62</v>
      </c>
      <c r="Q3">
        <v>0.38</v>
      </c>
      <c r="R3" s="2">
        <v>0.98</v>
      </c>
      <c r="S3" t="str">
        <f>IF(Table1[[#This Row],[Years_Experience]]&lt;=5,"Early Career",
IF(Table1[[#This Row],[Years_Experience]]&lt;=15,"Mid Career","Senior Level"))</f>
        <v>Senior Level</v>
      </c>
      <c r="T3" t="str">
        <f>IF(Table1[[#This Row],[AI_Exposure_Index]]&gt;=0.7,"High Exposure", IF(Table1[[#This Row],[AI_Exposure_Index]]&gt;=0.3,"Medium Exposure","Low Exposure"))</f>
        <v>Medium Exposure</v>
      </c>
    </row>
    <row r="4" spans="1:20" x14ac:dyDescent="0.25">
      <c r="A4" t="s">
        <v>24</v>
      </c>
      <c r="B4">
        <v>146216</v>
      </c>
      <c r="C4" s="1">
        <v>2</v>
      </c>
      <c r="D4" t="s">
        <v>25</v>
      </c>
      <c r="E4" s="7">
        <v>1.18</v>
      </c>
      <c r="F4" s="2">
        <v>0.86</v>
      </c>
      <c r="G4" s="7">
        <v>0.81</v>
      </c>
      <c r="H4" s="9" t="s">
        <v>20</v>
      </c>
      <c r="I4">
        <v>0.01</v>
      </c>
      <c r="J4">
        <v>0.94</v>
      </c>
      <c r="K4">
        <v>0.56000000000000005</v>
      </c>
      <c r="L4">
        <v>0.39</v>
      </c>
      <c r="M4">
        <v>0.02</v>
      </c>
      <c r="N4">
        <v>0.23</v>
      </c>
      <c r="O4">
        <v>0.24</v>
      </c>
      <c r="P4">
        <v>0.68</v>
      </c>
      <c r="Q4">
        <v>0.61</v>
      </c>
      <c r="R4" s="2">
        <v>0.83</v>
      </c>
      <c r="S4" t="str">
        <f>IF(Table1[[#This Row],[Years_Experience]]&lt;=5,"Early Career",
IF(Table1[[#This Row],[Years_Experience]]&lt;=15,"Mid Career","Senior Level"))</f>
        <v>Early Career</v>
      </c>
      <c r="T4" t="str">
        <f>IF(Table1[[#This Row],[AI_Exposure_Index]]&gt;=0.7,"High Exposure", IF(Table1[[#This Row],[AI_Exposure_Index]]&gt;=0.3,"Medium Exposure","Low Exposure"))</f>
        <v>High Exposure</v>
      </c>
    </row>
    <row r="5" spans="1:20" x14ac:dyDescent="0.25">
      <c r="A5" t="s">
        <v>26</v>
      </c>
      <c r="B5">
        <v>136530</v>
      </c>
      <c r="C5" s="1">
        <v>13</v>
      </c>
      <c r="D5" t="s">
        <v>22</v>
      </c>
      <c r="E5" s="7">
        <v>0.68</v>
      </c>
      <c r="F5" s="2">
        <v>0.39</v>
      </c>
      <c r="G5" s="7">
        <v>0.6</v>
      </c>
      <c r="H5" s="9" t="s">
        <v>27</v>
      </c>
      <c r="I5">
        <v>0.43</v>
      </c>
      <c r="J5">
        <v>0.21</v>
      </c>
      <c r="K5">
        <v>0.56999999999999995</v>
      </c>
      <c r="L5">
        <v>0.03</v>
      </c>
      <c r="M5">
        <v>0.84</v>
      </c>
      <c r="N5">
        <v>0.45</v>
      </c>
      <c r="O5">
        <v>0.4</v>
      </c>
      <c r="P5">
        <v>0.93</v>
      </c>
      <c r="Q5">
        <v>0.73</v>
      </c>
      <c r="R5" s="2">
        <v>0.33</v>
      </c>
      <c r="S5" t="str">
        <f>IF(Table1[[#This Row],[Years_Experience]]&lt;=5,"Early Career",
IF(Table1[[#This Row],[Years_Experience]]&lt;=15,"Mid Career","Senior Level"))</f>
        <v>Mid Career</v>
      </c>
      <c r="T5" t="str">
        <f>IF(Table1[[#This Row],[AI_Exposure_Index]]&gt;=0.7,"High Exposure", IF(Table1[[#This Row],[AI_Exposure_Index]]&gt;=0.3,"Medium Exposure","Low Exposure"))</f>
        <v>Medium Exposure</v>
      </c>
    </row>
    <row r="6" spans="1:20" x14ac:dyDescent="0.25">
      <c r="A6" t="s">
        <v>28</v>
      </c>
      <c r="B6">
        <v>70397</v>
      </c>
      <c r="C6" s="1">
        <v>22</v>
      </c>
      <c r="D6" t="s">
        <v>25</v>
      </c>
      <c r="E6" s="7">
        <v>1.46</v>
      </c>
      <c r="F6" s="2">
        <v>0.52</v>
      </c>
      <c r="G6" s="7">
        <v>0.64</v>
      </c>
      <c r="H6" s="9" t="s">
        <v>27</v>
      </c>
      <c r="I6">
        <v>0.75</v>
      </c>
      <c r="J6">
        <v>0.54</v>
      </c>
      <c r="K6">
        <v>0.59</v>
      </c>
      <c r="L6">
        <v>0.97</v>
      </c>
      <c r="M6">
        <v>0.61</v>
      </c>
      <c r="N6">
        <v>0.28000000000000003</v>
      </c>
      <c r="O6">
        <v>0.3</v>
      </c>
      <c r="P6">
        <v>0.17</v>
      </c>
      <c r="Q6">
        <v>0.02</v>
      </c>
      <c r="R6" s="2">
        <v>0.42</v>
      </c>
      <c r="S6" t="str">
        <f>IF(Table1[[#This Row],[Years_Experience]]&lt;=5,"Early Career",
IF(Table1[[#This Row],[Years_Experience]]&lt;=15,"Mid Career","Senior Level"))</f>
        <v>Senior Level</v>
      </c>
      <c r="T6" t="str">
        <f>IF(Table1[[#This Row],[AI_Exposure_Index]]&gt;=0.7,"High Exposure", IF(Table1[[#This Row],[AI_Exposure_Index]]&gt;=0.3,"Medium Exposure","Low Exposure"))</f>
        <v>Medium Exposure</v>
      </c>
    </row>
    <row r="7" spans="1:20" x14ac:dyDescent="0.25">
      <c r="A7" t="s">
        <v>29</v>
      </c>
      <c r="B7">
        <v>92592</v>
      </c>
      <c r="C7" s="1">
        <v>11</v>
      </c>
      <c r="D7" t="s">
        <v>19</v>
      </c>
      <c r="E7" s="7">
        <v>0.51</v>
      </c>
      <c r="F7" s="2">
        <v>0.28999999999999998</v>
      </c>
      <c r="G7" s="7">
        <v>0.1</v>
      </c>
      <c r="H7" s="9" t="s">
        <v>23</v>
      </c>
      <c r="I7">
        <v>0.71</v>
      </c>
      <c r="J7">
        <v>0.79</v>
      </c>
      <c r="K7">
        <v>0.61</v>
      </c>
      <c r="L7">
        <v>0.93</v>
      </c>
      <c r="M7">
        <v>0.65</v>
      </c>
      <c r="N7">
        <v>0.91</v>
      </c>
      <c r="O7">
        <v>0.85</v>
      </c>
      <c r="P7">
        <v>0.45</v>
      </c>
      <c r="Q7">
        <v>0.1</v>
      </c>
      <c r="R7" s="2">
        <v>0.37</v>
      </c>
      <c r="S7" t="str">
        <f>IF(Table1[[#This Row],[Years_Experience]]&lt;=5,"Early Career",
IF(Table1[[#This Row],[Years_Experience]]&lt;=15,"Mid Career","Senior Level"))</f>
        <v>Mid Career</v>
      </c>
      <c r="T7" t="str">
        <f>IF(Table1[[#This Row],[AI_Exposure_Index]]&gt;=0.7,"High Exposure", IF(Table1[[#This Row],[AI_Exposure_Index]]&gt;=0.3,"Medium Exposure","Low Exposure"))</f>
        <v>Low Exposure</v>
      </c>
    </row>
    <row r="8" spans="1:20" x14ac:dyDescent="0.25">
      <c r="A8" t="s">
        <v>30</v>
      </c>
      <c r="B8">
        <v>107373</v>
      </c>
      <c r="C8" s="1">
        <v>23</v>
      </c>
      <c r="D8" t="s">
        <v>22</v>
      </c>
      <c r="E8" s="7">
        <v>1.0900000000000001</v>
      </c>
      <c r="F8" s="2">
        <v>0.67</v>
      </c>
      <c r="G8" s="7">
        <v>0.41</v>
      </c>
      <c r="H8" s="9" t="s">
        <v>27</v>
      </c>
      <c r="I8">
        <v>0.56000000000000005</v>
      </c>
      <c r="J8">
        <v>0.38</v>
      </c>
      <c r="K8">
        <v>0.97</v>
      </c>
      <c r="L8">
        <v>0.85</v>
      </c>
      <c r="M8">
        <v>0.72</v>
      </c>
      <c r="N8">
        <v>0.24</v>
      </c>
      <c r="O8">
        <v>0.26</v>
      </c>
      <c r="P8">
        <v>0.04</v>
      </c>
      <c r="Q8">
        <v>0.71</v>
      </c>
      <c r="R8" s="2">
        <v>0.11</v>
      </c>
      <c r="S8" t="str">
        <f>IF(Table1[[#This Row],[Years_Experience]]&lt;=5,"Early Career",
IF(Table1[[#This Row],[Years_Experience]]&lt;=15,"Mid Career","Senior Level"))</f>
        <v>Senior Level</v>
      </c>
      <c r="T8" t="str">
        <f>IF(Table1[[#This Row],[AI_Exposure_Index]]&gt;=0.7,"High Exposure", IF(Table1[[#This Row],[AI_Exposure_Index]]&gt;=0.3,"Medium Exposure","Low Exposure"))</f>
        <v>Medium Exposure</v>
      </c>
    </row>
    <row r="9" spans="1:20" x14ac:dyDescent="0.25">
      <c r="A9" t="s">
        <v>31</v>
      </c>
      <c r="B9">
        <v>53419</v>
      </c>
      <c r="C9" s="1">
        <v>12</v>
      </c>
      <c r="D9" t="s">
        <v>25</v>
      </c>
      <c r="E9" s="7">
        <v>1.4</v>
      </c>
      <c r="F9" s="2">
        <v>0.2</v>
      </c>
      <c r="G9" s="7">
        <v>0.17</v>
      </c>
      <c r="H9" s="9" t="s">
        <v>23</v>
      </c>
      <c r="I9">
        <v>0.56000000000000005</v>
      </c>
      <c r="J9">
        <v>0.7</v>
      </c>
      <c r="K9">
        <v>0.14000000000000001</v>
      </c>
      <c r="L9">
        <v>0.6</v>
      </c>
      <c r="M9">
        <v>0.54</v>
      </c>
      <c r="N9">
        <v>0.2</v>
      </c>
      <c r="O9">
        <v>0.94</v>
      </c>
      <c r="P9">
        <v>0.6</v>
      </c>
      <c r="Q9">
        <v>0.69</v>
      </c>
      <c r="R9" s="2">
        <v>0.88</v>
      </c>
      <c r="S9" t="str">
        <f>IF(Table1[[#This Row],[Years_Experience]]&lt;=5,"Early Career",
IF(Table1[[#This Row],[Years_Experience]]&lt;=15,"Mid Career","Senior Level"))</f>
        <v>Mid Career</v>
      </c>
      <c r="T9" t="str">
        <f>IF(Table1[[#This Row],[AI_Exposure_Index]]&gt;=0.7,"High Exposure", IF(Table1[[#This Row],[AI_Exposure_Index]]&gt;=0.3,"Medium Exposure","Low Exposure"))</f>
        <v>Low Exposure</v>
      </c>
    </row>
    <row r="10" spans="1:20" x14ac:dyDescent="0.25">
      <c r="A10" t="s">
        <v>32</v>
      </c>
      <c r="B10">
        <v>139225</v>
      </c>
      <c r="C10" s="1">
        <v>12</v>
      </c>
      <c r="D10" t="s">
        <v>19</v>
      </c>
      <c r="E10" s="7">
        <v>0.61</v>
      </c>
      <c r="F10" s="2">
        <v>0.3</v>
      </c>
      <c r="G10" s="7">
        <v>0.48</v>
      </c>
      <c r="H10" s="9" t="s">
        <v>27</v>
      </c>
      <c r="I10">
        <v>0.22</v>
      </c>
      <c r="J10">
        <v>0.42</v>
      </c>
      <c r="K10">
        <v>0.88</v>
      </c>
      <c r="L10">
        <v>0.32</v>
      </c>
      <c r="M10">
        <v>0.12</v>
      </c>
      <c r="N10">
        <v>0.36</v>
      </c>
      <c r="O10">
        <v>0.91</v>
      </c>
      <c r="P10">
        <v>0.27</v>
      </c>
      <c r="Q10">
        <v>0.65</v>
      </c>
      <c r="R10" s="2">
        <v>0</v>
      </c>
      <c r="S10" t="str">
        <f>IF(Table1[[#This Row],[Years_Experience]]&lt;=5,"Early Career",
IF(Table1[[#This Row],[Years_Experience]]&lt;=15,"Mid Career","Senior Level"))</f>
        <v>Mid Career</v>
      </c>
      <c r="T10" t="str">
        <f>IF(Table1[[#This Row],[AI_Exposure_Index]]&gt;=0.7,"High Exposure", IF(Table1[[#This Row],[AI_Exposure_Index]]&gt;=0.3,"Medium Exposure","Low Exposure"))</f>
        <v>Medium Exposure</v>
      </c>
    </row>
    <row r="11" spans="1:20" x14ac:dyDescent="0.25">
      <c r="A11" t="s">
        <v>33</v>
      </c>
      <c r="B11">
        <v>85016</v>
      </c>
      <c r="C11" s="1">
        <v>2</v>
      </c>
      <c r="D11" t="s">
        <v>25</v>
      </c>
      <c r="E11" s="7">
        <v>1.01</v>
      </c>
      <c r="F11" s="2">
        <v>0.01</v>
      </c>
      <c r="G11" s="7">
        <v>0.8</v>
      </c>
      <c r="H11" s="9" t="s">
        <v>20</v>
      </c>
      <c r="I11">
        <v>0.22</v>
      </c>
      <c r="J11">
        <v>0.12</v>
      </c>
      <c r="K11">
        <v>0.34</v>
      </c>
      <c r="L11">
        <v>0.94</v>
      </c>
      <c r="M11">
        <v>0.32</v>
      </c>
      <c r="N11">
        <v>0.52</v>
      </c>
      <c r="O11">
        <v>0.7</v>
      </c>
      <c r="P11">
        <v>0.36</v>
      </c>
      <c r="Q11">
        <v>0.97</v>
      </c>
      <c r="R11" s="2">
        <v>0.96</v>
      </c>
      <c r="S11" t="str">
        <f>IF(Table1[[#This Row],[Years_Experience]]&lt;=5,"Early Career",
IF(Table1[[#This Row],[Years_Experience]]&lt;=15,"Mid Career","Senior Level"))</f>
        <v>Early Career</v>
      </c>
      <c r="T11" t="str">
        <f>IF(Table1[[#This Row],[AI_Exposure_Index]]&gt;=0.7,"High Exposure", IF(Table1[[#This Row],[AI_Exposure_Index]]&gt;=0.3,"Medium Exposure","Low Exposure"))</f>
        <v>Low Exposure</v>
      </c>
    </row>
    <row r="12" spans="1:20" x14ac:dyDescent="0.25">
      <c r="A12" t="s">
        <v>34</v>
      </c>
      <c r="B12">
        <v>82733</v>
      </c>
      <c r="C12" s="1">
        <v>6</v>
      </c>
      <c r="D12" t="s">
        <v>25</v>
      </c>
      <c r="E12" s="7">
        <v>0.8</v>
      </c>
      <c r="F12" s="2">
        <v>0.5</v>
      </c>
      <c r="G12" s="7">
        <v>0.41</v>
      </c>
      <c r="H12" s="9" t="s">
        <v>27</v>
      </c>
      <c r="I12">
        <v>0.04</v>
      </c>
      <c r="J12">
        <v>0.61</v>
      </c>
      <c r="K12">
        <v>0.5</v>
      </c>
      <c r="L12">
        <v>0.05</v>
      </c>
      <c r="M12">
        <v>0.28000000000000003</v>
      </c>
      <c r="N12">
        <v>0.91</v>
      </c>
      <c r="O12">
        <v>0.24</v>
      </c>
      <c r="P12">
        <v>0.14000000000000001</v>
      </c>
      <c r="Q12">
        <v>0.49</v>
      </c>
      <c r="R12" s="2">
        <v>0.99</v>
      </c>
      <c r="S12" t="str">
        <f>IF(Table1[[#This Row],[Years_Experience]]&lt;=5,"Early Career",
IF(Table1[[#This Row],[Years_Experience]]&lt;=15,"Mid Career","Senior Level"))</f>
        <v>Mid Career</v>
      </c>
      <c r="T12" t="str">
        <f>IF(Table1[[#This Row],[AI_Exposure_Index]]&gt;=0.7,"High Exposure", IF(Table1[[#This Row],[AI_Exposure_Index]]&gt;=0.3,"Medium Exposure","Low Exposure"))</f>
        <v>Medium Exposure</v>
      </c>
    </row>
    <row r="13" spans="1:20" x14ac:dyDescent="0.25">
      <c r="A13" t="s">
        <v>28</v>
      </c>
      <c r="B13">
        <v>117455</v>
      </c>
      <c r="C13" s="1">
        <v>22</v>
      </c>
      <c r="D13" t="s">
        <v>25</v>
      </c>
      <c r="E13" s="7">
        <v>1.26</v>
      </c>
      <c r="F13" s="2">
        <v>0.67</v>
      </c>
      <c r="G13" s="7">
        <v>0.4</v>
      </c>
      <c r="H13" s="9" t="s">
        <v>27</v>
      </c>
      <c r="I13">
        <v>0.73</v>
      </c>
      <c r="J13">
        <v>0.37</v>
      </c>
      <c r="K13">
        <v>0.63</v>
      </c>
      <c r="L13">
        <v>0.63</v>
      </c>
      <c r="M13">
        <v>0.54</v>
      </c>
      <c r="N13">
        <v>0.09</v>
      </c>
      <c r="O13">
        <v>0.84</v>
      </c>
      <c r="P13">
        <v>0.32</v>
      </c>
      <c r="Q13">
        <v>0.19</v>
      </c>
      <c r="R13" s="2">
        <v>0.04</v>
      </c>
      <c r="S13" t="str">
        <f>IF(Table1[[#This Row],[Years_Experience]]&lt;=5,"Early Career",
IF(Table1[[#This Row],[Years_Experience]]&lt;=15,"Mid Career","Senior Level"))</f>
        <v>Senior Level</v>
      </c>
      <c r="T13" t="str">
        <f>IF(Table1[[#This Row],[AI_Exposure_Index]]&gt;=0.7,"High Exposure", IF(Table1[[#This Row],[AI_Exposure_Index]]&gt;=0.3,"Medium Exposure","Low Exposure"))</f>
        <v>Medium Exposure</v>
      </c>
    </row>
    <row r="14" spans="1:20" x14ac:dyDescent="0.25">
      <c r="A14" t="s">
        <v>35</v>
      </c>
      <c r="B14">
        <v>79811</v>
      </c>
      <c r="C14" s="1">
        <v>27</v>
      </c>
      <c r="D14" t="s">
        <v>25</v>
      </c>
      <c r="E14" s="7">
        <v>0.52</v>
      </c>
      <c r="F14" s="2">
        <v>0.68</v>
      </c>
      <c r="G14" s="7">
        <v>0.5</v>
      </c>
      <c r="H14" s="9" t="s">
        <v>27</v>
      </c>
      <c r="I14">
        <v>0.23</v>
      </c>
      <c r="J14">
        <v>0.65</v>
      </c>
      <c r="K14">
        <v>0.17</v>
      </c>
      <c r="L14">
        <v>0.69</v>
      </c>
      <c r="M14">
        <v>0.39</v>
      </c>
      <c r="N14">
        <v>0.94</v>
      </c>
      <c r="O14">
        <v>0.14000000000000001</v>
      </c>
      <c r="P14">
        <v>0.34</v>
      </c>
      <c r="Q14">
        <v>0.11</v>
      </c>
      <c r="R14" s="2">
        <v>0.92</v>
      </c>
      <c r="S14" t="str">
        <f>IF(Table1[[#This Row],[Years_Experience]]&lt;=5,"Early Career",
IF(Table1[[#This Row],[Years_Experience]]&lt;=15,"Mid Career","Senior Level"))</f>
        <v>Senior Level</v>
      </c>
      <c r="T14" t="str">
        <f>IF(Table1[[#This Row],[AI_Exposure_Index]]&gt;=0.7,"High Exposure", IF(Table1[[#This Row],[AI_Exposure_Index]]&gt;=0.3,"Medium Exposure","Low Exposure"))</f>
        <v>Medium Exposure</v>
      </c>
    </row>
    <row r="15" spans="1:20" x14ac:dyDescent="0.25">
      <c r="A15" t="s">
        <v>36</v>
      </c>
      <c r="B15">
        <v>115981</v>
      </c>
      <c r="C15" s="1">
        <v>9</v>
      </c>
      <c r="D15" t="s">
        <v>25</v>
      </c>
      <c r="E15" s="7">
        <v>1.1599999999999999</v>
      </c>
      <c r="F15" s="2">
        <v>0.26</v>
      </c>
      <c r="G15" s="7">
        <v>0.63</v>
      </c>
      <c r="H15" s="9" t="s">
        <v>27</v>
      </c>
      <c r="I15">
        <v>0.56000000000000005</v>
      </c>
      <c r="J15">
        <v>0.53</v>
      </c>
      <c r="K15">
        <v>0.24</v>
      </c>
      <c r="L15">
        <v>0.09</v>
      </c>
      <c r="M15">
        <v>0.9</v>
      </c>
      <c r="N15">
        <v>0.9</v>
      </c>
      <c r="O15">
        <v>0.63</v>
      </c>
      <c r="P15">
        <v>0.34</v>
      </c>
      <c r="Q15">
        <v>0.35</v>
      </c>
      <c r="R15" s="2">
        <v>0.73</v>
      </c>
      <c r="S15" t="str">
        <f>IF(Table1[[#This Row],[Years_Experience]]&lt;=5,"Early Career",
IF(Table1[[#This Row],[Years_Experience]]&lt;=15,"Mid Career","Senior Level"))</f>
        <v>Mid Career</v>
      </c>
      <c r="T15" t="str">
        <f>IF(Table1[[#This Row],[AI_Exposure_Index]]&gt;=0.7,"High Exposure", IF(Table1[[#This Row],[AI_Exposure_Index]]&gt;=0.3,"Medium Exposure","Low Exposure"))</f>
        <v>Low Exposure</v>
      </c>
    </row>
    <row r="16" spans="1:20" x14ac:dyDescent="0.25">
      <c r="A16" t="s">
        <v>21</v>
      </c>
      <c r="B16">
        <v>96690</v>
      </c>
      <c r="C16" s="1">
        <v>19</v>
      </c>
      <c r="D16" t="s">
        <v>19</v>
      </c>
      <c r="E16" s="7">
        <v>1.28</v>
      </c>
      <c r="F16" s="2">
        <v>0.89</v>
      </c>
      <c r="G16" s="7">
        <v>0.21</v>
      </c>
      <c r="H16" s="9" t="s">
        <v>23</v>
      </c>
      <c r="I16">
        <v>0.08</v>
      </c>
      <c r="J16">
        <v>0.16</v>
      </c>
      <c r="K16">
        <v>0.9</v>
      </c>
      <c r="L16">
        <v>0.61</v>
      </c>
      <c r="M16">
        <v>0.01</v>
      </c>
      <c r="N16">
        <v>0.1</v>
      </c>
      <c r="O16">
        <v>0.66</v>
      </c>
      <c r="P16">
        <v>0.01</v>
      </c>
      <c r="Q16">
        <v>0.16</v>
      </c>
      <c r="R16" s="2">
        <v>0.55000000000000004</v>
      </c>
      <c r="S16" t="str">
        <f>IF(Table1[[#This Row],[Years_Experience]]&lt;=5,"Early Career",
IF(Table1[[#This Row],[Years_Experience]]&lt;=15,"Mid Career","Senior Level"))</f>
        <v>Senior Level</v>
      </c>
      <c r="T16" t="str">
        <f>IF(Table1[[#This Row],[AI_Exposure_Index]]&gt;=0.7,"High Exposure", IF(Table1[[#This Row],[AI_Exposure_Index]]&gt;=0.3,"Medium Exposure","Low Exposure"))</f>
        <v>High Exposure</v>
      </c>
    </row>
    <row r="17" spans="1:20" x14ac:dyDescent="0.25">
      <c r="A17" t="s">
        <v>37</v>
      </c>
      <c r="B17">
        <v>32869</v>
      </c>
      <c r="C17" s="1">
        <v>2</v>
      </c>
      <c r="D17" t="s">
        <v>25</v>
      </c>
      <c r="E17" s="7">
        <v>0.72</v>
      </c>
      <c r="F17" s="2">
        <v>0.65</v>
      </c>
      <c r="G17" s="7">
        <v>0.57999999999999996</v>
      </c>
      <c r="H17" s="9" t="s">
        <v>27</v>
      </c>
      <c r="I17">
        <v>0.24</v>
      </c>
      <c r="J17">
        <v>0.33</v>
      </c>
      <c r="K17">
        <v>0.75</v>
      </c>
      <c r="L17">
        <v>0.65</v>
      </c>
      <c r="M17">
        <v>0.85</v>
      </c>
      <c r="N17">
        <v>0.66</v>
      </c>
      <c r="O17">
        <v>0.56999999999999995</v>
      </c>
      <c r="P17">
        <v>0.09</v>
      </c>
      <c r="Q17">
        <v>0.37</v>
      </c>
      <c r="R17" s="2">
        <v>0.27</v>
      </c>
      <c r="S17" t="str">
        <f>IF(Table1[[#This Row],[Years_Experience]]&lt;=5,"Early Career",
IF(Table1[[#This Row],[Years_Experience]]&lt;=15,"Mid Career","Senior Level"))</f>
        <v>Early Career</v>
      </c>
      <c r="T17" t="str">
        <f>IF(Table1[[#This Row],[AI_Exposure_Index]]&gt;=0.7,"High Exposure", IF(Table1[[#This Row],[AI_Exposure_Index]]&gt;=0.3,"Medium Exposure","Low Exposure"))</f>
        <v>Medium Exposure</v>
      </c>
    </row>
    <row r="18" spans="1:20" x14ac:dyDescent="0.25">
      <c r="A18" t="s">
        <v>31</v>
      </c>
      <c r="B18">
        <v>36893</v>
      </c>
      <c r="C18" s="1">
        <v>29</v>
      </c>
      <c r="D18" t="s">
        <v>38</v>
      </c>
      <c r="E18" s="7">
        <v>0.89</v>
      </c>
      <c r="F18" s="2">
        <v>0.97</v>
      </c>
      <c r="G18" s="7">
        <v>0.27</v>
      </c>
      <c r="H18" s="9" t="s">
        <v>23</v>
      </c>
      <c r="I18">
        <v>0.63</v>
      </c>
      <c r="J18">
        <v>0.79</v>
      </c>
      <c r="K18">
        <v>0.5</v>
      </c>
      <c r="L18">
        <v>0.57999999999999996</v>
      </c>
      <c r="M18">
        <v>0.49</v>
      </c>
      <c r="N18">
        <v>0.2</v>
      </c>
      <c r="O18">
        <v>0.72</v>
      </c>
      <c r="P18">
        <v>0.28000000000000003</v>
      </c>
      <c r="Q18">
        <v>0.02</v>
      </c>
      <c r="R18" s="2">
        <v>0.65</v>
      </c>
      <c r="S18" t="str">
        <f>IF(Table1[[#This Row],[Years_Experience]]&lt;=5,"Early Career",
IF(Table1[[#This Row],[Years_Experience]]&lt;=15,"Mid Career","Senior Level"))</f>
        <v>Senior Level</v>
      </c>
      <c r="T18" t="str">
        <f>IF(Table1[[#This Row],[AI_Exposure_Index]]&gt;=0.7,"High Exposure", IF(Table1[[#This Row],[AI_Exposure_Index]]&gt;=0.3,"Medium Exposure","Low Exposure"))</f>
        <v>High Exposure</v>
      </c>
    </row>
    <row r="19" spans="1:20" x14ac:dyDescent="0.25">
      <c r="A19" t="s">
        <v>31</v>
      </c>
      <c r="B19">
        <v>103744</v>
      </c>
      <c r="C19" s="1">
        <v>11</v>
      </c>
      <c r="D19" t="s">
        <v>38</v>
      </c>
      <c r="E19" s="7">
        <v>1.45</v>
      </c>
      <c r="F19" s="2">
        <v>0.94</v>
      </c>
      <c r="G19" s="7">
        <v>0.28000000000000003</v>
      </c>
      <c r="H19" s="9" t="s">
        <v>23</v>
      </c>
      <c r="I19">
        <v>0.37</v>
      </c>
      <c r="J19">
        <v>0.02</v>
      </c>
      <c r="K19">
        <v>0.93</v>
      </c>
      <c r="L19">
        <v>0.43</v>
      </c>
      <c r="M19">
        <v>0.97</v>
      </c>
      <c r="N19">
        <v>0.96</v>
      </c>
      <c r="O19">
        <v>0.85</v>
      </c>
      <c r="P19">
        <v>0.28999999999999998</v>
      </c>
      <c r="Q19">
        <v>0.39</v>
      </c>
      <c r="R19" s="2">
        <v>0.85</v>
      </c>
      <c r="S19" t="str">
        <f>IF(Table1[[#This Row],[Years_Experience]]&lt;=5,"Early Career",
IF(Table1[[#This Row],[Years_Experience]]&lt;=15,"Mid Career","Senior Level"))</f>
        <v>Mid Career</v>
      </c>
      <c r="T19" t="str">
        <f>IF(Table1[[#This Row],[AI_Exposure_Index]]&gt;=0.7,"High Exposure", IF(Table1[[#This Row],[AI_Exposure_Index]]&gt;=0.3,"Medium Exposure","Low Exposure"))</f>
        <v>High Exposure</v>
      </c>
    </row>
    <row r="20" spans="1:20" x14ac:dyDescent="0.25">
      <c r="A20" t="s">
        <v>39</v>
      </c>
      <c r="B20">
        <v>148015</v>
      </c>
      <c r="C20" s="1">
        <v>2</v>
      </c>
      <c r="D20" t="s">
        <v>22</v>
      </c>
      <c r="E20" s="7">
        <v>1.06</v>
      </c>
      <c r="F20" s="2">
        <v>0.17</v>
      </c>
      <c r="G20" s="7">
        <v>0.93</v>
      </c>
      <c r="H20" s="9" t="s">
        <v>20</v>
      </c>
      <c r="I20">
        <v>0.7</v>
      </c>
      <c r="J20">
        <v>0.56999999999999995</v>
      </c>
      <c r="K20">
        <v>0.1</v>
      </c>
      <c r="L20">
        <v>0.62</v>
      </c>
      <c r="M20">
        <v>0.99</v>
      </c>
      <c r="N20">
        <v>0.14000000000000001</v>
      </c>
      <c r="O20">
        <v>0.52</v>
      </c>
      <c r="P20">
        <v>0.88</v>
      </c>
      <c r="Q20">
        <v>0.74</v>
      </c>
      <c r="R20" s="2">
        <v>0.7</v>
      </c>
      <c r="S20" t="str">
        <f>IF(Table1[[#This Row],[Years_Experience]]&lt;=5,"Early Career",
IF(Table1[[#This Row],[Years_Experience]]&lt;=15,"Mid Career","Senior Level"))</f>
        <v>Early Career</v>
      </c>
      <c r="T20" t="str">
        <f>IF(Table1[[#This Row],[AI_Exposure_Index]]&gt;=0.7,"High Exposure", IF(Table1[[#This Row],[AI_Exposure_Index]]&gt;=0.3,"Medium Exposure","Low Exposure"))</f>
        <v>Low Exposure</v>
      </c>
    </row>
    <row r="21" spans="1:20" x14ac:dyDescent="0.25">
      <c r="A21" t="s">
        <v>40</v>
      </c>
      <c r="B21">
        <v>108069</v>
      </c>
      <c r="C21" s="1">
        <v>15</v>
      </c>
      <c r="D21" t="s">
        <v>19</v>
      </c>
      <c r="E21" s="7">
        <v>0.8</v>
      </c>
      <c r="F21" s="2">
        <v>0.55000000000000004</v>
      </c>
      <c r="G21" s="7">
        <v>0.15</v>
      </c>
      <c r="H21" s="9" t="s">
        <v>23</v>
      </c>
      <c r="I21">
        <v>0.26</v>
      </c>
      <c r="J21">
        <v>0.61</v>
      </c>
      <c r="K21">
        <v>0.08</v>
      </c>
      <c r="L21">
        <v>0.01</v>
      </c>
      <c r="M21">
        <v>0.63</v>
      </c>
      <c r="N21">
        <v>0.19</v>
      </c>
      <c r="O21">
        <v>7.0000000000000007E-2</v>
      </c>
      <c r="P21">
        <v>0.4</v>
      </c>
      <c r="Q21">
        <v>0.05</v>
      </c>
      <c r="R21" s="2">
        <v>0.89</v>
      </c>
      <c r="S21" t="str">
        <f>IF(Table1[[#This Row],[Years_Experience]]&lt;=5,"Early Career",
IF(Table1[[#This Row],[Years_Experience]]&lt;=15,"Mid Career","Senior Level"))</f>
        <v>Mid Career</v>
      </c>
      <c r="T21" t="str">
        <f>IF(Table1[[#This Row],[AI_Exposure_Index]]&gt;=0.7,"High Exposure", IF(Table1[[#This Row],[AI_Exposure_Index]]&gt;=0.3,"Medium Exposure","Low Exposure"))</f>
        <v>Medium Exposure</v>
      </c>
    </row>
    <row r="22" spans="1:20" x14ac:dyDescent="0.25">
      <c r="A22" t="s">
        <v>29</v>
      </c>
      <c r="B22">
        <v>43403</v>
      </c>
      <c r="C22" s="1">
        <v>1</v>
      </c>
      <c r="D22" t="s">
        <v>25</v>
      </c>
      <c r="E22" s="7">
        <v>1.08</v>
      </c>
      <c r="F22" s="2">
        <v>0.09</v>
      </c>
      <c r="G22" s="7">
        <v>0.06</v>
      </c>
      <c r="H22" s="9" t="s">
        <v>23</v>
      </c>
      <c r="I22">
        <v>0.47</v>
      </c>
      <c r="J22">
        <v>0.54</v>
      </c>
      <c r="K22">
        <v>0.28999999999999998</v>
      </c>
      <c r="L22">
        <v>0.59</v>
      </c>
      <c r="M22">
        <v>0.03</v>
      </c>
      <c r="N22">
        <v>0.04</v>
      </c>
      <c r="O22">
        <v>0.82</v>
      </c>
      <c r="P22">
        <v>0.36</v>
      </c>
      <c r="Q22">
        <v>0.13</v>
      </c>
      <c r="R22" s="2">
        <v>0.52</v>
      </c>
      <c r="S22" t="str">
        <f>IF(Table1[[#This Row],[Years_Experience]]&lt;=5,"Early Career",
IF(Table1[[#This Row],[Years_Experience]]&lt;=15,"Mid Career","Senior Level"))</f>
        <v>Early Career</v>
      </c>
      <c r="T22" t="str">
        <f>IF(Table1[[#This Row],[AI_Exposure_Index]]&gt;=0.7,"High Exposure", IF(Table1[[#This Row],[AI_Exposure_Index]]&gt;=0.3,"Medium Exposure","Low Exposure"))</f>
        <v>Low Exposure</v>
      </c>
    </row>
    <row r="23" spans="1:20" x14ac:dyDescent="0.25">
      <c r="A23" t="s">
        <v>32</v>
      </c>
      <c r="B23">
        <v>49508</v>
      </c>
      <c r="C23" s="1">
        <v>27</v>
      </c>
      <c r="D23" t="s">
        <v>38</v>
      </c>
      <c r="E23" s="7">
        <v>1.1200000000000001</v>
      </c>
      <c r="F23" s="2">
        <v>0.22</v>
      </c>
      <c r="G23" s="7">
        <v>0.33</v>
      </c>
      <c r="H23" s="9" t="s">
        <v>27</v>
      </c>
      <c r="I23">
        <v>0.05</v>
      </c>
      <c r="J23">
        <v>0.53</v>
      </c>
      <c r="K23">
        <v>0.54</v>
      </c>
      <c r="L23">
        <v>0.64</v>
      </c>
      <c r="M23">
        <v>0.73</v>
      </c>
      <c r="N23">
        <v>0.98</v>
      </c>
      <c r="O23">
        <v>0.52</v>
      </c>
      <c r="P23">
        <v>0.32</v>
      </c>
      <c r="Q23">
        <v>0.8</v>
      </c>
      <c r="R23" s="2">
        <v>0.27</v>
      </c>
      <c r="S23" t="str">
        <f>IF(Table1[[#This Row],[Years_Experience]]&lt;=5,"Early Career",
IF(Table1[[#This Row],[Years_Experience]]&lt;=15,"Mid Career","Senior Level"))</f>
        <v>Senior Level</v>
      </c>
      <c r="T23" t="str">
        <f>IF(Table1[[#This Row],[AI_Exposure_Index]]&gt;=0.7,"High Exposure", IF(Table1[[#This Row],[AI_Exposure_Index]]&gt;=0.3,"Medium Exposure","Low Exposure"))</f>
        <v>Low Exposure</v>
      </c>
    </row>
    <row r="24" spans="1:20" x14ac:dyDescent="0.25">
      <c r="A24" t="s">
        <v>31</v>
      </c>
      <c r="B24">
        <v>58251</v>
      </c>
      <c r="C24" s="1">
        <v>25</v>
      </c>
      <c r="D24" t="s">
        <v>22</v>
      </c>
      <c r="E24" s="7">
        <v>0.53</v>
      </c>
      <c r="F24" s="2">
        <v>0.08</v>
      </c>
      <c r="G24" s="7">
        <v>0.28999999999999998</v>
      </c>
      <c r="H24" s="9" t="s">
        <v>23</v>
      </c>
      <c r="I24">
        <v>0.84</v>
      </c>
      <c r="J24">
        <v>0.7</v>
      </c>
      <c r="K24">
        <v>0.41</v>
      </c>
      <c r="L24">
        <v>0.17</v>
      </c>
      <c r="M24">
        <v>0.16</v>
      </c>
      <c r="N24">
        <v>0.25</v>
      </c>
      <c r="O24">
        <v>0.55000000000000004</v>
      </c>
      <c r="P24">
        <v>0.71</v>
      </c>
      <c r="Q24">
        <v>0.66</v>
      </c>
      <c r="R24" s="2">
        <v>0.28000000000000003</v>
      </c>
      <c r="S24" t="str">
        <f>IF(Table1[[#This Row],[Years_Experience]]&lt;=5,"Early Career",
IF(Table1[[#This Row],[Years_Experience]]&lt;=15,"Mid Career","Senior Level"))</f>
        <v>Senior Level</v>
      </c>
      <c r="T24" t="str">
        <f>IF(Table1[[#This Row],[AI_Exposure_Index]]&gt;=0.7,"High Exposure", IF(Table1[[#This Row],[AI_Exposure_Index]]&gt;=0.3,"Medium Exposure","Low Exposure"))</f>
        <v>Low Exposure</v>
      </c>
    </row>
    <row r="25" spans="1:20" x14ac:dyDescent="0.25">
      <c r="A25" t="s">
        <v>28</v>
      </c>
      <c r="B25">
        <v>33343</v>
      </c>
      <c r="C25" s="1">
        <v>28</v>
      </c>
      <c r="D25" t="s">
        <v>25</v>
      </c>
      <c r="E25" s="7">
        <v>1.05</v>
      </c>
      <c r="F25" s="2">
        <v>0.74</v>
      </c>
      <c r="G25" s="7">
        <v>0.54</v>
      </c>
      <c r="H25" s="9" t="s">
        <v>27</v>
      </c>
      <c r="I25">
        <v>0.42</v>
      </c>
      <c r="J25">
        <v>0.25</v>
      </c>
      <c r="K25">
        <v>0.36</v>
      </c>
      <c r="L25">
        <v>0.76</v>
      </c>
      <c r="M25">
        <v>0.01</v>
      </c>
      <c r="N25">
        <v>0.12</v>
      </c>
      <c r="O25">
        <v>0.05</v>
      </c>
      <c r="P25">
        <v>0.04</v>
      </c>
      <c r="Q25">
        <v>0.86</v>
      </c>
      <c r="R25" s="2">
        <v>0.7</v>
      </c>
      <c r="S25" t="str">
        <f>IF(Table1[[#This Row],[Years_Experience]]&lt;=5,"Early Career",
IF(Table1[[#This Row],[Years_Experience]]&lt;=15,"Mid Career","Senior Level"))</f>
        <v>Senior Level</v>
      </c>
      <c r="T25" t="str">
        <f>IF(Table1[[#This Row],[AI_Exposure_Index]]&gt;=0.7,"High Exposure", IF(Table1[[#This Row],[AI_Exposure_Index]]&gt;=0.3,"Medium Exposure","Low Exposure"))</f>
        <v>High Exposure</v>
      </c>
    </row>
    <row r="26" spans="1:20" x14ac:dyDescent="0.25">
      <c r="A26" t="s">
        <v>29</v>
      </c>
      <c r="B26">
        <v>125435</v>
      </c>
      <c r="C26" s="1">
        <v>15</v>
      </c>
      <c r="D26" t="s">
        <v>22</v>
      </c>
      <c r="E26" s="7">
        <v>0.99</v>
      </c>
      <c r="F26" s="2">
        <v>0.1</v>
      </c>
      <c r="G26" s="7">
        <v>0.17</v>
      </c>
      <c r="H26" s="9" t="s">
        <v>23</v>
      </c>
      <c r="I26">
        <v>0.17</v>
      </c>
      <c r="J26">
        <v>0.43</v>
      </c>
      <c r="K26">
        <v>0.4</v>
      </c>
      <c r="L26">
        <v>0.62</v>
      </c>
      <c r="M26">
        <v>0.64</v>
      </c>
      <c r="N26">
        <v>0.05</v>
      </c>
      <c r="O26">
        <v>0.37</v>
      </c>
      <c r="P26">
        <v>0.63</v>
      </c>
      <c r="Q26">
        <v>0.5</v>
      </c>
      <c r="R26" s="2">
        <v>0.86</v>
      </c>
      <c r="S26" t="str">
        <f>IF(Table1[[#This Row],[Years_Experience]]&lt;=5,"Early Career",
IF(Table1[[#This Row],[Years_Experience]]&lt;=15,"Mid Career","Senior Level"))</f>
        <v>Mid Career</v>
      </c>
      <c r="T26" t="str">
        <f>IF(Table1[[#This Row],[AI_Exposure_Index]]&gt;=0.7,"High Exposure", IF(Table1[[#This Row],[AI_Exposure_Index]]&gt;=0.3,"Medium Exposure","Low Exposure"))</f>
        <v>Low Exposure</v>
      </c>
    </row>
    <row r="27" spans="1:20" x14ac:dyDescent="0.25">
      <c r="A27" t="s">
        <v>26</v>
      </c>
      <c r="B27">
        <v>39540</v>
      </c>
      <c r="C27" s="1">
        <v>12</v>
      </c>
      <c r="D27" t="s">
        <v>25</v>
      </c>
      <c r="E27" s="7">
        <v>0.56999999999999995</v>
      </c>
      <c r="F27" s="2">
        <v>0.16</v>
      </c>
      <c r="G27" s="7">
        <v>0.56000000000000005</v>
      </c>
      <c r="H27" s="9" t="s">
        <v>27</v>
      </c>
      <c r="I27">
        <v>0.03</v>
      </c>
      <c r="J27">
        <v>0.59</v>
      </c>
      <c r="K27">
        <v>0.94</v>
      </c>
      <c r="L27">
        <v>0.57999999999999996</v>
      </c>
      <c r="M27">
        <v>0.39</v>
      </c>
      <c r="N27">
        <v>0.64</v>
      </c>
      <c r="O27">
        <v>0.46</v>
      </c>
      <c r="P27">
        <v>0.55000000000000004</v>
      </c>
      <c r="Q27">
        <v>0.94</v>
      </c>
      <c r="R27" s="2">
        <v>0.39</v>
      </c>
      <c r="S27" t="str">
        <f>IF(Table1[[#This Row],[Years_Experience]]&lt;=5,"Early Career",
IF(Table1[[#This Row],[Years_Experience]]&lt;=15,"Mid Career","Senior Level"))</f>
        <v>Mid Career</v>
      </c>
      <c r="T27" t="str">
        <f>IF(Table1[[#This Row],[AI_Exposure_Index]]&gt;=0.7,"High Exposure", IF(Table1[[#This Row],[AI_Exposure_Index]]&gt;=0.3,"Medium Exposure","Low Exposure"))</f>
        <v>Low Exposure</v>
      </c>
    </row>
    <row r="28" spans="1:20" x14ac:dyDescent="0.25">
      <c r="A28" t="s">
        <v>30</v>
      </c>
      <c r="B28">
        <v>68304</v>
      </c>
      <c r="C28" s="1">
        <v>7</v>
      </c>
      <c r="D28" t="s">
        <v>19</v>
      </c>
      <c r="E28" s="7">
        <v>0.7</v>
      </c>
      <c r="F28" s="2">
        <v>0.91</v>
      </c>
      <c r="G28" s="7">
        <v>0.33</v>
      </c>
      <c r="H28" s="9" t="s">
        <v>27</v>
      </c>
      <c r="I28">
        <v>0.1</v>
      </c>
      <c r="J28">
        <v>0.02</v>
      </c>
      <c r="K28">
        <v>0.09</v>
      </c>
      <c r="L28">
        <v>0.68</v>
      </c>
      <c r="M28">
        <v>7.0000000000000007E-2</v>
      </c>
      <c r="N28">
        <v>0.32</v>
      </c>
      <c r="O28">
        <v>0.84</v>
      </c>
      <c r="P28">
        <v>0.02</v>
      </c>
      <c r="Q28">
        <v>0.81</v>
      </c>
      <c r="R28" s="2">
        <v>0.28000000000000003</v>
      </c>
      <c r="S28" t="str">
        <f>IF(Table1[[#This Row],[Years_Experience]]&lt;=5,"Early Career",
IF(Table1[[#This Row],[Years_Experience]]&lt;=15,"Mid Career","Senior Level"))</f>
        <v>Mid Career</v>
      </c>
      <c r="T28" t="str">
        <f>IF(Table1[[#This Row],[AI_Exposure_Index]]&gt;=0.7,"High Exposure", IF(Table1[[#This Row],[AI_Exposure_Index]]&gt;=0.3,"Medium Exposure","Low Exposure"))</f>
        <v>High Exposure</v>
      </c>
    </row>
    <row r="29" spans="1:20" x14ac:dyDescent="0.25">
      <c r="A29" t="s">
        <v>33</v>
      </c>
      <c r="B29">
        <v>33267</v>
      </c>
      <c r="C29" s="1">
        <v>25</v>
      </c>
      <c r="D29" t="s">
        <v>22</v>
      </c>
      <c r="E29" s="7">
        <v>1.1299999999999999</v>
      </c>
      <c r="F29" s="2">
        <v>0.7</v>
      </c>
      <c r="G29" s="7">
        <v>0.92</v>
      </c>
      <c r="H29" s="9" t="s">
        <v>20</v>
      </c>
      <c r="I29">
        <v>0.74</v>
      </c>
      <c r="J29">
        <v>0.8</v>
      </c>
      <c r="K29">
        <v>0.28000000000000003</v>
      </c>
      <c r="L29">
        <v>0.18</v>
      </c>
      <c r="M29">
        <v>0.75</v>
      </c>
      <c r="N29">
        <v>0.81</v>
      </c>
      <c r="O29">
        <v>0.99</v>
      </c>
      <c r="P29">
        <v>0.41</v>
      </c>
      <c r="Q29">
        <v>0.37</v>
      </c>
      <c r="R29" s="2">
        <v>0.78</v>
      </c>
      <c r="S29" t="str">
        <f>IF(Table1[[#This Row],[Years_Experience]]&lt;=5,"Early Career",
IF(Table1[[#This Row],[Years_Experience]]&lt;=15,"Mid Career","Senior Level"))</f>
        <v>Senior Level</v>
      </c>
      <c r="T29" t="str">
        <f>IF(Table1[[#This Row],[AI_Exposure_Index]]&gt;=0.7,"High Exposure", IF(Table1[[#This Row],[AI_Exposure_Index]]&gt;=0.3,"Medium Exposure","Low Exposure"))</f>
        <v>High Exposure</v>
      </c>
    </row>
    <row r="30" spans="1:20" x14ac:dyDescent="0.25">
      <c r="A30" t="s">
        <v>32</v>
      </c>
      <c r="B30">
        <v>89031</v>
      </c>
      <c r="C30" s="1">
        <v>22</v>
      </c>
      <c r="D30" t="s">
        <v>19</v>
      </c>
      <c r="E30" s="7">
        <v>1.36</v>
      </c>
      <c r="F30" s="2">
        <v>0.93</v>
      </c>
      <c r="G30" s="7">
        <v>0.47</v>
      </c>
      <c r="H30" s="9" t="s">
        <v>27</v>
      </c>
      <c r="I30">
        <v>0.75</v>
      </c>
      <c r="J30">
        <v>0.75</v>
      </c>
      <c r="K30">
        <v>0.1</v>
      </c>
      <c r="L30">
        <v>0.9</v>
      </c>
      <c r="M30">
        <v>0.51</v>
      </c>
      <c r="N30">
        <v>0.83</v>
      </c>
      <c r="O30">
        <v>0.32</v>
      </c>
      <c r="P30">
        <v>0.9</v>
      </c>
      <c r="Q30">
        <v>0.39</v>
      </c>
      <c r="R30" s="2">
        <v>0.01</v>
      </c>
      <c r="S30" t="str">
        <f>IF(Table1[[#This Row],[Years_Experience]]&lt;=5,"Early Career",
IF(Table1[[#This Row],[Years_Experience]]&lt;=15,"Mid Career","Senior Level"))</f>
        <v>Senior Level</v>
      </c>
      <c r="T30" t="str">
        <f>IF(Table1[[#This Row],[AI_Exposure_Index]]&gt;=0.7,"High Exposure", IF(Table1[[#This Row],[AI_Exposure_Index]]&gt;=0.3,"Medium Exposure","Low Exposure"))</f>
        <v>High Exposure</v>
      </c>
    </row>
    <row r="31" spans="1:20" x14ac:dyDescent="0.25">
      <c r="A31" t="s">
        <v>32</v>
      </c>
      <c r="B31">
        <v>102936</v>
      </c>
      <c r="C31" s="1">
        <v>18</v>
      </c>
      <c r="D31" t="s">
        <v>19</v>
      </c>
      <c r="E31" s="7">
        <v>0.82</v>
      </c>
      <c r="F31" s="2">
        <v>0.09</v>
      </c>
      <c r="G31" s="7">
        <v>0.68</v>
      </c>
      <c r="H31" s="9" t="s">
        <v>27</v>
      </c>
      <c r="I31">
        <v>0.95</v>
      </c>
      <c r="J31">
        <v>0.56999999999999995</v>
      </c>
      <c r="K31">
        <v>0.63</v>
      </c>
      <c r="L31">
        <v>0.45</v>
      </c>
      <c r="M31">
        <v>0.28999999999999998</v>
      </c>
      <c r="N31">
        <v>0.33</v>
      </c>
      <c r="O31">
        <v>0.67</v>
      </c>
      <c r="P31">
        <v>0.75</v>
      </c>
      <c r="Q31">
        <v>0.79</v>
      </c>
      <c r="R31" s="2">
        <v>0.79</v>
      </c>
      <c r="S31" t="str">
        <f>IF(Table1[[#This Row],[Years_Experience]]&lt;=5,"Early Career",
IF(Table1[[#This Row],[Years_Experience]]&lt;=15,"Mid Career","Senior Level"))</f>
        <v>Senior Level</v>
      </c>
      <c r="T31" t="str">
        <f>IF(Table1[[#This Row],[AI_Exposure_Index]]&gt;=0.7,"High Exposure", IF(Table1[[#This Row],[AI_Exposure_Index]]&gt;=0.3,"Medium Exposure","Low Exposure"))</f>
        <v>Low Exposure</v>
      </c>
    </row>
    <row r="32" spans="1:20" x14ac:dyDescent="0.25">
      <c r="A32" t="s">
        <v>31</v>
      </c>
      <c r="B32">
        <v>114076</v>
      </c>
      <c r="C32" s="1">
        <v>20</v>
      </c>
      <c r="D32" t="s">
        <v>19</v>
      </c>
      <c r="E32" s="7">
        <v>0.56000000000000005</v>
      </c>
      <c r="F32" s="2">
        <v>0.49</v>
      </c>
      <c r="G32" s="7">
        <v>0.19</v>
      </c>
      <c r="H32" s="9" t="s">
        <v>23</v>
      </c>
      <c r="I32">
        <v>0.44</v>
      </c>
      <c r="J32">
        <v>0.89</v>
      </c>
      <c r="K32">
        <v>0.35</v>
      </c>
      <c r="L32">
        <v>0.12</v>
      </c>
      <c r="M32">
        <v>0.14000000000000001</v>
      </c>
      <c r="N32">
        <v>0.76</v>
      </c>
      <c r="O32">
        <v>0.62</v>
      </c>
      <c r="P32">
        <v>0.1</v>
      </c>
      <c r="Q32">
        <v>0.08</v>
      </c>
      <c r="R32" s="2">
        <v>0.7</v>
      </c>
      <c r="S32" t="str">
        <f>IF(Table1[[#This Row],[Years_Experience]]&lt;=5,"Early Career",
IF(Table1[[#This Row],[Years_Experience]]&lt;=15,"Mid Career","Senior Level"))</f>
        <v>Senior Level</v>
      </c>
      <c r="T32" t="str">
        <f>IF(Table1[[#This Row],[AI_Exposure_Index]]&gt;=0.7,"High Exposure", IF(Table1[[#This Row],[AI_Exposure_Index]]&gt;=0.3,"Medium Exposure","Low Exposure"))</f>
        <v>Medium Exposure</v>
      </c>
    </row>
    <row r="33" spans="1:20" x14ac:dyDescent="0.25">
      <c r="A33" t="s">
        <v>39</v>
      </c>
      <c r="B33">
        <v>69081</v>
      </c>
      <c r="C33" s="1">
        <v>8</v>
      </c>
      <c r="D33" t="s">
        <v>25</v>
      </c>
      <c r="E33" s="7">
        <v>1.21</v>
      </c>
      <c r="F33" s="2">
        <v>0.82</v>
      </c>
      <c r="G33" s="7">
        <v>0.72</v>
      </c>
      <c r="H33" s="9" t="s">
        <v>20</v>
      </c>
      <c r="I33">
        <v>0.08</v>
      </c>
      <c r="J33">
        <v>0.99</v>
      </c>
      <c r="K33">
        <v>0.37</v>
      </c>
      <c r="L33">
        <v>0.37</v>
      </c>
      <c r="M33">
        <v>0.81</v>
      </c>
      <c r="N33">
        <v>0.95</v>
      </c>
      <c r="O33">
        <v>0.99</v>
      </c>
      <c r="P33">
        <v>0.75</v>
      </c>
      <c r="Q33">
        <v>0.38</v>
      </c>
      <c r="R33" s="2">
        <v>0.08</v>
      </c>
      <c r="S33" t="str">
        <f>IF(Table1[[#This Row],[Years_Experience]]&lt;=5,"Early Career",
IF(Table1[[#This Row],[Years_Experience]]&lt;=15,"Mid Career","Senior Level"))</f>
        <v>Mid Career</v>
      </c>
      <c r="T33" t="str">
        <f>IF(Table1[[#This Row],[AI_Exposure_Index]]&gt;=0.7,"High Exposure", IF(Table1[[#This Row],[AI_Exposure_Index]]&gt;=0.3,"Medium Exposure","Low Exposure"))</f>
        <v>High Exposure</v>
      </c>
    </row>
    <row r="34" spans="1:20" x14ac:dyDescent="0.25">
      <c r="A34" t="s">
        <v>39</v>
      </c>
      <c r="B34">
        <v>102124</v>
      </c>
      <c r="C34" s="1">
        <v>11</v>
      </c>
      <c r="D34" t="s">
        <v>38</v>
      </c>
      <c r="E34" s="7">
        <v>0.92</v>
      </c>
      <c r="F34" s="2">
        <v>0.56000000000000005</v>
      </c>
      <c r="G34" s="7">
        <v>0.93</v>
      </c>
      <c r="H34" s="9" t="s">
        <v>20</v>
      </c>
      <c r="I34">
        <v>0.11</v>
      </c>
      <c r="J34">
        <v>0.49</v>
      </c>
      <c r="K34">
        <v>0.01</v>
      </c>
      <c r="L34">
        <v>0.47</v>
      </c>
      <c r="M34">
        <v>0.06</v>
      </c>
      <c r="N34">
        <v>0.12</v>
      </c>
      <c r="O34">
        <v>0.12</v>
      </c>
      <c r="P34">
        <v>0.65</v>
      </c>
      <c r="Q34">
        <v>0.75</v>
      </c>
      <c r="R34" s="2">
        <v>0.57999999999999996</v>
      </c>
      <c r="S34" t="str">
        <f>IF(Table1[[#This Row],[Years_Experience]]&lt;=5,"Early Career",
IF(Table1[[#This Row],[Years_Experience]]&lt;=15,"Mid Career","Senior Level"))</f>
        <v>Mid Career</v>
      </c>
      <c r="T34" t="str">
        <f>IF(Table1[[#This Row],[AI_Exposure_Index]]&gt;=0.7,"High Exposure", IF(Table1[[#This Row],[AI_Exposure_Index]]&gt;=0.3,"Medium Exposure","Low Exposure"))</f>
        <v>Medium Exposure</v>
      </c>
    </row>
    <row r="35" spans="1:20" x14ac:dyDescent="0.25">
      <c r="A35" t="s">
        <v>41</v>
      </c>
      <c r="B35">
        <v>91629</v>
      </c>
      <c r="C35" s="1">
        <v>24</v>
      </c>
      <c r="D35" t="s">
        <v>25</v>
      </c>
      <c r="E35" s="7">
        <v>0.79</v>
      </c>
      <c r="F35" s="2">
        <v>0.37</v>
      </c>
      <c r="G35" s="7">
        <v>0.92</v>
      </c>
      <c r="H35" s="9" t="s">
        <v>20</v>
      </c>
      <c r="I35">
        <v>0.22</v>
      </c>
      <c r="J35">
        <v>0.96</v>
      </c>
      <c r="K35">
        <v>0.01</v>
      </c>
      <c r="L35">
        <v>0.97</v>
      </c>
      <c r="M35">
        <v>0.04</v>
      </c>
      <c r="N35">
        <v>0.89</v>
      </c>
      <c r="O35">
        <v>0.53</v>
      </c>
      <c r="P35">
        <v>0.99</v>
      </c>
      <c r="Q35">
        <v>7.0000000000000007E-2</v>
      </c>
      <c r="R35" s="2">
        <v>0.55000000000000004</v>
      </c>
      <c r="S35" t="str">
        <f>IF(Table1[[#This Row],[Years_Experience]]&lt;=5,"Early Career",
IF(Table1[[#This Row],[Years_Experience]]&lt;=15,"Mid Career","Senior Level"))</f>
        <v>Senior Level</v>
      </c>
      <c r="T35" t="str">
        <f>IF(Table1[[#This Row],[AI_Exposure_Index]]&gt;=0.7,"High Exposure", IF(Table1[[#This Row],[AI_Exposure_Index]]&gt;=0.3,"Medium Exposure","Low Exposure"))</f>
        <v>Medium Exposure</v>
      </c>
    </row>
    <row r="36" spans="1:20" x14ac:dyDescent="0.25">
      <c r="A36" t="s">
        <v>31</v>
      </c>
      <c r="B36">
        <v>43843</v>
      </c>
      <c r="C36" s="1">
        <v>24</v>
      </c>
      <c r="D36" t="s">
        <v>22</v>
      </c>
      <c r="E36" s="7">
        <v>1.1299999999999999</v>
      </c>
      <c r="F36" s="2">
        <v>0.52</v>
      </c>
      <c r="G36" s="7">
        <v>0.22</v>
      </c>
      <c r="H36" s="9" t="s">
        <v>23</v>
      </c>
      <c r="I36">
        <v>0.45</v>
      </c>
      <c r="J36">
        <v>0.63</v>
      </c>
      <c r="K36">
        <v>0.57999999999999996</v>
      </c>
      <c r="L36">
        <v>0.9</v>
      </c>
      <c r="M36">
        <v>0.05</v>
      </c>
      <c r="N36">
        <v>0.28000000000000003</v>
      </c>
      <c r="O36">
        <v>0.95</v>
      </c>
      <c r="P36">
        <v>0.89</v>
      </c>
      <c r="Q36">
        <v>0.46</v>
      </c>
      <c r="R36" s="2">
        <v>0.62</v>
      </c>
      <c r="S36" t="str">
        <f>IF(Table1[[#This Row],[Years_Experience]]&lt;=5,"Early Career",
IF(Table1[[#This Row],[Years_Experience]]&lt;=15,"Mid Career","Senior Level"))</f>
        <v>Senior Level</v>
      </c>
      <c r="T36" t="str">
        <f>IF(Table1[[#This Row],[AI_Exposure_Index]]&gt;=0.7,"High Exposure", IF(Table1[[#This Row],[AI_Exposure_Index]]&gt;=0.3,"Medium Exposure","Low Exposure"))</f>
        <v>Medium Exposure</v>
      </c>
    </row>
    <row r="37" spans="1:20" x14ac:dyDescent="0.25">
      <c r="A37" t="s">
        <v>30</v>
      </c>
      <c r="B37">
        <v>59703</v>
      </c>
      <c r="C37" s="1">
        <v>25</v>
      </c>
      <c r="D37" t="s">
        <v>38</v>
      </c>
      <c r="E37" s="7">
        <v>0.96</v>
      </c>
      <c r="F37" s="2">
        <v>0.19</v>
      </c>
      <c r="G37" s="7">
        <v>0.44</v>
      </c>
      <c r="H37" s="9" t="s">
        <v>27</v>
      </c>
      <c r="I37">
        <v>0.57999999999999996</v>
      </c>
      <c r="J37">
        <v>0.08</v>
      </c>
      <c r="K37">
        <v>0.97</v>
      </c>
      <c r="L37">
        <v>0.99</v>
      </c>
      <c r="M37">
        <v>0.7</v>
      </c>
      <c r="N37">
        <v>0.54</v>
      </c>
      <c r="O37">
        <v>0.31</v>
      </c>
      <c r="P37">
        <v>0.81</v>
      </c>
      <c r="Q37">
        <v>0.68</v>
      </c>
      <c r="R37" s="2">
        <v>0.16</v>
      </c>
      <c r="S37" t="str">
        <f>IF(Table1[[#This Row],[Years_Experience]]&lt;=5,"Early Career",
IF(Table1[[#This Row],[Years_Experience]]&lt;=15,"Mid Career","Senior Level"))</f>
        <v>Senior Level</v>
      </c>
      <c r="T37" t="str">
        <f>IF(Table1[[#This Row],[AI_Exposure_Index]]&gt;=0.7,"High Exposure", IF(Table1[[#This Row],[AI_Exposure_Index]]&gt;=0.3,"Medium Exposure","Low Exposure"))</f>
        <v>Low Exposure</v>
      </c>
    </row>
    <row r="38" spans="1:20" x14ac:dyDescent="0.25">
      <c r="A38" t="s">
        <v>30</v>
      </c>
      <c r="B38">
        <v>64349</v>
      </c>
      <c r="C38" s="1">
        <v>2</v>
      </c>
      <c r="D38" t="s">
        <v>38</v>
      </c>
      <c r="E38" s="7">
        <v>1.45</v>
      </c>
      <c r="F38" s="2">
        <v>0.82</v>
      </c>
      <c r="G38" s="7">
        <v>0.59</v>
      </c>
      <c r="H38" s="9" t="s">
        <v>27</v>
      </c>
      <c r="I38">
        <v>0.61</v>
      </c>
      <c r="J38">
        <v>0.42</v>
      </c>
      <c r="K38">
        <v>0.93</v>
      </c>
      <c r="L38">
        <v>0.87</v>
      </c>
      <c r="M38">
        <v>0.05</v>
      </c>
      <c r="N38">
        <v>0.03</v>
      </c>
      <c r="O38">
        <v>0.38</v>
      </c>
      <c r="P38">
        <v>0.81</v>
      </c>
      <c r="Q38">
        <v>0.99</v>
      </c>
      <c r="R38" s="2">
        <v>0.15</v>
      </c>
      <c r="S38" t="str">
        <f>IF(Table1[[#This Row],[Years_Experience]]&lt;=5,"Early Career",
IF(Table1[[#This Row],[Years_Experience]]&lt;=15,"Mid Career","Senior Level"))</f>
        <v>Early Career</v>
      </c>
      <c r="T38" t="str">
        <f>IF(Table1[[#This Row],[AI_Exposure_Index]]&gt;=0.7,"High Exposure", IF(Table1[[#This Row],[AI_Exposure_Index]]&gt;=0.3,"Medium Exposure","Low Exposure"))</f>
        <v>High Exposure</v>
      </c>
    </row>
    <row r="39" spans="1:20" x14ac:dyDescent="0.25">
      <c r="A39" t="s">
        <v>33</v>
      </c>
      <c r="B39">
        <v>92292</v>
      </c>
      <c r="C39" s="1">
        <v>25</v>
      </c>
      <c r="D39" t="s">
        <v>38</v>
      </c>
      <c r="E39" s="7">
        <v>1.47</v>
      </c>
      <c r="F39" s="2">
        <v>0.38</v>
      </c>
      <c r="G39" s="7">
        <v>0.91</v>
      </c>
      <c r="H39" s="9" t="s">
        <v>20</v>
      </c>
      <c r="I39">
        <v>0.84</v>
      </c>
      <c r="J39">
        <v>0.47</v>
      </c>
      <c r="K39">
        <v>0.41</v>
      </c>
      <c r="L39">
        <v>0.27</v>
      </c>
      <c r="M39">
        <v>0.06</v>
      </c>
      <c r="N39">
        <v>0.86</v>
      </c>
      <c r="O39">
        <v>0.81</v>
      </c>
      <c r="P39">
        <v>1</v>
      </c>
      <c r="Q39">
        <v>1</v>
      </c>
      <c r="R39" s="2">
        <v>0.56000000000000005</v>
      </c>
      <c r="S39" t="str">
        <f>IF(Table1[[#This Row],[Years_Experience]]&lt;=5,"Early Career",
IF(Table1[[#This Row],[Years_Experience]]&lt;=15,"Mid Career","Senior Level"))</f>
        <v>Senior Level</v>
      </c>
      <c r="T39" t="str">
        <f>IF(Table1[[#This Row],[AI_Exposure_Index]]&gt;=0.7,"High Exposure", IF(Table1[[#This Row],[AI_Exposure_Index]]&gt;=0.3,"Medium Exposure","Low Exposure"))</f>
        <v>Medium Exposure</v>
      </c>
    </row>
    <row r="40" spans="1:20" x14ac:dyDescent="0.25">
      <c r="A40" t="s">
        <v>42</v>
      </c>
      <c r="B40">
        <v>53524</v>
      </c>
      <c r="C40" s="1">
        <v>20</v>
      </c>
      <c r="D40" t="s">
        <v>22</v>
      </c>
      <c r="E40" s="7">
        <v>1.35</v>
      </c>
      <c r="F40" s="2">
        <v>0.94</v>
      </c>
      <c r="G40" s="7">
        <v>0.4</v>
      </c>
      <c r="H40" s="9" t="s">
        <v>27</v>
      </c>
      <c r="I40">
        <v>0.45</v>
      </c>
      <c r="J40">
        <v>0.13</v>
      </c>
      <c r="K40">
        <v>0.95</v>
      </c>
      <c r="L40">
        <v>0.61</v>
      </c>
      <c r="M40">
        <v>0.23</v>
      </c>
      <c r="N40">
        <v>0.67</v>
      </c>
      <c r="O40">
        <v>0.62</v>
      </c>
      <c r="P40">
        <v>0.36</v>
      </c>
      <c r="Q40">
        <v>0.11</v>
      </c>
      <c r="R40" s="2">
        <v>0.67</v>
      </c>
      <c r="S40" t="str">
        <f>IF(Table1[[#This Row],[Years_Experience]]&lt;=5,"Early Career",
IF(Table1[[#This Row],[Years_Experience]]&lt;=15,"Mid Career","Senior Level"))</f>
        <v>Senior Level</v>
      </c>
      <c r="T40" t="str">
        <f>IF(Table1[[#This Row],[AI_Exposure_Index]]&gt;=0.7,"High Exposure", IF(Table1[[#This Row],[AI_Exposure_Index]]&gt;=0.3,"Medium Exposure","Low Exposure"))</f>
        <v>High Exposure</v>
      </c>
    </row>
    <row r="41" spans="1:20" x14ac:dyDescent="0.25">
      <c r="A41" t="s">
        <v>39</v>
      </c>
      <c r="B41">
        <v>88017</v>
      </c>
      <c r="C41" s="1">
        <v>21</v>
      </c>
      <c r="D41" t="s">
        <v>38</v>
      </c>
      <c r="E41" s="7">
        <v>1.02</v>
      </c>
      <c r="F41" s="2">
        <v>0.77</v>
      </c>
      <c r="G41" s="7">
        <v>0.91</v>
      </c>
      <c r="H41" s="9" t="s">
        <v>20</v>
      </c>
      <c r="I41">
        <v>0.55000000000000004</v>
      </c>
      <c r="J41">
        <v>0.56000000000000005</v>
      </c>
      <c r="K41">
        <v>0.88</v>
      </c>
      <c r="L41">
        <v>0.4</v>
      </c>
      <c r="M41">
        <v>0.13</v>
      </c>
      <c r="N41">
        <v>0.03</v>
      </c>
      <c r="O41">
        <v>0.76</v>
      </c>
      <c r="P41">
        <v>0.62</v>
      </c>
      <c r="Q41">
        <v>0.7</v>
      </c>
      <c r="R41" s="2">
        <v>0.21</v>
      </c>
      <c r="S41" t="str">
        <f>IF(Table1[[#This Row],[Years_Experience]]&lt;=5,"Early Career",
IF(Table1[[#This Row],[Years_Experience]]&lt;=15,"Mid Career","Senior Level"))</f>
        <v>Senior Level</v>
      </c>
      <c r="T41" t="str">
        <f>IF(Table1[[#This Row],[AI_Exposure_Index]]&gt;=0.7,"High Exposure", IF(Table1[[#This Row],[AI_Exposure_Index]]&gt;=0.3,"Medium Exposure","Low Exposure"))</f>
        <v>High Exposure</v>
      </c>
    </row>
    <row r="42" spans="1:20" x14ac:dyDescent="0.25">
      <c r="A42" t="s">
        <v>37</v>
      </c>
      <c r="B42">
        <v>111317</v>
      </c>
      <c r="C42" s="1">
        <v>27</v>
      </c>
      <c r="D42" t="s">
        <v>22</v>
      </c>
      <c r="E42" s="7">
        <v>1.1100000000000001</v>
      </c>
      <c r="F42" s="2">
        <v>0.98</v>
      </c>
      <c r="G42" s="7">
        <v>0.55000000000000004</v>
      </c>
      <c r="H42" s="9" t="s">
        <v>27</v>
      </c>
      <c r="I42">
        <v>0.55000000000000004</v>
      </c>
      <c r="J42">
        <v>0.09</v>
      </c>
      <c r="K42">
        <v>0.73</v>
      </c>
      <c r="L42">
        <v>0.55000000000000004</v>
      </c>
      <c r="M42">
        <v>0.45</v>
      </c>
      <c r="N42">
        <v>0.91</v>
      </c>
      <c r="O42">
        <v>0.3</v>
      </c>
      <c r="P42">
        <v>0.52</v>
      </c>
      <c r="Q42">
        <v>0.7</v>
      </c>
      <c r="R42" s="2">
        <v>0.8</v>
      </c>
      <c r="S42" t="str">
        <f>IF(Table1[[#This Row],[Years_Experience]]&lt;=5,"Early Career",
IF(Table1[[#This Row],[Years_Experience]]&lt;=15,"Mid Career","Senior Level"))</f>
        <v>Senior Level</v>
      </c>
      <c r="T42" t="str">
        <f>IF(Table1[[#This Row],[AI_Exposure_Index]]&gt;=0.7,"High Exposure", IF(Table1[[#This Row],[AI_Exposure_Index]]&gt;=0.3,"Medium Exposure","Low Exposure"))</f>
        <v>High Exposure</v>
      </c>
    </row>
    <row r="43" spans="1:20" x14ac:dyDescent="0.25">
      <c r="A43" t="s">
        <v>40</v>
      </c>
      <c r="B43">
        <v>144825</v>
      </c>
      <c r="C43" s="1">
        <v>23</v>
      </c>
      <c r="D43" t="s">
        <v>38</v>
      </c>
      <c r="E43" s="7">
        <v>1.27</v>
      </c>
      <c r="F43" s="2">
        <v>0.84</v>
      </c>
      <c r="G43" s="7">
        <v>7.0000000000000007E-2</v>
      </c>
      <c r="H43" s="9" t="s">
        <v>23</v>
      </c>
      <c r="I43">
        <v>0.05</v>
      </c>
      <c r="J43">
        <v>0.62</v>
      </c>
      <c r="K43">
        <v>0.35</v>
      </c>
      <c r="L43">
        <v>0.21</v>
      </c>
      <c r="M43">
        <v>0.57999999999999996</v>
      </c>
      <c r="N43">
        <v>0.34</v>
      </c>
      <c r="O43">
        <v>0.54</v>
      </c>
      <c r="P43">
        <v>0.46</v>
      </c>
      <c r="Q43">
        <v>0.57999999999999996</v>
      </c>
      <c r="R43" s="2">
        <v>0.4</v>
      </c>
      <c r="S43" t="str">
        <f>IF(Table1[[#This Row],[Years_Experience]]&lt;=5,"Early Career",
IF(Table1[[#This Row],[Years_Experience]]&lt;=15,"Mid Career","Senior Level"))</f>
        <v>Senior Level</v>
      </c>
      <c r="T43" t="str">
        <f>IF(Table1[[#This Row],[AI_Exposure_Index]]&gt;=0.7,"High Exposure", IF(Table1[[#This Row],[AI_Exposure_Index]]&gt;=0.3,"Medium Exposure","Low Exposure"))</f>
        <v>High Exposure</v>
      </c>
    </row>
    <row r="44" spans="1:20" x14ac:dyDescent="0.25">
      <c r="A44" t="s">
        <v>21</v>
      </c>
      <c r="B44">
        <v>52415</v>
      </c>
      <c r="C44" s="1">
        <v>7</v>
      </c>
      <c r="D44" t="s">
        <v>22</v>
      </c>
      <c r="E44" s="7">
        <v>1.2</v>
      </c>
      <c r="F44" s="2">
        <v>0.18</v>
      </c>
      <c r="G44" s="7">
        <v>0.15</v>
      </c>
      <c r="H44" s="9" t="s">
        <v>23</v>
      </c>
      <c r="I44">
        <v>0.87</v>
      </c>
      <c r="J44">
        <v>0.52</v>
      </c>
      <c r="K44">
        <v>0.97</v>
      </c>
      <c r="L44">
        <v>0.6</v>
      </c>
      <c r="M44">
        <v>0.22</v>
      </c>
      <c r="N44">
        <v>0.82</v>
      </c>
      <c r="O44">
        <v>0.35</v>
      </c>
      <c r="P44">
        <v>0.35</v>
      </c>
      <c r="Q44">
        <v>0.03</v>
      </c>
      <c r="R44" s="2">
        <v>0.55000000000000004</v>
      </c>
      <c r="S44" t="str">
        <f>IF(Table1[[#This Row],[Years_Experience]]&lt;=5,"Early Career",
IF(Table1[[#This Row],[Years_Experience]]&lt;=15,"Mid Career","Senior Level"))</f>
        <v>Mid Career</v>
      </c>
      <c r="T44" t="str">
        <f>IF(Table1[[#This Row],[AI_Exposure_Index]]&gt;=0.7,"High Exposure", IF(Table1[[#This Row],[AI_Exposure_Index]]&gt;=0.3,"Medium Exposure","Low Exposure"))</f>
        <v>Low Exposure</v>
      </c>
    </row>
    <row r="45" spans="1:20" x14ac:dyDescent="0.25">
      <c r="A45" t="s">
        <v>24</v>
      </c>
      <c r="B45">
        <v>134680</v>
      </c>
      <c r="C45" s="1">
        <v>11</v>
      </c>
      <c r="D45" t="s">
        <v>22</v>
      </c>
      <c r="E45" s="7">
        <v>0.86</v>
      </c>
      <c r="F45" s="2">
        <v>0.21</v>
      </c>
      <c r="G45" s="7">
        <v>0.83</v>
      </c>
      <c r="H45" s="9" t="s">
        <v>20</v>
      </c>
      <c r="I45">
        <v>0.69</v>
      </c>
      <c r="J45">
        <v>0.04</v>
      </c>
      <c r="K45">
        <v>0.8</v>
      </c>
      <c r="L45">
        <v>0.63</v>
      </c>
      <c r="M45">
        <v>0.08</v>
      </c>
      <c r="N45">
        <v>0.87</v>
      </c>
      <c r="O45">
        <v>0.92</v>
      </c>
      <c r="P45">
        <v>0.06</v>
      </c>
      <c r="Q45">
        <v>0.28000000000000003</v>
      </c>
      <c r="R45" s="2">
        <v>0.81</v>
      </c>
      <c r="S45" t="str">
        <f>IF(Table1[[#This Row],[Years_Experience]]&lt;=5,"Early Career",
IF(Table1[[#This Row],[Years_Experience]]&lt;=15,"Mid Career","Senior Level"))</f>
        <v>Mid Career</v>
      </c>
      <c r="T45" t="str">
        <f>IF(Table1[[#This Row],[AI_Exposure_Index]]&gt;=0.7,"High Exposure", IF(Table1[[#This Row],[AI_Exposure_Index]]&gt;=0.3,"Medium Exposure","Low Exposure"))</f>
        <v>Low Exposure</v>
      </c>
    </row>
    <row r="46" spans="1:20" x14ac:dyDescent="0.25">
      <c r="A46" t="s">
        <v>33</v>
      </c>
      <c r="B46">
        <v>109714</v>
      </c>
      <c r="C46" s="1">
        <v>28</v>
      </c>
      <c r="D46" t="s">
        <v>22</v>
      </c>
      <c r="E46" s="7">
        <v>1.04</v>
      </c>
      <c r="F46" s="2">
        <v>0.99</v>
      </c>
      <c r="G46" s="7">
        <v>0.93</v>
      </c>
      <c r="H46" s="9" t="s">
        <v>20</v>
      </c>
      <c r="I46">
        <v>0.24</v>
      </c>
      <c r="J46">
        <v>0.76</v>
      </c>
      <c r="K46">
        <v>0.53</v>
      </c>
      <c r="L46">
        <v>0.72</v>
      </c>
      <c r="M46">
        <v>0.06</v>
      </c>
      <c r="N46">
        <v>0.15</v>
      </c>
      <c r="O46">
        <v>0.13</v>
      </c>
      <c r="P46">
        <v>0.69</v>
      </c>
      <c r="Q46">
        <v>0.84</v>
      </c>
      <c r="R46" s="2">
        <v>0.75</v>
      </c>
      <c r="S46" t="str">
        <f>IF(Table1[[#This Row],[Years_Experience]]&lt;=5,"Early Career",
IF(Table1[[#This Row],[Years_Experience]]&lt;=15,"Mid Career","Senior Level"))</f>
        <v>Senior Level</v>
      </c>
      <c r="T46" t="str">
        <f>IF(Table1[[#This Row],[AI_Exposure_Index]]&gt;=0.7,"High Exposure", IF(Table1[[#This Row],[AI_Exposure_Index]]&gt;=0.3,"Medium Exposure","Low Exposure"))</f>
        <v>High Exposure</v>
      </c>
    </row>
    <row r="47" spans="1:20" x14ac:dyDescent="0.25">
      <c r="A47" t="s">
        <v>36</v>
      </c>
      <c r="B47">
        <v>97067</v>
      </c>
      <c r="C47" s="1">
        <v>12</v>
      </c>
      <c r="D47" t="s">
        <v>25</v>
      </c>
      <c r="E47" s="7">
        <v>0.85</v>
      </c>
      <c r="F47" s="2">
        <v>0.87</v>
      </c>
      <c r="G47" s="7">
        <v>0.46</v>
      </c>
      <c r="H47" s="9" t="s">
        <v>27</v>
      </c>
      <c r="I47">
        <v>0.1</v>
      </c>
      <c r="J47">
        <v>0.74</v>
      </c>
      <c r="K47">
        <v>0.18</v>
      </c>
      <c r="L47">
        <v>0.56000000000000005</v>
      </c>
      <c r="M47">
        <v>0.84</v>
      </c>
      <c r="N47">
        <v>0.09</v>
      </c>
      <c r="O47">
        <v>0.54</v>
      </c>
      <c r="P47">
        <v>0.23</v>
      </c>
      <c r="Q47">
        <v>0.34</v>
      </c>
      <c r="R47" s="2">
        <v>0.47</v>
      </c>
      <c r="S47" t="str">
        <f>IF(Table1[[#This Row],[Years_Experience]]&lt;=5,"Early Career",
IF(Table1[[#This Row],[Years_Experience]]&lt;=15,"Mid Career","Senior Level"))</f>
        <v>Mid Career</v>
      </c>
      <c r="T47" t="str">
        <f>IF(Table1[[#This Row],[AI_Exposure_Index]]&gt;=0.7,"High Exposure", IF(Table1[[#This Row],[AI_Exposure_Index]]&gt;=0.3,"Medium Exposure","Low Exposure"))</f>
        <v>High Exposure</v>
      </c>
    </row>
    <row r="48" spans="1:20" x14ac:dyDescent="0.25">
      <c r="A48" t="s">
        <v>24</v>
      </c>
      <c r="B48">
        <v>37561</v>
      </c>
      <c r="C48" s="1">
        <v>2</v>
      </c>
      <c r="D48" t="s">
        <v>19</v>
      </c>
      <c r="E48" s="7">
        <v>0.98</v>
      </c>
      <c r="F48" s="2">
        <v>0.65</v>
      </c>
      <c r="G48" s="7">
        <v>0.85</v>
      </c>
      <c r="H48" s="9" t="s">
        <v>20</v>
      </c>
      <c r="I48">
        <v>0.74</v>
      </c>
      <c r="J48">
        <v>0.56000000000000005</v>
      </c>
      <c r="K48">
        <v>0.59</v>
      </c>
      <c r="L48">
        <v>0.56000000000000005</v>
      </c>
      <c r="M48">
        <v>0.38</v>
      </c>
      <c r="N48">
        <v>0.34</v>
      </c>
      <c r="O48">
        <v>0.9</v>
      </c>
      <c r="P48">
        <v>0.61</v>
      </c>
      <c r="Q48">
        <v>0.24</v>
      </c>
      <c r="R48" s="2">
        <v>0.5</v>
      </c>
      <c r="S48" t="str">
        <f>IF(Table1[[#This Row],[Years_Experience]]&lt;=5,"Early Career",
IF(Table1[[#This Row],[Years_Experience]]&lt;=15,"Mid Career","Senior Level"))</f>
        <v>Early Career</v>
      </c>
      <c r="T48" t="str">
        <f>IF(Table1[[#This Row],[AI_Exposure_Index]]&gt;=0.7,"High Exposure", IF(Table1[[#This Row],[AI_Exposure_Index]]&gt;=0.3,"Medium Exposure","Low Exposure"))</f>
        <v>Medium Exposure</v>
      </c>
    </row>
    <row r="49" spans="1:20" x14ac:dyDescent="0.25">
      <c r="A49" t="s">
        <v>31</v>
      </c>
      <c r="B49">
        <v>142581</v>
      </c>
      <c r="C49" s="1">
        <v>4</v>
      </c>
      <c r="D49" t="s">
        <v>25</v>
      </c>
      <c r="E49" s="7">
        <v>0.51</v>
      </c>
      <c r="F49" s="2">
        <v>0.93</v>
      </c>
      <c r="G49" s="7">
        <v>0.11</v>
      </c>
      <c r="H49" s="9" t="s">
        <v>23</v>
      </c>
      <c r="I49">
        <v>0.37</v>
      </c>
      <c r="J49">
        <v>0.49</v>
      </c>
      <c r="K49">
        <v>0.85</v>
      </c>
      <c r="L49">
        <v>0.09</v>
      </c>
      <c r="M49">
        <v>0.81</v>
      </c>
      <c r="N49">
        <v>0.06</v>
      </c>
      <c r="O49">
        <v>0.84</v>
      </c>
      <c r="P49">
        <v>0.05</v>
      </c>
      <c r="Q49">
        <v>0.02</v>
      </c>
      <c r="R49" s="2">
        <v>0.7</v>
      </c>
      <c r="S49" t="str">
        <f>IF(Table1[[#This Row],[Years_Experience]]&lt;=5,"Early Career",
IF(Table1[[#This Row],[Years_Experience]]&lt;=15,"Mid Career","Senior Level"))</f>
        <v>Early Career</v>
      </c>
      <c r="T49" t="str">
        <f>IF(Table1[[#This Row],[AI_Exposure_Index]]&gt;=0.7,"High Exposure", IF(Table1[[#This Row],[AI_Exposure_Index]]&gt;=0.3,"Medium Exposure","Low Exposure"))</f>
        <v>High Exposure</v>
      </c>
    </row>
    <row r="50" spans="1:20" x14ac:dyDescent="0.25">
      <c r="A50" t="s">
        <v>34</v>
      </c>
      <c r="B50">
        <v>39111</v>
      </c>
      <c r="C50" s="1">
        <v>5</v>
      </c>
      <c r="D50" t="s">
        <v>38</v>
      </c>
      <c r="E50" s="7">
        <v>1.47</v>
      </c>
      <c r="F50" s="2">
        <v>0.4</v>
      </c>
      <c r="G50" s="7">
        <v>0.65</v>
      </c>
      <c r="H50" s="9" t="s">
        <v>27</v>
      </c>
      <c r="I50">
        <v>0.82</v>
      </c>
      <c r="J50">
        <v>0.26</v>
      </c>
      <c r="K50">
        <v>0.17</v>
      </c>
      <c r="L50">
        <v>0.67</v>
      </c>
      <c r="M50">
        <v>0.93</v>
      </c>
      <c r="N50">
        <v>0.56000000000000005</v>
      </c>
      <c r="O50">
        <v>0.56999999999999995</v>
      </c>
      <c r="P50">
        <v>0.28000000000000003</v>
      </c>
      <c r="Q50">
        <v>0.77</v>
      </c>
      <c r="R50" s="2">
        <v>0.19</v>
      </c>
      <c r="S50" t="str">
        <f>IF(Table1[[#This Row],[Years_Experience]]&lt;=5,"Early Career",
IF(Table1[[#This Row],[Years_Experience]]&lt;=15,"Mid Career","Senior Level"))</f>
        <v>Early Career</v>
      </c>
      <c r="T50" t="str">
        <f>IF(Table1[[#This Row],[AI_Exposure_Index]]&gt;=0.7,"High Exposure", IF(Table1[[#This Row],[AI_Exposure_Index]]&gt;=0.3,"Medium Exposure","Low Exposure"))</f>
        <v>Medium Exposure</v>
      </c>
    </row>
    <row r="51" spans="1:20" x14ac:dyDescent="0.25">
      <c r="A51" t="s">
        <v>39</v>
      </c>
      <c r="B51">
        <v>72101</v>
      </c>
      <c r="C51" s="1">
        <v>3</v>
      </c>
      <c r="D51" t="s">
        <v>25</v>
      </c>
      <c r="E51" s="7">
        <v>1.01</v>
      </c>
      <c r="F51" s="2">
        <v>0.43</v>
      </c>
      <c r="G51" s="7">
        <v>0.76</v>
      </c>
      <c r="H51" s="9" t="s">
        <v>20</v>
      </c>
      <c r="I51">
        <v>0.11</v>
      </c>
      <c r="J51">
        <v>0.61</v>
      </c>
      <c r="K51">
        <v>0.28999999999999998</v>
      </c>
      <c r="L51">
        <v>0.57999999999999996</v>
      </c>
      <c r="M51">
        <v>0.15</v>
      </c>
      <c r="N51">
        <v>0.48</v>
      </c>
      <c r="O51">
        <v>0.53</v>
      </c>
      <c r="P51">
        <v>0.05</v>
      </c>
      <c r="Q51">
        <v>0.34</v>
      </c>
      <c r="R51" s="2">
        <v>0.13</v>
      </c>
      <c r="S51" t="str">
        <f>IF(Table1[[#This Row],[Years_Experience]]&lt;=5,"Early Career",
IF(Table1[[#This Row],[Years_Experience]]&lt;=15,"Mid Career","Senior Level"))</f>
        <v>Early Career</v>
      </c>
      <c r="T51" t="str">
        <f>IF(Table1[[#This Row],[AI_Exposure_Index]]&gt;=0.7,"High Exposure", IF(Table1[[#This Row],[AI_Exposure_Index]]&gt;=0.3,"Medium Exposure","Low Exposure"))</f>
        <v>Medium Exposure</v>
      </c>
    </row>
    <row r="52" spans="1:20" x14ac:dyDescent="0.25">
      <c r="A52" t="s">
        <v>18</v>
      </c>
      <c r="B52">
        <v>117958</v>
      </c>
      <c r="C52" s="1">
        <v>9</v>
      </c>
      <c r="D52" t="s">
        <v>25</v>
      </c>
      <c r="E52" s="7">
        <v>0.82</v>
      </c>
      <c r="F52" s="2">
        <v>0.99</v>
      </c>
      <c r="G52" s="7">
        <v>0.9</v>
      </c>
      <c r="H52" s="9" t="s">
        <v>20</v>
      </c>
      <c r="I52">
        <v>0.25</v>
      </c>
      <c r="J52">
        <v>0.68</v>
      </c>
      <c r="K52">
        <v>0.76</v>
      </c>
      <c r="L52">
        <v>0.6</v>
      </c>
      <c r="M52">
        <v>0.47</v>
      </c>
      <c r="N52">
        <v>0.41</v>
      </c>
      <c r="O52">
        <v>0.35</v>
      </c>
      <c r="P52">
        <v>0.93</v>
      </c>
      <c r="Q52">
        <v>0.83</v>
      </c>
      <c r="R52" s="2">
        <v>0.97</v>
      </c>
      <c r="S52" t="str">
        <f>IF(Table1[[#This Row],[Years_Experience]]&lt;=5,"Early Career",
IF(Table1[[#This Row],[Years_Experience]]&lt;=15,"Mid Career","Senior Level"))</f>
        <v>Mid Career</v>
      </c>
      <c r="T52" t="str">
        <f>IF(Table1[[#This Row],[AI_Exposure_Index]]&gt;=0.7,"High Exposure", IF(Table1[[#This Row],[AI_Exposure_Index]]&gt;=0.3,"Medium Exposure","Low Exposure"))</f>
        <v>High Exposure</v>
      </c>
    </row>
    <row r="53" spans="1:20" x14ac:dyDescent="0.25">
      <c r="A53" t="s">
        <v>29</v>
      </c>
      <c r="B53">
        <v>97444</v>
      </c>
      <c r="C53" s="1">
        <v>23</v>
      </c>
      <c r="D53" t="s">
        <v>25</v>
      </c>
      <c r="E53" s="7">
        <v>0.71</v>
      </c>
      <c r="F53" s="2">
        <v>0.99</v>
      </c>
      <c r="G53" s="7">
        <v>0.14000000000000001</v>
      </c>
      <c r="H53" s="9" t="s">
        <v>23</v>
      </c>
      <c r="I53">
        <v>0.93</v>
      </c>
      <c r="J53">
        <v>0.72</v>
      </c>
      <c r="K53">
        <v>0.05</v>
      </c>
      <c r="L53">
        <v>0.78</v>
      </c>
      <c r="M53">
        <v>0.83</v>
      </c>
      <c r="N53">
        <v>0.75</v>
      </c>
      <c r="O53">
        <v>0.8</v>
      </c>
      <c r="P53">
        <v>0.83</v>
      </c>
      <c r="Q53">
        <v>0.19</v>
      </c>
      <c r="R53" s="2">
        <v>0.24</v>
      </c>
      <c r="S53" t="str">
        <f>IF(Table1[[#This Row],[Years_Experience]]&lt;=5,"Early Career",
IF(Table1[[#This Row],[Years_Experience]]&lt;=15,"Mid Career","Senior Level"))</f>
        <v>Senior Level</v>
      </c>
      <c r="T53" t="str">
        <f>IF(Table1[[#This Row],[AI_Exposure_Index]]&gt;=0.7,"High Exposure", IF(Table1[[#This Row],[AI_Exposure_Index]]&gt;=0.3,"Medium Exposure","Low Exposure"))</f>
        <v>High Exposure</v>
      </c>
    </row>
    <row r="54" spans="1:20" x14ac:dyDescent="0.25">
      <c r="A54" t="s">
        <v>29</v>
      </c>
      <c r="B54">
        <v>30077</v>
      </c>
      <c r="C54" s="1">
        <v>25</v>
      </c>
      <c r="D54" t="s">
        <v>25</v>
      </c>
      <c r="E54" s="7">
        <v>0.82</v>
      </c>
      <c r="F54" s="2">
        <v>0.91</v>
      </c>
      <c r="G54" s="7">
        <v>0.2</v>
      </c>
      <c r="H54" s="9" t="s">
        <v>23</v>
      </c>
      <c r="I54">
        <v>0.68</v>
      </c>
      <c r="J54">
        <v>0.45</v>
      </c>
      <c r="K54">
        <v>0.71</v>
      </c>
      <c r="L54">
        <v>0.9</v>
      </c>
      <c r="M54">
        <v>0.62</v>
      </c>
      <c r="N54">
        <v>0.54</v>
      </c>
      <c r="O54">
        <v>0.44</v>
      </c>
      <c r="P54">
        <v>0.57999999999999996</v>
      </c>
      <c r="Q54">
        <v>0.36</v>
      </c>
      <c r="R54" s="2">
        <v>0.39</v>
      </c>
      <c r="S54" t="str">
        <f>IF(Table1[[#This Row],[Years_Experience]]&lt;=5,"Early Career",
IF(Table1[[#This Row],[Years_Experience]]&lt;=15,"Mid Career","Senior Level"))</f>
        <v>Senior Level</v>
      </c>
      <c r="T54" t="str">
        <f>IF(Table1[[#This Row],[AI_Exposure_Index]]&gt;=0.7,"High Exposure", IF(Table1[[#This Row],[AI_Exposure_Index]]&gt;=0.3,"Medium Exposure","Low Exposure"))</f>
        <v>High Exposure</v>
      </c>
    </row>
    <row r="55" spans="1:20" x14ac:dyDescent="0.25">
      <c r="A55" t="s">
        <v>34</v>
      </c>
      <c r="B55">
        <v>148721</v>
      </c>
      <c r="C55" s="1">
        <v>13</v>
      </c>
      <c r="D55" t="s">
        <v>25</v>
      </c>
      <c r="E55" s="7">
        <v>0.73</v>
      </c>
      <c r="F55" s="2">
        <v>7.0000000000000007E-2</v>
      </c>
      <c r="G55" s="7">
        <v>0.52</v>
      </c>
      <c r="H55" s="9" t="s">
        <v>27</v>
      </c>
      <c r="I55">
        <v>0.43</v>
      </c>
      <c r="J55">
        <v>0.33</v>
      </c>
      <c r="K55">
        <v>0.73</v>
      </c>
      <c r="L55">
        <v>0.69</v>
      </c>
      <c r="M55">
        <v>0.17</v>
      </c>
      <c r="N55">
        <v>0.88</v>
      </c>
      <c r="O55">
        <v>0.5</v>
      </c>
      <c r="P55">
        <v>0.74</v>
      </c>
      <c r="Q55">
        <v>0.56999999999999995</v>
      </c>
      <c r="R55" s="2">
        <v>1</v>
      </c>
      <c r="S55" t="str">
        <f>IF(Table1[[#This Row],[Years_Experience]]&lt;=5,"Early Career",
IF(Table1[[#This Row],[Years_Experience]]&lt;=15,"Mid Career","Senior Level"))</f>
        <v>Mid Career</v>
      </c>
      <c r="T55" t="str">
        <f>IF(Table1[[#This Row],[AI_Exposure_Index]]&gt;=0.7,"High Exposure", IF(Table1[[#This Row],[AI_Exposure_Index]]&gt;=0.3,"Medium Exposure","Low Exposure"))</f>
        <v>Low Exposure</v>
      </c>
    </row>
    <row r="56" spans="1:20" x14ac:dyDescent="0.25">
      <c r="A56" t="s">
        <v>33</v>
      </c>
      <c r="B56">
        <v>127720</v>
      </c>
      <c r="C56" s="1">
        <v>0</v>
      </c>
      <c r="D56" t="s">
        <v>25</v>
      </c>
      <c r="E56" s="7">
        <v>1.28</v>
      </c>
      <c r="F56" s="2">
        <v>0.71</v>
      </c>
      <c r="G56" s="7">
        <v>0.74</v>
      </c>
      <c r="H56" s="9" t="s">
        <v>20</v>
      </c>
      <c r="I56">
        <v>0.2</v>
      </c>
      <c r="J56">
        <v>0.71</v>
      </c>
      <c r="K56">
        <v>0.49</v>
      </c>
      <c r="L56">
        <v>0.75</v>
      </c>
      <c r="M56">
        <v>0.1</v>
      </c>
      <c r="N56">
        <v>0.54</v>
      </c>
      <c r="O56">
        <v>0.38</v>
      </c>
      <c r="P56">
        <v>0.46</v>
      </c>
      <c r="Q56">
        <v>0.6</v>
      </c>
      <c r="R56" s="2">
        <v>0.5</v>
      </c>
      <c r="S56" t="str">
        <f>IF(Table1[[#This Row],[Years_Experience]]&lt;=5,"Early Career",
IF(Table1[[#This Row],[Years_Experience]]&lt;=15,"Mid Career","Senior Level"))</f>
        <v>Early Career</v>
      </c>
      <c r="T56" t="str">
        <f>IF(Table1[[#This Row],[AI_Exposure_Index]]&gt;=0.7,"High Exposure", IF(Table1[[#This Row],[AI_Exposure_Index]]&gt;=0.3,"Medium Exposure","Low Exposure"))</f>
        <v>High Exposure</v>
      </c>
    </row>
    <row r="57" spans="1:20" x14ac:dyDescent="0.25">
      <c r="A57" t="s">
        <v>36</v>
      </c>
      <c r="B57">
        <v>50103</v>
      </c>
      <c r="C57" s="1">
        <v>4</v>
      </c>
      <c r="D57" t="s">
        <v>19</v>
      </c>
      <c r="E57" s="7">
        <v>0.91</v>
      </c>
      <c r="F57" s="2">
        <v>0.49</v>
      </c>
      <c r="G57" s="7">
        <v>0.61</v>
      </c>
      <c r="H57" s="9" t="s">
        <v>27</v>
      </c>
      <c r="I57">
        <v>0.01</v>
      </c>
      <c r="J57">
        <v>0.6</v>
      </c>
      <c r="K57">
        <v>0.56999999999999995</v>
      </c>
      <c r="L57">
        <v>0.72</v>
      </c>
      <c r="M57">
        <v>0.6</v>
      </c>
      <c r="N57">
        <v>0.83</v>
      </c>
      <c r="O57">
        <v>0.96</v>
      </c>
      <c r="P57">
        <v>0.34</v>
      </c>
      <c r="Q57">
        <v>0.23</v>
      </c>
      <c r="R57" s="2">
        <v>0.42</v>
      </c>
      <c r="S57" t="str">
        <f>IF(Table1[[#This Row],[Years_Experience]]&lt;=5,"Early Career",
IF(Table1[[#This Row],[Years_Experience]]&lt;=15,"Mid Career","Senior Level"))</f>
        <v>Early Career</v>
      </c>
      <c r="T57" t="str">
        <f>IF(Table1[[#This Row],[AI_Exposure_Index]]&gt;=0.7,"High Exposure", IF(Table1[[#This Row],[AI_Exposure_Index]]&gt;=0.3,"Medium Exposure","Low Exposure"))</f>
        <v>Medium Exposure</v>
      </c>
    </row>
    <row r="58" spans="1:20" x14ac:dyDescent="0.25">
      <c r="A58" t="s">
        <v>37</v>
      </c>
      <c r="B58">
        <v>145033</v>
      </c>
      <c r="C58" s="1">
        <v>13</v>
      </c>
      <c r="D58" t="s">
        <v>25</v>
      </c>
      <c r="E58" s="7">
        <v>1.41</v>
      </c>
      <c r="F58" s="2">
        <v>0.61</v>
      </c>
      <c r="G58" s="7">
        <v>0.36</v>
      </c>
      <c r="H58" s="9" t="s">
        <v>27</v>
      </c>
      <c r="I58">
        <v>0.1</v>
      </c>
      <c r="J58">
        <v>0.26</v>
      </c>
      <c r="K58">
        <v>0.73</v>
      </c>
      <c r="L58">
        <v>0.59</v>
      </c>
      <c r="M58">
        <v>0.1</v>
      </c>
      <c r="N58">
        <v>0.92</v>
      </c>
      <c r="O58">
        <v>0.79</v>
      </c>
      <c r="P58">
        <v>0.02</v>
      </c>
      <c r="Q58">
        <v>0.65</v>
      </c>
      <c r="R58" s="2">
        <v>0.77</v>
      </c>
      <c r="S58" t="str">
        <f>IF(Table1[[#This Row],[Years_Experience]]&lt;=5,"Early Career",
IF(Table1[[#This Row],[Years_Experience]]&lt;=15,"Mid Career","Senior Level"))</f>
        <v>Mid Career</v>
      </c>
      <c r="T58" t="str">
        <f>IF(Table1[[#This Row],[AI_Exposure_Index]]&gt;=0.7,"High Exposure", IF(Table1[[#This Row],[AI_Exposure_Index]]&gt;=0.3,"Medium Exposure","Low Exposure"))</f>
        <v>Medium Exposure</v>
      </c>
    </row>
    <row r="59" spans="1:20" x14ac:dyDescent="0.25">
      <c r="A59" t="s">
        <v>40</v>
      </c>
      <c r="B59">
        <v>95310</v>
      </c>
      <c r="C59" s="1">
        <v>25</v>
      </c>
      <c r="D59" t="s">
        <v>38</v>
      </c>
      <c r="E59" s="7">
        <v>0.57999999999999996</v>
      </c>
      <c r="F59" s="2">
        <v>7.0000000000000007E-2</v>
      </c>
      <c r="G59" s="7">
        <v>0.08</v>
      </c>
      <c r="H59" s="9" t="s">
        <v>23</v>
      </c>
      <c r="I59">
        <v>0.84</v>
      </c>
      <c r="J59">
        <v>0.91</v>
      </c>
      <c r="K59">
        <v>0.12</v>
      </c>
      <c r="L59">
        <v>0.24</v>
      </c>
      <c r="M59">
        <v>0.17</v>
      </c>
      <c r="N59">
        <v>0.19</v>
      </c>
      <c r="O59">
        <v>0.84</v>
      </c>
      <c r="P59">
        <v>0.33</v>
      </c>
      <c r="Q59">
        <v>0.31</v>
      </c>
      <c r="R59" s="2">
        <v>0.23</v>
      </c>
      <c r="S59" t="str">
        <f>IF(Table1[[#This Row],[Years_Experience]]&lt;=5,"Early Career",
IF(Table1[[#This Row],[Years_Experience]]&lt;=15,"Mid Career","Senior Level"))</f>
        <v>Senior Level</v>
      </c>
      <c r="T59" t="str">
        <f>IF(Table1[[#This Row],[AI_Exposure_Index]]&gt;=0.7,"High Exposure", IF(Table1[[#This Row],[AI_Exposure_Index]]&gt;=0.3,"Medium Exposure","Low Exposure"))</f>
        <v>Low Exposure</v>
      </c>
    </row>
    <row r="60" spans="1:20" x14ac:dyDescent="0.25">
      <c r="A60" t="s">
        <v>30</v>
      </c>
      <c r="B60">
        <v>93374</v>
      </c>
      <c r="C60" s="1">
        <v>20</v>
      </c>
      <c r="D60" t="s">
        <v>19</v>
      </c>
      <c r="E60" s="7">
        <v>1.24</v>
      </c>
      <c r="F60" s="2">
        <v>0.38</v>
      </c>
      <c r="G60" s="7">
        <v>0.38</v>
      </c>
      <c r="H60" s="9" t="s">
        <v>27</v>
      </c>
      <c r="I60">
        <v>0.79</v>
      </c>
      <c r="J60">
        <v>0.6</v>
      </c>
      <c r="K60">
        <v>0.11</v>
      </c>
      <c r="L60">
        <v>0.41</v>
      </c>
      <c r="M60">
        <v>0.86</v>
      </c>
      <c r="N60">
        <v>0.92</v>
      </c>
      <c r="O60">
        <v>0.47</v>
      </c>
      <c r="P60">
        <v>0.48</v>
      </c>
      <c r="Q60">
        <v>0.92</v>
      </c>
      <c r="R60" s="2">
        <v>0.59</v>
      </c>
      <c r="S60" t="str">
        <f>IF(Table1[[#This Row],[Years_Experience]]&lt;=5,"Early Career",
IF(Table1[[#This Row],[Years_Experience]]&lt;=15,"Mid Career","Senior Level"))</f>
        <v>Senior Level</v>
      </c>
      <c r="T60" t="str">
        <f>IF(Table1[[#This Row],[AI_Exposure_Index]]&gt;=0.7,"High Exposure", IF(Table1[[#This Row],[AI_Exposure_Index]]&gt;=0.3,"Medium Exposure","Low Exposure"))</f>
        <v>Medium Exposure</v>
      </c>
    </row>
    <row r="61" spans="1:20" x14ac:dyDescent="0.25">
      <c r="A61" t="s">
        <v>21</v>
      </c>
      <c r="B61">
        <v>71914</v>
      </c>
      <c r="C61" s="1">
        <v>11</v>
      </c>
      <c r="D61" t="s">
        <v>19</v>
      </c>
      <c r="E61" s="7">
        <v>0.75</v>
      </c>
      <c r="F61" s="2">
        <v>0.91</v>
      </c>
      <c r="G61" s="7">
        <v>0.19</v>
      </c>
      <c r="H61" s="9" t="s">
        <v>23</v>
      </c>
      <c r="I61">
        <v>0.17</v>
      </c>
      <c r="J61">
        <v>0.03</v>
      </c>
      <c r="K61">
        <v>0.31</v>
      </c>
      <c r="L61">
        <v>0.78</v>
      </c>
      <c r="M61">
        <v>0.28000000000000003</v>
      </c>
      <c r="N61">
        <v>0.22</v>
      </c>
      <c r="O61">
        <v>0.21</v>
      </c>
      <c r="P61">
        <v>0.52</v>
      </c>
      <c r="Q61">
        <v>0.98</v>
      </c>
      <c r="R61" s="2">
        <v>0.46</v>
      </c>
      <c r="S61" t="str">
        <f>IF(Table1[[#This Row],[Years_Experience]]&lt;=5,"Early Career",
IF(Table1[[#This Row],[Years_Experience]]&lt;=15,"Mid Career","Senior Level"))</f>
        <v>Mid Career</v>
      </c>
      <c r="T61" t="str">
        <f>IF(Table1[[#This Row],[AI_Exposure_Index]]&gt;=0.7,"High Exposure", IF(Table1[[#This Row],[AI_Exposure_Index]]&gt;=0.3,"Medium Exposure","Low Exposure"))</f>
        <v>High Exposure</v>
      </c>
    </row>
    <row r="62" spans="1:20" x14ac:dyDescent="0.25">
      <c r="A62" t="s">
        <v>28</v>
      </c>
      <c r="B62">
        <v>132547</v>
      </c>
      <c r="C62" s="1">
        <v>21</v>
      </c>
      <c r="D62" t="s">
        <v>22</v>
      </c>
      <c r="E62" s="7">
        <v>1.04</v>
      </c>
      <c r="F62" s="2">
        <v>0.86</v>
      </c>
      <c r="G62" s="7">
        <v>0.37</v>
      </c>
      <c r="H62" s="9" t="s">
        <v>27</v>
      </c>
      <c r="I62">
        <v>0.3</v>
      </c>
      <c r="J62">
        <v>0.31</v>
      </c>
      <c r="K62">
        <v>0.4</v>
      </c>
      <c r="L62">
        <v>0.43</v>
      </c>
      <c r="M62">
        <v>0.8</v>
      </c>
      <c r="N62">
        <v>0.35</v>
      </c>
      <c r="O62">
        <v>0.47</v>
      </c>
      <c r="P62">
        <v>0.62</v>
      </c>
      <c r="Q62">
        <v>0.38</v>
      </c>
      <c r="R62" s="2">
        <v>0.84</v>
      </c>
      <c r="S62" t="str">
        <f>IF(Table1[[#This Row],[Years_Experience]]&lt;=5,"Early Career",
IF(Table1[[#This Row],[Years_Experience]]&lt;=15,"Mid Career","Senior Level"))</f>
        <v>Senior Level</v>
      </c>
      <c r="T62" t="str">
        <f>IF(Table1[[#This Row],[AI_Exposure_Index]]&gt;=0.7,"High Exposure", IF(Table1[[#This Row],[AI_Exposure_Index]]&gt;=0.3,"Medium Exposure","Low Exposure"))</f>
        <v>High Exposure</v>
      </c>
    </row>
    <row r="63" spans="1:20" x14ac:dyDescent="0.25">
      <c r="A63" t="s">
        <v>34</v>
      </c>
      <c r="B63">
        <v>119106</v>
      </c>
      <c r="C63" s="1">
        <v>17</v>
      </c>
      <c r="D63" t="s">
        <v>19</v>
      </c>
      <c r="E63" s="7">
        <v>1.21</v>
      </c>
      <c r="F63" s="2">
        <v>0.28999999999999998</v>
      </c>
      <c r="G63" s="7">
        <v>0.51</v>
      </c>
      <c r="H63" s="9" t="s">
        <v>27</v>
      </c>
      <c r="I63">
        <v>0.53</v>
      </c>
      <c r="J63">
        <v>0.48</v>
      </c>
      <c r="K63">
        <v>0.5</v>
      </c>
      <c r="L63">
        <v>0.77</v>
      </c>
      <c r="M63">
        <v>0.1</v>
      </c>
      <c r="N63">
        <v>0.33</v>
      </c>
      <c r="O63">
        <v>0.08</v>
      </c>
      <c r="P63">
        <v>0.75</v>
      </c>
      <c r="Q63">
        <v>0.27</v>
      </c>
      <c r="R63" s="2">
        <v>0.9</v>
      </c>
      <c r="S63" t="str">
        <f>IF(Table1[[#This Row],[Years_Experience]]&lt;=5,"Early Career",
IF(Table1[[#This Row],[Years_Experience]]&lt;=15,"Mid Career","Senior Level"))</f>
        <v>Senior Level</v>
      </c>
      <c r="T63" t="str">
        <f>IF(Table1[[#This Row],[AI_Exposure_Index]]&gt;=0.7,"High Exposure", IF(Table1[[#This Row],[AI_Exposure_Index]]&gt;=0.3,"Medium Exposure","Low Exposure"))</f>
        <v>Low Exposure</v>
      </c>
    </row>
    <row r="64" spans="1:20" x14ac:dyDescent="0.25">
      <c r="A64" t="s">
        <v>34</v>
      </c>
      <c r="B64">
        <v>82603</v>
      </c>
      <c r="C64" s="1">
        <v>0</v>
      </c>
      <c r="D64" t="s">
        <v>25</v>
      </c>
      <c r="E64" s="7">
        <v>0.66</v>
      </c>
      <c r="F64" s="2">
        <v>0.03</v>
      </c>
      <c r="G64" s="7">
        <v>0.59</v>
      </c>
      <c r="H64" s="9" t="s">
        <v>27</v>
      </c>
      <c r="I64">
        <v>0.66</v>
      </c>
      <c r="J64">
        <v>0.03</v>
      </c>
      <c r="K64">
        <v>0.22</v>
      </c>
      <c r="L64">
        <v>0.23</v>
      </c>
      <c r="M64">
        <v>0.67</v>
      </c>
      <c r="N64">
        <v>0.02</v>
      </c>
      <c r="O64">
        <v>0.1</v>
      </c>
      <c r="P64">
        <v>0.8</v>
      </c>
      <c r="Q64">
        <v>0.18</v>
      </c>
      <c r="R64" s="2">
        <v>0.65</v>
      </c>
      <c r="S64" t="str">
        <f>IF(Table1[[#This Row],[Years_Experience]]&lt;=5,"Early Career",
IF(Table1[[#This Row],[Years_Experience]]&lt;=15,"Mid Career","Senior Level"))</f>
        <v>Early Career</v>
      </c>
      <c r="T64" t="str">
        <f>IF(Table1[[#This Row],[AI_Exposure_Index]]&gt;=0.7,"High Exposure", IF(Table1[[#This Row],[AI_Exposure_Index]]&gt;=0.3,"Medium Exposure","Low Exposure"))</f>
        <v>Low Exposure</v>
      </c>
    </row>
    <row r="65" spans="1:20" x14ac:dyDescent="0.25">
      <c r="A65" t="s">
        <v>18</v>
      </c>
      <c r="B65">
        <v>131358</v>
      </c>
      <c r="C65" s="1">
        <v>7</v>
      </c>
      <c r="D65" t="s">
        <v>38</v>
      </c>
      <c r="E65" s="7">
        <v>0.74</v>
      </c>
      <c r="F65" s="2">
        <v>0.1</v>
      </c>
      <c r="G65" s="7">
        <v>0.88</v>
      </c>
      <c r="H65" s="9" t="s">
        <v>20</v>
      </c>
      <c r="I65">
        <v>0.86</v>
      </c>
      <c r="J65">
        <v>0.83</v>
      </c>
      <c r="K65">
        <v>0.4</v>
      </c>
      <c r="L65">
        <v>0.67</v>
      </c>
      <c r="M65">
        <v>0.2</v>
      </c>
      <c r="N65">
        <v>0.28999999999999998</v>
      </c>
      <c r="O65">
        <v>0.9</v>
      </c>
      <c r="P65">
        <v>0.01</v>
      </c>
      <c r="Q65">
        <v>0.09</v>
      </c>
      <c r="R65" s="2">
        <v>0.21</v>
      </c>
      <c r="S65" t="str">
        <f>IF(Table1[[#This Row],[Years_Experience]]&lt;=5,"Early Career",
IF(Table1[[#This Row],[Years_Experience]]&lt;=15,"Mid Career","Senior Level"))</f>
        <v>Mid Career</v>
      </c>
      <c r="T65" t="str">
        <f>IF(Table1[[#This Row],[AI_Exposure_Index]]&gt;=0.7,"High Exposure", IF(Table1[[#This Row],[AI_Exposure_Index]]&gt;=0.3,"Medium Exposure","Low Exposure"))</f>
        <v>Low Exposure</v>
      </c>
    </row>
    <row r="66" spans="1:20" x14ac:dyDescent="0.25">
      <c r="A66" t="s">
        <v>18</v>
      </c>
      <c r="B66">
        <v>83394</v>
      </c>
      <c r="C66" s="1">
        <v>15</v>
      </c>
      <c r="D66" t="s">
        <v>25</v>
      </c>
      <c r="E66" s="7">
        <v>1.08</v>
      </c>
      <c r="F66" s="2">
        <v>0.18</v>
      </c>
      <c r="G66" s="7">
        <v>0.81</v>
      </c>
      <c r="H66" s="9" t="s">
        <v>20</v>
      </c>
      <c r="I66">
        <v>0.89</v>
      </c>
      <c r="J66">
        <v>0.82</v>
      </c>
      <c r="K66">
        <v>0.34</v>
      </c>
      <c r="L66">
        <v>0.26</v>
      </c>
      <c r="M66">
        <v>0.38</v>
      </c>
      <c r="N66">
        <v>0.59</v>
      </c>
      <c r="O66">
        <v>0.27</v>
      </c>
      <c r="P66">
        <v>0.62</v>
      </c>
      <c r="Q66">
        <v>0.41</v>
      </c>
      <c r="R66" s="2">
        <v>0.55000000000000004</v>
      </c>
      <c r="S66" t="str">
        <f>IF(Table1[[#This Row],[Years_Experience]]&lt;=5,"Early Career",
IF(Table1[[#This Row],[Years_Experience]]&lt;=15,"Mid Career","Senior Level"))</f>
        <v>Mid Career</v>
      </c>
      <c r="T66" t="str">
        <f>IF(Table1[[#This Row],[AI_Exposure_Index]]&gt;=0.7,"High Exposure", IF(Table1[[#This Row],[AI_Exposure_Index]]&gt;=0.3,"Medium Exposure","Low Exposure"))</f>
        <v>Low Exposure</v>
      </c>
    </row>
    <row r="67" spans="1:20" x14ac:dyDescent="0.25">
      <c r="A67" t="s">
        <v>43</v>
      </c>
      <c r="B67">
        <v>92516</v>
      </c>
      <c r="C67" s="1">
        <v>11</v>
      </c>
      <c r="D67" t="s">
        <v>38</v>
      </c>
      <c r="E67" s="7">
        <v>1.47</v>
      </c>
      <c r="F67" s="2">
        <v>0.22</v>
      </c>
      <c r="G67" s="7">
        <v>0.24</v>
      </c>
      <c r="H67" s="9" t="s">
        <v>23</v>
      </c>
      <c r="I67">
        <v>0.11</v>
      </c>
      <c r="J67">
        <v>0.56999999999999995</v>
      </c>
      <c r="K67">
        <v>0.99</v>
      </c>
      <c r="L67">
        <v>0.47</v>
      </c>
      <c r="M67">
        <v>0.18</v>
      </c>
      <c r="N67">
        <v>0.48</v>
      </c>
      <c r="O67">
        <v>0.51</v>
      </c>
      <c r="P67">
        <v>0.74</v>
      </c>
      <c r="Q67">
        <v>0.7</v>
      </c>
      <c r="R67" s="2">
        <v>0.4</v>
      </c>
      <c r="S67" t="str">
        <f>IF(Table1[[#This Row],[Years_Experience]]&lt;=5,"Early Career",
IF(Table1[[#This Row],[Years_Experience]]&lt;=15,"Mid Career","Senior Level"))</f>
        <v>Mid Career</v>
      </c>
      <c r="T67" t="str">
        <f>IF(Table1[[#This Row],[AI_Exposure_Index]]&gt;=0.7,"High Exposure", IF(Table1[[#This Row],[AI_Exposure_Index]]&gt;=0.3,"Medium Exposure","Low Exposure"))</f>
        <v>Low Exposure</v>
      </c>
    </row>
    <row r="68" spans="1:20" x14ac:dyDescent="0.25">
      <c r="A68" t="s">
        <v>37</v>
      </c>
      <c r="B68">
        <v>53752</v>
      </c>
      <c r="C68" s="1">
        <v>21</v>
      </c>
      <c r="D68" t="s">
        <v>19</v>
      </c>
      <c r="E68" s="7">
        <v>0.92</v>
      </c>
      <c r="F68" s="2">
        <v>0.65</v>
      </c>
      <c r="G68" s="7">
        <v>0.35</v>
      </c>
      <c r="H68" s="9" t="s">
        <v>27</v>
      </c>
      <c r="I68">
        <v>0.9</v>
      </c>
      <c r="J68">
        <v>0.69</v>
      </c>
      <c r="K68">
        <v>0.68</v>
      </c>
      <c r="L68">
        <v>0.82</v>
      </c>
      <c r="M68">
        <v>0.53</v>
      </c>
      <c r="N68">
        <v>0.82</v>
      </c>
      <c r="O68">
        <v>0.5</v>
      </c>
      <c r="P68">
        <v>7.0000000000000007E-2</v>
      </c>
      <c r="Q68">
        <v>0.41</v>
      </c>
      <c r="R68" s="2">
        <v>0.5</v>
      </c>
      <c r="S68" t="str">
        <f>IF(Table1[[#This Row],[Years_Experience]]&lt;=5,"Early Career",
IF(Table1[[#This Row],[Years_Experience]]&lt;=15,"Mid Career","Senior Level"))</f>
        <v>Senior Level</v>
      </c>
      <c r="T68" t="str">
        <f>IF(Table1[[#This Row],[AI_Exposure_Index]]&gt;=0.7,"High Exposure", IF(Table1[[#This Row],[AI_Exposure_Index]]&gt;=0.3,"Medium Exposure","Low Exposure"))</f>
        <v>Medium Exposure</v>
      </c>
    </row>
    <row r="69" spans="1:20" x14ac:dyDescent="0.25">
      <c r="A69" t="s">
        <v>29</v>
      </c>
      <c r="B69">
        <v>108411</v>
      </c>
      <c r="C69" s="1">
        <v>22</v>
      </c>
      <c r="D69" t="s">
        <v>22</v>
      </c>
      <c r="E69" s="7">
        <v>0.64</v>
      </c>
      <c r="F69" s="2">
        <v>0.11</v>
      </c>
      <c r="G69" s="7">
        <v>0.12</v>
      </c>
      <c r="H69" s="9" t="s">
        <v>23</v>
      </c>
      <c r="I69">
        <v>0.27</v>
      </c>
      <c r="J69">
        <v>0.73</v>
      </c>
      <c r="K69">
        <v>0.25</v>
      </c>
      <c r="L69">
        <v>0.63</v>
      </c>
      <c r="M69">
        <v>0.49</v>
      </c>
      <c r="N69">
        <v>0.56999999999999995</v>
      </c>
      <c r="O69">
        <v>0.84</v>
      </c>
      <c r="P69">
        <v>0.4</v>
      </c>
      <c r="Q69">
        <v>0.77</v>
      </c>
      <c r="R69" s="2">
        <v>0.42</v>
      </c>
      <c r="S69" t="str">
        <f>IF(Table1[[#This Row],[Years_Experience]]&lt;=5,"Early Career",
IF(Table1[[#This Row],[Years_Experience]]&lt;=15,"Mid Career","Senior Level"))</f>
        <v>Senior Level</v>
      </c>
      <c r="T69" t="str">
        <f>IF(Table1[[#This Row],[AI_Exposure_Index]]&gt;=0.7,"High Exposure", IF(Table1[[#This Row],[AI_Exposure_Index]]&gt;=0.3,"Medium Exposure","Low Exposure"))</f>
        <v>Low Exposure</v>
      </c>
    </row>
    <row r="70" spans="1:20" x14ac:dyDescent="0.25">
      <c r="A70" t="s">
        <v>42</v>
      </c>
      <c r="B70">
        <v>116145</v>
      </c>
      <c r="C70" s="1">
        <v>27</v>
      </c>
      <c r="D70" t="s">
        <v>19</v>
      </c>
      <c r="E70" s="7">
        <v>0.68</v>
      </c>
      <c r="F70" s="2">
        <v>0.96</v>
      </c>
      <c r="G70" s="7">
        <v>0.34</v>
      </c>
      <c r="H70" s="9" t="s">
        <v>27</v>
      </c>
      <c r="I70">
        <v>0.77</v>
      </c>
      <c r="J70">
        <v>7.0000000000000007E-2</v>
      </c>
      <c r="K70">
        <v>0.84</v>
      </c>
      <c r="L70">
        <v>0.44</v>
      </c>
      <c r="M70">
        <v>0.92</v>
      </c>
      <c r="N70">
        <v>0.72</v>
      </c>
      <c r="O70">
        <v>0.61</v>
      </c>
      <c r="P70">
        <v>0.95</v>
      </c>
      <c r="Q70">
        <v>0.4</v>
      </c>
      <c r="R70" s="2">
        <v>0.95</v>
      </c>
      <c r="S70" t="str">
        <f>IF(Table1[[#This Row],[Years_Experience]]&lt;=5,"Early Career",
IF(Table1[[#This Row],[Years_Experience]]&lt;=15,"Mid Career","Senior Level"))</f>
        <v>Senior Level</v>
      </c>
      <c r="T70" t="str">
        <f>IF(Table1[[#This Row],[AI_Exposure_Index]]&gt;=0.7,"High Exposure", IF(Table1[[#This Row],[AI_Exposure_Index]]&gt;=0.3,"Medium Exposure","Low Exposure"))</f>
        <v>High Exposure</v>
      </c>
    </row>
    <row r="71" spans="1:20" x14ac:dyDescent="0.25">
      <c r="A71" t="s">
        <v>36</v>
      </c>
      <c r="B71">
        <v>124613</v>
      </c>
      <c r="C71" s="1">
        <v>4</v>
      </c>
      <c r="D71" t="s">
        <v>25</v>
      </c>
      <c r="E71" s="7">
        <v>0.77</v>
      </c>
      <c r="F71" s="2">
        <v>0.48</v>
      </c>
      <c r="G71" s="7">
        <v>0.52</v>
      </c>
      <c r="H71" s="9" t="s">
        <v>27</v>
      </c>
      <c r="I71">
        <v>0.16</v>
      </c>
      <c r="J71">
        <v>0.84</v>
      </c>
      <c r="K71">
        <v>0.85</v>
      </c>
      <c r="L71">
        <v>0.96</v>
      </c>
      <c r="M71">
        <v>0.15</v>
      </c>
      <c r="N71">
        <v>0.62</v>
      </c>
      <c r="O71">
        <v>0.47</v>
      </c>
      <c r="P71">
        <v>0.34</v>
      </c>
      <c r="Q71">
        <v>0.35</v>
      </c>
      <c r="R71" s="2">
        <v>0.41</v>
      </c>
      <c r="S71" t="str">
        <f>IF(Table1[[#This Row],[Years_Experience]]&lt;=5,"Early Career",
IF(Table1[[#This Row],[Years_Experience]]&lt;=15,"Mid Career","Senior Level"))</f>
        <v>Early Career</v>
      </c>
      <c r="T71" t="str">
        <f>IF(Table1[[#This Row],[AI_Exposure_Index]]&gt;=0.7,"High Exposure", IF(Table1[[#This Row],[AI_Exposure_Index]]&gt;=0.3,"Medium Exposure","Low Exposure"))</f>
        <v>Medium Exposure</v>
      </c>
    </row>
    <row r="72" spans="1:20" x14ac:dyDescent="0.25">
      <c r="A72" t="s">
        <v>44</v>
      </c>
      <c r="B72">
        <v>30060</v>
      </c>
      <c r="C72" s="1">
        <v>10</v>
      </c>
      <c r="D72" t="s">
        <v>22</v>
      </c>
      <c r="E72" s="7">
        <v>0.96</v>
      </c>
      <c r="F72" s="2">
        <v>0.6</v>
      </c>
      <c r="G72" s="7">
        <v>0.33</v>
      </c>
      <c r="H72" s="9" t="s">
        <v>27</v>
      </c>
      <c r="I72">
        <v>0.08</v>
      </c>
      <c r="J72">
        <v>0</v>
      </c>
      <c r="K72">
        <v>0.97</v>
      </c>
      <c r="L72">
        <v>0.01</v>
      </c>
      <c r="M72">
        <v>0.1</v>
      </c>
      <c r="N72">
        <v>0.31</v>
      </c>
      <c r="O72">
        <v>0.81</v>
      </c>
      <c r="P72">
        <v>0.96</v>
      </c>
      <c r="Q72">
        <v>0.79</v>
      </c>
      <c r="R72" s="2">
        <v>0.69</v>
      </c>
      <c r="S72" t="str">
        <f>IF(Table1[[#This Row],[Years_Experience]]&lt;=5,"Early Career",
IF(Table1[[#This Row],[Years_Experience]]&lt;=15,"Mid Career","Senior Level"))</f>
        <v>Mid Career</v>
      </c>
      <c r="T72" t="str">
        <f>IF(Table1[[#This Row],[AI_Exposure_Index]]&gt;=0.7,"High Exposure", IF(Table1[[#This Row],[AI_Exposure_Index]]&gt;=0.3,"Medium Exposure","Low Exposure"))</f>
        <v>Medium Exposure</v>
      </c>
    </row>
    <row r="73" spans="1:20" x14ac:dyDescent="0.25">
      <c r="A73" t="s">
        <v>44</v>
      </c>
      <c r="B73">
        <v>87134</v>
      </c>
      <c r="C73" s="1">
        <v>11</v>
      </c>
      <c r="D73" t="s">
        <v>25</v>
      </c>
      <c r="E73" s="7">
        <v>1.37</v>
      </c>
      <c r="F73" s="2">
        <v>0.54</v>
      </c>
      <c r="G73" s="7">
        <v>0.59</v>
      </c>
      <c r="H73" s="9" t="s">
        <v>27</v>
      </c>
      <c r="I73">
        <v>0.81</v>
      </c>
      <c r="J73">
        <v>0.66</v>
      </c>
      <c r="K73">
        <v>0.69</v>
      </c>
      <c r="L73">
        <v>0.85</v>
      </c>
      <c r="M73">
        <v>0.25</v>
      </c>
      <c r="N73">
        <v>0.49</v>
      </c>
      <c r="O73">
        <v>0.22</v>
      </c>
      <c r="P73">
        <v>0.99</v>
      </c>
      <c r="Q73">
        <v>0.94</v>
      </c>
      <c r="R73" s="2">
        <v>0.04</v>
      </c>
      <c r="S73" t="str">
        <f>IF(Table1[[#This Row],[Years_Experience]]&lt;=5,"Early Career",
IF(Table1[[#This Row],[Years_Experience]]&lt;=15,"Mid Career","Senior Level"))</f>
        <v>Mid Career</v>
      </c>
      <c r="T73" t="str">
        <f>IF(Table1[[#This Row],[AI_Exposure_Index]]&gt;=0.7,"High Exposure", IF(Table1[[#This Row],[AI_Exposure_Index]]&gt;=0.3,"Medium Exposure","Low Exposure"))</f>
        <v>Medium Exposure</v>
      </c>
    </row>
    <row r="74" spans="1:20" x14ac:dyDescent="0.25">
      <c r="A74" t="s">
        <v>24</v>
      </c>
      <c r="B74">
        <v>67641</v>
      </c>
      <c r="C74" s="1">
        <v>15</v>
      </c>
      <c r="D74" t="s">
        <v>22</v>
      </c>
      <c r="E74" s="7">
        <v>0.68</v>
      </c>
      <c r="F74" s="2">
        <v>0.93</v>
      </c>
      <c r="G74" s="7">
        <v>0.84</v>
      </c>
      <c r="H74" s="9" t="s">
        <v>20</v>
      </c>
      <c r="I74">
        <v>0.92</v>
      </c>
      <c r="J74">
        <v>0.03</v>
      </c>
      <c r="K74">
        <v>0.7</v>
      </c>
      <c r="L74">
        <v>0.3</v>
      </c>
      <c r="M74">
        <v>0.92</v>
      </c>
      <c r="N74">
        <v>0.97</v>
      </c>
      <c r="O74">
        <v>0.94</v>
      </c>
      <c r="P74">
        <v>0.47</v>
      </c>
      <c r="Q74">
        <v>0.86</v>
      </c>
      <c r="R74" s="2">
        <v>0.84</v>
      </c>
      <c r="S74" t="str">
        <f>IF(Table1[[#This Row],[Years_Experience]]&lt;=5,"Early Career",
IF(Table1[[#This Row],[Years_Experience]]&lt;=15,"Mid Career","Senior Level"))</f>
        <v>Mid Career</v>
      </c>
      <c r="T74" t="str">
        <f>IF(Table1[[#This Row],[AI_Exposure_Index]]&gt;=0.7,"High Exposure", IF(Table1[[#This Row],[AI_Exposure_Index]]&gt;=0.3,"Medium Exposure","Low Exposure"))</f>
        <v>High Exposure</v>
      </c>
    </row>
    <row r="75" spans="1:20" x14ac:dyDescent="0.25">
      <c r="A75" t="s">
        <v>21</v>
      </c>
      <c r="B75">
        <v>67265</v>
      </c>
      <c r="C75" s="1">
        <v>26</v>
      </c>
      <c r="D75" t="s">
        <v>19</v>
      </c>
      <c r="E75" s="7">
        <v>0.54</v>
      </c>
      <c r="F75" s="2">
        <v>0.83</v>
      </c>
      <c r="G75" s="7">
        <v>0.2</v>
      </c>
      <c r="H75" s="9" t="s">
        <v>23</v>
      </c>
      <c r="I75">
        <v>0.23</v>
      </c>
      <c r="J75">
        <v>0.12</v>
      </c>
      <c r="K75">
        <v>0.08</v>
      </c>
      <c r="L75">
        <v>0.7</v>
      </c>
      <c r="M75">
        <v>0.34</v>
      </c>
      <c r="N75">
        <v>0.72</v>
      </c>
      <c r="O75">
        <v>7.0000000000000007E-2</v>
      </c>
      <c r="P75">
        <v>0.32</v>
      </c>
      <c r="Q75">
        <v>0.54</v>
      </c>
      <c r="R75" s="2">
        <v>0.79</v>
      </c>
      <c r="S75" t="str">
        <f>IF(Table1[[#This Row],[Years_Experience]]&lt;=5,"Early Career",
IF(Table1[[#This Row],[Years_Experience]]&lt;=15,"Mid Career","Senior Level"))</f>
        <v>Senior Level</v>
      </c>
      <c r="T75" t="str">
        <f>IF(Table1[[#This Row],[AI_Exposure_Index]]&gt;=0.7,"High Exposure", IF(Table1[[#This Row],[AI_Exposure_Index]]&gt;=0.3,"Medium Exposure","Low Exposure"))</f>
        <v>High Exposure</v>
      </c>
    </row>
    <row r="76" spans="1:20" x14ac:dyDescent="0.25">
      <c r="A76" t="s">
        <v>33</v>
      </c>
      <c r="B76">
        <v>145608</v>
      </c>
      <c r="C76" s="1">
        <v>12</v>
      </c>
      <c r="D76" t="s">
        <v>19</v>
      </c>
      <c r="E76" s="7">
        <v>1.39</v>
      </c>
      <c r="F76" s="2">
        <v>0.63</v>
      </c>
      <c r="G76" s="7">
        <v>0.85</v>
      </c>
      <c r="H76" s="9" t="s">
        <v>20</v>
      </c>
      <c r="I76">
        <v>0.23</v>
      </c>
      <c r="J76">
        <v>0.02</v>
      </c>
      <c r="K76">
        <v>0.87</v>
      </c>
      <c r="L76">
        <v>0.02</v>
      </c>
      <c r="M76">
        <v>0.87</v>
      </c>
      <c r="N76">
        <v>0.53</v>
      </c>
      <c r="O76">
        <v>0.94</v>
      </c>
      <c r="P76">
        <v>0.8</v>
      </c>
      <c r="Q76">
        <v>1</v>
      </c>
      <c r="R76" s="2">
        <v>0.35</v>
      </c>
      <c r="S76" t="str">
        <f>IF(Table1[[#This Row],[Years_Experience]]&lt;=5,"Early Career",
IF(Table1[[#This Row],[Years_Experience]]&lt;=15,"Mid Career","Senior Level"))</f>
        <v>Mid Career</v>
      </c>
      <c r="T76" t="str">
        <f>IF(Table1[[#This Row],[AI_Exposure_Index]]&gt;=0.7,"High Exposure", IF(Table1[[#This Row],[AI_Exposure_Index]]&gt;=0.3,"Medium Exposure","Low Exposure"))</f>
        <v>Medium Exposure</v>
      </c>
    </row>
    <row r="77" spans="1:20" x14ac:dyDescent="0.25">
      <c r="A77" t="s">
        <v>30</v>
      </c>
      <c r="B77">
        <v>59629</v>
      </c>
      <c r="C77" s="1">
        <v>16</v>
      </c>
      <c r="D77" t="s">
        <v>25</v>
      </c>
      <c r="E77" s="7">
        <v>0.98</v>
      </c>
      <c r="F77" s="2">
        <v>0.4</v>
      </c>
      <c r="G77" s="7">
        <v>0.55000000000000004</v>
      </c>
      <c r="H77" s="9" t="s">
        <v>27</v>
      </c>
      <c r="I77">
        <v>0.87</v>
      </c>
      <c r="J77">
        <v>0.98</v>
      </c>
      <c r="K77">
        <v>0.77</v>
      </c>
      <c r="L77">
        <v>0.42</v>
      </c>
      <c r="M77">
        <v>0.42</v>
      </c>
      <c r="N77">
        <v>0.74</v>
      </c>
      <c r="O77">
        <v>0.24</v>
      </c>
      <c r="P77">
        <v>0.11</v>
      </c>
      <c r="Q77">
        <v>0.35</v>
      </c>
      <c r="R77" s="2">
        <v>0.28999999999999998</v>
      </c>
      <c r="S77" t="str">
        <f>IF(Table1[[#This Row],[Years_Experience]]&lt;=5,"Early Career",
IF(Table1[[#This Row],[Years_Experience]]&lt;=15,"Mid Career","Senior Level"))</f>
        <v>Senior Level</v>
      </c>
      <c r="T77" t="str">
        <f>IF(Table1[[#This Row],[AI_Exposure_Index]]&gt;=0.7,"High Exposure", IF(Table1[[#This Row],[AI_Exposure_Index]]&gt;=0.3,"Medium Exposure","Low Exposure"))</f>
        <v>Medium Exposure</v>
      </c>
    </row>
    <row r="78" spans="1:20" x14ac:dyDescent="0.25">
      <c r="A78" t="s">
        <v>36</v>
      </c>
      <c r="B78">
        <v>85619</v>
      </c>
      <c r="C78" s="1">
        <v>17</v>
      </c>
      <c r="D78" t="s">
        <v>38</v>
      </c>
      <c r="E78" s="7">
        <v>0.54</v>
      </c>
      <c r="F78" s="2">
        <v>0.23</v>
      </c>
      <c r="G78" s="7">
        <v>0.31</v>
      </c>
      <c r="H78" s="9" t="s">
        <v>27</v>
      </c>
      <c r="I78">
        <v>0.99</v>
      </c>
      <c r="J78">
        <v>0.43</v>
      </c>
      <c r="K78">
        <v>0.38</v>
      </c>
      <c r="L78">
        <v>0.68</v>
      </c>
      <c r="M78">
        <v>0.22</v>
      </c>
      <c r="N78">
        <v>0.95</v>
      </c>
      <c r="O78">
        <v>0.79</v>
      </c>
      <c r="P78">
        <v>0.09</v>
      </c>
      <c r="Q78">
        <v>0.42</v>
      </c>
      <c r="R78" s="2">
        <v>0.88</v>
      </c>
      <c r="S78" t="str">
        <f>IF(Table1[[#This Row],[Years_Experience]]&lt;=5,"Early Career",
IF(Table1[[#This Row],[Years_Experience]]&lt;=15,"Mid Career","Senior Level"))</f>
        <v>Senior Level</v>
      </c>
      <c r="T78" t="str">
        <f>IF(Table1[[#This Row],[AI_Exposure_Index]]&gt;=0.7,"High Exposure", IF(Table1[[#This Row],[AI_Exposure_Index]]&gt;=0.3,"Medium Exposure","Low Exposure"))</f>
        <v>Low Exposure</v>
      </c>
    </row>
    <row r="79" spans="1:20" x14ac:dyDescent="0.25">
      <c r="A79" t="s">
        <v>26</v>
      </c>
      <c r="B79">
        <v>136506</v>
      </c>
      <c r="C79" s="1">
        <v>29</v>
      </c>
      <c r="D79" t="s">
        <v>22</v>
      </c>
      <c r="E79" s="7">
        <v>0.67</v>
      </c>
      <c r="F79" s="2">
        <v>0.61</v>
      </c>
      <c r="G79" s="7">
        <v>0.7</v>
      </c>
      <c r="H79" s="9" t="s">
        <v>27</v>
      </c>
      <c r="I79">
        <v>0.23</v>
      </c>
      <c r="J79">
        <v>0.94</v>
      </c>
      <c r="K79">
        <v>0.65</v>
      </c>
      <c r="L79">
        <v>0.61</v>
      </c>
      <c r="M79">
        <v>0.51</v>
      </c>
      <c r="N79">
        <v>0.23</v>
      </c>
      <c r="O79">
        <v>0.18</v>
      </c>
      <c r="P79">
        <v>0.22</v>
      </c>
      <c r="Q79">
        <v>0.19</v>
      </c>
      <c r="R79" s="2">
        <v>0.78</v>
      </c>
      <c r="S79" t="str">
        <f>IF(Table1[[#This Row],[Years_Experience]]&lt;=5,"Early Career",
IF(Table1[[#This Row],[Years_Experience]]&lt;=15,"Mid Career","Senior Level"))</f>
        <v>Senior Level</v>
      </c>
      <c r="T79" t="str">
        <f>IF(Table1[[#This Row],[AI_Exposure_Index]]&gt;=0.7,"High Exposure", IF(Table1[[#This Row],[AI_Exposure_Index]]&gt;=0.3,"Medium Exposure","Low Exposure"))</f>
        <v>Medium Exposure</v>
      </c>
    </row>
    <row r="80" spans="1:20" x14ac:dyDescent="0.25">
      <c r="A80" t="s">
        <v>21</v>
      </c>
      <c r="B80">
        <v>148533</v>
      </c>
      <c r="C80" s="1">
        <v>4</v>
      </c>
      <c r="D80" t="s">
        <v>25</v>
      </c>
      <c r="E80" s="7">
        <v>1.47</v>
      </c>
      <c r="F80" s="2">
        <v>0.06</v>
      </c>
      <c r="G80" s="7">
        <v>0.27</v>
      </c>
      <c r="H80" s="9" t="s">
        <v>23</v>
      </c>
      <c r="I80">
        <v>0.93</v>
      </c>
      <c r="J80">
        <v>0.99</v>
      </c>
      <c r="K80">
        <v>0.17</v>
      </c>
      <c r="L80">
        <v>0.4</v>
      </c>
      <c r="M80">
        <v>0.76</v>
      </c>
      <c r="N80">
        <v>0.7</v>
      </c>
      <c r="O80">
        <v>0.15</v>
      </c>
      <c r="P80">
        <v>0.82</v>
      </c>
      <c r="Q80">
        <v>0.22</v>
      </c>
      <c r="R80" s="2">
        <v>0.22</v>
      </c>
      <c r="S80" t="str">
        <f>IF(Table1[[#This Row],[Years_Experience]]&lt;=5,"Early Career",
IF(Table1[[#This Row],[Years_Experience]]&lt;=15,"Mid Career","Senior Level"))</f>
        <v>Early Career</v>
      </c>
      <c r="T80" t="str">
        <f>IF(Table1[[#This Row],[AI_Exposure_Index]]&gt;=0.7,"High Exposure", IF(Table1[[#This Row],[AI_Exposure_Index]]&gt;=0.3,"Medium Exposure","Low Exposure"))</f>
        <v>Low Exposure</v>
      </c>
    </row>
    <row r="81" spans="1:20" x14ac:dyDescent="0.25">
      <c r="A81" t="s">
        <v>28</v>
      </c>
      <c r="B81">
        <v>105758</v>
      </c>
      <c r="C81" s="1">
        <v>24</v>
      </c>
      <c r="D81" t="s">
        <v>38</v>
      </c>
      <c r="E81" s="7">
        <v>1.08</v>
      </c>
      <c r="F81" s="2">
        <v>0.59</v>
      </c>
      <c r="G81" s="7">
        <v>0.34</v>
      </c>
      <c r="H81" s="9" t="s">
        <v>27</v>
      </c>
      <c r="I81">
        <v>0.88</v>
      </c>
      <c r="J81">
        <v>0.27</v>
      </c>
      <c r="K81">
        <v>0.13</v>
      </c>
      <c r="L81">
        <v>0.89</v>
      </c>
      <c r="M81">
        <v>0.96</v>
      </c>
      <c r="N81">
        <v>0.86</v>
      </c>
      <c r="O81">
        <v>0.81</v>
      </c>
      <c r="P81">
        <v>0.66</v>
      </c>
      <c r="Q81">
        <v>0.55000000000000004</v>
      </c>
      <c r="R81" s="2">
        <v>0.09</v>
      </c>
      <c r="S81" t="str">
        <f>IF(Table1[[#This Row],[Years_Experience]]&lt;=5,"Early Career",
IF(Table1[[#This Row],[Years_Experience]]&lt;=15,"Mid Career","Senior Level"))</f>
        <v>Senior Level</v>
      </c>
      <c r="T81" t="str">
        <f>IF(Table1[[#This Row],[AI_Exposure_Index]]&gt;=0.7,"High Exposure", IF(Table1[[#This Row],[AI_Exposure_Index]]&gt;=0.3,"Medium Exposure","Low Exposure"))</f>
        <v>Medium Exposure</v>
      </c>
    </row>
    <row r="82" spans="1:20" x14ac:dyDescent="0.25">
      <c r="A82" t="s">
        <v>44</v>
      </c>
      <c r="B82">
        <v>55559</v>
      </c>
      <c r="C82" s="1">
        <v>27</v>
      </c>
      <c r="D82" t="s">
        <v>19</v>
      </c>
      <c r="E82" s="7">
        <v>0.76</v>
      </c>
      <c r="F82" s="2">
        <v>0.37</v>
      </c>
      <c r="G82" s="7">
        <v>0.59</v>
      </c>
      <c r="H82" s="9" t="s">
        <v>27</v>
      </c>
      <c r="I82">
        <v>0.5</v>
      </c>
      <c r="J82">
        <v>0.08</v>
      </c>
      <c r="K82">
        <v>0.22</v>
      </c>
      <c r="L82">
        <v>0.68</v>
      </c>
      <c r="M82">
        <v>0.08</v>
      </c>
      <c r="N82">
        <v>0.85</v>
      </c>
      <c r="O82">
        <v>0.5</v>
      </c>
      <c r="P82">
        <v>0.48</v>
      </c>
      <c r="Q82">
        <v>0.59</v>
      </c>
      <c r="R82" s="2">
        <v>0.82</v>
      </c>
      <c r="S82" t="str">
        <f>IF(Table1[[#This Row],[Years_Experience]]&lt;=5,"Early Career",
IF(Table1[[#This Row],[Years_Experience]]&lt;=15,"Mid Career","Senior Level"))</f>
        <v>Senior Level</v>
      </c>
      <c r="T82" t="str">
        <f>IF(Table1[[#This Row],[AI_Exposure_Index]]&gt;=0.7,"High Exposure", IF(Table1[[#This Row],[AI_Exposure_Index]]&gt;=0.3,"Medium Exposure","Low Exposure"))</f>
        <v>Medium Exposure</v>
      </c>
    </row>
    <row r="83" spans="1:20" x14ac:dyDescent="0.25">
      <c r="A83" t="s">
        <v>28</v>
      </c>
      <c r="B83">
        <v>31591</v>
      </c>
      <c r="C83" s="1">
        <v>7</v>
      </c>
      <c r="D83" t="s">
        <v>19</v>
      </c>
      <c r="E83" s="7">
        <v>1.07</v>
      </c>
      <c r="F83" s="2">
        <v>0.68</v>
      </c>
      <c r="G83" s="7">
        <v>0.41</v>
      </c>
      <c r="H83" s="9" t="s">
        <v>27</v>
      </c>
      <c r="I83">
        <v>0.88</v>
      </c>
      <c r="J83">
        <v>0.8</v>
      </c>
      <c r="K83">
        <v>0.66</v>
      </c>
      <c r="L83">
        <v>0.85</v>
      </c>
      <c r="M83">
        <v>0.87</v>
      </c>
      <c r="N83">
        <v>0.71</v>
      </c>
      <c r="O83">
        <v>0.84</v>
      </c>
      <c r="P83">
        <v>0.7</v>
      </c>
      <c r="Q83">
        <v>0.68</v>
      </c>
      <c r="R83" s="2">
        <v>0.62</v>
      </c>
      <c r="S83" t="str">
        <f>IF(Table1[[#This Row],[Years_Experience]]&lt;=5,"Early Career",
IF(Table1[[#This Row],[Years_Experience]]&lt;=15,"Mid Career","Senior Level"))</f>
        <v>Mid Career</v>
      </c>
      <c r="T83" t="str">
        <f>IF(Table1[[#This Row],[AI_Exposure_Index]]&gt;=0.7,"High Exposure", IF(Table1[[#This Row],[AI_Exposure_Index]]&gt;=0.3,"Medium Exposure","Low Exposure"))</f>
        <v>Medium Exposure</v>
      </c>
    </row>
    <row r="84" spans="1:20" x14ac:dyDescent="0.25">
      <c r="A84" t="s">
        <v>28</v>
      </c>
      <c r="B84">
        <v>32469</v>
      </c>
      <c r="C84" s="1">
        <v>27</v>
      </c>
      <c r="D84" t="s">
        <v>19</v>
      </c>
      <c r="E84" s="7">
        <v>1.38</v>
      </c>
      <c r="F84" s="2">
        <v>0.16</v>
      </c>
      <c r="G84" s="7">
        <v>0.65</v>
      </c>
      <c r="H84" s="9" t="s">
        <v>27</v>
      </c>
      <c r="I84">
        <v>0.03</v>
      </c>
      <c r="J84">
        <v>0.83</v>
      </c>
      <c r="K84">
        <v>0.13</v>
      </c>
      <c r="L84">
        <v>0.34</v>
      </c>
      <c r="M84">
        <v>0.74</v>
      </c>
      <c r="N84">
        <v>0.16</v>
      </c>
      <c r="O84">
        <v>0.82</v>
      </c>
      <c r="P84">
        <v>0.83</v>
      </c>
      <c r="Q84">
        <v>0.51</v>
      </c>
      <c r="R84" s="2">
        <v>0.01</v>
      </c>
      <c r="S84" t="str">
        <f>IF(Table1[[#This Row],[Years_Experience]]&lt;=5,"Early Career",
IF(Table1[[#This Row],[Years_Experience]]&lt;=15,"Mid Career","Senior Level"))</f>
        <v>Senior Level</v>
      </c>
      <c r="T84" t="str">
        <f>IF(Table1[[#This Row],[AI_Exposure_Index]]&gt;=0.7,"High Exposure", IF(Table1[[#This Row],[AI_Exposure_Index]]&gt;=0.3,"Medium Exposure","Low Exposure"))</f>
        <v>Low Exposure</v>
      </c>
    </row>
    <row r="85" spans="1:20" x14ac:dyDescent="0.25">
      <c r="A85" t="s">
        <v>44</v>
      </c>
      <c r="B85">
        <v>117263</v>
      </c>
      <c r="C85" s="1">
        <v>12</v>
      </c>
      <c r="D85" t="s">
        <v>38</v>
      </c>
      <c r="E85" s="7">
        <v>1.48</v>
      </c>
      <c r="F85" s="2">
        <v>0.62</v>
      </c>
      <c r="G85" s="7">
        <v>0.55000000000000004</v>
      </c>
      <c r="H85" s="9" t="s">
        <v>27</v>
      </c>
      <c r="I85">
        <v>0.26</v>
      </c>
      <c r="J85">
        <v>0.63</v>
      </c>
      <c r="K85">
        <v>0.54</v>
      </c>
      <c r="L85">
        <v>0.78</v>
      </c>
      <c r="M85">
        <v>0.11</v>
      </c>
      <c r="N85">
        <v>0.76</v>
      </c>
      <c r="O85">
        <v>0.54</v>
      </c>
      <c r="P85">
        <v>0.96</v>
      </c>
      <c r="Q85">
        <v>0.34</v>
      </c>
      <c r="R85" s="2">
        <v>0.63</v>
      </c>
      <c r="S85" t="str">
        <f>IF(Table1[[#This Row],[Years_Experience]]&lt;=5,"Early Career",
IF(Table1[[#This Row],[Years_Experience]]&lt;=15,"Mid Career","Senior Level"))</f>
        <v>Mid Career</v>
      </c>
      <c r="T85" t="str">
        <f>IF(Table1[[#This Row],[AI_Exposure_Index]]&gt;=0.7,"High Exposure", IF(Table1[[#This Row],[AI_Exposure_Index]]&gt;=0.3,"Medium Exposure","Low Exposure"))</f>
        <v>Medium Exposure</v>
      </c>
    </row>
    <row r="86" spans="1:20" x14ac:dyDescent="0.25">
      <c r="A86" t="s">
        <v>39</v>
      </c>
      <c r="B86">
        <v>121357</v>
      </c>
      <c r="C86" s="1">
        <v>4</v>
      </c>
      <c r="D86" t="s">
        <v>19</v>
      </c>
      <c r="E86" s="7">
        <v>1.44</v>
      </c>
      <c r="F86" s="2">
        <v>0.1</v>
      </c>
      <c r="G86" s="7">
        <v>0.87</v>
      </c>
      <c r="H86" s="9" t="s">
        <v>20</v>
      </c>
      <c r="I86">
        <v>7.0000000000000007E-2</v>
      </c>
      <c r="J86">
        <v>0.3</v>
      </c>
      <c r="K86">
        <v>0.71</v>
      </c>
      <c r="L86">
        <v>7.0000000000000007E-2</v>
      </c>
      <c r="M86">
        <v>0.57999999999999996</v>
      </c>
      <c r="N86">
        <v>0.35</v>
      </c>
      <c r="O86">
        <v>0.62</v>
      </c>
      <c r="P86">
        <v>0.05</v>
      </c>
      <c r="Q86">
        <v>0.87</v>
      </c>
      <c r="R86" s="2">
        <v>0.97</v>
      </c>
      <c r="S86" t="str">
        <f>IF(Table1[[#This Row],[Years_Experience]]&lt;=5,"Early Career",
IF(Table1[[#This Row],[Years_Experience]]&lt;=15,"Mid Career","Senior Level"))</f>
        <v>Early Career</v>
      </c>
      <c r="T86" t="str">
        <f>IF(Table1[[#This Row],[AI_Exposure_Index]]&gt;=0.7,"High Exposure", IF(Table1[[#This Row],[AI_Exposure_Index]]&gt;=0.3,"Medium Exposure","Low Exposure"))</f>
        <v>Low Exposure</v>
      </c>
    </row>
    <row r="87" spans="1:20" x14ac:dyDescent="0.25">
      <c r="A87" t="s">
        <v>43</v>
      </c>
      <c r="B87">
        <v>54860</v>
      </c>
      <c r="C87" s="1">
        <v>11</v>
      </c>
      <c r="D87" t="s">
        <v>25</v>
      </c>
      <c r="E87" s="7">
        <v>0.63</v>
      </c>
      <c r="F87" s="2">
        <v>0.75</v>
      </c>
      <c r="G87" s="7">
        <v>0.24</v>
      </c>
      <c r="H87" s="9" t="s">
        <v>23</v>
      </c>
      <c r="I87">
        <v>0.02</v>
      </c>
      <c r="J87">
        <v>0.02</v>
      </c>
      <c r="K87">
        <v>0.32</v>
      </c>
      <c r="L87">
        <v>0.49</v>
      </c>
      <c r="M87">
        <v>0.77</v>
      </c>
      <c r="N87">
        <v>0.68</v>
      </c>
      <c r="O87">
        <v>0.45</v>
      </c>
      <c r="P87">
        <v>0.27</v>
      </c>
      <c r="Q87">
        <v>1</v>
      </c>
      <c r="R87" s="2">
        <v>0.43</v>
      </c>
      <c r="S87" t="str">
        <f>IF(Table1[[#This Row],[Years_Experience]]&lt;=5,"Early Career",
IF(Table1[[#This Row],[Years_Experience]]&lt;=15,"Mid Career","Senior Level"))</f>
        <v>Mid Career</v>
      </c>
      <c r="T87" t="str">
        <f>IF(Table1[[#This Row],[AI_Exposure_Index]]&gt;=0.7,"High Exposure", IF(Table1[[#This Row],[AI_Exposure_Index]]&gt;=0.3,"Medium Exposure","Low Exposure"))</f>
        <v>High Exposure</v>
      </c>
    </row>
    <row r="88" spans="1:20" x14ac:dyDescent="0.25">
      <c r="A88" t="s">
        <v>39</v>
      </c>
      <c r="B88">
        <v>36540</v>
      </c>
      <c r="C88" s="1">
        <v>8</v>
      </c>
      <c r="D88" t="s">
        <v>22</v>
      </c>
      <c r="E88" s="7">
        <v>1.29</v>
      </c>
      <c r="F88" s="2">
        <v>0.16</v>
      </c>
      <c r="G88" s="7">
        <v>0.87</v>
      </c>
      <c r="H88" s="9" t="s">
        <v>20</v>
      </c>
      <c r="I88">
        <v>0.22</v>
      </c>
      <c r="J88">
        <v>0.08</v>
      </c>
      <c r="K88">
        <v>0.68</v>
      </c>
      <c r="L88">
        <v>0.65</v>
      </c>
      <c r="M88">
        <v>0.27</v>
      </c>
      <c r="N88">
        <v>0.95</v>
      </c>
      <c r="O88">
        <v>0.15</v>
      </c>
      <c r="P88">
        <v>0.43</v>
      </c>
      <c r="Q88">
        <v>0.94</v>
      </c>
      <c r="R88" s="2">
        <v>0.42</v>
      </c>
      <c r="S88" t="str">
        <f>IF(Table1[[#This Row],[Years_Experience]]&lt;=5,"Early Career",
IF(Table1[[#This Row],[Years_Experience]]&lt;=15,"Mid Career","Senior Level"))</f>
        <v>Mid Career</v>
      </c>
      <c r="T88" t="str">
        <f>IF(Table1[[#This Row],[AI_Exposure_Index]]&gt;=0.7,"High Exposure", IF(Table1[[#This Row],[AI_Exposure_Index]]&gt;=0.3,"Medium Exposure","Low Exposure"))</f>
        <v>Low Exposure</v>
      </c>
    </row>
    <row r="89" spans="1:20" x14ac:dyDescent="0.25">
      <c r="A89" t="s">
        <v>39</v>
      </c>
      <c r="B89">
        <v>58602</v>
      </c>
      <c r="C89" s="1">
        <v>19</v>
      </c>
      <c r="D89" t="s">
        <v>25</v>
      </c>
      <c r="E89" s="7">
        <v>0.77</v>
      </c>
      <c r="F89" s="2">
        <v>0.4</v>
      </c>
      <c r="G89" s="7">
        <v>0.95</v>
      </c>
      <c r="H89" s="9" t="s">
        <v>20</v>
      </c>
      <c r="I89">
        <v>0.41</v>
      </c>
      <c r="J89">
        <v>0.89</v>
      </c>
      <c r="K89">
        <v>0.23</v>
      </c>
      <c r="L89">
        <v>0.21</v>
      </c>
      <c r="M89">
        <v>0.03</v>
      </c>
      <c r="N89">
        <v>0.65</v>
      </c>
      <c r="O89">
        <v>0.37</v>
      </c>
      <c r="P89">
        <v>0.86</v>
      </c>
      <c r="Q89">
        <v>0.47</v>
      </c>
      <c r="R89" s="2">
        <v>0.97</v>
      </c>
      <c r="S89" t="str">
        <f>IF(Table1[[#This Row],[Years_Experience]]&lt;=5,"Early Career",
IF(Table1[[#This Row],[Years_Experience]]&lt;=15,"Mid Career","Senior Level"))</f>
        <v>Senior Level</v>
      </c>
      <c r="T89" t="str">
        <f>IF(Table1[[#This Row],[AI_Exposure_Index]]&gt;=0.7,"High Exposure", IF(Table1[[#This Row],[AI_Exposure_Index]]&gt;=0.3,"Medium Exposure","Low Exposure"))</f>
        <v>Medium Exposure</v>
      </c>
    </row>
    <row r="90" spans="1:20" x14ac:dyDescent="0.25">
      <c r="A90" t="s">
        <v>35</v>
      </c>
      <c r="B90">
        <v>69341</v>
      </c>
      <c r="C90" s="1">
        <v>24</v>
      </c>
      <c r="D90" t="s">
        <v>22</v>
      </c>
      <c r="E90" s="7">
        <v>1.28</v>
      </c>
      <c r="F90" s="2">
        <v>0.87</v>
      </c>
      <c r="G90" s="7">
        <v>0.61</v>
      </c>
      <c r="H90" s="9" t="s">
        <v>27</v>
      </c>
      <c r="I90">
        <v>0.84</v>
      </c>
      <c r="J90">
        <v>0.76</v>
      </c>
      <c r="K90">
        <v>0.63</v>
      </c>
      <c r="L90">
        <v>0.13</v>
      </c>
      <c r="M90">
        <v>0.03</v>
      </c>
      <c r="N90">
        <v>0.92</v>
      </c>
      <c r="O90">
        <v>0.62</v>
      </c>
      <c r="P90">
        <v>0.8</v>
      </c>
      <c r="Q90">
        <v>0.48</v>
      </c>
      <c r="R90" s="2">
        <v>0.12</v>
      </c>
      <c r="S90" t="str">
        <f>IF(Table1[[#This Row],[Years_Experience]]&lt;=5,"Early Career",
IF(Table1[[#This Row],[Years_Experience]]&lt;=15,"Mid Career","Senior Level"))</f>
        <v>Senior Level</v>
      </c>
      <c r="T90" t="str">
        <f>IF(Table1[[#This Row],[AI_Exposure_Index]]&gt;=0.7,"High Exposure", IF(Table1[[#This Row],[AI_Exposure_Index]]&gt;=0.3,"Medium Exposure","Low Exposure"))</f>
        <v>High Exposure</v>
      </c>
    </row>
    <row r="91" spans="1:20" x14ac:dyDescent="0.25">
      <c r="A91" t="s">
        <v>40</v>
      </c>
      <c r="B91">
        <v>41536</v>
      </c>
      <c r="C91" s="1">
        <v>29</v>
      </c>
      <c r="D91" t="s">
        <v>22</v>
      </c>
      <c r="E91" s="7">
        <v>0.93</v>
      </c>
      <c r="F91" s="2">
        <v>0.69</v>
      </c>
      <c r="G91" s="7">
        <v>0.1</v>
      </c>
      <c r="H91" s="9" t="s">
        <v>23</v>
      </c>
      <c r="I91">
        <v>0.49</v>
      </c>
      <c r="J91">
        <v>0.06</v>
      </c>
      <c r="K91">
        <v>0.57999999999999996</v>
      </c>
      <c r="L91">
        <v>0.27</v>
      </c>
      <c r="M91">
        <v>0.8</v>
      </c>
      <c r="N91">
        <v>0.31</v>
      </c>
      <c r="O91">
        <v>0.46</v>
      </c>
      <c r="P91">
        <v>0.01</v>
      </c>
      <c r="Q91">
        <v>7.0000000000000007E-2</v>
      </c>
      <c r="R91" s="2">
        <v>0.39</v>
      </c>
      <c r="S91" t="str">
        <f>IF(Table1[[#This Row],[Years_Experience]]&lt;=5,"Early Career",
IF(Table1[[#This Row],[Years_Experience]]&lt;=15,"Mid Career","Senior Level"))</f>
        <v>Senior Level</v>
      </c>
      <c r="T91" t="str">
        <f>IF(Table1[[#This Row],[AI_Exposure_Index]]&gt;=0.7,"High Exposure", IF(Table1[[#This Row],[AI_Exposure_Index]]&gt;=0.3,"Medium Exposure","Low Exposure"))</f>
        <v>Medium Exposure</v>
      </c>
    </row>
    <row r="92" spans="1:20" x14ac:dyDescent="0.25">
      <c r="A92" t="s">
        <v>44</v>
      </c>
      <c r="B92">
        <v>113309</v>
      </c>
      <c r="C92" s="1">
        <v>14</v>
      </c>
      <c r="D92" t="s">
        <v>19</v>
      </c>
      <c r="E92" s="7">
        <v>0.79</v>
      </c>
      <c r="F92" s="2">
        <v>0.6</v>
      </c>
      <c r="G92" s="7">
        <v>0.57999999999999996</v>
      </c>
      <c r="H92" s="9" t="s">
        <v>27</v>
      </c>
      <c r="I92">
        <v>0.86</v>
      </c>
      <c r="J92">
        <v>0.78</v>
      </c>
      <c r="K92">
        <v>0.04</v>
      </c>
      <c r="L92">
        <v>0.48</v>
      </c>
      <c r="M92">
        <v>0.1</v>
      </c>
      <c r="N92">
        <v>0.24</v>
      </c>
      <c r="O92">
        <v>0.99</v>
      </c>
      <c r="P92">
        <v>0.14000000000000001</v>
      </c>
      <c r="Q92">
        <v>0.5</v>
      </c>
      <c r="R92" s="2">
        <v>0.62</v>
      </c>
      <c r="S92" t="str">
        <f>IF(Table1[[#This Row],[Years_Experience]]&lt;=5,"Early Career",
IF(Table1[[#This Row],[Years_Experience]]&lt;=15,"Mid Career","Senior Level"))</f>
        <v>Mid Career</v>
      </c>
      <c r="T92" t="str">
        <f>IF(Table1[[#This Row],[AI_Exposure_Index]]&gt;=0.7,"High Exposure", IF(Table1[[#This Row],[AI_Exposure_Index]]&gt;=0.3,"Medium Exposure","Low Exposure"))</f>
        <v>Medium Exposure</v>
      </c>
    </row>
    <row r="93" spans="1:20" x14ac:dyDescent="0.25">
      <c r="A93" t="s">
        <v>29</v>
      </c>
      <c r="B93">
        <v>78787</v>
      </c>
      <c r="C93" s="1">
        <v>0</v>
      </c>
      <c r="D93" t="s">
        <v>19</v>
      </c>
      <c r="E93" s="7">
        <v>0.51</v>
      </c>
      <c r="F93" s="2">
        <v>0.56000000000000005</v>
      </c>
      <c r="G93" s="7">
        <v>0.13</v>
      </c>
      <c r="H93" s="9" t="s">
        <v>23</v>
      </c>
      <c r="I93">
        <v>0.52</v>
      </c>
      <c r="J93">
        <v>0.09</v>
      </c>
      <c r="K93">
        <v>0.35</v>
      </c>
      <c r="L93">
        <v>0.03</v>
      </c>
      <c r="M93">
        <v>0.08</v>
      </c>
      <c r="N93">
        <v>0.4</v>
      </c>
      <c r="O93">
        <v>0.13</v>
      </c>
      <c r="P93">
        <v>0.56999999999999995</v>
      </c>
      <c r="Q93">
        <v>0.69</v>
      </c>
      <c r="R93" s="2">
        <v>0.8</v>
      </c>
      <c r="S93" t="str">
        <f>IF(Table1[[#This Row],[Years_Experience]]&lt;=5,"Early Career",
IF(Table1[[#This Row],[Years_Experience]]&lt;=15,"Mid Career","Senior Level"))</f>
        <v>Early Career</v>
      </c>
      <c r="T93" t="str">
        <f>IF(Table1[[#This Row],[AI_Exposure_Index]]&gt;=0.7,"High Exposure", IF(Table1[[#This Row],[AI_Exposure_Index]]&gt;=0.3,"Medium Exposure","Low Exposure"))</f>
        <v>Medium Exposure</v>
      </c>
    </row>
    <row r="94" spans="1:20" x14ac:dyDescent="0.25">
      <c r="A94" t="s">
        <v>37</v>
      </c>
      <c r="B94">
        <v>98577</v>
      </c>
      <c r="C94" s="1">
        <v>9</v>
      </c>
      <c r="D94" t="s">
        <v>25</v>
      </c>
      <c r="E94" s="7">
        <v>0.6</v>
      </c>
      <c r="F94" s="2">
        <v>0.17</v>
      </c>
      <c r="G94" s="7">
        <v>0.55000000000000004</v>
      </c>
      <c r="H94" s="9" t="s">
        <v>27</v>
      </c>
      <c r="I94">
        <v>0.71</v>
      </c>
      <c r="J94">
        <v>0.03</v>
      </c>
      <c r="K94">
        <v>0.94</v>
      </c>
      <c r="L94">
        <v>0.05</v>
      </c>
      <c r="M94">
        <v>0.54</v>
      </c>
      <c r="N94">
        <v>0.71</v>
      </c>
      <c r="O94">
        <v>0.87</v>
      </c>
      <c r="P94">
        <v>0.71</v>
      </c>
      <c r="Q94">
        <v>0.8</v>
      </c>
      <c r="R94" s="2">
        <v>0.34</v>
      </c>
      <c r="S94" t="str">
        <f>IF(Table1[[#This Row],[Years_Experience]]&lt;=5,"Early Career",
IF(Table1[[#This Row],[Years_Experience]]&lt;=15,"Mid Career","Senior Level"))</f>
        <v>Mid Career</v>
      </c>
      <c r="T94" t="str">
        <f>IF(Table1[[#This Row],[AI_Exposure_Index]]&gt;=0.7,"High Exposure", IF(Table1[[#This Row],[AI_Exposure_Index]]&gt;=0.3,"Medium Exposure","Low Exposure"))</f>
        <v>Low Exposure</v>
      </c>
    </row>
    <row r="95" spans="1:20" x14ac:dyDescent="0.25">
      <c r="A95" t="s">
        <v>24</v>
      </c>
      <c r="B95">
        <v>54826</v>
      </c>
      <c r="C95" s="1">
        <v>6</v>
      </c>
      <c r="D95" t="s">
        <v>19</v>
      </c>
      <c r="E95" s="7">
        <v>1.05</v>
      </c>
      <c r="F95" s="2">
        <v>0.66</v>
      </c>
      <c r="G95" s="7">
        <v>0.85</v>
      </c>
      <c r="H95" s="9" t="s">
        <v>20</v>
      </c>
      <c r="I95">
        <v>0.78</v>
      </c>
      <c r="J95">
        <v>0.48</v>
      </c>
      <c r="K95">
        <v>0.04</v>
      </c>
      <c r="L95">
        <v>0.16</v>
      </c>
      <c r="M95">
        <v>0.44</v>
      </c>
      <c r="N95">
        <v>0.72</v>
      </c>
      <c r="O95">
        <v>0.59</v>
      </c>
      <c r="P95">
        <v>0.65</v>
      </c>
      <c r="Q95">
        <v>0.48</v>
      </c>
      <c r="R95" s="2">
        <v>0.62</v>
      </c>
      <c r="S95" t="str">
        <f>IF(Table1[[#This Row],[Years_Experience]]&lt;=5,"Early Career",
IF(Table1[[#This Row],[Years_Experience]]&lt;=15,"Mid Career","Senior Level"))</f>
        <v>Mid Career</v>
      </c>
      <c r="T95" t="str">
        <f>IF(Table1[[#This Row],[AI_Exposure_Index]]&gt;=0.7,"High Exposure", IF(Table1[[#This Row],[AI_Exposure_Index]]&gt;=0.3,"Medium Exposure","Low Exposure"))</f>
        <v>Medium Exposure</v>
      </c>
    </row>
    <row r="96" spans="1:20" x14ac:dyDescent="0.25">
      <c r="A96" t="s">
        <v>44</v>
      </c>
      <c r="B96">
        <v>61890</v>
      </c>
      <c r="C96" s="1">
        <v>22</v>
      </c>
      <c r="D96" t="s">
        <v>19</v>
      </c>
      <c r="E96" s="7">
        <v>1.24</v>
      </c>
      <c r="F96" s="2">
        <v>0.47</v>
      </c>
      <c r="G96" s="7">
        <v>0.65</v>
      </c>
      <c r="H96" s="9" t="s">
        <v>27</v>
      </c>
      <c r="I96">
        <v>0.43</v>
      </c>
      <c r="J96">
        <v>0.04</v>
      </c>
      <c r="K96">
        <v>0.16</v>
      </c>
      <c r="L96">
        <v>0.02</v>
      </c>
      <c r="M96">
        <v>0.65</v>
      </c>
      <c r="N96">
        <v>0.33</v>
      </c>
      <c r="O96">
        <v>0.54</v>
      </c>
      <c r="P96">
        <v>0.49</v>
      </c>
      <c r="Q96">
        <v>0.08</v>
      </c>
      <c r="R96" s="2">
        <v>0.4</v>
      </c>
      <c r="S96" t="str">
        <f>IF(Table1[[#This Row],[Years_Experience]]&lt;=5,"Early Career",
IF(Table1[[#This Row],[Years_Experience]]&lt;=15,"Mid Career","Senior Level"))</f>
        <v>Senior Level</v>
      </c>
      <c r="T96" t="str">
        <f>IF(Table1[[#This Row],[AI_Exposure_Index]]&gt;=0.7,"High Exposure", IF(Table1[[#This Row],[AI_Exposure_Index]]&gt;=0.3,"Medium Exposure","Low Exposure"))</f>
        <v>Medium Exposure</v>
      </c>
    </row>
    <row r="97" spans="1:20" x14ac:dyDescent="0.25">
      <c r="A97" t="s">
        <v>32</v>
      </c>
      <c r="B97">
        <v>75500</v>
      </c>
      <c r="C97" s="1">
        <v>28</v>
      </c>
      <c r="D97" t="s">
        <v>38</v>
      </c>
      <c r="E97" s="7">
        <v>0.7</v>
      </c>
      <c r="F97" s="2">
        <v>0.42</v>
      </c>
      <c r="G97" s="7">
        <v>0.64</v>
      </c>
      <c r="H97" s="9" t="s">
        <v>27</v>
      </c>
      <c r="I97">
        <v>0.17</v>
      </c>
      <c r="J97">
        <v>0.96</v>
      </c>
      <c r="K97">
        <v>0.42</v>
      </c>
      <c r="L97">
        <v>0.85</v>
      </c>
      <c r="M97">
        <v>0.63</v>
      </c>
      <c r="N97">
        <v>0.74</v>
      </c>
      <c r="O97">
        <v>0.77</v>
      </c>
      <c r="P97">
        <v>0.5</v>
      </c>
      <c r="Q97">
        <v>0.54</v>
      </c>
      <c r="R97" s="2">
        <v>0.51</v>
      </c>
      <c r="S97" t="str">
        <f>IF(Table1[[#This Row],[Years_Experience]]&lt;=5,"Early Career",
IF(Table1[[#This Row],[Years_Experience]]&lt;=15,"Mid Career","Senior Level"))</f>
        <v>Senior Level</v>
      </c>
      <c r="T97" t="str">
        <f>IF(Table1[[#This Row],[AI_Exposure_Index]]&gt;=0.7,"High Exposure", IF(Table1[[#This Row],[AI_Exposure_Index]]&gt;=0.3,"Medium Exposure","Low Exposure"))</f>
        <v>Medium Exposure</v>
      </c>
    </row>
    <row r="98" spans="1:20" x14ac:dyDescent="0.25">
      <c r="A98" t="s">
        <v>41</v>
      </c>
      <c r="B98">
        <v>95128</v>
      </c>
      <c r="C98" s="1">
        <v>3</v>
      </c>
      <c r="D98" t="s">
        <v>22</v>
      </c>
      <c r="E98" s="7">
        <v>0.9</v>
      </c>
      <c r="F98" s="2">
        <v>0.03</v>
      </c>
      <c r="G98" s="7">
        <v>0.85</v>
      </c>
      <c r="H98" s="9" t="s">
        <v>20</v>
      </c>
      <c r="I98">
        <v>0.6</v>
      </c>
      <c r="J98">
        <v>0.79</v>
      </c>
      <c r="K98">
        <v>0.66</v>
      </c>
      <c r="L98">
        <v>0.99</v>
      </c>
      <c r="M98">
        <v>0.28000000000000003</v>
      </c>
      <c r="N98">
        <v>0.36</v>
      </c>
      <c r="O98">
        <v>0.38</v>
      </c>
      <c r="P98">
        <v>0.47</v>
      </c>
      <c r="Q98">
        <v>0.84</v>
      </c>
      <c r="R98" s="2">
        <v>0.24</v>
      </c>
      <c r="S98" t="str">
        <f>IF(Table1[[#This Row],[Years_Experience]]&lt;=5,"Early Career",
IF(Table1[[#This Row],[Years_Experience]]&lt;=15,"Mid Career","Senior Level"))</f>
        <v>Early Career</v>
      </c>
      <c r="T98" t="str">
        <f>IF(Table1[[#This Row],[AI_Exposure_Index]]&gt;=0.7,"High Exposure", IF(Table1[[#This Row],[AI_Exposure_Index]]&gt;=0.3,"Medium Exposure","Low Exposure"))</f>
        <v>Low Exposure</v>
      </c>
    </row>
    <row r="99" spans="1:20" x14ac:dyDescent="0.25">
      <c r="A99" t="s">
        <v>34</v>
      </c>
      <c r="B99">
        <v>49975</v>
      </c>
      <c r="C99" s="1">
        <v>3</v>
      </c>
      <c r="D99" t="s">
        <v>25</v>
      </c>
      <c r="E99" s="7">
        <v>0.68</v>
      </c>
      <c r="F99" s="2">
        <v>0.91</v>
      </c>
      <c r="G99" s="7">
        <v>0.4</v>
      </c>
      <c r="H99" s="9" t="s">
        <v>27</v>
      </c>
      <c r="I99">
        <v>0.97</v>
      </c>
      <c r="J99">
        <v>0.18</v>
      </c>
      <c r="K99">
        <v>0.85</v>
      </c>
      <c r="L99">
        <v>0.49</v>
      </c>
      <c r="M99">
        <v>0.25</v>
      </c>
      <c r="N99">
        <v>0.87</v>
      </c>
      <c r="O99">
        <v>0.45</v>
      </c>
      <c r="P99">
        <v>0.51</v>
      </c>
      <c r="Q99">
        <v>0.36</v>
      </c>
      <c r="R99" s="2">
        <v>0.59</v>
      </c>
      <c r="S99" t="str">
        <f>IF(Table1[[#This Row],[Years_Experience]]&lt;=5,"Early Career",
IF(Table1[[#This Row],[Years_Experience]]&lt;=15,"Mid Career","Senior Level"))</f>
        <v>Early Career</v>
      </c>
      <c r="T99" t="str">
        <f>IF(Table1[[#This Row],[AI_Exposure_Index]]&gt;=0.7,"High Exposure", IF(Table1[[#This Row],[AI_Exposure_Index]]&gt;=0.3,"Medium Exposure","Low Exposure"))</f>
        <v>High Exposure</v>
      </c>
    </row>
    <row r="100" spans="1:20" x14ac:dyDescent="0.25">
      <c r="A100" t="s">
        <v>42</v>
      </c>
      <c r="B100">
        <v>75893</v>
      </c>
      <c r="C100" s="1">
        <v>16</v>
      </c>
      <c r="D100" t="s">
        <v>19</v>
      </c>
      <c r="E100" s="7">
        <v>1.47</v>
      </c>
      <c r="F100" s="2">
        <v>0.39</v>
      </c>
      <c r="G100" s="7">
        <v>0.4</v>
      </c>
      <c r="H100" s="9" t="s">
        <v>27</v>
      </c>
      <c r="I100">
        <v>0.66</v>
      </c>
      <c r="J100">
        <v>0.33</v>
      </c>
      <c r="K100">
        <v>0.77</v>
      </c>
      <c r="L100">
        <v>0.13</v>
      </c>
      <c r="M100">
        <v>0.97</v>
      </c>
      <c r="N100">
        <v>0.45</v>
      </c>
      <c r="O100">
        <v>0.24</v>
      </c>
      <c r="P100">
        <v>7.0000000000000007E-2</v>
      </c>
      <c r="Q100">
        <v>0.17</v>
      </c>
      <c r="R100" s="2">
        <v>0.52</v>
      </c>
      <c r="S100" t="str">
        <f>IF(Table1[[#This Row],[Years_Experience]]&lt;=5,"Early Career",
IF(Table1[[#This Row],[Years_Experience]]&lt;=15,"Mid Career","Senior Level"))</f>
        <v>Senior Level</v>
      </c>
      <c r="T100" t="str">
        <f>IF(Table1[[#This Row],[AI_Exposure_Index]]&gt;=0.7,"High Exposure", IF(Table1[[#This Row],[AI_Exposure_Index]]&gt;=0.3,"Medium Exposure","Low Exposure"))</f>
        <v>Medium Exposure</v>
      </c>
    </row>
    <row r="101" spans="1:20" x14ac:dyDescent="0.25">
      <c r="A101" t="s">
        <v>32</v>
      </c>
      <c r="B101">
        <v>106619</v>
      </c>
      <c r="C101" s="1">
        <v>29</v>
      </c>
      <c r="D101" t="s">
        <v>25</v>
      </c>
      <c r="E101" s="7">
        <v>0.95</v>
      </c>
      <c r="F101" s="2">
        <v>0.15</v>
      </c>
      <c r="G101" s="7">
        <v>0.54</v>
      </c>
      <c r="H101" s="9" t="s">
        <v>27</v>
      </c>
      <c r="I101">
        <v>0.95</v>
      </c>
      <c r="J101">
        <v>0.25</v>
      </c>
      <c r="K101">
        <v>0.36</v>
      </c>
      <c r="L101">
        <v>0.38</v>
      </c>
      <c r="M101">
        <v>0.61</v>
      </c>
      <c r="N101">
        <v>0.36</v>
      </c>
      <c r="O101">
        <v>0.53</v>
      </c>
      <c r="P101">
        <v>0.78</v>
      </c>
      <c r="Q101">
        <v>0.71</v>
      </c>
      <c r="R101" s="2">
        <v>0.45</v>
      </c>
      <c r="S101" t="str">
        <f>IF(Table1[[#This Row],[Years_Experience]]&lt;=5,"Early Career",
IF(Table1[[#This Row],[Years_Experience]]&lt;=15,"Mid Career","Senior Level"))</f>
        <v>Senior Level</v>
      </c>
      <c r="T101" t="str">
        <f>IF(Table1[[#This Row],[AI_Exposure_Index]]&gt;=0.7,"High Exposure", IF(Table1[[#This Row],[AI_Exposure_Index]]&gt;=0.3,"Medium Exposure","Low Exposure"))</f>
        <v>Low Exposure</v>
      </c>
    </row>
    <row r="102" spans="1:20" x14ac:dyDescent="0.25">
      <c r="A102" t="s">
        <v>32</v>
      </c>
      <c r="B102">
        <v>113310</v>
      </c>
      <c r="C102" s="1">
        <v>14</v>
      </c>
      <c r="D102" t="s">
        <v>25</v>
      </c>
      <c r="E102" s="7">
        <v>1.04</v>
      </c>
      <c r="F102" s="2">
        <v>0.56000000000000005</v>
      </c>
      <c r="G102" s="7">
        <v>0.31</v>
      </c>
      <c r="H102" s="9" t="s">
        <v>27</v>
      </c>
      <c r="I102">
        <v>0.99</v>
      </c>
      <c r="J102">
        <v>0.12</v>
      </c>
      <c r="K102">
        <v>0.23</v>
      </c>
      <c r="L102">
        <v>0.05</v>
      </c>
      <c r="M102">
        <v>0.64</v>
      </c>
      <c r="N102">
        <v>0.22</v>
      </c>
      <c r="O102">
        <v>0.18</v>
      </c>
      <c r="P102">
        <v>0.09</v>
      </c>
      <c r="Q102">
        <v>0.1</v>
      </c>
      <c r="R102" s="2">
        <v>0.57999999999999996</v>
      </c>
      <c r="S102" t="str">
        <f>IF(Table1[[#This Row],[Years_Experience]]&lt;=5,"Early Career",
IF(Table1[[#This Row],[Years_Experience]]&lt;=15,"Mid Career","Senior Level"))</f>
        <v>Mid Career</v>
      </c>
      <c r="T102" t="str">
        <f>IF(Table1[[#This Row],[AI_Exposure_Index]]&gt;=0.7,"High Exposure", IF(Table1[[#This Row],[AI_Exposure_Index]]&gt;=0.3,"Medium Exposure","Low Exposure"))</f>
        <v>Medium Exposure</v>
      </c>
    </row>
    <row r="103" spans="1:20" x14ac:dyDescent="0.25">
      <c r="A103" t="s">
        <v>29</v>
      </c>
      <c r="B103">
        <v>55611</v>
      </c>
      <c r="C103" s="1">
        <v>9</v>
      </c>
      <c r="D103" t="s">
        <v>25</v>
      </c>
      <c r="E103" s="7">
        <v>0.98</v>
      </c>
      <c r="F103" s="2">
        <v>0.4</v>
      </c>
      <c r="G103" s="7">
        <v>0.22</v>
      </c>
      <c r="H103" s="9" t="s">
        <v>23</v>
      </c>
      <c r="I103">
        <v>0.02</v>
      </c>
      <c r="J103">
        <v>0.32</v>
      </c>
      <c r="K103">
        <v>0.97</v>
      </c>
      <c r="L103">
        <v>0.57999999999999996</v>
      </c>
      <c r="M103">
        <v>0.25</v>
      </c>
      <c r="N103">
        <v>0.52</v>
      </c>
      <c r="O103">
        <v>0.34</v>
      </c>
      <c r="P103">
        <v>0.53</v>
      </c>
      <c r="Q103">
        <v>0.13</v>
      </c>
      <c r="R103" s="2">
        <v>0.13</v>
      </c>
      <c r="S103" t="str">
        <f>IF(Table1[[#This Row],[Years_Experience]]&lt;=5,"Early Career",
IF(Table1[[#This Row],[Years_Experience]]&lt;=15,"Mid Career","Senior Level"))</f>
        <v>Mid Career</v>
      </c>
      <c r="T103" t="str">
        <f>IF(Table1[[#This Row],[AI_Exposure_Index]]&gt;=0.7,"High Exposure", IF(Table1[[#This Row],[AI_Exposure_Index]]&gt;=0.3,"Medium Exposure","Low Exposure"))</f>
        <v>Medium Exposure</v>
      </c>
    </row>
    <row r="104" spans="1:20" x14ac:dyDescent="0.25">
      <c r="A104" t="s">
        <v>41</v>
      </c>
      <c r="B104">
        <v>108131</v>
      </c>
      <c r="C104" s="1">
        <v>15</v>
      </c>
      <c r="D104" t="s">
        <v>38</v>
      </c>
      <c r="E104" s="7">
        <v>1.23</v>
      </c>
      <c r="F104" s="2">
        <v>0.94</v>
      </c>
      <c r="G104" s="7">
        <v>0.74</v>
      </c>
      <c r="H104" s="9" t="s">
        <v>20</v>
      </c>
      <c r="I104">
        <v>0.19</v>
      </c>
      <c r="J104">
        <v>0.73</v>
      </c>
      <c r="K104">
        <v>0.16</v>
      </c>
      <c r="L104">
        <v>0.23</v>
      </c>
      <c r="M104">
        <v>0.96</v>
      </c>
      <c r="N104">
        <v>0.26</v>
      </c>
      <c r="O104">
        <v>0.66</v>
      </c>
      <c r="P104">
        <v>0.98</v>
      </c>
      <c r="Q104">
        <v>0.37</v>
      </c>
      <c r="R104" s="2">
        <v>0.02</v>
      </c>
      <c r="S104" t="str">
        <f>IF(Table1[[#This Row],[Years_Experience]]&lt;=5,"Early Career",
IF(Table1[[#This Row],[Years_Experience]]&lt;=15,"Mid Career","Senior Level"))</f>
        <v>Mid Career</v>
      </c>
      <c r="T104" t="str">
        <f>IF(Table1[[#This Row],[AI_Exposure_Index]]&gt;=0.7,"High Exposure", IF(Table1[[#This Row],[AI_Exposure_Index]]&gt;=0.3,"Medium Exposure","Low Exposure"))</f>
        <v>High Exposure</v>
      </c>
    </row>
    <row r="105" spans="1:20" x14ac:dyDescent="0.25">
      <c r="A105" t="s">
        <v>21</v>
      </c>
      <c r="B105">
        <v>58625</v>
      </c>
      <c r="C105" s="1">
        <v>16</v>
      </c>
      <c r="D105" t="s">
        <v>38</v>
      </c>
      <c r="E105" s="7">
        <v>1.36</v>
      </c>
      <c r="F105" s="2">
        <v>0.83</v>
      </c>
      <c r="G105" s="7">
        <v>0.24</v>
      </c>
      <c r="H105" s="9" t="s">
        <v>23</v>
      </c>
      <c r="I105">
        <v>0.11</v>
      </c>
      <c r="J105">
        <v>0.8</v>
      </c>
      <c r="K105">
        <v>0.92</v>
      </c>
      <c r="L105">
        <v>0.6</v>
      </c>
      <c r="M105">
        <v>0.94</v>
      </c>
      <c r="N105">
        <v>0.83</v>
      </c>
      <c r="O105">
        <v>0.67</v>
      </c>
      <c r="P105">
        <v>0.57999999999999996</v>
      </c>
      <c r="Q105">
        <v>0.35</v>
      </c>
      <c r="R105" s="2">
        <v>0.16</v>
      </c>
      <c r="S105" t="str">
        <f>IF(Table1[[#This Row],[Years_Experience]]&lt;=5,"Early Career",
IF(Table1[[#This Row],[Years_Experience]]&lt;=15,"Mid Career","Senior Level"))</f>
        <v>Senior Level</v>
      </c>
      <c r="T105" t="str">
        <f>IF(Table1[[#This Row],[AI_Exposure_Index]]&gt;=0.7,"High Exposure", IF(Table1[[#This Row],[AI_Exposure_Index]]&gt;=0.3,"Medium Exposure","Low Exposure"))</f>
        <v>High Exposure</v>
      </c>
    </row>
    <row r="106" spans="1:20" x14ac:dyDescent="0.25">
      <c r="A106" t="s">
        <v>35</v>
      </c>
      <c r="B106">
        <v>47087</v>
      </c>
      <c r="C106" s="1">
        <v>5</v>
      </c>
      <c r="D106" t="s">
        <v>38</v>
      </c>
      <c r="E106" s="7">
        <v>1.37</v>
      </c>
      <c r="F106" s="2">
        <v>0.32</v>
      </c>
      <c r="G106" s="7">
        <v>0.7</v>
      </c>
      <c r="H106" s="9" t="s">
        <v>27</v>
      </c>
      <c r="I106">
        <v>0.75</v>
      </c>
      <c r="J106">
        <v>0.09</v>
      </c>
      <c r="K106">
        <v>0.28999999999999998</v>
      </c>
      <c r="L106">
        <v>0.11</v>
      </c>
      <c r="M106">
        <v>0.65</v>
      </c>
      <c r="N106">
        <v>0.77</v>
      </c>
      <c r="O106">
        <v>0.93</v>
      </c>
      <c r="P106">
        <v>0.44</v>
      </c>
      <c r="Q106">
        <v>0.9</v>
      </c>
      <c r="R106" s="2">
        <v>0.88</v>
      </c>
      <c r="S106" t="str">
        <f>IF(Table1[[#This Row],[Years_Experience]]&lt;=5,"Early Career",
IF(Table1[[#This Row],[Years_Experience]]&lt;=15,"Mid Career","Senior Level"))</f>
        <v>Early Career</v>
      </c>
      <c r="T106" t="str">
        <f>IF(Table1[[#This Row],[AI_Exposure_Index]]&gt;=0.7,"High Exposure", IF(Table1[[#This Row],[AI_Exposure_Index]]&gt;=0.3,"Medium Exposure","Low Exposure"))</f>
        <v>Medium Exposure</v>
      </c>
    </row>
    <row r="107" spans="1:20" x14ac:dyDescent="0.25">
      <c r="A107" t="s">
        <v>33</v>
      </c>
      <c r="B107">
        <v>143942</v>
      </c>
      <c r="C107" s="1">
        <v>18</v>
      </c>
      <c r="D107" t="s">
        <v>38</v>
      </c>
      <c r="E107" s="7">
        <v>0.88</v>
      </c>
      <c r="F107" s="2">
        <v>0.87</v>
      </c>
      <c r="G107" s="7">
        <v>0.77</v>
      </c>
      <c r="H107" s="9" t="s">
        <v>20</v>
      </c>
      <c r="I107">
        <v>0.65</v>
      </c>
      <c r="J107">
        <v>0.33</v>
      </c>
      <c r="K107">
        <v>0.63</v>
      </c>
      <c r="L107">
        <v>0.61</v>
      </c>
      <c r="M107">
        <v>0.56000000000000005</v>
      </c>
      <c r="N107">
        <v>0.38</v>
      </c>
      <c r="O107">
        <v>0.55000000000000004</v>
      </c>
      <c r="P107">
        <v>0.6</v>
      </c>
      <c r="Q107">
        <v>0.55000000000000004</v>
      </c>
      <c r="R107" s="2">
        <v>0.44</v>
      </c>
      <c r="S107" t="str">
        <f>IF(Table1[[#This Row],[Years_Experience]]&lt;=5,"Early Career",
IF(Table1[[#This Row],[Years_Experience]]&lt;=15,"Mid Career","Senior Level"))</f>
        <v>Senior Level</v>
      </c>
      <c r="T107" t="str">
        <f>IF(Table1[[#This Row],[AI_Exposure_Index]]&gt;=0.7,"High Exposure", IF(Table1[[#This Row],[AI_Exposure_Index]]&gt;=0.3,"Medium Exposure","Low Exposure"))</f>
        <v>High Exposure</v>
      </c>
    </row>
    <row r="108" spans="1:20" x14ac:dyDescent="0.25">
      <c r="A108" t="s">
        <v>30</v>
      </c>
      <c r="B108">
        <v>109973</v>
      </c>
      <c r="C108" s="1">
        <v>25</v>
      </c>
      <c r="D108" t="s">
        <v>25</v>
      </c>
      <c r="E108" s="7">
        <v>0.67</v>
      </c>
      <c r="F108" s="2">
        <v>0.59</v>
      </c>
      <c r="G108" s="7">
        <v>0.56000000000000005</v>
      </c>
      <c r="H108" s="9" t="s">
        <v>27</v>
      </c>
      <c r="I108">
        <v>0.76</v>
      </c>
      <c r="J108">
        <v>0.5</v>
      </c>
      <c r="K108">
        <v>0.54</v>
      </c>
      <c r="L108">
        <v>0.95</v>
      </c>
      <c r="M108">
        <v>0.85</v>
      </c>
      <c r="N108">
        <v>0.91</v>
      </c>
      <c r="O108">
        <v>0.81</v>
      </c>
      <c r="P108">
        <v>0.11</v>
      </c>
      <c r="Q108">
        <v>0.15</v>
      </c>
      <c r="R108" s="2">
        <v>0.53</v>
      </c>
      <c r="S108" t="str">
        <f>IF(Table1[[#This Row],[Years_Experience]]&lt;=5,"Early Career",
IF(Table1[[#This Row],[Years_Experience]]&lt;=15,"Mid Career","Senior Level"))</f>
        <v>Senior Level</v>
      </c>
      <c r="T108" t="str">
        <f>IF(Table1[[#This Row],[AI_Exposure_Index]]&gt;=0.7,"High Exposure", IF(Table1[[#This Row],[AI_Exposure_Index]]&gt;=0.3,"Medium Exposure","Low Exposure"))</f>
        <v>Medium Exposure</v>
      </c>
    </row>
    <row r="109" spans="1:20" x14ac:dyDescent="0.25">
      <c r="A109" t="s">
        <v>41</v>
      </c>
      <c r="B109">
        <v>57598</v>
      </c>
      <c r="C109" s="1">
        <v>11</v>
      </c>
      <c r="D109" t="s">
        <v>22</v>
      </c>
      <c r="E109" s="7">
        <v>0.89</v>
      </c>
      <c r="F109" s="2">
        <v>0.48</v>
      </c>
      <c r="G109" s="7">
        <v>0.84</v>
      </c>
      <c r="H109" s="9" t="s">
        <v>20</v>
      </c>
      <c r="I109">
        <v>0.75</v>
      </c>
      <c r="J109">
        <v>0.72</v>
      </c>
      <c r="K109">
        <v>0.52</v>
      </c>
      <c r="L109">
        <v>0.82</v>
      </c>
      <c r="M109">
        <v>0.43</v>
      </c>
      <c r="N109">
        <v>0.9</v>
      </c>
      <c r="O109">
        <v>7.0000000000000007E-2</v>
      </c>
      <c r="P109">
        <v>0.95</v>
      </c>
      <c r="Q109">
        <v>0.65</v>
      </c>
      <c r="R109" s="2">
        <v>0.38</v>
      </c>
      <c r="S109" t="str">
        <f>IF(Table1[[#This Row],[Years_Experience]]&lt;=5,"Early Career",
IF(Table1[[#This Row],[Years_Experience]]&lt;=15,"Mid Career","Senior Level"))</f>
        <v>Mid Career</v>
      </c>
      <c r="T109" t="str">
        <f>IF(Table1[[#This Row],[AI_Exposure_Index]]&gt;=0.7,"High Exposure", IF(Table1[[#This Row],[AI_Exposure_Index]]&gt;=0.3,"Medium Exposure","Low Exposure"))</f>
        <v>Medium Exposure</v>
      </c>
    </row>
    <row r="110" spans="1:20" x14ac:dyDescent="0.25">
      <c r="A110" t="s">
        <v>40</v>
      </c>
      <c r="B110">
        <v>75379</v>
      </c>
      <c r="C110" s="1">
        <v>20</v>
      </c>
      <c r="D110" t="s">
        <v>38</v>
      </c>
      <c r="E110" s="7">
        <v>0.69</v>
      </c>
      <c r="F110" s="2">
        <v>0.48</v>
      </c>
      <c r="G110" s="7">
        <v>0.09</v>
      </c>
      <c r="H110" s="9" t="s">
        <v>23</v>
      </c>
      <c r="I110">
        <v>0.62</v>
      </c>
      <c r="J110">
        <v>0.52</v>
      </c>
      <c r="K110">
        <v>0.67</v>
      </c>
      <c r="L110">
        <v>0.93</v>
      </c>
      <c r="M110">
        <v>0.53</v>
      </c>
      <c r="N110">
        <v>0.57999999999999996</v>
      </c>
      <c r="O110">
        <v>0.09</v>
      </c>
      <c r="P110">
        <v>0.72</v>
      </c>
      <c r="Q110">
        <v>0.4</v>
      </c>
      <c r="R110" s="2">
        <v>0.98</v>
      </c>
      <c r="S110" t="str">
        <f>IF(Table1[[#This Row],[Years_Experience]]&lt;=5,"Early Career",
IF(Table1[[#This Row],[Years_Experience]]&lt;=15,"Mid Career","Senior Level"))</f>
        <v>Senior Level</v>
      </c>
      <c r="T110" t="str">
        <f>IF(Table1[[#This Row],[AI_Exposure_Index]]&gt;=0.7,"High Exposure", IF(Table1[[#This Row],[AI_Exposure_Index]]&gt;=0.3,"Medium Exposure","Low Exposure"))</f>
        <v>Medium Exposure</v>
      </c>
    </row>
    <row r="111" spans="1:20" x14ac:dyDescent="0.25">
      <c r="A111" t="s">
        <v>32</v>
      </c>
      <c r="B111">
        <v>130441</v>
      </c>
      <c r="C111" s="1">
        <v>24</v>
      </c>
      <c r="D111" t="s">
        <v>25</v>
      </c>
      <c r="E111" s="7">
        <v>0.62</v>
      </c>
      <c r="F111" s="2">
        <v>0.52</v>
      </c>
      <c r="G111" s="7">
        <v>0.64</v>
      </c>
      <c r="H111" s="9" t="s">
        <v>27</v>
      </c>
      <c r="I111">
        <v>0.8</v>
      </c>
      <c r="J111">
        <v>0.18</v>
      </c>
      <c r="K111">
        <v>0.3</v>
      </c>
      <c r="L111">
        <v>0.79</v>
      </c>
      <c r="M111">
        <v>0.19</v>
      </c>
      <c r="N111">
        <v>0.92</v>
      </c>
      <c r="O111">
        <v>0.42</v>
      </c>
      <c r="P111">
        <v>0.09</v>
      </c>
      <c r="Q111">
        <v>0.82</v>
      </c>
      <c r="R111" s="2">
        <v>0.37</v>
      </c>
      <c r="S111" t="str">
        <f>IF(Table1[[#This Row],[Years_Experience]]&lt;=5,"Early Career",
IF(Table1[[#This Row],[Years_Experience]]&lt;=15,"Mid Career","Senior Level"))</f>
        <v>Senior Level</v>
      </c>
      <c r="T111" t="str">
        <f>IF(Table1[[#This Row],[AI_Exposure_Index]]&gt;=0.7,"High Exposure", IF(Table1[[#This Row],[AI_Exposure_Index]]&gt;=0.3,"Medium Exposure","Low Exposure"))</f>
        <v>Medium Exposure</v>
      </c>
    </row>
    <row r="112" spans="1:20" x14ac:dyDescent="0.25">
      <c r="A112" t="s">
        <v>34</v>
      </c>
      <c r="B112">
        <v>72668</v>
      </c>
      <c r="C112" s="1">
        <v>9</v>
      </c>
      <c r="D112" t="s">
        <v>25</v>
      </c>
      <c r="E112" s="7">
        <v>0.5</v>
      </c>
      <c r="F112" s="2">
        <v>0.11</v>
      </c>
      <c r="G112" s="7">
        <v>0.56000000000000005</v>
      </c>
      <c r="H112" s="9" t="s">
        <v>27</v>
      </c>
      <c r="I112">
        <v>0.52</v>
      </c>
      <c r="J112">
        <v>0.59</v>
      </c>
      <c r="K112">
        <v>0.79</v>
      </c>
      <c r="L112">
        <v>0.65</v>
      </c>
      <c r="M112">
        <v>0.17</v>
      </c>
      <c r="N112">
        <v>0.36</v>
      </c>
      <c r="O112">
        <v>0.91</v>
      </c>
      <c r="P112">
        <v>0.77</v>
      </c>
      <c r="Q112">
        <v>0.56000000000000005</v>
      </c>
      <c r="R112" s="2">
        <v>0.26</v>
      </c>
      <c r="S112" t="str">
        <f>IF(Table1[[#This Row],[Years_Experience]]&lt;=5,"Early Career",
IF(Table1[[#This Row],[Years_Experience]]&lt;=15,"Mid Career","Senior Level"))</f>
        <v>Mid Career</v>
      </c>
      <c r="T112" t="str">
        <f>IF(Table1[[#This Row],[AI_Exposure_Index]]&gt;=0.7,"High Exposure", IF(Table1[[#This Row],[AI_Exposure_Index]]&gt;=0.3,"Medium Exposure","Low Exposure"))</f>
        <v>Low Exposure</v>
      </c>
    </row>
    <row r="113" spans="1:20" x14ac:dyDescent="0.25">
      <c r="A113" t="s">
        <v>36</v>
      </c>
      <c r="B113">
        <v>140641</v>
      </c>
      <c r="C113" s="1">
        <v>23</v>
      </c>
      <c r="D113" t="s">
        <v>19</v>
      </c>
      <c r="E113" s="7">
        <v>0.92</v>
      </c>
      <c r="F113" s="2">
        <v>0.82</v>
      </c>
      <c r="G113" s="7">
        <v>0.56999999999999995</v>
      </c>
      <c r="H113" s="9" t="s">
        <v>27</v>
      </c>
      <c r="I113">
        <v>0.1</v>
      </c>
      <c r="J113">
        <v>0.62</v>
      </c>
      <c r="K113">
        <v>0.45</v>
      </c>
      <c r="L113">
        <v>0.59</v>
      </c>
      <c r="M113">
        <v>0.17</v>
      </c>
      <c r="N113">
        <v>0.74</v>
      </c>
      <c r="O113">
        <v>0.86</v>
      </c>
      <c r="P113">
        <v>0.22</v>
      </c>
      <c r="Q113">
        <v>0.1</v>
      </c>
      <c r="R113" s="2">
        <v>0.02</v>
      </c>
      <c r="S113" t="str">
        <f>IF(Table1[[#This Row],[Years_Experience]]&lt;=5,"Early Career",
IF(Table1[[#This Row],[Years_Experience]]&lt;=15,"Mid Career","Senior Level"))</f>
        <v>Senior Level</v>
      </c>
      <c r="T113" t="str">
        <f>IF(Table1[[#This Row],[AI_Exposure_Index]]&gt;=0.7,"High Exposure", IF(Table1[[#This Row],[AI_Exposure_Index]]&gt;=0.3,"Medium Exposure","Low Exposure"))</f>
        <v>High Exposure</v>
      </c>
    </row>
    <row r="114" spans="1:20" x14ac:dyDescent="0.25">
      <c r="A114" t="s">
        <v>44</v>
      </c>
      <c r="B114">
        <v>46014</v>
      </c>
      <c r="C114" s="1">
        <v>2</v>
      </c>
      <c r="D114" t="s">
        <v>22</v>
      </c>
      <c r="E114" s="7">
        <v>1.05</v>
      </c>
      <c r="F114" s="2">
        <v>0.61</v>
      </c>
      <c r="G114" s="7">
        <v>0.39</v>
      </c>
      <c r="H114" s="9" t="s">
        <v>27</v>
      </c>
      <c r="I114">
        <v>0.39</v>
      </c>
      <c r="J114">
        <v>0.59</v>
      </c>
      <c r="K114">
        <v>0.5</v>
      </c>
      <c r="L114">
        <v>0.99</v>
      </c>
      <c r="M114">
        <v>0.14000000000000001</v>
      </c>
      <c r="N114">
        <v>0.7</v>
      </c>
      <c r="O114">
        <v>0.4</v>
      </c>
      <c r="P114">
        <v>0.43</v>
      </c>
      <c r="Q114">
        <v>0.72</v>
      </c>
      <c r="R114" s="2">
        <v>0.69</v>
      </c>
      <c r="S114" t="str">
        <f>IF(Table1[[#This Row],[Years_Experience]]&lt;=5,"Early Career",
IF(Table1[[#This Row],[Years_Experience]]&lt;=15,"Mid Career","Senior Level"))</f>
        <v>Early Career</v>
      </c>
      <c r="T114" t="str">
        <f>IF(Table1[[#This Row],[AI_Exposure_Index]]&gt;=0.7,"High Exposure", IF(Table1[[#This Row],[AI_Exposure_Index]]&gt;=0.3,"Medium Exposure","Low Exposure"))</f>
        <v>Medium Exposure</v>
      </c>
    </row>
    <row r="115" spans="1:20" x14ac:dyDescent="0.25">
      <c r="A115" t="s">
        <v>36</v>
      </c>
      <c r="B115">
        <v>92438</v>
      </c>
      <c r="C115" s="1">
        <v>23</v>
      </c>
      <c r="D115" t="s">
        <v>38</v>
      </c>
      <c r="E115" s="7">
        <v>0.6</v>
      </c>
      <c r="F115" s="2">
        <v>0.13</v>
      </c>
      <c r="G115" s="7">
        <v>0.59</v>
      </c>
      <c r="H115" s="9" t="s">
        <v>27</v>
      </c>
      <c r="I115">
        <v>0.57999999999999996</v>
      </c>
      <c r="J115">
        <v>0.27</v>
      </c>
      <c r="K115">
        <v>0.08</v>
      </c>
      <c r="L115">
        <v>0.09</v>
      </c>
      <c r="M115">
        <v>0.89</v>
      </c>
      <c r="N115">
        <v>0.19</v>
      </c>
      <c r="O115">
        <v>0.32</v>
      </c>
      <c r="P115">
        <v>0.23</v>
      </c>
      <c r="Q115">
        <v>0.35</v>
      </c>
      <c r="R115" s="2">
        <v>7.0000000000000007E-2</v>
      </c>
      <c r="S115" t="str">
        <f>IF(Table1[[#This Row],[Years_Experience]]&lt;=5,"Early Career",
IF(Table1[[#This Row],[Years_Experience]]&lt;=15,"Mid Career","Senior Level"))</f>
        <v>Senior Level</v>
      </c>
      <c r="T115" t="str">
        <f>IF(Table1[[#This Row],[AI_Exposure_Index]]&gt;=0.7,"High Exposure", IF(Table1[[#This Row],[AI_Exposure_Index]]&gt;=0.3,"Medium Exposure","Low Exposure"))</f>
        <v>Low Exposure</v>
      </c>
    </row>
    <row r="116" spans="1:20" x14ac:dyDescent="0.25">
      <c r="A116" t="s">
        <v>40</v>
      </c>
      <c r="B116">
        <v>102240</v>
      </c>
      <c r="C116" s="1">
        <v>27</v>
      </c>
      <c r="D116" t="s">
        <v>25</v>
      </c>
      <c r="E116" s="7">
        <v>1.3</v>
      </c>
      <c r="F116" s="2">
        <v>7.0000000000000007E-2</v>
      </c>
      <c r="G116" s="7">
        <v>0.11</v>
      </c>
      <c r="H116" s="9" t="s">
        <v>23</v>
      </c>
      <c r="I116">
        <v>0.54</v>
      </c>
      <c r="J116">
        <v>0.88</v>
      </c>
      <c r="K116">
        <v>0.65</v>
      </c>
      <c r="L116">
        <v>0.53</v>
      </c>
      <c r="M116">
        <v>0.32</v>
      </c>
      <c r="N116">
        <v>0.33</v>
      </c>
      <c r="O116">
        <v>0.67</v>
      </c>
      <c r="P116">
        <v>0.99</v>
      </c>
      <c r="Q116">
        <v>0.66</v>
      </c>
      <c r="R116" s="2">
        <v>0.56000000000000005</v>
      </c>
      <c r="S116" t="str">
        <f>IF(Table1[[#This Row],[Years_Experience]]&lt;=5,"Early Career",
IF(Table1[[#This Row],[Years_Experience]]&lt;=15,"Mid Career","Senior Level"))</f>
        <v>Senior Level</v>
      </c>
      <c r="T116" t="str">
        <f>IF(Table1[[#This Row],[AI_Exposure_Index]]&gt;=0.7,"High Exposure", IF(Table1[[#This Row],[AI_Exposure_Index]]&gt;=0.3,"Medium Exposure","Low Exposure"))</f>
        <v>Low Exposure</v>
      </c>
    </row>
    <row r="117" spans="1:20" x14ac:dyDescent="0.25">
      <c r="A117" t="s">
        <v>41</v>
      </c>
      <c r="B117">
        <v>39686</v>
      </c>
      <c r="C117" s="1">
        <v>29</v>
      </c>
      <c r="D117" t="s">
        <v>22</v>
      </c>
      <c r="E117" s="7">
        <v>1.08</v>
      </c>
      <c r="F117" s="2">
        <v>0.33</v>
      </c>
      <c r="G117" s="7">
        <v>0.72</v>
      </c>
      <c r="H117" s="9" t="s">
        <v>20</v>
      </c>
      <c r="I117">
        <v>0.96</v>
      </c>
      <c r="J117">
        <v>0.63</v>
      </c>
      <c r="K117">
        <v>0.75</v>
      </c>
      <c r="L117">
        <v>0.17</v>
      </c>
      <c r="M117">
        <v>0.41</v>
      </c>
      <c r="N117">
        <v>0.42</v>
      </c>
      <c r="O117">
        <v>0.82</v>
      </c>
      <c r="P117">
        <v>0</v>
      </c>
      <c r="Q117">
        <v>0.3</v>
      </c>
      <c r="R117" s="2">
        <v>0.98</v>
      </c>
      <c r="S117" t="str">
        <f>IF(Table1[[#This Row],[Years_Experience]]&lt;=5,"Early Career",
IF(Table1[[#This Row],[Years_Experience]]&lt;=15,"Mid Career","Senior Level"))</f>
        <v>Senior Level</v>
      </c>
      <c r="T117" t="str">
        <f>IF(Table1[[#This Row],[AI_Exposure_Index]]&gt;=0.7,"High Exposure", IF(Table1[[#This Row],[AI_Exposure_Index]]&gt;=0.3,"Medium Exposure","Low Exposure"))</f>
        <v>Medium Exposure</v>
      </c>
    </row>
    <row r="118" spans="1:20" x14ac:dyDescent="0.25">
      <c r="A118" t="s">
        <v>30</v>
      </c>
      <c r="B118">
        <v>40754</v>
      </c>
      <c r="C118" s="1">
        <v>15</v>
      </c>
      <c r="D118" t="s">
        <v>22</v>
      </c>
      <c r="E118" s="7">
        <v>0.62</v>
      </c>
      <c r="F118" s="2">
        <v>0.38</v>
      </c>
      <c r="G118" s="7">
        <v>0.69</v>
      </c>
      <c r="H118" s="9" t="s">
        <v>27</v>
      </c>
      <c r="I118">
        <v>0.02</v>
      </c>
      <c r="J118">
        <v>0.74</v>
      </c>
      <c r="K118">
        <v>0.77</v>
      </c>
      <c r="L118">
        <v>0.24</v>
      </c>
      <c r="M118">
        <v>0.67</v>
      </c>
      <c r="N118">
        <v>0.09</v>
      </c>
      <c r="O118">
        <v>0.26</v>
      </c>
      <c r="P118">
        <v>0.79</v>
      </c>
      <c r="Q118">
        <v>0.86</v>
      </c>
      <c r="R118" s="2">
        <v>0.61</v>
      </c>
      <c r="S118" t="str">
        <f>IF(Table1[[#This Row],[Years_Experience]]&lt;=5,"Early Career",
IF(Table1[[#This Row],[Years_Experience]]&lt;=15,"Mid Career","Senior Level"))</f>
        <v>Mid Career</v>
      </c>
      <c r="T118" t="str">
        <f>IF(Table1[[#This Row],[AI_Exposure_Index]]&gt;=0.7,"High Exposure", IF(Table1[[#This Row],[AI_Exposure_Index]]&gt;=0.3,"Medium Exposure","Low Exposure"))</f>
        <v>Medium Exposure</v>
      </c>
    </row>
    <row r="119" spans="1:20" x14ac:dyDescent="0.25">
      <c r="A119" t="s">
        <v>39</v>
      </c>
      <c r="B119">
        <v>40699</v>
      </c>
      <c r="C119" s="1">
        <v>5</v>
      </c>
      <c r="D119" t="s">
        <v>38</v>
      </c>
      <c r="E119" s="7">
        <v>0.56000000000000005</v>
      </c>
      <c r="F119" s="2">
        <v>0.16</v>
      </c>
      <c r="G119" s="7">
        <v>0.73</v>
      </c>
      <c r="H119" s="9" t="s">
        <v>20</v>
      </c>
      <c r="I119">
        <v>0.23</v>
      </c>
      <c r="J119">
        <v>0.34</v>
      </c>
      <c r="K119">
        <v>0.38</v>
      </c>
      <c r="L119">
        <v>0.35</v>
      </c>
      <c r="M119">
        <v>0.24</v>
      </c>
      <c r="N119">
        <v>0.51</v>
      </c>
      <c r="O119">
        <v>0.83</v>
      </c>
      <c r="P119">
        <v>0.28000000000000003</v>
      </c>
      <c r="Q119">
        <v>0.94</v>
      </c>
      <c r="R119" s="2">
        <v>0.87</v>
      </c>
      <c r="S119" t="str">
        <f>IF(Table1[[#This Row],[Years_Experience]]&lt;=5,"Early Career",
IF(Table1[[#This Row],[Years_Experience]]&lt;=15,"Mid Career","Senior Level"))</f>
        <v>Early Career</v>
      </c>
      <c r="T119" t="str">
        <f>IF(Table1[[#This Row],[AI_Exposure_Index]]&gt;=0.7,"High Exposure", IF(Table1[[#This Row],[AI_Exposure_Index]]&gt;=0.3,"Medium Exposure","Low Exposure"))</f>
        <v>Low Exposure</v>
      </c>
    </row>
    <row r="120" spans="1:20" x14ac:dyDescent="0.25">
      <c r="A120" t="s">
        <v>32</v>
      </c>
      <c r="B120">
        <v>120373</v>
      </c>
      <c r="C120" s="1">
        <v>2</v>
      </c>
      <c r="D120" t="s">
        <v>22</v>
      </c>
      <c r="E120" s="7">
        <v>1.07</v>
      </c>
      <c r="F120" s="2">
        <v>0.79</v>
      </c>
      <c r="G120" s="7">
        <v>0.53</v>
      </c>
      <c r="H120" s="9" t="s">
        <v>27</v>
      </c>
      <c r="I120">
        <v>0.39</v>
      </c>
      <c r="J120">
        <v>0.5</v>
      </c>
      <c r="K120">
        <v>0.4</v>
      </c>
      <c r="L120">
        <v>0.54</v>
      </c>
      <c r="M120">
        <v>0.63</v>
      </c>
      <c r="N120">
        <v>0.67</v>
      </c>
      <c r="O120">
        <v>0.53</v>
      </c>
      <c r="P120">
        <v>0.72</v>
      </c>
      <c r="Q120">
        <v>0.14000000000000001</v>
      </c>
      <c r="R120" s="2">
        <v>0.21</v>
      </c>
      <c r="S120" t="str">
        <f>IF(Table1[[#This Row],[Years_Experience]]&lt;=5,"Early Career",
IF(Table1[[#This Row],[Years_Experience]]&lt;=15,"Mid Career","Senior Level"))</f>
        <v>Early Career</v>
      </c>
      <c r="T120" t="str">
        <f>IF(Table1[[#This Row],[AI_Exposure_Index]]&gt;=0.7,"High Exposure", IF(Table1[[#This Row],[AI_Exposure_Index]]&gt;=0.3,"Medium Exposure","Low Exposure"))</f>
        <v>High Exposure</v>
      </c>
    </row>
    <row r="121" spans="1:20" x14ac:dyDescent="0.25">
      <c r="A121" t="s">
        <v>26</v>
      </c>
      <c r="B121">
        <v>70461</v>
      </c>
      <c r="C121" s="1">
        <v>8</v>
      </c>
      <c r="D121" t="s">
        <v>25</v>
      </c>
      <c r="E121" s="7">
        <v>0.52</v>
      </c>
      <c r="F121" s="2">
        <v>0.32</v>
      </c>
      <c r="G121" s="7">
        <v>0.36</v>
      </c>
      <c r="H121" s="9" t="s">
        <v>27</v>
      </c>
      <c r="I121">
        <v>0.22</v>
      </c>
      <c r="J121">
        <v>0.96</v>
      </c>
      <c r="K121">
        <v>0.56999999999999995</v>
      </c>
      <c r="L121">
        <v>0.93</v>
      </c>
      <c r="M121">
        <v>0.57999999999999996</v>
      </c>
      <c r="N121">
        <v>0.48</v>
      </c>
      <c r="O121">
        <v>0.31</v>
      </c>
      <c r="P121">
        <v>0.61</v>
      </c>
      <c r="Q121">
        <v>0.14000000000000001</v>
      </c>
      <c r="R121" s="2">
        <v>0.9</v>
      </c>
      <c r="S121" t="str">
        <f>IF(Table1[[#This Row],[Years_Experience]]&lt;=5,"Early Career",
IF(Table1[[#This Row],[Years_Experience]]&lt;=15,"Mid Career","Senior Level"))</f>
        <v>Mid Career</v>
      </c>
      <c r="T121" t="str">
        <f>IF(Table1[[#This Row],[AI_Exposure_Index]]&gt;=0.7,"High Exposure", IF(Table1[[#This Row],[AI_Exposure_Index]]&gt;=0.3,"Medium Exposure","Low Exposure"))</f>
        <v>Medium Exposure</v>
      </c>
    </row>
    <row r="122" spans="1:20" x14ac:dyDescent="0.25">
      <c r="A122" t="s">
        <v>32</v>
      </c>
      <c r="B122">
        <v>103965</v>
      </c>
      <c r="C122" s="1">
        <v>28</v>
      </c>
      <c r="D122" t="s">
        <v>25</v>
      </c>
      <c r="E122" s="7">
        <v>1.45</v>
      </c>
      <c r="F122" s="2">
        <v>0.32</v>
      </c>
      <c r="G122" s="7">
        <v>0.63</v>
      </c>
      <c r="H122" s="9" t="s">
        <v>27</v>
      </c>
      <c r="I122">
        <v>0.67</v>
      </c>
      <c r="J122">
        <v>0.12</v>
      </c>
      <c r="K122">
        <v>0.48</v>
      </c>
      <c r="L122">
        <v>0.51</v>
      </c>
      <c r="M122">
        <v>0.23</v>
      </c>
      <c r="N122">
        <v>0.08</v>
      </c>
      <c r="O122">
        <v>0.78</v>
      </c>
      <c r="P122">
        <v>0.12</v>
      </c>
      <c r="Q122">
        <v>0.59</v>
      </c>
      <c r="R122" s="2">
        <v>0.94</v>
      </c>
      <c r="S122" t="str">
        <f>IF(Table1[[#This Row],[Years_Experience]]&lt;=5,"Early Career",
IF(Table1[[#This Row],[Years_Experience]]&lt;=15,"Mid Career","Senior Level"))</f>
        <v>Senior Level</v>
      </c>
      <c r="T122" t="str">
        <f>IF(Table1[[#This Row],[AI_Exposure_Index]]&gt;=0.7,"High Exposure", IF(Table1[[#This Row],[AI_Exposure_Index]]&gt;=0.3,"Medium Exposure","Low Exposure"))</f>
        <v>Medium Exposure</v>
      </c>
    </row>
    <row r="123" spans="1:20" x14ac:dyDescent="0.25">
      <c r="A123" t="s">
        <v>21</v>
      </c>
      <c r="B123">
        <v>58179</v>
      </c>
      <c r="C123" s="1">
        <v>17</v>
      </c>
      <c r="D123" t="s">
        <v>22</v>
      </c>
      <c r="E123" s="7">
        <v>1.35</v>
      </c>
      <c r="F123" s="2">
        <v>0.28000000000000003</v>
      </c>
      <c r="G123" s="7">
        <v>0.05</v>
      </c>
      <c r="H123" s="9" t="s">
        <v>23</v>
      </c>
      <c r="I123">
        <v>0.02</v>
      </c>
      <c r="J123">
        <v>0.6</v>
      </c>
      <c r="K123">
        <v>0.36</v>
      </c>
      <c r="L123">
        <v>0.39</v>
      </c>
      <c r="M123">
        <v>0.56000000000000005</v>
      </c>
      <c r="N123">
        <v>0.19</v>
      </c>
      <c r="O123">
        <v>0.21</v>
      </c>
      <c r="P123">
        <v>0.48</v>
      </c>
      <c r="Q123">
        <v>0.75</v>
      </c>
      <c r="R123" s="2">
        <v>0.62</v>
      </c>
      <c r="S123" t="str">
        <f>IF(Table1[[#This Row],[Years_Experience]]&lt;=5,"Early Career",
IF(Table1[[#This Row],[Years_Experience]]&lt;=15,"Mid Career","Senior Level"))</f>
        <v>Senior Level</v>
      </c>
      <c r="T123" t="str">
        <f>IF(Table1[[#This Row],[AI_Exposure_Index]]&gt;=0.7,"High Exposure", IF(Table1[[#This Row],[AI_Exposure_Index]]&gt;=0.3,"Medium Exposure","Low Exposure"))</f>
        <v>Low Exposure</v>
      </c>
    </row>
    <row r="124" spans="1:20" x14ac:dyDescent="0.25">
      <c r="A124" t="s">
        <v>40</v>
      </c>
      <c r="B124">
        <v>125694</v>
      </c>
      <c r="C124" s="1">
        <v>8</v>
      </c>
      <c r="D124" t="s">
        <v>22</v>
      </c>
      <c r="E124" s="7">
        <v>0.67</v>
      </c>
      <c r="F124" s="2">
        <v>0.43</v>
      </c>
      <c r="G124" s="7">
        <v>7.0000000000000007E-2</v>
      </c>
      <c r="H124" s="9" t="s">
        <v>23</v>
      </c>
      <c r="I124">
        <v>0.78</v>
      </c>
      <c r="J124">
        <v>0.27</v>
      </c>
      <c r="K124">
        <v>0.18</v>
      </c>
      <c r="L124">
        <v>0.69</v>
      </c>
      <c r="M124">
        <v>0.62</v>
      </c>
      <c r="N124">
        <v>0.63</v>
      </c>
      <c r="O124">
        <v>0.23</v>
      </c>
      <c r="P124">
        <v>0.23</v>
      </c>
      <c r="Q124">
        <v>0.22</v>
      </c>
      <c r="R124" s="2">
        <v>0.17</v>
      </c>
      <c r="S124" t="str">
        <f>IF(Table1[[#This Row],[Years_Experience]]&lt;=5,"Early Career",
IF(Table1[[#This Row],[Years_Experience]]&lt;=15,"Mid Career","Senior Level"))</f>
        <v>Mid Career</v>
      </c>
      <c r="T124" t="str">
        <f>IF(Table1[[#This Row],[AI_Exposure_Index]]&gt;=0.7,"High Exposure", IF(Table1[[#This Row],[AI_Exposure_Index]]&gt;=0.3,"Medium Exposure","Low Exposure"))</f>
        <v>Medium Exposure</v>
      </c>
    </row>
    <row r="125" spans="1:20" x14ac:dyDescent="0.25">
      <c r="A125" t="s">
        <v>42</v>
      </c>
      <c r="B125">
        <v>128723</v>
      </c>
      <c r="C125" s="1">
        <v>27</v>
      </c>
      <c r="D125" t="s">
        <v>25</v>
      </c>
      <c r="E125" s="7">
        <v>1.22</v>
      </c>
      <c r="F125" s="2">
        <v>0.85</v>
      </c>
      <c r="G125" s="7">
        <v>0.62</v>
      </c>
      <c r="H125" s="9" t="s">
        <v>27</v>
      </c>
      <c r="I125">
        <v>0.4</v>
      </c>
      <c r="J125">
        <v>0.65</v>
      </c>
      <c r="K125">
        <v>0.35</v>
      </c>
      <c r="L125">
        <v>0.53</v>
      </c>
      <c r="M125">
        <v>0.48</v>
      </c>
      <c r="N125">
        <v>0.18</v>
      </c>
      <c r="O125">
        <v>0.39</v>
      </c>
      <c r="P125">
        <v>0.96</v>
      </c>
      <c r="Q125">
        <v>0.25</v>
      </c>
      <c r="R125" s="2">
        <v>0.13</v>
      </c>
      <c r="S125" t="str">
        <f>IF(Table1[[#This Row],[Years_Experience]]&lt;=5,"Early Career",
IF(Table1[[#This Row],[Years_Experience]]&lt;=15,"Mid Career","Senior Level"))</f>
        <v>Senior Level</v>
      </c>
      <c r="T125" t="str">
        <f>IF(Table1[[#This Row],[AI_Exposure_Index]]&gt;=0.7,"High Exposure", IF(Table1[[#This Row],[AI_Exposure_Index]]&gt;=0.3,"Medium Exposure","Low Exposure"))</f>
        <v>High Exposure</v>
      </c>
    </row>
    <row r="126" spans="1:20" x14ac:dyDescent="0.25">
      <c r="A126" t="s">
        <v>28</v>
      </c>
      <c r="B126">
        <v>36548</v>
      </c>
      <c r="C126" s="1">
        <v>21</v>
      </c>
      <c r="D126" t="s">
        <v>38</v>
      </c>
      <c r="E126" s="7">
        <v>1.08</v>
      </c>
      <c r="F126" s="2">
        <v>0.79</v>
      </c>
      <c r="G126" s="7">
        <v>0.56999999999999995</v>
      </c>
      <c r="H126" s="9" t="s">
        <v>27</v>
      </c>
      <c r="I126">
        <v>0.19</v>
      </c>
      <c r="J126">
        <v>0.62</v>
      </c>
      <c r="K126">
        <v>0.32</v>
      </c>
      <c r="L126">
        <v>0.83</v>
      </c>
      <c r="M126">
        <v>0.63</v>
      </c>
      <c r="N126">
        <v>0.2</v>
      </c>
      <c r="O126">
        <v>0.06</v>
      </c>
      <c r="P126">
        <v>0.04</v>
      </c>
      <c r="Q126">
        <v>0.37</v>
      </c>
      <c r="R126" s="2">
        <v>0.27</v>
      </c>
      <c r="S126" t="str">
        <f>IF(Table1[[#This Row],[Years_Experience]]&lt;=5,"Early Career",
IF(Table1[[#This Row],[Years_Experience]]&lt;=15,"Mid Career","Senior Level"))</f>
        <v>Senior Level</v>
      </c>
      <c r="T126" t="str">
        <f>IF(Table1[[#This Row],[AI_Exposure_Index]]&gt;=0.7,"High Exposure", IF(Table1[[#This Row],[AI_Exposure_Index]]&gt;=0.3,"Medium Exposure","Low Exposure"))</f>
        <v>High Exposure</v>
      </c>
    </row>
    <row r="127" spans="1:20" x14ac:dyDescent="0.25">
      <c r="A127" t="s">
        <v>21</v>
      </c>
      <c r="B127">
        <v>40634</v>
      </c>
      <c r="C127" s="1">
        <v>20</v>
      </c>
      <c r="D127" t="s">
        <v>22</v>
      </c>
      <c r="E127" s="7">
        <v>0.6</v>
      </c>
      <c r="F127" s="2">
        <v>0.84</v>
      </c>
      <c r="G127" s="7">
        <v>0.17</v>
      </c>
      <c r="H127" s="9" t="s">
        <v>23</v>
      </c>
      <c r="I127">
        <v>0.15</v>
      </c>
      <c r="J127">
        <v>0.32</v>
      </c>
      <c r="K127">
        <v>0.74</v>
      </c>
      <c r="L127">
        <v>0.48</v>
      </c>
      <c r="M127">
        <v>0.38</v>
      </c>
      <c r="N127">
        <v>0.39</v>
      </c>
      <c r="O127">
        <v>0.46</v>
      </c>
      <c r="P127">
        <v>0.79</v>
      </c>
      <c r="Q127">
        <v>0.89</v>
      </c>
      <c r="R127" s="2">
        <v>0.96</v>
      </c>
      <c r="S127" t="str">
        <f>IF(Table1[[#This Row],[Years_Experience]]&lt;=5,"Early Career",
IF(Table1[[#This Row],[Years_Experience]]&lt;=15,"Mid Career","Senior Level"))</f>
        <v>Senior Level</v>
      </c>
      <c r="T127" t="str">
        <f>IF(Table1[[#This Row],[AI_Exposure_Index]]&gt;=0.7,"High Exposure", IF(Table1[[#This Row],[AI_Exposure_Index]]&gt;=0.3,"Medium Exposure","Low Exposure"))</f>
        <v>High Exposure</v>
      </c>
    </row>
    <row r="128" spans="1:20" x14ac:dyDescent="0.25">
      <c r="A128" t="s">
        <v>32</v>
      </c>
      <c r="B128">
        <v>62784</v>
      </c>
      <c r="C128" s="1">
        <v>23</v>
      </c>
      <c r="D128" t="s">
        <v>19</v>
      </c>
      <c r="E128" s="7">
        <v>1.19</v>
      </c>
      <c r="F128" s="2">
        <v>0.32</v>
      </c>
      <c r="G128" s="7">
        <v>0.48</v>
      </c>
      <c r="H128" s="9" t="s">
        <v>27</v>
      </c>
      <c r="I128">
        <v>0.25</v>
      </c>
      <c r="J128">
        <v>0.84</v>
      </c>
      <c r="K128">
        <v>0.04</v>
      </c>
      <c r="L128">
        <v>0.9</v>
      </c>
      <c r="M128">
        <v>0.46</v>
      </c>
      <c r="N128">
        <v>0.64</v>
      </c>
      <c r="O128">
        <v>0.66</v>
      </c>
      <c r="P128">
        <v>0.9</v>
      </c>
      <c r="Q128">
        <v>0.64</v>
      </c>
      <c r="R128" s="2">
        <v>0.61</v>
      </c>
      <c r="S128" t="str">
        <f>IF(Table1[[#This Row],[Years_Experience]]&lt;=5,"Early Career",
IF(Table1[[#This Row],[Years_Experience]]&lt;=15,"Mid Career","Senior Level"))</f>
        <v>Senior Level</v>
      </c>
      <c r="T128" t="str">
        <f>IF(Table1[[#This Row],[AI_Exposure_Index]]&gt;=0.7,"High Exposure", IF(Table1[[#This Row],[AI_Exposure_Index]]&gt;=0.3,"Medium Exposure","Low Exposure"))</f>
        <v>Medium Exposure</v>
      </c>
    </row>
    <row r="129" spans="1:20" x14ac:dyDescent="0.25">
      <c r="A129" t="s">
        <v>43</v>
      </c>
      <c r="B129">
        <v>37099</v>
      </c>
      <c r="C129" s="1">
        <v>22</v>
      </c>
      <c r="D129" t="s">
        <v>25</v>
      </c>
      <c r="E129" s="7">
        <v>0.65</v>
      </c>
      <c r="F129" s="2">
        <v>0.52</v>
      </c>
      <c r="G129" s="7">
        <v>0.23</v>
      </c>
      <c r="H129" s="9" t="s">
        <v>23</v>
      </c>
      <c r="I129">
        <v>0.51</v>
      </c>
      <c r="J129">
        <v>0.68</v>
      </c>
      <c r="K129">
        <v>0.04</v>
      </c>
      <c r="L129">
        <v>0.08</v>
      </c>
      <c r="M129">
        <v>0.72</v>
      </c>
      <c r="N129">
        <v>7.0000000000000007E-2</v>
      </c>
      <c r="O129">
        <v>7.0000000000000007E-2</v>
      </c>
      <c r="P129">
        <v>0.01</v>
      </c>
      <c r="Q129">
        <v>0.96</v>
      </c>
      <c r="R129" s="2">
        <v>0.74</v>
      </c>
      <c r="S129" t="str">
        <f>IF(Table1[[#This Row],[Years_Experience]]&lt;=5,"Early Career",
IF(Table1[[#This Row],[Years_Experience]]&lt;=15,"Mid Career","Senior Level"))</f>
        <v>Senior Level</v>
      </c>
      <c r="T129" t="str">
        <f>IF(Table1[[#This Row],[AI_Exposure_Index]]&gt;=0.7,"High Exposure", IF(Table1[[#This Row],[AI_Exposure_Index]]&gt;=0.3,"Medium Exposure","Low Exposure"))</f>
        <v>Medium Exposure</v>
      </c>
    </row>
    <row r="130" spans="1:20" x14ac:dyDescent="0.25">
      <c r="A130" t="s">
        <v>37</v>
      </c>
      <c r="B130">
        <v>74857</v>
      </c>
      <c r="C130" s="1">
        <v>13</v>
      </c>
      <c r="D130" t="s">
        <v>38</v>
      </c>
      <c r="E130" s="7">
        <v>1.47</v>
      </c>
      <c r="F130" s="2">
        <v>0.99</v>
      </c>
      <c r="G130" s="7">
        <v>0.68</v>
      </c>
      <c r="H130" s="9" t="s">
        <v>27</v>
      </c>
      <c r="I130">
        <v>0.78</v>
      </c>
      <c r="J130">
        <v>0.35</v>
      </c>
      <c r="K130">
        <v>0.41</v>
      </c>
      <c r="L130">
        <v>0.55000000000000004</v>
      </c>
      <c r="M130">
        <v>0.83</v>
      </c>
      <c r="N130">
        <v>7.0000000000000007E-2</v>
      </c>
      <c r="O130">
        <v>0.42</v>
      </c>
      <c r="P130">
        <v>0.08</v>
      </c>
      <c r="Q130">
        <v>0.51</v>
      </c>
      <c r="R130" s="2">
        <v>0.9</v>
      </c>
      <c r="S130" t="str">
        <f>IF(Table1[[#This Row],[Years_Experience]]&lt;=5,"Early Career",
IF(Table1[[#This Row],[Years_Experience]]&lt;=15,"Mid Career","Senior Level"))</f>
        <v>Mid Career</v>
      </c>
      <c r="T130" t="str">
        <f>IF(Table1[[#This Row],[AI_Exposure_Index]]&gt;=0.7,"High Exposure", IF(Table1[[#This Row],[AI_Exposure_Index]]&gt;=0.3,"Medium Exposure","Low Exposure"))</f>
        <v>High Exposure</v>
      </c>
    </row>
    <row r="131" spans="1:20" x14ac:dyDescent="0.25">
      <c r="A131" t="s">
        <v>36</v>
      </c>
      <c r="B131">
        <v>91063</v>
      </c>
      <c r="C131" s="1">
        <v>7</v>
      </c>
      <c r="D131" t="s">
        <v>19</v>
      </c>
      <c r="E131" s="7">
        <v>0.88</v>
      </c>
      <c r="F131" s="2">
        <v>0.62</v>
      </c>
      <c r="G131" s="7">
        <v>0.38</v>
      </c>
      <c r="H131" s="9" t="s">
        <v>27</v>
      </c>
      <c r="I131">
        <v>0.12</v>
      </c>
      <c r="J131">
        <v>0.62</v>
      </c>
      <c r="K131">
        <v>0.77</v>
      </c>
      <c r="L131">
        <v>0.64</v>
      </c>
      <c r="M131">
        <v>0.53</v>
      </c>
      <c r="N131">
        <v>0.04</v>
      </c>
      <c r="O131">
        <v>0.97</v>
      </c>
      <c r="P131">
        <v>0.8</v>
      </c>
      <c r="Q131">
        <v>0.28999999999999998</v>
      </c>
      <c r="R131" s="2">
        <v>0.98</v>
      </c>
      <c r="S131" t="str">
        <f>IF(Table1[[#This Row],[Years_Experience]]&lt;=5,"Early Career",
IF(Table1[[#This Row],[Years_Experience]]&lt;=15,"Mid Career","Senior Level"))</f>
        <v>Mid Career</v>
      </c>
      <c r="T131" t="str">
        <f>IF(Table1[[#This Row],[AI_Exposure_Index]]&gt;=0.7,"High Exposure", IF(Table1[[#This Row],[AI_Exposure_Index]]&gt;=0.3,"Medium Exposure","Low Exposure"))</f>
        <v>Medium Exposure</v>
      </c>
    </row>
    <row r="132" spans="1:20" x14ac:dyDescent="0.25">
      <c r="A132" t="s">
        <v>18</v>
      </c>
      <c r="B132">
        <v>89765</v>
      </c>
      <c r="C132" s="1">
        <v>12</v>
      </c>
      <c r="D132" t="s">
        <v>22</v>
      </c>
      <c r="E132" s="7">
        <v>1.25</v>
      </c>
      <c r="F132" s="2">
        <v>0.57999999999999996</v>
      </c>
      <c r="G132" s="7">
        <v>0.9</v>
      </c>
      <c r="H132" s="9" t="s">
        <v>20</v>
      </c>
      <c r="I132">
        <v>0.66</v>
      </c>
      <c r="J132">
        <v>0.13</v>
      </c>
      <c r="K132">
        <v>0.34</v>
      </c>
      <c r="L132">
        <v>0.93</v>
      </c>
      <c r="M132">
        <v>0.22</v>
      </c>
      <c r="N132">
        <v>0.37</v>
      </c>
      <c r="O132">
        <v>0.43</v>
      </c>
      <c r="P132">
        <v>0.44</v>
      </c>
      <c r="Q132">
        <v>0.61</v>
      </c>
      <c r="R132" s="2">
        <v>0.94</v>
      </c>
      <c r="S132" t="str">
        <f>IF(Table1[[#This Row],[Years_Experience]]&lt;=5,"Early Career",
IF(Table1[[#This Row],[Years_Experience]]&lt;=15,"Mid Career","Senior Level"))</f>
        <v>Mid Career</v>
      </c>
      <c r="T132" t="str">
        <f>IF(Table1[[#This Row],[AI_Exposure_Index]]&gt;=0.7,"High Exposure", IF(Table1[[#This Row],[AI_Exposure_Index]]&gt;=0.3,"Medium Exposure","Low Exposure"))</f>
        <v>Medium Exposure</v>
      </c>
    </row>
    <row r="133" spans="1:20" x14ac:dyDescent="0.25">
      <c r="A133" t="s">
        <v>30</v>
      </c>
      <c r="B133">
        <v>32461</v>
      </c>
      <c r="C133" s="1">
        <v>19</v>
      </c>
      <c r="D133" t="s">
        <v>25</v>
      </c>
      <c r="E133" s="7">
        <v>0.7</v>
      </c>
      <c r="F133" s="2">
        <v>0.12</v>
      </c>
      <c r="G133" s="7">
        <v>0.65</v>
      </c>
      <c r="H133" s="9" t="s">
        <v>27</v>
      </c>
      <c r="I133">
        <v>0.65</v>
      </c>
      <c r="J133">
        <v>0.28999999999999998</v>
      </c>
      <c r="K133">
        <v>0.82</v>
      </c>
      <c r="L133">
        <v>0.86</v>
      </c>
      <c r="M133">
        <v>0.85</v>
      </c>
      <c r="N133">
        <v>0.92</v>
      </c>
      <c r="O133">
        <v>0.25</v>
      </c>
      <c r="P133">
        <v>0.76</v>
      </c>
      <c r="Q133">
        <v>0.46</v>
      </c>
      <c r="R133" s="2">
        <v>0.84</v>
      </c>
      <c r="S133" t="str">
        <f>IF(Table1[[#This Row],[Years_Experience]]&lt;=5,"Early Career",
IF(Table1[[#This Row],[Years_Experience]]&lt;=15,"Mid Career","Senior Level"))</f>
        <v>Senior Level</v>
      </c>
      <c r="T133" t="str">
        <f>IF(Table1[[#This Row],[AI_Exposure_Index]]&gt;=0.7,"High Exposure", IF(Table1[[#This Row],[AI_Exposure_Index]]&gt;=0.3,"Medium Exposure","Low Exposure"))</f>
        <v>Low Exposure</v>
      </c>
    </row>
    <row r="134" spans="1:20" x14ac:dyDescent="0.25">
      <c r="A134" t="s">
        <v>31</v>
      </c>
      <c r="B134">
        <v>53911</v>
      </c>
      <c r="C134" s="1">
        <v>13</v>
      </c>
      <c r="D134" t="s">
        <v>19</v>
      </c>
      <c r="E134" s="7">
        <v>1.1599999999999999</v>
      </c>
      <c r="F134" s="2">
        <v>0.78</v>
      </c>
      <c r="G134" s="7">
        <v>0.09</v>
      </c>
      <c r="H134" s="9" t="s">
        <v>23</v>
      </c>
      <c r="I134">
        <v>0.55000000000000004</v>
      </c>
      <c r="J134">
        <v>0.98</v>
      </c>
      <c r="K134">
        <v>0.94</v>
      </c>
      <c r="L134">
        <v>0.04</v>
      </c>
      <c r="M134">
        <v>0.16</v>
      </c>
      <c r="N134">
        <v>0.13</v>
      </c>
      <c r="O134">
        <v>0.73</v>
      </c>
      <c r="P134">
        <v>0.82</v>
      </c>
      <c r="Q134">
        <v>0.21</v>
      </c>
      <c r="R134" s="2">
        <v>0.51</v>
      </c>
      <c r="S134" t="str">
        <f>IF(Table1[[#This Row],[Years_Experience]]&lt;=5,"Early Career",
IF(Table1[[#This Row],[Years_Experience]]&lt;=15,"Mid Career","Senior Level"))</f>
        <v>Mid Career</v>
      </c>
      <c r="T134" t="str">
        <f>IF(Table1[[#This Row],[AI_Exposure_Index]]&gt;=0.7,"High Exposure", IF(Table1[[#This Row],[AI_Exposure_Index]]&gt;=0.3,"Medium Exposure","Low Exposure"))</f>
        <v>High Exposure</v>
      </c>
    </row>
    <row r="135" spans="1:20" x14ac:dyDescent="0.25">
      <c r="A135" t="s">
        <v>28</v>
      </c>
      <c r="B135">
        <v>50567</v>
      </c>
      <c r="C135" s="1">
        <v>11</v>
      </c>
      <c r="D135" t="s">
        <v>38</v>
      </c>
      <c r="E135" s="7">
        <v>1.04</v>
      </c>
      <c r="F135" s="2">
        <v>0.73</v>
      </c>
      <c r="G135" s="7">
        <v>0.54</v>
      </c>
      <c r="H135" s="9" t="s">
        <v>27</v>
      </c>
      <c r="I135">
        <v>0.51</v>
      </c>
      <c r="J135">
        <v>0.3</v>
      </c>
      <c r="K135">
        <v>0.56999999999999995</v>
      </c>
      <c r="L135">
        <v>0.69</v>
      </c>
      <c r="M135">
        <v>0.87</v>
      </c>
      <c r="N135">
        <v>0.64</v>
      </c>
      <c r="O135">
        <v>0.76</v>
      </c>
      <c r="P135">
        <v>0.16</v>
      </c>
      <c r="Q135">
        <v>0.46</v>
      </c>
      <c r="R135" s="2">
        <v>0.01</v>
      </c>
      <c r="S135" t="str">
        <f>IF(Table1[[#This Row],[Years_Experience]]&lt;=5,"Early Career",
IF(Table1[[#This Row],[Years_Experience]]&lt;=15,"Mid Career","Senior Level"))</f>
        <v>Mid Career</v>
      </c>
      <c r="T135" t="str">
        <f>IF(Table1[[#This Row],[AI_Exposure_Index]]&gt;=0.7,"High Exposure", IF(Table1[[#This Row],[AI_Exposure_Index]]&gt;=0.3,"Medium Exposure","Low Exposure"))</f>
        <v>High Exposure</v>
      </c>
    </row>
    <row r="136" spans="1:20" x14ac:dyDescent="0.25">
      <c r="A136" t="s">
        <v>44</v>
      </c>
      <c r="B136">
        <v>52656</v>
      </c>
      <c r="C136" s="1">
        <v>11</v>
      </c>
      <c r="D136" t="s">
        <v>38</v>
      </c>
      <c r="E136" s="7">
        <v>1.49</v>
      </c>
      <c r="F136" s="2">
        <v>0.73</v>
      </c>
      <c r="G136" s="7">
        <v>0.34</v>
      </c>
      <c r="H136" s="9" t="s">
        <v>27</v>
      </c>
      <c r="I136">
        <v>0.4</v>
      </c>
      <c r="J136">
        <v>0.8</v>
      </c>
      <c r="K136">
        <v>0.2</v>
      </c>
      <c r="L136">
        <v>0.56000000000000005</v>
      </c>
      <c r="M136">
        <v>0.73</v>
      </c>
      <c r="N136">
        <v>0.62</v>
      </c>
      <c r="O136">
        <v>0.19</v>
      </c>
      <c r="P136">
        <v>0.36</v>
      </c>
      <c r="Q136">
        <v>0.78</v>
      </c>
      <c r="R136" s="2">
        <v>0.55000000000000004</v>
      </c>
      <c r="S136" t="str">
        <f>IF(Table1[[#This Row],[Years_Experience]]&lt;=5,"Early Career",
IF(Table1[[#This Row],[Years_Experience]]&lt;=15,"Mid Career","Senior Level"))</f>
        <v>Mid Career</v>
      </c>
      <c r="T136" t="str">
        <f>IF(Table1[[#This Row],[AI_Exposure_Index]]&gt;=0.7,"High Exposure", IF(Table1[[#This Row],[AI_Exposure_Index]]&gt;=0.3,"Medium Exposure","Low Exposure"))</f>
        <v>High Exposure</v>
      </c>
    </row>
    <row r="137" spans="1:20" x14ac:dyDescent="0.25">
      <c r="A137" t="s">
        <v>21</v>
      </c>
      <c r="B137">
        <v>77701</v>
      </c>
      <c r="C137" s="1">
        <v>9</v>
      </c>
      <c r="D137" t="s">
        <v>38</v>
      </c>
      <c r="E137" s="7">
        <v>0.54</v>
      </c>
      <c r="F137" s="2">
        <v>0.76</v>
      </c>
      <c r="G137" s="7">
        <v>0.24</v>
      </c>
      <c r="H137" s="9" t="s">
        <v>23</v>
      </c>
      <c r="I137">
        <v>0.2</v>
      </c>
      <c r="J137">
        <v>0.96</v>
      </c>
      <c r="K137">
        <v>0.37</v>
      </c>
      <c r="L137">
        <v>0.33</v>
      </c>
      <c r="M137">
        <v>0.15</v>
      </c>
      <c r="N137">
        <v>0.31</v>
      </c>
      <c r="O137">
        <v>0.88</v>
      </c>
      <c r="P137">
        <v>1</v>
      </c>
      <c r="Q137">
        <v>0.37</v>
      </c>
      <c r="R137" s="2">
        <v>0.45</v>
      </c>
      <c r="S137" t="str">
        <f>IF(Table1[[#This Row],[Years_Experience]]&lt;=5,"Early Career",
IF(Table1[[#This Row],[Years_Experience]]&lt;=15,"Mid Career","Senior Level"))</f>
        <v>Mid Career</v>
      </c>
      <c r="T137" t="str">
        <f>IF(Table1[[#This Row],[AI_Exposure_Index]]&gt;=0.7,"High Exposure", IF(Table1[[#This Row],[AI_Exposure_Index]]&gt;=0.3,"Medium Exposure","Low Exposure"))</f>
        <v>High Exposure</v>
      </c>
    </row>
    <row r="138" spans="1:20" x14ac:dyDescent="0.25">
      <c r="A138" t="s">
        <v>37</v>
      </c>
      <c r="B138">
        <v>137539</v>
      </c>
      <c r="C138" s="1">
        <v>9</v>
      </c>
      <c r="D138" t="s">
        <v>25</v>
      </c>
      <c r="E138" s="7">
        <v>1.0900000000000001</v>
      </c>
      <c r="F138" s="2">
        <v>0.89</v>
      </c>
      <c r="G138" s="7">
        <v>0.46</v>
      </c>
      <c r="H138" s="9" t="s">
        <v>27</v>
      </c>
      <c r="I138">
        <v>0.41</v>
      </c>
      <c r="J138">
        <v>0.7</v>
      </c>
      <c r="K138">
        <v>0</v>
      </c>
      <c r="L138">
        <v>0.62</v>
      </c>
      <c r="M138">
        <v>0.36</v>
      </c>
      <c r="N138">
        <v>0.79</v>
      </c>
      <c r="O138">
        <v>0.09</v>
      </c>
      <c r="P138">
        <v>0.59</v>
      </c>
      <c r="Q138">
        <v>0.48</v>
      </c>
      <c r="R138" s="2">
        <v>0.64</v>
      </c>
      <c r="S138" t="str">
        <f>IF(Table1[[#This Row],[Years_Experience]]&lt;=5,"Early Career",
IF(Table1[[#This Row],[Years_Experience]]&lt;=15,"Mid Career","Senior Level"))</f>
        <v>Mid Career</v>
      </c>
      <c r="T138" t="str">
        <f>IF(Table1[[#This Row],[AI_Exposure_Index]]&gt;=0.7,"High Exposure", IF(Table1[[#This Row],[AI_Exposure_Index]]&gt;=0.3,"Medium Exposure","Low Exposure"))</f>
        <v>High Exposure</v>
      </c>
    </row>
    <row r="139" spans="1:20" x14ac:dyDescent="0.25">
      <c r="A139" t="s">
        <v>21</v>
      </c>
      <c r="B139">
        <v>46087</v>
      </c>
      <c r="C139" s="1">
        <v>4</v>
      </c>
      <c r="D139" t="s">
        <v>25</v>
      </c>
      <c r="E139" s="7">
        <v>1.06</v>
      </c>
      <c r="F139" s="2">
        <v>0.57999999999999996</v>
      </c>
      <c r="G139" s="7">
        <v>0.19</v>
      </c>
      <c r="H139" s="9" t="s">
        <v>23</v>
      </c>
      <c r="I139">
        <v>0.6</v>
      </c>
      <c r="J139">
        <v>0.68</v>
      </c>
      <c r="K139">
        <v>0.8</v>
      </c>
      <c r="L139">
        <v>0.27</v>
      </c>
      <c r="M139">
        <v>0.83</v>
      </c>
      <c r="N139">
        <v>0.5</v>
      </c>
      <c r="O139">
        <v>0.08</v>
      </c>
      <c r="P139">
        <v>0.06</v>
      </c>
      <c r="Q139">
        <v>0.33</v>
      </c>
      <c r="R139" s="2">
        <v>0.78</v>
      </c>
      <c r="S139" t="str">
        <f>IF(Table1[[#This Row],[Years_Experience]]&lt;=5,"Early Career",
IF(Table1[[#This Row],[Years_Experience]]&lt;=15,"Mid Career","Senior Level"))</f>
        <v>Early Career</v>
      </c>
      <c r="T139" t="str">
        <f>IF(Table1[[#This Row],[AI_Exposure_Index]]&gt;=0.7,"High Exposure", IF(Table1[[#This Row],[AI_Exposure_Index]]&gt;=0.3,"Medium Exposure","Low Exposure"))</f>
        <v>Medium Exposure</v>
      </c>
    </row>
    <row r="140" spans="1:20" x14ac:dyDescent="0.25">
      <c r="A140" t="s">
        <v>35</v>
      </c>
      <c r="B140">
        <v>67861</v>
      </c>
      <c r="C140" s="1">
        <v>20</v>
      </c>
      <c r="D140" t="s">
        <v>22</v>
      </c>
      <c r="E140" s="7">
        <v>1.02</v>
      </c>
      <c r="F140" s="2">
        <v>0.79</v>
      </c>
      <c r="G140" s="7">
        <v>0.48</v>
      </c>
      <c r="H140" s="9" t="s">
        <v>27</v>
      </c>
      <c r="I140">
        <v>0.15</v>
      </c>
      <c r="J140">
        <v>0.33</v>
      </c>
      <c r="K140">
        <v>0.43</v>
      </c>
      <c r="L140">
        <v>0.09</v>
      </c>
      <c r="M140">
        <v>0.22</v>
      </c>
      <c r="N140">
        <v>0.6</v>
      </c>
      <c r="O140">
        <v>0.74</v>
      </c>
      <c r="P140">
        <v>1</v>
      </c>
      <c r="Q140">
        <v>0.93</v>
      </c>
      <c r="R140" s="2">
        <v>0.64</v>
      </c>
      <c r="S140" t="str">
        <f>IF(Table1[[#This Row],[Years_Experience]]&lt;=5,"Early Career",
IF(Table1[[#This Row],[Years_Experience]]&lt;=15,"Mid Career","Senior Level"))</f>
        <v>Senior Level</v>
      </c>
      <c r="T140" t="str">
        <f>IF(Table1[[#This Row],[AI_Exposure_Index]]&gt;=0.7,"High Exposure", IF(Table1[[#This Row],[AI_Exposure_Index]]&gt;=0.3,"Medium Exposure","Low Exposure"))</f>
        <v>High Exposure</v>
      </c>
    </row>
    <row r="141" spans="1:20" x14ac:dyDescent="0.25">
      <c r="A141" t="s">
        <v>24</v>
      </c>
      <c r="B141">
        <v>89792</v>
      </c>
      <c r="C141" s="1">
        <v>5</v>
      </c>
      <c r="D141" t="s">
        <v>19</v>
      </c>
      <c r="E141" s="7">
        <v>1.29</v>
      </c>
      <c r="F141" s="2">
        <v>0.64</v>
      </c>
      <c r="G141" s="7">
        <v>0.73</v>
      </c>
      <c r="H141" s="9" t="s">
        <v>20</v>
      </c>
      <c r="I141">
        <v>0.41</v>
      </c>
      <c r="J141">
        <v>0.84</v>
      </c>
      <c r="K141">
        <v>0.38</v>
      </c>
      <c r="L141">
        <v>0.56999999999999995</v>
      </c>
      <c r="M141">
        <v>0.59</v>
      </c>
      <c r="N141">
        <v>0.18</v>
      </c>
      <c r="O141">
        <v>0.36</v>
      </c>
      <c r="P141">
        <v>0.33</v>
      </c>
      <c r="Q141">
        <v>0.03</v>
      </c>
      <c r="R141" s="2">
        <v>0.02</v>
      </c>
      <c r="S141" t="str">
        <f>IF(Table1[[#This Row],[Years_Experience]]&lt;=5,"Early Career",
IF(Table1[[#This Row],[Years_Experience]]&lt;=15,"Mid Career","Senior Level"))</f>
        <v>Early Career</v>
      </c>
      <c r="T141" t="str">
        <f>IF(Table1[[#This Row],[AI_Exposure_Index]]&gt;=0.7,"High Exposure", IF(Table1[[#This Row],[AI_Exposure_Index]]&gt;=0.3,"Medium Exposure","Low Exposure"))</f>
        <v>Medium Exposure</v>
      </c>
    </row>
    <row r="142" spans="1:20" x14ac:dyDescent="0.25">
      <c r="A142" t="s">
        <v>42</v>
      </c>
      <c r="B142">
        <v>36397</v>
      </c>
      <c r="C142" s="1">
        <v>21</v>
      </c>
      <c r="D142" t="s">
        <v>38</v>
      </c>
      <c r="E142" s="7">
        <v>1.02</v>
      </c>
      <c r="F142" s="2">
        <v>0.27</v>
      </c>
      <c r="G142" s="7">
        <v>0.42</v>
      </c>
      <c r="H142" s="9" t="s">
        <v>27</v>
      </c>
      <c r="I142">
        <v>0.94</v>
      </c>
      <c r="J142">
        <v>0.26</v>
      </c>
      <c r="K142">
        <v>0.43</v>
      </c>
      <c r="L142">
        <v>0.87</v>
      </c>
      <c r="M142">
        <v>0.84</v>
      </c>
      <c r="N142">
        <v>0.19</v>
      </c>
      <c r="O142">
        <v>0.8</v>
      </c>
      <c r="P142">
        <v>0.46</v>
      </c>
      <c r="Q142">
        <v>0.48</v>
      </c>
      <c r="R142" s="2">
        <v>0.13</v>
      </c>
      <c r="S142" t="str">
        <f>IF(Table1[[#This Row],[Years_Experience]]&lt;=5,"Early Career",
IF(Table1[[#This Row],[Years_Experience]]&lt;=15,"Mid Career","Senior Level"))</f>
        <v>Senior Level</v>
      </c>
      <c r="T142" t="str">
        <f>IF(Table1[[#This Row],[AI_Exposure_Index]]&gt;=0.7,"High Exposure", IF(Table1[[#This Row],[AI_Exposure_Index]]&gt;=0.3,"Medium Exposure","Low Exposure"))</f>
        <v>Low Exposure</v>
      </c>
    </row>
    <row r="143" spans="1:20" x14ac:dyDescent="0.25">
      <c r="A143" t="s">
        <v>36</v>
      </c>
      <c r="B143">
        <v>49715</v>
      </c>
      <c r="C143" s="1">
        <v>29</v>
      </c>
      <c r="D143" t="s">
        <v>19</v>
      </c>
      <c r="E143" s="7">
        <v>1</v>
      </c>
      <c r="F143" s="2">
        <v>0.73</v>
      </c>
      <c r="G143" s="7">
        <v>0.47</v>
      </c>
      <c r="H143" s="9" t="s">
        <v>27</v>
      </c>
      <c r="I143">
        <v>0.73</v>
      </c>
      <c r="J143">
        <v>0.77</v>
      </c>
      <c r="K143">
        <v>0.16</v>
      </c>
      <c r="L143">
        <v>0.61</v>
      </c>
      <c r="M143">
        <v>0.14000000000000001</v>
      </c>
      <c r="N143">
        <v>0.75</v>
      </c>
      <c r="O143">
        <v>0.66</v>
      </c>
      <c r="P143">
        <v>0.96</v>
      </c>
      <c r="Q143">
        <v>7.0000000000000007E-2</v>
      </c>
      <c r="R143" s="2">
        <v>0.06</v>
      </c>
      <c r="S143" t="str">
        <f>IF(Table1[[#This Row],[Years_Experience]]&lt;=5,"Early Career",
IF(Table1[[#This Row],[Years_Experience]]&lt;=15,"Mid Career","Senior Level"))</f>
        <v>Senior Level</v>
      </c>
      <c r="T143" t="str">
        <f>IF(Table1[[#This Row],[AI_Exposure_Index]]&gt;=0.7,"High Exposure", IF(Table1[[#This Row],[AI_Exposure_Index]]&gt;=0.3,"Medium Exposure","Low Exposure"))</f>
        <v>High Exposure</v>
      </c>
    </row>
    <row r="144" spans="1:20" x14ac:dyDescent="0.25">
      <c r="A144" t="s">
        <v>35</v>
      </c>
      <c r="B144">
        <v>122573</v>
      </c>
      <c r="C144" s="1">
        <v>21</v>
      </c>
      <c r="D144" t="s">
        <v>25</v>
      </c>
      <c r="E144" s="7">
        <v>0.75</v>
      </c>
      <c r="F144" s="2">
        <v>0.26</v>
      </c>
      <c r="G144" s="7">
        <v>0.66</v>
      </c>
      <c r="H144" s="9" t="s">
        <v>27</v>
      </c>
      <c r="I144">
        <v>0.25</v>
      </c>
      <c r="J144">
        <v>0.27</v>
      </c>
      <c r="K144">
        <v>0.76</v>
      </c>
      <c r="L144">
        <v>0.45</v>
      </c>
      <c r="M144">
        <v>0.78</v>
      </c>
      <c r="N144">
        <v>7.0000000000000007E-2</v>
      </c>
      <c r="O144">
        <v>0.49</v>
      </c>
      <c r="P144">
        <v>0.03</v>
      </c>
      <c r="Q144">
        <v>0.06</v>
      </c>
      <c r="R144" s="2">
        <v>0.91</v>
      </c>
      <c r="S144" t="str">
        <f>IF(Table1[[#This Row],[Years_Experience]]&lt;=5,"Early Career",
IF(Table1[[#This Row],[Years_Experience]]&lt;=15,"Mid Career","Senior Level"))</f>
        <v>Senior Level</v>
      </c>
      <c r="T144" t="str">
        <f>IF(Table1[[#This Row],[AI_Exposure_Index]]&gt;=0.7,"High Exposure", IF(Table1[[#This Row],[AI_Exposure_Index]]&gt;=0.3,"Medium Exposure","Low Exposure"))</f>
        <v>Low Exposure</v>
      </c>
    </row>
    <row r="145" spans="1:20" x14ac:dyDescent="0.25">
      <c r="A145" t="s">
        <v>37</v>
      </c>
      <c r="B145">
        <v>133864</v>
      </c>
      <c r="C145" s="1">
        <v>20</v>
      </c>
      <c r="D145" t="s">
        <v>19</v>
      </c>
      <c r="E145" s="7">
        <v>0.91</v>
      </c>
      <c r="F145" s="2">
        <v>0.53</v>
      </c>
      <c r="G145" s="7">
        <v>0.44</v>
      </c>
      <c r="H145" s="9" t="s">
        <v>27</v>
      </c>
      <c r="I145">
        <v>0.9</v>
      </c>
      <c r="J145">
        <v>0.02</v>
      </c>
      <c r="K145">
        <v>0.66</v>
      </c>
      <c r="L145">
        <v>0.96</v>
      </c>
      <c r="M145">
        <v>0.56000000000000005</v>
      </c>
      <c r="N145">
        <v>0.94</v>
      </c>
      <c r="O145">
        <v>0.05</v>
      </c>
      <c r="P145">
        <v>0.42</v>
      </c>
      <c r="Q145">
        <v>0.26</v>
      </c>
      <c r="R145" s="2">
        <v>0.73</v>
      </c>
      <c r="S145" t="str">
        <f>IF(Table1[[#This Row],[Years_Experience]]&lt;=5,"Early Career",
IF(Table1[[#This Row],[Years_Experience]]&lt;=15,"Mid Career","Senior Level"))</f>
        <v>Senior Level</v>
      </c>
      <c r="T145" t="str">
        <f>IF(Table1[[#This Row],[AI_Exposure_Index]]&gt;=0.7,"High Exposure", IF(Table1[[#This Row],[AI_Exposure_Index]]&gt;=0.3,"Medium Exposure","Low Exposure"))</f>
        <v>Medium Exposure</v>
      </c>
    </row>
    <row r="146" spans="1:20" x14ac:dyDescent="0.25">
      <c r="A146" t="s">
        <v>42</v>
      </c>
      <c r="B146">
        <v>48745</v>
      </c>
      <c r="C146" s="1">
        <v>20</v>
      </c>
      <c r="D146" t="s">
        <v>19</v>
      </c>
      <c r="E146" s="7">
        <v>1.1499999999999999</v>
      </c>
      <c r="F146" s="2">
        <v>0.26</v>
      </c>
      <c r="G146" s="7">
        <v>0.38</v>
      </c>
      <c r="H146" s="9" t="s">
        <v>27</v>
      </c>
      <c r="I146">
        <v>0.56999999999999995</v>
      </c>
      <c r="J146">
        <v>0.46</v>
      </c>
      <c r="K146">
        <v>0.97</v>
      </c>
      <c r="L146">
        <v>0.61</v>
      </c>
      <c r="M146">
        <v>0.35</v>
      </c>
      <c r="N146">
        <v>0.11</v>
      </c>
      <c r="O146">
        <v>0.15</v>
      </c>
      <c r="P146">
        <v>0.23</v>
      </c>
      <c r="Q146">
        <v>0.25</v>
      </c>
      <c r="R146" s="2">
        <v>0.85</v>
      </c>
      <c r="S146" t="str">
        <f>IF(Table1[[#This Row],[Years_Experience]]&lt;=5,"Early Career",
IF(Table1[[#This Row],[Years_Experience]]&lt;=15,"Mid Career","Senior Level"))</f>
        <v>Senior Level</v>
      </c>
      <c r="T146" t="str">
        <f>IF(Table1[[#This Row],[AI_Exposure_Index]]&gt;=0.7,"High Exposure", IF(Table1[[#This Row],[AI_Exposure_Index]]&gt;=0.3,"Medium Exposure","Low Exposure"))</f>
        <v>Low Exposure</v>
      </c>
    </row>
    <row r="147" spans="1:20" x14ac:dyDescent="0.25">
      <c r="A147" t="s">
        <v>40</v>
      </c>
      <c r="B147">
        <v>49446</v>
      </c>
      <c r="C147" s="1">
        <v>0</v>
      </c>
      <c r="D147" t="s">
        <v>19</v>
      </c>
      <c r="E147" s="7">
        <v>0.61</v>
      </c>
      <c r="F147" s="2">
        <v>0.52</v>
      </c>
      <c r="G147" s="7">
        <v>0.27</v>
      </c>
      <c r="H147" s="9" t="s">
        <v>23</v>
      </c>
      <c r="I147">
        <v>0.72</v>
      </c>
      <c r="J147">
        <v>7.0000000000000007E-2</v>
      </c>
      <c r="K147">
        <v>0.71</v>
      </c>
      <c r="L147">
        <v>0.54</v>
      </c>
      <c r="M147">
        <v>0.08</v>
      </c>
      <c r="N147">
        <v>0.46</v>
      </c>
      <c r="O147">
        <v>0.48</v>
      </c>
      <c r="P147">
        <v>0.17</v>
      </c>
      <c r="Q147">
        <v>0.95</v>
      </c>
      <c r="R147" s="2">
        <v>0.85</v>
      </c>
      <c r="S147" t="str">
        <f>IF(Table1[[#This Row],[Years_Experience]]&lt;=5,"Early Career",
IF(Table1[[#This Row],[Years_Experience]]&lt;=15,"Mid Career","Senior Level"))</f>
        <v>Early Career</v>
      </c>
      <c r="T147" t="str">
        <f>IF(Table1[[#This Row],[AI_Exposure_Index]]&gt;=0.7,"High Exposure", IF(Table1[[#This Row],[AI_Exposure_Index]]&gt;=0.3,"Medium Exposure","Low Exposure"))</f>
        <v>Medium Exposure</v>
      </c>
    </row>
    <row r="148" spans="1:20" x14ac:dyDescent="0.25">
      <c r="A148" t="s">
        <v>43</v>
      </c>
      <c r="B148">
        <v>98673</v>
      </c>
      <c r="C148" s="1">
        <v>9</v>
      </c>
      <c r="D148" t="s">
        <v>19</v>
      </c>
      <c r="E148" s="7">
        <v>0.91</v>
      </c>
      <c r="F148" s="2">
        <v>0.46</v>
      </c>
      <c r="G148" s="7">
        <v>0.21</v>
      </c>
      <c r="H148" s="9" t="s">
        <v>23</v>
      </c>
      <c r="I148">
        <v>0.55000000000000004</v>
      </c>
      <c r="J148">
        <v>0.06</v>
      </c>
      <c r="K148">
        <v>0.51</v>
      </c>
      <c r="L148">
        <v>0.81</v>
      </c>
      <c r="M148">
        <v>0.46</v>
      </c>
      <c r="N148">
        <v>0.05</v>
      </c>
      <c r="O148">
        <v>0.79</v>
      </c>
      <c r="P148">
        <v>0.2</v>
      </c>
      <c r="Q148">
        <v>0.26</v>
      </c>
      <c r="R148" s="2">
        <v>0.16</v>
      </c>
      <c r="S148" t="str">
        <f>IF(Table1[[#This Row],[Years_Experience]]&lt;=5,"Early Career",
IF(Table1[[#This Row],[Years_Experience]]&lt;=15,"Mid Career","Senior Level"))</f>
        <v>Mid Career</v>
      </c>
      <c r="T148" t="str">
        <f>IF(Table1[[#This Row],[AI_Exposure_Index]]&gt;=0.7,"High Exposure", IF(Table1[[#This Row],[AI_Exposure_Index]]&gt;=0.3,"Medium Exposure","Low Exposure"))</f>
        <v>Medium Exposure</v>
      </c>
    </row>
    <row r="149" spans="1:20" x14ac:dyDescent="0.25">
      <c r="A149" t="s">
        <v>33</v>
      </c>
      <c r="B149">
        <v>93870</v>
      </c>
      <c r="C149" s="1">
        <v>3</v>
      </c>
      <c r="D149" t="s">
        <v>22</v>
      </c>
      <c r="E149" s="7">
        <v>1.02</v>
      </c>
      <c r="F149" s="2">
        <v>0.76</v>
      </c>
      <c r="G149" s="7">
        <v>0.75</v>
      </c>
      <c r="H149" s="9" t="s">
        <v>20</v>
      </c>
      <c r="I149">
        <v>0.88</v>
      </c>
      <c r="J149">
        <v>0.88</v>
      </c>
      <c r="K149">
        <v>0.87</v>
      </c>
      <c r="L149">
        <v>0.24</v>
      </c>
      <c r="M149">
        <v>0.45</v>
      </c>
      <c r="N149">
        <v>0.98</v>
      </c>
      <c r="O149">
        <v>0.77</v>
      </c>
      <c r="P149">
        <v>0.03</v>
      </c>
      <c r="Q149">
        <v>7.0000000000000007E-2</v>
      </c>
      <c r="R149" s="2">
        <v>0.46</v>
      </c>
      <c r="S149" t="str">
        <f>IF(Table1[[#This Row],[Years_Experience]]&lt;=5,"Early Career",
IF(Table1[[#This Row],[Years_Experience]]&lt;=15,"Mid Career","Senior Level"))</f>
        <v>Early Career</v>
      </c>
      <c r="T149" t="str">
        <f>IF(Table1[[#This Row],[AI_Exposure_Index]]&gt;=0.7,"High Exposure", IF(Table1[[#This Row],[AI_Exposure_Index]]&gt;=0.3,"Medium Exposure","Low Exposure"))</f>
        <v>High Exposure</v>
      </c>
    </row>
    <row r="150" spans="1:20" x14ac:dyDescent="0.25">
      <c r="A150" t="s">
        <v>28</v>
      </c>
      <c r="B150">
        <v>72951</v>
      </c>
      <c r="C150" s="1">
        <v>11</v>
      </c>
      <c r="D150" t="s">
        <v>25</v>
      </c>
      <c r="E150" s="7">
        <v>1</v>
      </c>
      <c r="F150" s="2">
        <v>0.54</v>
      </c>
      <c r="G150" s="7">
        <v>0.34</v>
      </c>
      <c r="H150" s="9" t="s">
        <v>27</v>
      </c>
      <c r="I150">
        <v>0.66</v>
      </c>
      <c r="J150">
        <v>0.82</v>
      </c>
      <c r="K150">
        <v>0.38</v>
      </c>
      <c r="L150">
        <v>0.78</v>
      </c>
      <c r="M150">
        <v>0.96</v>
      </c>
      <c r="N150">
        <v>0.2</v>
      </c>
      <c r="O150">
        <v>0.52</v>
      </c>
      <c r="P150">
        <v>0.28999999999999998</v>
      </c>
      <c r="Q150">
        <v>0.79</v>
      </c>
      <c r="R150" s="2">
        <v>0.57999999999999996</v>
      </c>
      <c r="S150" t="str">
        <f>IF(Table1[[#This Row],[Years_Experience]]&lt;=5,"Early Career",
IF(Table1[[#This Row],[Years_Experience]]&lt;=15,"Mid Career","Senior Level"))</f>
        <v>Mid Career</v>
      </c>
      <c r="T150" t="str">
        <f>IF(Table1[[#This Row],[AI_Exposure_Index]]&gt;=0.7,"High Exposure", IF(Table1[[#This Row],[AI_Exposure_Index]]&gt;=0.3,"Medium Exposure","Low Exposure"))</f>
        <v>Medium Exposure</v>
      </c>
    </row>
    <row r="151" spans="1:20" x14ac:dyDescent="0.25">
      <c r="A151" t="s">
        <v>24</v>
      </c>
      <c r="B151">
        <v>37239</v>
      </c>
      <c r="C151" s="1">
        <v>22</v>
      </c>
      <c r="D151" t="s">
        <v>25</v>
      </c>
      <c r="E151" s="7">
        <v>0.7</v>
      </c>
      <c r="F151" s="2">
        <v>0.64</v>
      </c>
      <c r="G151" s="7">
        <v>0.92</v>
      </c>
      <c r="H151" s="9" t="s">
        <v>20</v>
      </c>
      <c r="I151">
        <v>0.52</v>
      </c>
      <c r="J151">
        <v>0.45</v>
      </c>
      <c r="K151">
        <v>0.56000000000000005</v>
      </c>
      <c r="L151">
        <v>0.17</v>
      </c>
      <c r="M151">
        <v>0.61</v>
      </c>
      <c r="N151">
        <v>0.36</v>
      </c>
      <c r="O151">
        <v>0.9</v>
      </c>
      <c r="P151">
        <v>0.17</v>
      </c>
      <c r="Q151">
        <v>0.51</v>
      </c>
      <c r="R151" s="2">
        <v>0.6</v>
      </c>
      <c r="S151" t="str">
        <f>IF(Table1[[#This Row],[Years_Experience]]&lt;=5,"Early Career",
IF(Table1[[#This Row],[Years_Experience]]&lt;=15,"Mid Career","Senior Level"))</f>
        <v>Senior Level</v>
      </c>
      <c r="T151" t="str">
        <f>IF(Table1[[#This Row],[AI_Exposure_Index]]&gt;=0.7,"High Exposure", IF(Table1[[#This Row],[AI_Exposure_Index]]&gt;=0.3,"Medium Exposure","Low Exposure"))</f>
        <v>Medium Exposure</v>
      </c>
    </row>
    <row r="152" spans="1:20" x14ac:dyDescent="0.25">
      <c r="A152" t="s">
        <v>33</v>
      </c>
      <c r="B152">
        <v>149798</v>
      </c>
      <c r="C152" s="1">
        <v>7</v>
      </c>
      <c r="D152" t="s">
        <v>22</v>
      </c>
      <c r="E152" s="7">
        <v>1.1499999999999999</v>
      </c>
      <c r="F152" s="2">
        <v>0.89</v>
      </c>
      <c r="G152" s="7">
        <v>0.74</v>
      </c>
      <c r="H152" s="9" t="s">
        <v>20</v>
      </c>
      <c r="I152">
        <v>0.44</v>
      </c>
      <c r="J152">
        <v>0.62</v>
      </c>
      <c r="K152">
        <v>0.08</v>
      </c>
      <c r="L152">
        <v>0.88</v>
      </c>
      <c r="M152">
        <v>0.8</v>
      </c>
      <c r="N152">
        <v>0.51</v>
      </c>
      <c r="O152">
        <v>0.97</v>
      </c>
      <c r="P152">
        <v>0.42</v>
      </c>
      <c r="Q152">
        <v>0.98</v>
      </c>
      <c r="R152" s="2">
        <v>0.67</v>
      </c>
      <c r="S152" t="str">
        <f>IF(Table1[[#This Row],[Years_Experience]]&lt;=5,"Early Career",
IF(Table1[[#This Row],[Years_Experience]]&lt;=15,"Mid Career","Senior Level"))</f>
        <v>Mid Career</v>
      </c>
      <c r="T152" t="str">
        <f>IF(Table1[[#This Row],[AI_Exposure_Index]]&gt;=0.7,"High Exposure", IF(Table1[[#This Row],[AI_Exposure_Index]]&gt;=0.3,"Medium Exposure","Low Exposure"))</f>
        <v>High Exposure</v>
      </c>
    </row>
    <row r="153" spans="1:20" x14ac:dyDescent="0.25">
      <c r="A153" t="s">
        <v>18</v>
      </c>
      <c r="B153">
        <v>149052</v>
      </c>
      <c r="C153" s="1">
        <v>1</v>
      </c>
      <c r="D153" t="s">
        <v>38</v>
      </c>
      <c r="E153" s="7">
        <v>1.38</v>
      </c>
      <c r="F153" s="2">
        <v>0.17</v>
      </c>
      <c r="G153" s="7">
        <v>0.81</v>
      </c>
      <c r="H153" s="9" t="s">
        <v>20</v>
      </c>
      <c r="I153">
        <v>0.16</v>
      </c>
      <c r="J153">
        <v>0.01</v>
      </c>
      <c r="K153">
        <v>0.56000000000000005</v>
      </c>
      <c r="L153">
        <v>0.53</v>
      </c>
      <c r="M153">
        <v>0.72</v>
      </c>
      <c r="N153">
        <v>0.89</v>
      </c>
      <c r="O153">
        <v>0.08</v>
      </c>
      <c r="P153">
        <v>0.73</v>
      </c>
      <c r="Q153">
        <v>0.19</v>
      </c>
      <c r="R153" s="2">
        <v>0.86</v>
      </c>
      <c r="S153" t="str">
        <f>IF(Table1[[#This Row],[Years_Experience]]&lt;=5,"Early Career",
IF(Table1[[#This Row],[Years_Experience]]&lt;=15,"Mid Career","Senior Level"))</f>
        <v>Early Career</v>
      </c>
      <c r="T153" t="str">
        <f>IF(Table1[[#This Row],[AI_Exposure_Index]]&gt;=0.7,"High Exposure", IF(Table1[[#This Row],[AI_Exposure_Index]]&gt;=0.3,"Medium Exposure","Low Exposure"))</f>
        <v>Low Exposure</v>
      </c>
    </row>
    <row r="154" spans="1:20" x14ac:dyDescent="0.25">
      <c r="A154" t="s">
        <v>31</v>
      </c>
      <c r="B154">
        <v>39587</v>
      </c>
      <c r="C154" s="1">
        <v>5</v>
      </c>
      <c r="D154" t="s">
        <v>38</v>
      </c>
      <c r="E154" s="7">
        <v>1.21</v>
      </c>
      <c r="F154" s="2">
        <v>0.54</v>
      </c>
      <c r="G154" s="7">
        <v>0.13</v>
      </c>
      <c r="H154" s="9" t="s">
        <v>23</v>
      </c>
      <c r="I154">
        <v>0.47</v>
      </c>
      <c r="J154">
        <v>0.82</v>
      </c>
      <c r="K154">
        <v>0.46</v>
      </c>
      <c r="L154">
        <v>0.36</v>
      </c>
      <c r="M154">
        <v>0.49</v>
      </c>
      <c r="N154">
        <v>0.83</v>
      </c>
      <c r="O154">
        <v>0.34</v>
      </c>
      <c r="P154">
        <v>0.17</v>
      </c>
      <c r="Q154">
        <v>0.71</v>
      </c>
      <c r="R154" s="2">
        <v>0.83</v>
      </c>
      <c r="S154" t="str">
        <f>IF(Table1[[#This Row],[Years_Experience]]&lt;=5,"Early Career",
IF(Table1[[#This Row],[Years_Experience]]&lt;=15,"Mid Career","Senior Level"))</f>
        <v>Early Career</v>
      </c>
      <c r="T154" t="str">
        <f>IF(Table1[[#This Row],[AI_Exposure_Index]]&gt;=0.7,"High Exposure", IF(Table1[[#This Row],[AI_Exposure_Index]]&gt;=0.3,"Medium Exposure","Low Exposure"))</f>
        <v>Medium Exposure</v>
      </c>
    </row>
    <row r="155" spans="1:20" x14ac:dyDescent="0.25">
      <c r="A155" t="s">
        <v>44</v>
      </c>
      <c r="B155">
        <v>120301</v>
      </c>
      <c r="C155" s="1">
        <v>0</v>
      </c>
      <c r="D155" t="s">
        <v>19</v>
      </c>
      <c r="E155" s="7">
        <v>0.64</v>
      </c>
      <c r="F155" s="2">
        <v>0.24</v>
      </c>
      <c r="G155" s="7">
        <v>0.44</v>
      </c>
      <c r="H155" s="9" t="s">
        <v>27</v>
      </c>
      <c r="I155">
        <v>0.45</v>
      </c>
      <c r="J155">
        <v>0.75</v>
      </c>
      <c r="K155">
        <v>0.65</v>
      </c>
      <c r="L155">
        <v>0.62</v>
      </c>
      <c r="M155">
        <v>0.35</v>
      </c>
      <c r="N155">
        <v>0.84</v>
      </c>
      <c r="O155">
        <v>0.47</v>
      </c>
      <c r="P155">
        <v>0.98</v>
      </c>
      <c r="Q155">
        <v>0.63</v>
      </c>
      <c r="R155" s="2">
        <v>0.13</v>
      </c>
      <c r="S155" t="str">
        <f>IF(Table1[[#This Row],[Years_Experience]]&lt;=5,"Early Career",
IF(Table1[[#This Row],[Years_Experience]]&lt;=15,"Mid Career","Senior Level"))</f>
        <v>Early Career</v>
      </c>
      <c r="T155" t="str">
        <f>IF(Table1[[#This Row],[AI_Exposure_Index]]&gt;=0.7,"High Exposure", IF(Table1[[#This Row],[AI_Exposure_Index]]&gt;=0.3,"Medium Exposure","Low Exposure"))</f>
        <v>Low Exposure</v>
      </c>
    </row>
    <row r="156" spans="1:20" x14ac:dyDescent="0.25">
      <c r="A156" t="s">
        <v>32</v>
      </c>
      <c r="B156">
        <v>117969</v>
      </c>
      <c r="C156" s="1">
        <v>1</v>
      </c>
      <c r="D156" t="s">
        <v>22</v>
      </c>
      <c r="E156" s="7">
        <v>0.5</v>
      </c>
      <c r="F156" s="2">
        <v>0.31</v>
      </c>
      <c r="G156" s="7">
        <v>0.56999999999999995</v>
      </c>
      <c r="H156" s="9" t="s">
        <v>27</v>
      </c>
      <c r="I156">
        <v>0.17</v>
      </c>
      <c r="J156">
        <v>0.66</v>
      </c>
      <c r="K156">
        <v>0.99</v>
      </c>
      <c r="L156">
        <v>7.0000000000000007E-2</v>
      </c>
      <c r="M156">
        <v>0.08</v>
      </c>
      <c r="N156">
        <v>0.34</v>
      </c>
      <c r="O156">
        <v>0.87</v>
      </c>
      <c r="P156">
        <v>0.22</v>
      </c>
      <c r="Q156">
        <v>0.36</v>
      </c>
      <c r="R156" s="2">
        <v>7.0000000000000007E-2</v>
      </c>
      <c r="S156" t="str">
        <f>IF(Table1[[#This Row],[Years_Experience]]&lt;=5,"Early Career",
IF(Table1[[#This Row],[Years_Experience]]&lt;=15,"Mid Career","Senior Level"))</f>
        <v>Early Career</v>
      </c>
      <c r="T156" t="str">
        <f>IF(Table1[[#This Row],[AI_Exposure_Index]]&gt;=0.7,"High Exposure", IF(Table1[[#This Row],[AI_Exposure_Index]]&gt;=0.3,"Medium Exposure","Low Exposure"))</f>
        <v>Medium Exposure</v>
      </c>
    </row>
    <row r="157" spans="1:20" x14ac:dyDescent="0.25">
      <c r="A157" t="s">
        <v>18</v>
      </c>
      <c r="B157">
        <v>39528</v>
      </c>
      <c r="C157" s="1">
        <v>20</v>
      </c>
      <c r="D157" t="s">
        <v>25</v>
      </c>
      <c r="E157" s="7">
        <v>1.26</v>
      </c>
      <c r="F157" s="2">
        <v>0.41</v>
      </c>
      <c r="G157" s="7">
        <v>0.93</v>
      </c>
      <c r="H157" s="9" t="s">
        <v>20</v>
      </c>
      <c r="I157">
        <v>0.23</v>
      </c>
      <c r="J157">
        <v>0.81</v>
      </c>
      <c r="K157">
        <v>0.06</v>
      </c>
      <c r="L157">
        <v>0.9</v>
      </c>
      <c r="M157">
        <v>0.65</v>
      </c>
      <c r="N157">
        <v>0.87</v>
      </c>
      <c r="O157">
        <v>0</v>
      </c>
      <c r="P157">
        <v>0.17</v>
      </c>
      <c r="Q157">
        <v>0.39</v>
      </c>
      <c r="R157" s="2">
        <v>0.38</v>
      </c>
      <c r="S157" t="str">
        <f>IF(Table1[[#This Row],[Years_Experience]]&lt;=5,"Early Career",
IF(Table1[[#This Row],[Years_Experience]]&lt;=15,"Mid Career","Senior Level"))</f>
        <v>Senior Level</v>
      </c>
      <c r="T157" t="str">
        <f>IF(Table1[[#This Row],[AI_Exposure_Index]]&gt;=0.7,"High Exposure", IF(Table1[[#This Row],[AI_Exposure_Index]]&gt;=0.3,"Medium Exposure","Low Exposure"))</f>
        <v>Medium Exposure</v>
      </c>
    </row>
    <row r="158" spans="1:20" x14ac:dyDescent="0.25">
      <c r="A158" t="s">
        <v>31</v>
      </c>
      <c r="B158">
        <v>95677</v>
      </c>
      <c r="C158" s="1">
        <v>3</v>
      </c>
      <c r="D158" t="s">
        <v>19</v>
      </c>
      <c r="E158" s="7">
        <v>0.63</v>
      </c>
      <c r="F158" s="2">
        <v>0.38</v>
      </c>
      <c r="G158" s="7">
        <v>0.15</v>
      </c>
      <c r="H158" s="9" t="s">
        <v>23</v>
      </c>
      <c r="I158">
        <v>0.8</v>
      </c>
      <c r="J158">
        <v>0.48</v>
      </c>
      <c r="K158">
        <v>0.02</v>
      </c>
      <c r="L158">
        <v>0.42</v>
      </c>
      <c r="M158">
        <v>0.03</v>
      </c>
      <c r="N158">
        <v>0.97</v>
      </c>
      <c r="O158">
        <v>0.13</v>
      </c>
      <c r="P158">
        <v>0.71</v>
      </c>
      <c r="Q158">
        <v>0.97</v>
      </c>
      <c r="R158" s="2">
        <v>0.83</v>
      </c>
      <c r="S158" t="str">
        <f>IF(Table1[[#This Row],[Years_Experience]]&lt;=5,"Early Career",
IF(Table1[[#This Row],[Years_Experience]]&lt;=15,"Mid Career","Senior Level"))</f>
        <v>Early Career</v>
      </c>
      <c r="T158" t="str">
        <f>IF(Table1[[#This Row],[AI_Exposure_Index]]&gt;=0.7,"High Exposure", IF(Table1[[#This Row],[AI_Exposure_Index]]&gt;=0.3,"Medium Exposure","Low Exposure"))</f>
        <v>Medium Exposure</v>
      </c>
    </row>
    <row r="159" spans="1:20" x14ac:dyDescent="0.25">
      <c r="A159" t="s">
        <v>32</v>
      </c>
      <c r="B159">
        <v>51778</v>
      </c>
      <c r="C159" s="1">
        <v>8</v>
      </c>
      <c r="D159" t="s">
        <v>38</v>
      </c>
      <c r="E159" s="7">
        <v>1.48</v>
      </c>
      <c r="F159" s="2">
        <v>0.84</v>
      </c>
      <c r="G159" s="7">
        <v>0.55000000000000004</v>
      </c>
      <c r="H159" s="9" t="s">
        <v>27</v>
      </c>
      <c r="I159">
        <v>0.56000000000000005</v>
      </c>
      <c r="J159">
        <v>0.63</v>
      </c>
      <c r="K159">
        <v>0.53</v>
      </c>
      <c r="L159">
        <v>0.64</v>
      </c>
      <c r="M159">
        <v>0.45</v>
      </c>
      <c r="N159">
        <v>0.22</v>
      </c>
      <c r="O159">
        <v>0.12</v>
      </c>
      <c r="P159">
        <v>7.0000000000000007E-2</v>
      </c>
      <c r="Q159">
        <v>0.26</v>
      </c>
      <c r="R159" s="2">
        <v>0.05</v>
      </c>
      <c r="S159" t="str">
        <f>IF(Table1[[#This Row],[Years_Experience]]&lt;=5,"Early Career",
IF(Table1[[#This Row],[Years_Experience]]&lt;=15,"Mid Career","Senior Level"))</f>
        <v>Mid Career</v>
      </c>
      <c r="T159" t="str">
        <f>IF(Table1[[#This Row],[AI_Exposure_Index]]&gt;=0.7,"High Exposure", IF(Table1[[#This Row],[AI_Exposure_Index]]&gt;=0.3,"Medium Exposure","Low Exposure"))</f>
        <v>High Exposure</v>
      </c>
    </row>
    <row r="160" spans="1:20" x14ac:dyDescent="0.25">
      <c r="A160" t="s">
        <v>35</v>
      </c>
      <c r="B160">
        <v>36816</v>
      </c>
      <c r="C160" s="1">
        <v>23</v>
      </c>
      <c r="D160" t="s">
        <v>25</v>
      </c>
      <c r="E160" s="7">
        <v>1.32</v>
      </c>
      <c r="F160" s="2">
        <v>0.28000000000000003</v>
      </c>
      <c r="G160" s="7">
        <v>0.33</v>
      </c>
      <c r="H160" s="9" t="s">
        <v>27</v>
      </c>
      <c r="I160">
        <v>0.23</v>
      </c>
      <c r="J160">
        <v>0.73</v>
      </c>
      <c r="K160">
        <v>0.6</v>
      </c>
      <c r="L160">
        <v>0.06</v>
      </c>
      <c r="M160">
        <v>0.88</v>
      </c>
      <c r="N160">
        <v>0.88</v>
      </c>
      <c r="O160">
        <v>0.33</v>
      </c>
      <c r="P160">
        <v>0.34</v>
      </c>
      <c r="Q160">
        <v>0.99</v>
      </c>
      <c r="R160" s="2">
        <v>0.63</v>
      </c>
      <c r="S160" t="str">
        <f>IF(Table1[[#This Row],[Years_Experience]]&lt;=5,"Early Career",
IF(Table1[[#This Row],[Years_Experience]]&lt;=15,"Mid Career","Senior Level"))</f>
        <v>Senior Level</v>
      </c>
      <c r="T160" t="str">
        <f>IF(Table1[[#This Row],[AI_Exposure_Index]]&gt;=0.7,"High Exposure", IF(Table1[[#This Row],[AI_Exposure_Index]]&gt;=0.3,"Medium Exposure","Low Exposure"))</f>
        <v>Low Exposure</v>
      </c>
    </row>
    <row r="161" spans="1:20" x14ac:dyDescent="0.25">
      <c r="A161" t="s">
        <v>21</v>
      </c>
      <c r="B161">
        <v>53567</v>
      </c>
      <c r="C161" s="1">
        <v>28</v>
      </c>
      <c r="D161" t="s">
        <v>38</v>
      </c>
      <c r="E161" s="7">
        <v>0.79</v>
      </c>
      <c r="F161" s="2">
        <v>0.84</v>
      </c>
      <c r="G161" s="7">
        <v>0.16</v>
      </c>
      <c r="H161" s="9" t="s">
        <v>23</v>
      </c>
      <c r="I161">
        <v>0.27</v>
      </c>
      <c r="J161">
        <v>0.79</v>
      </c>
      <c r="K161">
        <v>0.56999999999999995</v>
      </c>
      <c r="L161">
        <v>0.66</v>
      </c>
      <c r="M161">
        <v>0.25</v>
      </c>
      <c r="N161">
        <v>0.22</v>
      </c>
      <c r="O161">
        <v>0.49</v>
      </c>
      <c r="P161">
        <v>0.74</v>
      </c>
      <c r="Q161">
        <v>0.53</v>
      </c>
      <c r="R161" s="2">
        <v>0.03</v>
      </c>
      <c r="S161" t="str">
        <f>IF(Table1[[#This Row],[Years_Experience]]&lt;=5,"Early Career",
IF(Table1[[#This Row],[Years_Experience]]&lt;=15,"Mid Career","Senior Level"))</f>
        <v>Senior Level</v>
      </c>
      <c r="T161" t="str">
        <f>IF(Table1[[#This Row],[AI_Exposure_Index]]&gt;=0.7,"High Exposure", IF(Table1[[#This Row],[AI_Exposure_Index]]&gt;=0.3,"Medium Exposure","Low Exposure"))</f>
        <v>High Exposure</v>
      </c>
    </row>
    <row r="162" spans="1:20" x14ac:dyDescent="0.25">
      <c r="A162" t="s">
        <v>35</v>
      </c>
      <c r="B162">
        <v>121170</v>
      </c>
      <c r="C162" s="1">
        <v>16</v>
      </c>
      <c r="D162" t="s">
        <v>38</v>
      </c>
      <c r="E162" s="7">
        <v>1.46</v>
      </c>
      <c r="F162" s="2">
        <v>0.06</v>
      </c>
      <c r="G162" s="7">
        <v>0.31</v>
      </c>
      <c r="H162" s="9" t="s">
        <v>27</v>
      </c>
      <c r="I162">
        <v>0.69</v>
      </c>
      <c r="J162">
        <v>0.08</v>
      </c>
      <c r="K162">
        <v>0.91</v>
      </c>
      <c r="L162">
        <v>0.46</v>
      </c>
      <c r="M162">
        <v>0.14000000000000001</v>
      </c>
      <c r="N162">
        <v>0.34</v>
      </c>
      <c r="O162">
        <v>0.16</v>
      </c>
      <c r="P162">
        <v>0.17</v>
      </c>
      <c r="Q162">
        <v>0.95</v>
      </c>
      <c r="R162" s="2">
        <v>0.45</v>
      </c>
      <c r="S162" t="str">
        <f>IF(Table1[[#This Row],[Years_Experience]]&lt;=5,"Early Career",
IF(Table1[[#This Row],[Years_Experience]]&lt;=15,"Mid Career","Senior Level"))</f>
        <v>Senior Level</v>
      </c>
      <c r="T162" t="str">
        <f>IF(Table1[[#This Row],[AI_Exposure_Index]]&gt;=0.7,"High Exposure", IF(Table1[[#This Row],[AI_Exposure_Index]]&gt;=0.3,"Medium Exposure","Low Exposure"))</f>
        <v>Low Exposure</v>
      </c>
    </row>
    <row r="163" spans="1:20" x14ac:dyDescent="0.25">
      <c r="A163" t="s">
        <v>29</v>
      </c>
      <c r="B163">
        <v>91944</v>
      </c>
      <c r="C163" s="1">
        <v>28</v>
      </c>
      <c r="D163" t="s">
        <v>38</v>
      </c>
      <c r="E163" s="7">
        <v>1.18</v>
      </c>
      <c r="F163" s="2">
        <v>0.64</v>
      </c>
      <c r="G163" s="7">
        <v>0.08</v>
      </c>
      <c r="H163" s="9" t="s">
        <v>23</v>
      </c>
      <c r="I163">
        <v>0.23</v>
      </c>
      <c r="J163">
        <v>0.79</v>
      </c>
      <c r="K163">
        <v>0.97</v>
      </c>
      <c r="L163">
        <v>0.26</v>
      </c>
      <c r="M163">
        <v>0.27</v>
      </c>
      <c r="N163">
        <v>0.47</v>
      </c>
      <c r="O163">
        <v>0.98</v>
      </c>
      <c r="P163">
        <v>0.27</v>
      </c>
      <c r="Q163">
        <v>0.41</v>
      </c>
      <c r="R163" s="2">
        <v>0.89</v>
      </c>
      <c r="S163" t="str">
        <f>IF(Table1[[#This Row],[Years_Experience]]&lt;=5,"Early Career",
IF(Table1[[#This Row],[Years_Experience]]&lt;=15,"Mid Career","Senior Level"))</f>
        <v>Senior Level</v>
      </c>
      <c r="T163" t="str">
        <f>IF(Table1[[#This Row],[AI_Exposure_Index]]&gt;=0.7,"High Exposure", IF(Table1[[#This Row],[AI_Exposure_Index]]&gt;=0.3,"Medium Exposure","Low Exposure"))</f>
        <v>Medium Exposure</v>
      </c>
    </row>
    <row r="164" spans="1:20" x14ac:dyDescent="0.25">
      <c r="A164" t="s">
        <v>18</v>
      </c>
      <c r="B164">
        <v>123905</v>
      </c>
      <c r="C164" s="1">
        <v>16</v>
      </c>
      <c r="D164" t="s">
        <v>38</v>
      </c>
      <c r="E164" s="7">
        <v>1.1000000000000001</v>
      </c>
      <c r="F164" s="2">
        <v>0.04</v>
      </c>
      <c r="G164" s="7">
        <v>0.93</v>
      </c>
      <c r="H164" s="9" t="s">
        <v>20</v>
      </c>
      <c r="I164">
        <v>0.24</v>
      </c>
      <c r="J164">
        <v>0.47</v>
      </c>
      <c r="K164">
        <v>0.45</v>
      </c>
      <c r="L164">
        <v>0.47</v>
      </c>
      <c r="M164">
        <v>0.62</v>
      </c>
      <c r="N164">
        <v>0.47</v>
      </c>
      <c r="O164">
        <v>0.45</v>
      </c>
      <c r="P164">
        <v>0.47</v>
      </c>
      <c r="Q164">
        <v>0.59</v>
      </c>
      <c r="R164" s="2">
        <v>0.54</v>
      </c>
      <c r="S164" t="str">
        <f>IF(Table1[[#This Row],[Years_Experience]]&lt;=5,"Early Career",
IF(Table1[[#This Row],[Years_Experience]]&lt;=15,"Mid Career","Senior Level"))</f>
        <v>Senior Level</v>
      </c>
      <c r="T164" t="str">
        <f>IF(Table1[[#This Row],[AI_Exposure_Index]]&gt;=0.7,"High Exposure", IF(Table1[[#This Row],[AI_Exposure_Index]]&gt;=0.3,"Medium Exposure","Low Exposure"))</f>
        <v>Low Exposure</v>
      </c>
    </row>
    <row r="165" spans="1:20" x14ac:dyDescent="0.25">
      <c r="A165" t="s">
        <v>31</v>
      </c>
      <c r="B165">
        <v>73056</v>
      </c>
      <c r="C165" s="1">
        <v>13</v>
      </c>
      <c r="D165" t="s">
        <v>19</v>
      </c>
      <c r="E165" s="7">
        <v>1.33</v>
      </c>
      <c r="F165" s="2">
        <v>0.05</v>
      </c>
      <c r="G165" s="7">
        <v>0.26</v>
      </c>
      <c r="H165" s="9" t="s">
        <v>23</v>
      </c>
      <c r="I165">
        <v>0.28000000000000003</v>
      </c>
      <c r="J165">
        <v>0.46</v>
      </c>
      <c r="K165">
        <v>0.44</v>
      </c>
      <c r="L165">
        <v>0.22</v>
      </c>
      <c r="M165">
        <v>0.4</v>
      </c>
      <c r="N165">
        <v>0.04</v>
      </c>
      <c r="O165">
        <v>0.28000000000000003</v>
      </c>
      <c r="P165">
        <v>0.82</v>
      </c>
      <c r="Q165">
        <v>0.28000000000000003</v>
      </c>
      <c r="R165" s="2">
        <v>0.82</v>
      </c>
      <c r="S165" t="str">
        <f>IF(Table1[[#This Row],[Years_Experience]]&lt;=5,"Early Career",
IF(Table1[[#This Row],[Years_Experience]]&lt;=15,"Mid Career","Senior Level"))</f>
        <v>Mid Career</v>
      </c>
      <c r="T165" t="str">
        <f>IF(Table1[[#This Row],[AI_Exposure_Index]]&gt;=0.7,"High Exposure", IF(Table1[[#This Row],[AI_Exposure_Index]]&gt;=0.3,"Medium Exposure","Low Exposure"))</f>
        <v>Low Exposure</v>
      </c>
    </row>
    <row r="166" spans="1:20" x14ac:dyDescent="0.25">
      <c r="A166" t="s">
        <v>41</v>
      </c>
      <c r="B166">
        <v>89156</v>
      </c>
      <c r="C166" s="1">
        <v>18</v>
      </c>
      <c r="D166" t="s">
        <v>19</v>
      </c>
      <c r="E166" s="7">
        <v>1.07</v>
      </c>
      <c r="F166" s="2">
        <v>0.88</v>
      </c>
      <c r="G166" s="7">
        <v>0.71</v>
      </c>
      <c r="H166" s="9" t="s">
        <v>20</v>
      </c>
      <c r="I166">
        <v>0.68</v>
      </c>
      <c r="J166">
        <v>0.04</v>
      </c>
      <c r="K166">
        <v>0.45</v>
      </c>
      <c r="L166">
        <v>0.93</v>
      </c>
      <c r="M166">
        <v>0.17</v>
      </c>
      <c r="N166">
        <v>0.39</v>
      </c>
      <c r="O166">
        <v>0.73</v>
      </c>
      <c r="P166">
        <v>0.88</v>
      </c>
      <c r="Q166">
        <v>0.67</v>
      </c>
      <c r="R166" s="2">
        <v>0.26</v>
      </c>
      <c r="S166" t="str">
        <f>IF(Table1[[#This Row],[Years_Experience]]&lt;=5,"Early Career",
IF(Table1[[#This Row],[Years_Experience]]&lt;=15,"Mid Career","Senior Level"))</f>
        <v>Senior Level</v>
      </c>
      <c r="T166" t="str">
        <f>IF(Table1[[#This Row],[AI_Exposure_Index]]&gt;=0.7,"High Exposure", IF(Table1[[#This Row],[AI_Exposure_Index]]&gt;=0.3,"Medium Exposure","Low Exposure"))</f>
        <v>High Exposure</v>
      </c>
    </row>
    <row r="167" spans="1:20" x14ac:dyDescent="0.25">
      <c r="A167" t="s">
        <v>44</v>
      </c>
      <c r="B167">
        <v>102124</v>
      </c>
      <c r="C167" s="1">
        <v>15</v>
      </c>
      <c r="D167" t="s">
        <v>22</v>
      </c>
      <c r="E167" s="7">
        <v>1.22</v>
      </c>
      <c r="F167" s="2">
        <v>0.3</v>
      </c>
      <c r="G167" s="7">
        <v>0.68</v>
      </c>
      <c r="H167" s="9" t="s">
        <v>27</v>
      </c>
      <c r="I167">
        <v>0.72</v>
      </c>
      <c r="J167">
        <v>0.86</v>
      </c>
      <c r="K167">
        <v>0</v>
      </c>
      <c r="L167">
        <v>0.72</v>
      </c>
      <c r="M167">
        <v>0.83</v>
      </c>
      <c r="N167">
        <v>0.04</v>
      </c>
      <c r="O167">
        <v>0.87</v>
      </c>
      <c r="P167">
        <v>0.26</v>
      </c>
      <c r="Q167">
        <v>0.67</v>
      </c>
      <c r="R167" s="2">
        <v>0.8</v>
      </c>
      <c r="S167" t="str">
        <f>IF(Table1[[#This Row],[Years_Experience]]&lt;=5,"Early Career",
IF(Table1[[#This Row],[Years_Experience]]&lt;=15,"Mid Career","Senior Level"))</f>
        <v>Mid Career</v>
      </c>
      <c r="T167" t="str">
        <f>IF(Table1[[#This Row],[AI_Exposure_Index]]&gt;=0.7,"High Exposure", IF(Table1[[#This Row],[AI_Exposure_Index]]&gt;=0.3,"Medium Exposure","Low Exposure"))</f>
        <v>Medium Exposure</v>
      </c>
    </row>
    <row r="168" spans="1:20" x14ac:dyDescent="0.25">
      <c r="A168" t="s">
        <v>40</v>
      </c>
      <c r="B168">
        <v>54995</v>
      </c>
      <c r="C168" s="1">
        <v>17</v>
      </c>
      <c r="D168" t="s">
        <v>22</v>
      </c>
      <c r="E168" s="7">
        <v>1.1000000000000001</v>
      </c>
      <c r="F168" s="2">
        <v>0.09</v>
      </c>
      <c r="G168" s="7">
        <v>0.19</v>
      </c>
      <c r="H168" s="9" t="s">
        <v>23</v>
      </c>
      <c r="I168">
        <v>0.9</v>
      </c>
      <c r="J168">
        <v>0.4</v>
      </c>
      <c r="K168">
        <v>0.32</v>
      </c>
      <c r="L168">
        <v>0.75</v>
      </c>
      <c r="M168">
        <v>0.41</v>
      </c>
      <c r="N168">
        <v>0.65</v>
      </c>
      <c r="O168">
        <v>0.65</v>
      </c>
      <c r="P168">
        <v>0.89</v>
      </c>
      <c r="Q168">
        <v>0.6</v>
      </c>
      <c r="R168" s="2">
        <v>0.5</v>
      </c>
      <c r="S168" t="str">
        <f>IF(Table1[[#This Row],[Years_Experience]]&lt;=5,"Early Career",
IF(Table1[[#This Row],[Years_Experience]]&lt;=15,"Mid Career","Senior Level"))</f>
        <v>Senior Level</v>
      </c>
      <c r="T168" t="str">
        <f>IF(Table1[[#This Row],[AI_Exposure_Index]]&gt;=0.7,"High Exposure", IF(Table1[[#This Row],[AI_Exposure_Index]]&gt;=0.3,"Medium Exposure","Low Exposure"))</f>
        <v>Low Exposure</v>
      </c>
    </row>
    <row r="169" spans="1:20" x14ac:dyDescent="0.25">
      <c r="A169" t="s">
        <v>30</v>
      </c>
      <c r="B169">
        <v>100194</v>
      </c>
      <c r="C169" s="1">
        <v>21</v>
      </c>
      <c r="D169" t="s">
        <v>25</v>
      </c>
      <c r="E169" s="7">
        <v>0.65</v>
      </c>
      <c r="F169" s="2">
        <v>0.12</v>
      </c>
      <c r="G169" s="7">
        <v>0.37</v>
      </c>
      <c r="H169" s="9" t="s">
        <v>27</v>
      </c>
      <c r="I169">
        <v>0.64</v>
      </c>
      <c r="J169">
        <v>0.74</v>
      </c>
      <c r="K169">
        <v>0.53</v>
      </c>
      <c r="L169">
        <v>0.83</v>
      </c>
      <c r="M169">
        <v>0.99</v>
      </c>
      <c r="N169">
        <v>0.82</v>
      </c>
      <c r="O169">
        <v>0.69</v>
      </c>
      <c r="P169">
        <v>0.53</v>
      </c>
      <c r="Q169">
        <v>0.45</v>
      </c>
      <c r="R169" s="2">
        <v>0.08</v>
      </c>
      <c r="S169" t="str">
        <f>IF(Table1[[#This Row],[Years_Experience]]&lt;=5,"Early Career",
IF(Table1[[#This Row],[Years_Experience]]&lt;=15,"Mid Career","Senior Level"))</f>
        <v>Senior Level</v>
      </c>
      <c r="T169" t="str">
        <f>IF(Table1[[#This Row],[AI_Exposure_Index]]&gt;=0.7,"High Exposure", IF(Table1[[#This Row],[AI_Exposure_Index]]&gt;=0.3,"Medium Exposure","Low Exposure"))</f>
        <v>Low Exposure</v>
      </c>
    </row>
    <row r="170" spans="1:20" x14ac:dyDescent="0.25">
      <c r="A170" t="s">
        <v>35</v>
      </c>
      <c r="B170">
        <v>97534</v>
      </c>
      <c r="C170" s="1">
        <v>25</v>
      </c>
      <c r="D170" t="s">
        <v>25</v>
      </c>
      <c r="E170" s="7">
        <v>1.31</v>
      </c>
      <c r="F170" s="2">
        <v>0.91</v>
      </c>
      <c r="G170" s="7">
        <v>0.39</v>
      </c>
      <c r="H170" s="9" t="s">
        <v>27</v>
      </c>
      <c r="I170">
        <v>0.47</v>
      </c>
      <c r="J170">
        <v>0.82</v>
      </c>
      <c r="K170">
        <v>7.0000000000000007E-2</v>
      </c>
      <c r="L170">
        <v>0.39</v>
      </c>
      <c r="M170">
        <v>0.85</v>
      </c>
      <c r="N170">
        <v>0.4</v>
      </c>
      <c r="O170">
        <v>0.08</v>
      </c>
      <c r="P170">
        <v>0.54</v>
      </c>
      <c r="Q170">
        <v>0.86</v>
      </c>
      <c r="R170" s="2">
        <v>0.59</v>
      </c>
      <c r="S170" t="str">
        <f>IF(Table1[[#This Row],[Years_Experience]]&lt;=5,"Early Career",
IF(Table1[[#This Row],[Years_Experience]]&lt;=15,"Mid Career","Senior Level"))</f>
        <v>Senior Level</v>
      </c>
      <c r="T170" t="str">
        <f>IF(Table1[[#This Row],[AI_Exposure_Index]]&gt;=0.7,"High Exposure", IF(Table1[[#This Row],[AI_Exposure_Index]]&gt;=0.3,"Medium Exposure","Low Exposure"))</f>
        <v>High Exposure</v>
      </c>
    </row>
    <row r="171" spans="1:20" x14ac:dyDescent="0.25">
      <c r="A171" t="s">
        <v>34</v>
      </c>
      <c r="B171">
        <v>123547</v>
      </c>
      <c r="C171" s="1">
        <v>1</v>
      </c>
      <c r="D171" t="s">
        <v>25</v>
      </c>
      <c r="E171" s="7">
        <v>0.95</v>
      </c>
      <c r="F171" s="2">
        <v>0.38</v>
      </c>
      <c r="G171" s="7">
        <v>0.53</v>
      </c>
      <c r="H171" s="9" t="s">
        <v>27</v>
      </c>
      <c r="I171">
        <v>0.76</v>
      </c>
      <c r="J171">
        <v>0.1</v>
      </c>
      <c r="K171">
        <v>0.89</v>
      </c>
      <c r="L171">
        <v>0.01</v>
      </c>
      <c r="M171">
        <v>0.37</v>
      </c>
      <c r="N171">
        <v>0.03</v>
      </c>
      <c r="O171">
        <v>0.39</v>
      </c>
      <c r="P171">
        <v>0.53</v>
      </c>
      <c r="Q171">
        <v>0.51</v>
      </c>
      <c r="R171" s="2">
        <v>0.17</v>
      </c>
      <c r="S171" t="str">
        <f>IF(Table1[[#This Row],[Years_Experience]]&lt;=5,"Early Career",
IF(Table1[[#This Row],[Years_Experience]]&lt;=15,"Mid Career","Senior Level"))</f>
        <v>Early Career</v>
      </c>
      <c r="T171" t="str">
        <f>IF(Table1[[#This Row],[AI_Exposure_Index]]&gt;=0.7,"High Exposure", IF(Table1[[#This Row],[AI_Exposure_Index]]&gt;=0.3,"Medium Exposure","Low Exposure"))</f>
        <v>Medium Exposure</v>
      </c>
    </row>
    <row r="172" spans="1:20" x14ac:dyDescent="0.25">
      <c r="A172" t="s">
        <v>29</v>
      </c>
      <c r="B172">
        <v>111926</v>
      </c>
      <c r="C172" s="1">
        <v>3</v>
      </c>
      <c r="D172" t="s">
        <v>38</v>
      </c>
      <c r="E172" s="7">
        <v>1.26</v>
      </c>
      <c r="F172" s="2">
        <v>0.04</v>
      </c>
      <c r="G172" s="7">
        <v>0.28999999999999998</v>
      </c>
      <c r="H172" s="9" t="s">
        <v>23</v>
      </c>
      <c r="I172">
        <v>0.34</v>
      </c>
      <c r="J172">
        <v>0.52</v>
      </c>
      <c r="K172">
        <v>0.38</v>
      </c>
      <c r="L172">
        <v>0.01</v>
      </c>
      <c r="M172">
        <v>0.39</v>
      </c>
      <c r="N172">
        <v>0.79</v>
      </c>
      <c r="O172">
        <v>0.6</v>
      </c>
      <c r="P172">
        <v>0.1</v>
      </c>
      <c r="Q172">
        <v>0.85</v>
      </c>
      <c r="R172" s="2">
        <v>0.53</v>
      </c>
      <c r="S172" t="str">
        <f>IF(Table1[[#This Row],[Years_Experience]]&lt;=5,"Early Career",
IF(Table1[[#This Row],[Years_Experience]]&lt;=15,"Mid Career","Senior Level"))</f>
        <v>Early Career</v>
      </c>
      <c r="T172" t="str">
        <f>IF(Table1[[#This Row],[AI_Exposure_Index]]&gt;=0.7,"High Exposure", IF(Table1[[#This Row],[AI_Exposure_Index]]&gt;=0.3,"Medium Exposure","Low Exposure"))</f>
        <v>Low Exposure</v>
      </c>
    </row>
    <row r="173" spans="1:20" x14ac:dyDescent="0.25">
      <c r="A173" t="s">
        <v>32</v>
      </c>
      <c r="B173">
        <v>107487</v>
      </c>
      <c r="C173" s="1">
        <v>19</v>
      </c>
      <c r="D173" t="s">
        <v>38</v>
      </c>
      <c r="E173" s="7">
        <v>1.06</v>
      </c>
      <c r="F173" s="2">
        <v>0.57999999999999996</v>
      </c>
      <c r="G173" s="7">
        <v>0.34</v>
      </c>
      <c r="H173" s="9" t="s">
        <v>27</v>
      </c>
      <c r="I173">
        <v>0.17</v>
      </c>
      <c r="J173">
        <v>0.97</v>
      </c>
      <c r="K173">
        <v>0.23</v>
      </c>
      <c r="L173">
        <v>0.98</v>
      </c>
      <c r="M173">
        <v>0.53</v>
      </c>
      <c r="N173">
        <v>0.14000000000000001</v>
      </c>
      <c r="O173">
        <v>0.1</v>
      </c>
      <c r="P173">
        <v>0.21</v>
      </c>
      <c r="Q173">
        <v>0.93</v>
      </c>
      <c r="R173" s="2">
        <v>0.41</v>
      </c>
      <c r="S173" t="str">
        <f>IF(Table1[[#This Row],[Years_Experience]]&lt;=5,"Early Career",
IF(Table1[[#This Row],[Years_Experience]]&lt;=15,"Mid Career","Senior Level"))</f>
        <v>Senior Level</v>
      </c>
      <c r="T173" t="str">
        <f>IF(Table1[[#This Row],[AI_Exposure_Index]]&gt;=0.7,"High Exposure", IF(Table1[[#This Row],[AI_Exposure_Index]]&gt;=0.3,"Medium Exposure","Low Exposure"))</f>
        <v>Medium Exposure</v>
      </c>
    </row>
    <row r="174" spans="1:20" x14ac:dyDescent="0.25">
      <c r="A174" t="s">
        <v>32</v>
      </c>
      <c r="B174">
        <v>107362</v>
      </c>
      <c r="C174" s="1">
        <v>17</v>
      </c>
      <c r="D174" t="s">
        <v>19</v>
      </c>
      <c r="E174" s="7">
        <v>0.65</v>
      </c>
      <c r="F174" s="2">
        <v>0.31</v>
      </c>
      <c r="G174" s="7">
        <v>0.5</v>
      </c>
      <c r="H174" s="9" t="s">
        <v>27</v>
      </c>
      <c r="I174">
        <v>0.13</v>
      </c>
      <c r="J174">
        <v>0.84</v>
      </c>
      <c r="K174">
        <v>0.37</v>
      </c>
      <c r="L174">
        <v>0.37</v>
      </c>
      <c r="M174">
        <v>0.47</v>
      </c>
      <c r="N174">
        <v>0.44</v>
      </c>
      <c r="O174">
        <v>0.99</v>
      </c>
      <c r="P174">
        <v>0.55000000000000004</v>
      </c>
      <c r="Q174">
        <v>0.09</v>
      </c>
      <c r="R174" s="2">
        <v>0.61</v>
      </c>
      <c r="S174" t="str">
        <f>IF(Table1[[#This Row],[Years_Experience]]&lt;=5,"Early Career",
IF(Table1[[#This Row],[Years_Experience]]&lt;=15,"Mid Career","Senior Level"))</f>
        <v>Senior Level</v>
      </c>
      <c r="T174" t="str">
        <f>IF(Table1[[#This Row],[AI_Exposure_Index]]&gt;=0.7,"High Exposure", IF(Table1[[#This Row],[AI_Exposure_Index]]&gt;=0.3,"Medium Exposure","Low Exposure"))</f>
        <v>Medium Exposure</v>
      </c>
    </row>
    <row r="175" spans="1:20" x14ac:dyDescent="0.25">
      <c r="A175" t="s">
        <v>28</v>
      </c>
      <c r="B175">
        <v>44973</v>
      </c>
      <c r="C175" s="1">
        <v>19</v>
      </c>
      <c r="D175" t="s">
        <v>19</v>
      </c>
      <c r="E175" s="7">
        <v>1.47</v>
      </c>
      <c r="F175" s="2">
        <v>0.03</v>
      </c>
      <c r="G175" s="7">
        <v>0.61</v>
      </c>
      <c r="H175" s="9" t="s">
        <v>27</v>
      </c>
      <c r="I175">
        <v>0.98</v>
      </c>
      <c r="J175">
        <v>0.48</v>
      </c>
      <c r="K175">
        <v>0.53</v>
      </c>
      <c r="L175">
        <v>0.17</v>
      </c>
      <c r="M175">
        <v>0.25</v>
      </c>
      <c r="N175">
        <v>0.84</v>
      </c>
      <c r="O175">
        <v>0.36</v>
      </c>
      <c r="P175">
        <v>0.83</v>
      </c>
      <c r="Q175">
        <v>0.71</v>
      </c>
      <c r="R175" s="2">
        <v>0.18</v>
      </c>
      <c r="S175" t="str">
        <f>IF(Table1[[#This Row],[Years_Experience]]&lt;=5,"Early Career",
IF(Table1[[#This Row],[Years_Experience]]&lt;=15,"Mid Career","Senior Level"))</f>
        <v>Senior Level</v>
      </c>
      <c r="T175" t="str">
        <f>IF(Table1[[#This Row],[AI_Exposure_Index]]&gt;=0.7,"High Exposure", IF(Table1[[#This Row],[AI_Exposure_Index]]&gt;=0.3,"Medium Exposure","Low Exposure"))</f>
        <v>Low Exposure</v>
      </c>
    </row>
    <row r="176" spans="1:20" x14ac:dyDescent="0.25">
      <c r="A176" t="s">
        <v>21</v>
      </c>
      <c r="B176">
        <v>30340</v>
      </c>
      <c r="C176" s="1">
        <v>13</v>
      </c>
      <c r="D176" t="s">
        <v>19</v>
      </c>
      <c r="E176" s="7">
        <v>0.74</v>
      </c>
      <c r="F176" s="2">
        <v>0.68</v>
      </c>
      <c r="G176" s="7">
        <v>0.26</v>
      </c>
      <c r="H176" s="9" t="s">
        <v>23</v>
      </c>
      <c r="I176">
        <v>0.54</v>
      </c>
      <c r="J176">
        <v>0.17</v>
      </c>
      <c r="K176">
        <v>0.57999999999999996</v>
      </c>
      <c r="L176">
        <v>1</v>
      </c>
      <c r="M176">
        <v>0.15</v>
      </c>
      <c r="N176">
        <v>0.82</v>
      </c>
      <c r="O176">
        <v>0.21</v>
      </c>
      <c r="P176">
        <v>0.78</v>
      </c>
      <c r="Q176">
        <v>0.73</v>
      </c>
      <c r="R176" s="2">
        <v>0.3</v>
      </c>
      <c r="S176" t="str">
        <f>IF(Table1[[#This Row],[Years_Experience]]&lt;=5,"Early Career",
IF(Table1[[#This Row],[Years_Experience]]&lt;=15,"Mid Career","Senior Level"))</f>
        <v>Mid Career</v>
      </c>
      <c r="T176" t="str">
        <f>IF(Table1[[#This Row],[AI_Exposure_Index]]&gt;=0.7,"High Exposure", IF(Table1[[#This Row],[AI_Exposure_Index]]&gt;=0.3,"Medium Exposure","Low Exposure"))</f>
        <v>Medium Exposure</v>
      </c>
    </row>
    <row r="177" spans="1:20" x14ac:dyDescent="0.25">
      <c r="A177" t="s">
        <v>40</v>
      </c>
      <c r="B177">
        <v>104965</v>
      </c>
      <c r="C177" s="1">
        <v>24</v>
      </c>
      <c r="D177" t="s">
        <v>38</v>
      </c>
      <c r="E177" s="7">
        <v>0.96</v>
      </c>
      <c r="F177" s="2">
        <v>0.79</v>
      </c>
      <c r="G177" s="7">
        <v>0.23</v>
      </c>
      <c r="H177" s="9" t="s">
        <v>23</v>
      </c>
      <c r="I177">
        <v>0.15</v>
      </c>
      <c r="J177">
        <v>0.85</v>
      </c>
      <c r="K177">
        <v>0.71</v>
      </c>
      <c r="L177">
        <v>0.91</v>
      </c>
      <c r="M177">
        <v>0.13</v>
      </c>
      <c r="N177">
        <v>0.59</v>
      </c>
      <c r="O177">
        <v>0.6</v>
      </c>
      <c r="P177">
        <v>0.35</v>
      </c>
      <c r="Q177">
        <v>0.46</v>
      </c>
      <c r="R177" s="2">
        <v>0.04</v>
      </c>
      <c r="S177" t="str">
        <f>IF(Table1[[#This Row],[Years_Experience]]&lt;=5,"Early Career",
IF(Table1[[#This Row],[Years_Experience]]&lt;=15,"Mid Career","Senior Level"))</f>
        <v>Senior Level</v>
      </c>
      <c r="T177" t="str">
        <f>IF(Table1[[#This Row],[AI_Exposure_Index]]&gt;=0.7,"High Exposure", IF(Table1[[#This Row],[AI_Exposure_Index]]&gt;=0.3,"Medium Exposure","Low Exposure"))</f>
        <v>High Exposure</v>
      </c>
    </row>
    <row r="178" spans="1:20" x14ac:dyDescent="0.25">
      <c r="A178" t="s">
        <v>41</v>
      </c>
      <c r="B178">
        <v>74789</v>
      </c>
      <c r="C178" s="1">
        <v>10</v>
      </c>
      <c r="D178" t="s">
        <v>19</v>
      </c>
      <c r="E178" s="7">
        <v>0.56000000000000005</v>
      </c>
      <c r="F178" s="2">
        <v>0.55000000000000004</v>
      </c>
      <c r="G178" s="7">
        <v>0.87</v>
      </c>
      <c r="H178" s="9" t="s">
        <v>20</v>
      </c>
      <c r="I178">
        <v>0.47</v>
      </c>
      <c r="J178">
        <v>0.03</v>
      </c>
      <c r="K178">
        <v>0.97</v>
      </c>
      <c r="L178">
        <v>0.95</v>
      </c>
      <c r="M178">
        <v>0.51</v>
      </c>
      <c r="N178">
        <v>0.09</v>
      </c>
      <c r="O178">
        <v>0.75</v>
      </c>
      <c r="P178">
        <v>0.49</v>
      </c>
      <c r="Q178">
        <v>0.3</v>
      </c>
      <c r="R178" s="2">
        <v>0.49</v>
      </c>
      <c r="S178" t="str">
        <f>IF(Table1[[#This Row],[Years_Experience]]&lt;=5,"Early Career",
IF(Table1[[#This Row],[Years_Experience]]&lt;=15,"Mid Career","Senior Level"))</f>
        <v>Mid Career</v>
      </c>
      <c r="T178" t="str">
        <f>IF(Table1[[#This Row],[AI_Exposure_Index]]&gt;=0.7,"High Exposure", IF(Table1[[#This Row],[AI_Exposure_Index]]&gt;=0.3,"Medium Exposure","Low Exposure"))</f>
        <v>Medium Exposure</v>
      </c>
    </row>
    <row r="179" spans="1:20" x14ac:dyDescent="0.25">
      <c r="A179" t="s">
        <v>18</v>
      </c>
      <c r="B179">
        <v>88954</v>
      </c>
      <c r="C179" s="1">
        <v>0</v>
      </c>
      <c r="D179" t="s">
        <v>25</v>
      </c>
      <c r="E179" s="7">
        <v>0.94</v>
      </c>
      <c r="F179" s="2">
        <v>0.56000000000000005</v>
      </c>
      <c r="G179" s="7">
        <v>0.85</v>
      </c>
      <c r="H179" s="9" t="s">
        <v>20</v>
      </c>
      <c r="I179">
        <v>0.92</v>
      </c>
      <c r="J179">
        <v>0.36</v>
      </c>
      <c r="K179">
        <v>0.73</v>
      </c>
      <c r="L179">
        <v>0.89</v>
      </c>
      <c r="M179">
        <v>0.46</v>
      </c>
      <c r="N179">
        <v>0.44</v>
      </c>
      <c r="O179">
        <v>0.6</v>
      </c>
      <c r="P179">
        <v>0.59</v>
      </c>
      <c r="Q179">
        <v>0.81</v>
      </c>
      <c r="R179" s="2">
        <v>0.48</v>
      </c>
      <c r="S179" t="str">
        <f>IF(Table1[[#This Row],[Years_Experience]]&lt;=5,"Early Career",
IF(Table1[[#This Row],[Years_Experience]]&lt;=15,"Mid Career","Senior Level"))</f>
        <v>Early Career</v>
      </c>
      <c r="T179" t="str">
        <f>IF(Table1[[#This Row],[AI_Exposure_Index]]&gt;=0.7,"High Exposure", IF(Table1[[#This Row],[AI_Exposure_Index]]&gt;=0.3,"Medium Exposure","Low Exposure"))</f>
        <v>Medium Exposure</v>
      </c>
    </row>
    <row r="180" spans="1:20" x14ac:dyDescent="0.25">
      <c r="A180" t="s">
        <v>31</v>
      </c>
      <c r="B180">
        <v>78456</v>
      </c>
      <c r="C180" s="1">
        <v>7</v>
      </c>
      <c r="D180" t="s">
        <v>22</v>
      </c>
      <c r="E180" s="7">
        <v>0.94</v>
      </c>
      <c r="F180" s="2">
        <v>0.85</v>
      </c>
      <c r="G180" s="7">
        <v>0.26</v>
      </c>
      <c r="H180" s="9" t="s">
        <v>23</v>
      </c>
      <c r="I180">
        <v>0.89</v>
      </c>
      <c r="J180">
        <v>0.06</v>
      </c>
      <c r="K180">
        <v>0.88</v>
      </c>
      <c r="L180">
        <v>0.45</v>
      </c>
      <c r="M180">
        <v>0.51</v>
      </c>
      <c r="N180">
        <v>0.63</v>
      </c>
      <c r="O180">
        <v>0.93</v>
      </c>
      <c r="P180">
        <v>0.02</v>
      </c>
      <c r="Q180">
        <v>0.48</v>
      </c>
      <c r="R180" s="2">
        <v>0.69</v>
      </c>
      <c r="S180" t="str">
        <f>IF(Table1[[#This Row],[Years_Experience]]&lt;=5,"Early Career",
IF(Table1[[#This Row],[Years_Experience]]&lt;=15,"Mid Career","Senior Level"))</f>
        <v>Mid Career</v>
      </c>
      <c r="T180" t="str">
        <f>IF(Table1[[#This Row],[AI_Exposure_Index]]&gt;=0.7,"High Exposure", IF(Table1[[#This Row],[AI_Exposure_Index]]&gt;=0.3,"Medium Exposure","Low Exposure"))</f>
        <v>High Exposure</v>
      </c>
    </row>
    <row r="181" spans="1:20" x14ac:dyDescent="0.25">
      <c r="A181" t="s">
        <v>28</v>
      </c>
      <c r="B181">
        <v>116698</v>
      </c>
      <c r="C181" s="1">
        <v>2</v>
      </c>
      <c r="D181" t="s">
        <v>25</v>
      </c>
      <c r="E181" s="7">
        <v>0.63</v>
      </c>
      <c r="F181" s="2">
        <v>0.69</v>
      </c>
      <c r="G181" s="7">
        <v>0.42</v>
      </c>
      <c r="H181" s="9" t="s">
        <v>27</v>
      </c>
      <c r="I181">
        <v>0.36</v>
      </c>
      <c r="J181">
        <v>0.8</v>
      </c>
      <c r="K181">
        <v>0.28000000000000003</v>
      </c>
      <c r="L181">
        <v>0.21</v>
      </c>
      <c r="M181">
        <v>0.96</v>
      </c>
      <c r="N181">
        <v>0.01</v>
      </c>
      <c r="O181">
        <v>1</v>
      </c>
      <c r="P181">
        <v>0.68</v>
      </c>
      <c r="Q181">
        <v>0.83</v>
      </c>
      <c r="R181" s="2">
        <v>0.28999999999999998</v>
      </c>
      <c r="S181" t="str">
        <f>IF(Table1[[#This Row],[Years_Experience]]&lt;=5,"Early Career",
IF(Table1[[#This Row],[Years_Experience]]&lt;=15,"Mid Career","Senior Level"))</f>
        <v>Early Career</v>
      </c>
      <c r="T181" t="str">
        <f>IF(Table1[[#This Row],[AI_Exposure_Index]]&gt;=0.7,"High Exposure", IF(Table1[[#This Row],[AI_Exposure_Index]]&gt;=0.3,"Medium Exposure","Low Exposure"))</f>
        <v>Medium Exposure</v>
      </c>
    </row>
    <row r="182" spans="1:20" x14ac:dyDescent="0.25">
      <c r="A182" t="s">
        <v>42</v>
      </c>
      <c r="B182">
        <v>40886</v>
      </c>
      <c r="C182" s="1">
        <v>2</v>
      </c>
      <c r="D182" t="s">
        <v>25</v>
      </c>
      <c r="E182" s="7">
        <v>1.33</v>
      </c>
      <c r="F182" s="2">
        <v>0.74</v>
      </c>
      <c r="G182" s="7">
        <v>0.6</v>
      </c>
      <c r="H182" s="9" t="s">
        <v>27</v>
      </c>
      <c r="I182">
        <v>0.14000000000000001</v>
      </c>
      <c r="J182">
        <v>0.75</v>
      </c>
      <c r="K182">
        <v>0.77</v>
      </c>
      <c r="L182">
        <v>0.66</v>
      </c>
      <c r="M182">
        <v>0.77</v>
      </c>
      <c r="N182">
        <v>0.85</v>
      </c>
      <c r="O182">
        <v>0.61</v>
      </c>
      <c r="P182">
        <v>0.09</v>
      </c>
      <c r="Q182">
        <v>0.49</v>
      </c>
      <c r="R182" s="2">
        <v>0.08</v>
      </c>
      <c r="S182" t="str">
        <f>IF(Table1[[#This Row],[Years_Experience]]&lt;=5,"Early Career",
IF(Table1[[#This Row],[Years_Experience]]&lt;=15,"Mid Career","Senior Level"))</f>
        <v>Early Career</v>
      </c>
      <c r="T182" t="str">
        <f>IF(Table1[[#This Row],[AI_Exposure_Index]]&gt;=0.7,"High Exposure", IF(Table1[[#This Row],[AI_Exposure_Index]]&gt;=0.3,"Medium Exposure","Low Exposure"))</f>
        <v>High Exposure</v>
      </c>
    </row>
    <row r="183" spans="1:20" x14ac:dyDescent="0.25">
      <c r="A183" t="s">
        <v>29</v>
      </c>
      <c r="B183">
        <v>78511</v>
      </c>
      <c r="C183" s="1">
        <v>3</v>
      </c>
      <c r="D183" t="s">
        <v>25</v>
      </c>
      <c r="E183" s="7">
        <v>0.56999999999999995</v>
      </c>
      <c r="F183" s="2">
        <v>0.41</v>
      </c>
      <c r="G183" s="7">
        <v>0.14000000000000001</v>
      </c>
      <c r="H183" s="9" t="s">
        <v>23</v>
      </c>
      <c r="I183">
        <v>0.11</v>
      </c>
      <c r="J183">
        <v>0.81</v>
      </c>
      <c r="K183">
        <v>0.95</v>
      </c>
      <c r="L183">
        <v>7.0000000000000007E-2</v>
      </c>
      <c r="M183">
        <v>0.96</v>
      </c>
      <c r="N183">
        <v>0.52</v>
      </c>
      <c r="O183">
        <v>0.3</v>
      </c>
      <c r="P183">
        <v>0.08</v>
      </c>
      <c r="Q183">
        <v>0.5</v>
      </c>
      <c r="R183" s="2">
        <v>0.79</v>
      </c>
      <c r="S183" t="str">
        <f>IF(Table1[[#This Row],[Years_Experience]]&lt;=5,"Early Career",
IF(Table1[[#This Row],[Years_Experience]]&lt;=15,"Mid Career","Senior Level"))</f>
        <v>Early Career</v>
      </c>
      <c r="T183" t="str">
        <f>IF(Table1[[#This Row],[AI_Exposure_Index]]&gt;=0.7,"High Exposure", IF(Table1[[#This Row],[AI_Exposure_Index]]&gt;=0.3,"Medium Exposure","Low Exposure"))</f>
        <v>Medium Exposure</v>
      </c>
    </row>
    <row r="184" spans="1:20" x14ac:dyDescent="0.25">
      <c r="A184" t="s">
        <v>29</v>
      </c>
      <c r="B184">
        <v>136127</v>
      </c>
      <c r="C184" s="1">
        <v>5</v>
      </c>
      <c r="D184" t="s">
        <v>19</v>
      </c>
      <c r="E184" s="7">
        <v>0.56999999999999995</v>
      </c>
      <c r="F184" s="2">
        <v>0.05</v>
      </c>
      <c r="G184" s="7">
        <v>0.15</v>
      </c>
      <c r="H184" s="9" t="s">
        <v>23</v>
      </c>
      <c r="I184">
        <v>0.3</v>
      </c>
      <c r="J184">
        <v>0.23</v>
      </c>
      <c r="K184">
        <v>0.28000000000000003</v>
      </c>
      <c r="L184">
        <v>0.8</v>
      </c>
      <c r="M184">
        <v>0.93</v>
      </c>
      <c r="N184">
        <v>0.41</v>
      </c>
      <c r="O184">
        <v>0.91</v>
      </c>
      <c r="P184">
        <v>0.32</v>
      </c>
      <c r="Q184">
        <v>0.48</v>
      </c>
      <c r="R184" s="2">
        <v>0.23</v>
      </c>
      <c r="S184" t="str">
        <f>IF(Table1[[#This Row],[Years_Experience]]&lt;=5,"Early Career",
IF(Table1[[#This Row],[Years_Experience]]&lt;=15,"Mid Career","Senior Level"))</f>
        <v>Early Career</v>
      </c>
      <c r="T184" t="str">
        <f>IF(Table1[[#This Row],[AI_Exposure_Index]]&gt;=0.7,"High Exposure", IF(Table1[[#This Row],[AI_Exposure_Index]]&gt;=0.3,"Medium Exposure","Low Exposure"))</f>
        <v>Low Exposure</v>
      </c>
    </row>
    <row r="185" spans="1:20" x14ac:dyDescent="0.25">
      <c r="A185" t="s">
        <v>41</v>
      </c>
      <c r="B185">
        <v>45592</v>
      </c>
      <c r="C185" s="1">
        <v>29</v>
      </c>
      <c r="D185" t="s">
        <v>38</v>
      </c>
      <c r="E185" s="7">
        <v>1.1000000000000001</v>
      </c>
      <c r="F185" s="2">
        <v>0.98</v>
      </c>
      <c r="G185" s="7">
        <v>0.79</v>
      </c>
      <c r="H185" s="9" t="s">
        <v>20</v>
      </c>
      <c r="I185">
        <v>0.65</v>
      </c>
      <c r="J185">
        <v>0.12</v>
      </c>
      <c r="K185">
        <v>0.89</v>
      </c>
      <c r="L185">
        <v>0.5</v>
      </c>
      <c r="M185">
        <v>0.45</v>
      </c>
      <c r="N185">
        <v>0.59</v>
      </c>
      <c r="O185">
        <v>0.62</v>
      </c>
      <c r="P185">
        <v>7.0000000000000007E-2</v>
      </c>
      <c r="Q185">
        <v>0.68</v>
      </c>
      <c r="R185" s="2">
        <v>0.24</v>
      </c>
      <c r="S185" t="str">
        <f>IF(Table1[[#This Row],[Years_Experience]]&lt;=5,"Early Career",
IF(Table1[[#This Row],[Years_Experience]]&lt;=15,"Mid Career","Senior Level"))</f>
        <v>Senior Level</v>
      </c>
      <c r="T185" t="str">
        <f>IF(Table1[[#This Row],[AI_Exposure_Index]]&gt;=0.7,"High Exposure", IF(Table1[[#This Row],[AI_Exposure_Index]]&gt;=0.3,"Medium Exposure","Low Exposure"))</f>
        <v>High Exposure</v>
      </c>
    </row>
    <row r="186" spans="1:20" x14ac:dyDescent="0.25">
      <c r="A186" t="s">
        <v>18</v>
      </c>
      <c r="B186">
        <v>134859</v>
      </c>
      <c r="C186" s="1">
        <v>13</v>
      </c>
      <c r="D186" t="s">
        <v>19</v>
      </c>
      <c r="E186" s="7">
        <v>1.3</v>
      </c>
      <c r="F186" s="2">
        <v>0.82</v>
      </c>
      <c r="G186" s="7">
        <v>0.84</v>
      </c>
      <c r="H186" s="9" t="s">
        <v>20</v>
      </c>
      <c r="I186">
        <v>0.52</v>
      </c>
      <c r="J186">
        <v>0.14000000000000001</v>
      </c>
      <c r="K186">
        <v>0.78</v>
      </c>
      <c r="L186">
        <v>0.27</v>
      </c>
      <c r="M186">
        <v>0.5</v>
      </c>
      <c r="N186">
        <v>0.28000000000000003</v>
      </c>
      <c r="O186">
        <v>0.13</v>
      </c>
      <c r="P186">
        <v>0.63</v>
      </c>
      <c r="Q186">
        <v>0.05</v>
      </c>
      <c r="R186" s="2">
        <v>0.75</v>
      </c>
      <c r="S186" t="str">
        <f>IF(Table1[[#This Row],[Years_Experience]]&lt;=5,"Early Career",
IF(Table1[[#This Row],[Years_Experience]]&lt;=15,"Mid Career","Senior Level"))</f>
        <v>Mid Career</v>
      </c>
      <c r="T186" t="str">
        <f>IF(Table1[[#This Row],[AI_Exposure_Index]]&gt;=0.7,"High Exposure", IF(Table1[[#This Row],[AI_Exposure_Index]]&gt;=0.3,"Medium Exposure","Low Exposure"))</f>
        <v>High Exposure</v>
      </c>
    </row>
    <row r="187" spans="1:20" x14ac:dyDescent="0.25">
      <c r="A187" t="s">
        <v>43</v>
      </c>
      <c r="B187">
        <v>119678</v>
      </c>
      <c r="C187" s="1">
        <v>24</v>
      </c>
      <c r="D187" t="s">
        <v>25</v>
      </c>
      <c r="E187" s="7">
        <v>1.01</v>
      </c>
      <c r="F187" s="2">
        <v>0</v>
      </c>
      <c r="G187" s="7">
        <v>0.06</v>
      </c>
      <c r="H187" s="9" t="s">
        <v>23</v>
      </c>
      <c r="I187">
        <v>0.28000000000000003</v>
      </c>
      <c r="J187">
        <v>0.71</v>
      </c>
      <c r="K187">
        <v>0.06</v>
      </c>
      <c r="L187">
        <v>0.84</v>
      </c>
      <c r="M187">
        <v>0</v>
      </c>
      <c r="N187">
        <v>0.25</v>
      </c>
      <c r="O187">
        <v>0.74</v>
      </c>
      <c r="P187">
        <v>0.32</v>
      </c>
      <c r="Q187">
        <v>0.1</v>
      </c>
      <c r="R187" s="2">
        <v>0.36</v>
      </c>
      <c r="S187" t="str">
        <f>IF(Table1[[#This Row],[Years_Experience]]&lt;=5,"Early Career",
IF(Table1[[#This Row],[Years_Experience]]&lt;=15,"Mid Career","Senior Level"))</f>
        <v>Senior Level</v>
      </c>
      <c r="T187" t="str">
        <f>IF(Table1[[#This Row],[AI_Exposure_Index]]&gt;=0.7,"High Exposure", IF(Table1[[#This Row],[AI_Exposure_Index]]&gt;=0.3,"Medium Exposure","Low Exposure"))</f>
        <v>Low Exposure</v>
      </c>
    </row>
    <row r="188" spans="1:20" x14ac:dyDescent="0.25">
      <c r="A188" t="s">
        <v>34</v>
      </c>
      <c r="B188">
        <v>62402</v>
      </c>
      <c r="C188" s="1">
        <v>8</v>
      </c>
      <c r="D188" t="s">
        <v>19</v>
      </c>
      <c r="E188" s="7">
        <v>0.81</v>
      </c>
      <c r="F188" s="2">
        <v>0.84</v>
      </c>
      <c r="G188" s="7">
        <v>0.62</v>
      </c>
      <c r="H188" s="9" t="s">
        <v>27</v>
      </c>
      <c r="I188">
        <v>0.89</v>
      </c>
      <c r="J188">
        <v>0.43</v>
      </c>
      <c r="K188">
        <v>0.91</v>
      </c>
      <c r="L188">
        <v>0.38</v>
      </c>
      <c r="M188">
        <v>0.96</v>
      </c>
      <c r="N188">
        <v>0.09</v>
      </c>
      <c r="O188">
        <v>0.69</v>
      </c>
      <c r="P188">
        <v>0.49</v>
      </c>
      <c r="Q188">
        <v>0.39</v>
      </c>
      <c r="R188" s="2">
        <v>0.63</v>
      </c>
      <c r="S188" t="str">
        <f>IF(Table1[[#This Row],[Years_Experience]]&lt;=5,"Early Career",
IF(Table1[[#This Row],[Years_Experience]]&lt;=15,"Mid Career","Senior Level"))</f>
        <v>Mid Career</v>
      </c>
      <c r="T188" t="str">
        <f>IF(Table1[[#This Row],[AI_Exposure_Index]]&gt;=0.7,"High Exposure", IF(Table1[[#This Row],[AI_Exposure_Index]]&gt;=0.3,"Medium Exposure","Low Exposure"))</f>
        <v>High Exposure</v>
      </c>
    </row>
    <row r="189" spans="1:20" x14ac:dyDescent="0.25">
      <c r="A189" t="s">
        <v>30</v>
      </c>
      <c r="B189">
        <v>53478</v>
      </c>
      <c r="C189" s="1">
        <v>9</v>
      </c>
      <c r="D189" t="s">
        <v>38</v>
      </c>
      <c r="E189" s="7">
        <v>0.75</v>
      </c>
      <c r="F189" s="2">
        <v>0.14000000000000001</v>
      </c>
      <c r="G189" s="7">
        <v>0.65</v>
      </c>
      <c r="H189" s="9" t="s">
        <v>27</v>
      </c>
      <c r="I189">
        <v>0.18</v>
      </c>
      <c r="J189">
        <v>0.28000000000000003</v>
      </c>
      <c r="K189">
        <v>0.13</v>
      </c>
      <c r="L189">
        <v>0.68</v>
      </c>
      <c r="M189">
        <v>0.94</v>
      </c>
      <c r="N189">
        <v>0.27</v>
      </c>
      <c r="O189">
        <v>0.48</v>
      </c>
      <c r="P189">
        <v>0.63</v>
      </c>
      <c r="Q189">
        <v>1</v>
      </c>
      <c r="R189" s="2">
        <v>0.1</v>
      </c>
      <c r="S189" t="str">
        <f>IF(Table1[[#This Row],[Years_Experience]]&lt;=5,"Early Career",
IF(Table1[[#This Row],[Years_Experience]]&lt;=15,"Mid Career","Senior Level"))</f>
        <v>Mid Career</v>
      </c>
      <c r="T189" t="str">
        <f>IF(Table1[[#This Row],[AI_Exposure_Index]]&gt;=0.7,"High Exposure", IF(Table1[[#This Row],[AI_Exposure_Index]]&gt;=0.3,"Medium Exposure","Low Exposure"))</f>
        <v>Low Exposure</v>
      </c>
    </row>
    <row r="190" spans="1:20" x14ac:dyDescent="0.25">
      <c r="A190" t="s">
        <v>35</v>
      </c>
      <c r="B190">
        <v>52005</v>
      </c>
      <c r="C190" s="1">
        <v>15</v>
      </c>
      <c r="D190" t="s">
        <v>38</v>
      </c>
      <c r="E190" s="7">
        <v>1.37</v>
      </c>
      <c r="F190" s="2">
        <v>0.39</v>
      </c>
      <c r="G190" s="7">
        <v>0.49</v>
      </c>
      <c r="H190" s="9" t="s">
        <v>27</v>
      </c>
      <c r="I190">
        <v>0.11</v>
      </c>
      <c r="J190">
        <v>0.63</v>
      </c>
      <c r="K190">
        <v>0.77</v>
      </c>
      <c r="L190">
        <v>0</v>
      </c>
      <c r="M190">
        <v>0.86</v>
      </c>
      <c r="N190">
        <v>0.19</v>
      </c>
      <c r="O190">
        <v>0.55000000000000004</v>
      </c>
      <c r="P190">
        <v>0.42</v>
      </c>
      <c r="Q190">
        <v>0.72</v>
      </c>
      <c r="R190" s="2">
        <v>0.37</v>
      </c>
      <c r="S190" t="str">
        <f>IF(Table1[[#This Row],[Years_Experience]]&lt;=5,"Early Career",
IF(Table1[[#This Row],[Years_Experience]]&lt;=15,"Mid Career","Senior Level"))</f>
        <v>Mid Career</v>
      </c>
      <c r="T190" t="str">
        <f>IF(Table1[[#This Row],[AI_Exposure_Index]]&gt;=0.7,"High Exposure", IF(Table1[[#This Row],[AI_Exposure_Index]]&gt;=0.3,"Medium Exposure","Low Exposure"))</f>
        <v>Medium Exposure</v>
      </c>
    </row>
    <row r="191" spans="1:20" x14ac:dyDescent="0.25">
      <c r="A191" t="s">
        <v>18</v>
      </c>
      <c r="B191">
        <v>82389</v>
      </c>
      <c r="C191" s="1">
        <v>10</v>
      </c>
      <c r="D191" t="s">
        <v>38</v>
      </c>
      <c r="E191" s="7">
        <v>1.1499999999999999</v>
      </c>
      <c r="F191" s="2">
        <v>0.73</v>
      </c>
      <c r="G191" s="7">
        <v>0.9</v>
      </c>
      <c r="H191" s="9" t="s">
        <v>20</v>
      </c>
      <c r="I191">
        <v>0.75</v>
      </c>
      <c r="J191">
        <v>0.04</v>
      </c>
      <c r="K191">
        <v>0.39</v>
      </c>
      <c r="L191">
        <v>0.93</v>
      </c>
      <c r="M191">
        <v>0.13</v>
      </c>
      <c r="N191">
        <v>0.74</v>
      </c>
      <c r="O191">
        <v>0.97</v>
      </c>
      <c r="P191">
        <v>0.05</v>
      </c>
      <c r="Q191">
        <v>0.68</v>
      </c>
      <c r="R191" s="2">
        <v>0.47</v>
      </c>
      <c r="S191" t="str">
        <f>IF(Table1[[#This Row],[Years_Experience]]&lt;=5,"Early Career",
IF(Table1[[#This Row],[Years_Experience]]&lt;=15,"Mid Career","Senior Level"))</f>
        <v>Mid Career</v>
      </c>
      <c r="T191" t="str">
        <f>IF(Table1[[#This Row],[AI_Exposure_Index]]&gt;=0.7,"High Exposure", IF(Table1[[#This Row],[AI_Exposure_Index]]&gt;=0.3,"Medium Exposure","Low Exposure"))</f>
        <v>High Exposure</v>
      </c>
    </row>
    <row r="192" spans="1:20" x14ac:dyDescent="0.25">
      <c r="A192" t="s">
        <v>42</v>
      </c>
      <c r="B192">
        <v>84336</v>
      </c>
      <c r="C192" s="1">
        <v>3</v>
      </c>
      <c r="D192" t="s">
        <v>25</v>
      </c>
      <c r="E192" s="7">
        <v>0.54</v>
      </c>
      <c r="F192" s="2">
        <v>0.09</v>
      </c>
      <c r="G192" s="7">
        <v>0.56999999999999995</v>
      </c>
      <c r="H192" s="9" t="s">
        <v>27</v>
      </c>
      <c r="I192">
        <v>0.82</v>
      </c>
      <c r="J192">
        <v>0.78</v>
      </c>
      <c r="K192">
        <v>0.54</v>
      </c>
      <c r="L192">
        <v>0.1</v>
      </c>
      <c r="M192">
        <v>0.69</v>
      </c>
      <c r="N192">
        <v>0.24</v>
      </c>
      <c r="O192">
        <v>0.91</v>
      </c>
      <c r="P192">
        <v>0.84</v>
      </c>
      <c r="Q192">
        <v>0.71</v>
      </c>
      <c r="R192" s="2">
        <v>0.95</v>
      </c>
      <c r="S192" t="str">
        <f>IF(Table1[[#This Row],[Years_Experience]]&lt;=5,"Early Career",
IF(Table1[[#This Row],[Years_Experience]]&lt;=15,"Mid Career","Senior Level"))</f>
        <v>Early Career</v>
      </c>
      <c r="T192" t="str">
        <f>IF(Table1[[#This Row],[AI_Exposure_Index]]&gt;=0.7,"High Exposure", IF(Table1[[#This Row],[AI_Exposure_Index]]&gt;=0.3,"Medium Exposure","Low Exposure"))</f>
        <v>Low Exposure</v>
      </c>
    </row>
    <row r="193" spans="1:20" x14ac:dyDescent="0.25">
      <c r="A193" t="s">
        <v>28</v>
      </c>
      <c r="B193">
        <v>112594</v>
      </c>
      <c r="C193" s="1">
        <v>24</v>
      </c>
      <c r="D193" t="s">
        <v>25</v>
      </c>
      <c r="E193" s="7">
        <v>0.83</v>
      </c>
      <c r="F193" s="2">
        <v>0.74</v>
      </c>
      <c r="G193" s="7">
        <v>0.66</v>
      </c>
      <c r="H193" s="9" t="s">
        <v>27</v>
      </c>
      <c r="I193">
        <v>0.27</v>
      </c>
      <c r="J193">
        <v>0.72</v>
      </c>
      <c r="K193">
        <v>0.88</v>
      </c>
      <c r="L193">
        <v>0.04</v>
      </c>
      <c r="M193">
        <v>0.4</v>
      </c>
      <c r="N193">
        <v>0.76</v>
      </c>
      <c r="O193">
        <v>0.45</v>
      </c>
      <c r="P193">
        <v>0.27</v>
      </c>
      <c r="Q193">
        <v>0.22</v>
      </c>
      <c r="R193" s="2">
        <v>0.13</v>
      </c>
      <c r="S193" t="str">
        <f>IF(Table1[[#This Row],[Years_Experience]]&lt;=5,"Early Career",
IF(Table1[[#This Row],[Years_Experience]]&lt;=15,"Mid Career","Senior Level"))</f>
        <v>Senior Level</v>
      </c>
      <c r="T193" t="str">
        <f>IF(Table1[[#This Row],[AI_Exposure_Index]]&gt;=0.7,"High Exposure", IF(Table1[[#This Row],[AI_Exposure_Index]]&gt;=0.3,"Medium Exposure","Low Exposure"))</f>
        <v>High Exposure</v>
      </c>
    </row>
    <row r="194" spans="1:20" x14ac:dyDescent="0.25">
      <c r="A194" t="s">
        <v>18</v>
      </c>
      <c r="B194">
        <v>85243</v>
      </c>
      <c r="C194" s="1">
        <v>26</v>
      </c>
      <c r="D194" t="s">
        <v>38</v>
      </c>
      <c r="E194" s="7">
        <v>0.57999999999999996</v>
      </c>
      <c r="F194" s="2">
        <v>0.57999999999999996</v>
      </c>
      <c r="G194" s="7">
        <v>0.8</v>
      </c>
      <c r="H194" s="9" t="s">
        <v>20</v>
      </c>
      <c r="I194">
        <v>0.37</v>
      </c>
      <c r="J194">
        <v>0.18</v>
      </c>
      <c r="K194">
        <v>0.44</v>
      </c>
      <c r="L194">
        <v>0.33</v>
      </c>
      <c r="M194">
        <v>0.34</v>
      </c>
      <c r="N194">
        <v>0.74</v>
      </c>
      <c r="O194">
        <v>0.22</v>
      </c>
      <c r="P194">
        <v>0.64</v>
      </c>
      <c r="Q194">
        <v>0.56999999999999995</v>
      </c>
      <c r="R194" s="2">
        <v>0.56999999999999995</v>
      </c>
      <c r="S194" t="str">
        <f>IF(Table1[[#This Row],[Years_Experience]]&lt;=5,"Early Career",
IF(Table1[[#This Row],[Years_Experience]]&lt;=15,"Mid Career","Senior Level"))</f>
        <v>Senior Level</v>
      </c>
      <c r="T194" t="str">
        <f>IF(Table1[[#This Row],[AI_Exposure_Index]]&gt;=0.7,"High Exposure", IF(Table1[[#This Row],[AI_Exposure_Index]]&gt;=0.3,"Medium Exposure","Low Exposure"))</f>
        <v>Medium Exposure</v>
      </c>
    </row>
    <row r="195" spans="1:20" x14ac:dyDescent="0.25">
      <c r="A195" t="s">
        <v>34</v>
      </c>
      <c r="B195">
        <v>85668</v>
      </c>
      <c r="C195" s="1">
        <v>3</v>
      </c>
      <c r="D195" t="s">
        <v>19</v>
      </c>
      <c r="E195" s="7">
        <v>1.38</v>
      </c>
      <c r="F195" s="2">
        <v>0.55000000000000004</v>
      </c>
      <c r="G195" s="7">
        <v>0.56999999999999995</v>
      </c>
      <c r="H195" s="9" t="s">
        <v>27</v>
      </c>
      <c r="I195">
        <v>0.55000000000000004</v>
      </c>
      <c r="J195">
        <v>0.83</v>
      </c>
      <c r="K195">
        <v>0.61</v>
      </c>
      <c r="L195">
        <v>0.28999999999999998</v>
      </c>
      <c r="M195">
        <v>0.21</v>
      </c>
      <c r="N195">
        <v>0.15</v>
      </c>
      <c r="O195">
        <v>0.9</v>
      </c>
      <c r="P195">
        <v>0.71</v>
      </c>
      <c r="Q195">
        <v>0.94</v>
      </c>
      <c r="R195" s="2">
        <v>0.6</v>
      </c>
      <c r="S195" t="str">
        <f>IF(Table1[[#This Row],[Years_Experience]]&lt;=5,"Early Career",
IF(Table1[[#This Row],[Years_Experience]]&lt;=15,"Mid Career","Senior Level"))</f>
        <v>Early Career</v>
      </c>
      <c r="T195" t="str">
        <f>IF(Table1[[#This Row],[AI_Exposure_Index]]&gt;=0.7,"High Exposure", IF(Table1[[#This Row],[AI_Exposure_Index]]&gt;=0.3,"Medium Exposure","Low Exposure"))</f>
        <v>Medium Exposure</v>
      </c>
    </row>
    <row r="196" spans="1:20" x14ac:dyDescent="0.25">
      <c r="A196" t="s">
        <v>26</v>
      </c>
      <c r="B196">
        <v>82428</v>
      </c>
      <c r="C196" s="1">
        <v>14</v>
      </c>
      <c r="D196" t="s">
        <v>38</v>
      </c>
      <c r="E196" s="7">
        <v>1.17</v>
      </c>
      <c r="F196" s="2">
        <v>0.06</v>
      </c>
      <c r="G196" s="7">
        <v>0.53</v>
      </c>
      <c r="H196" s="9" t="s">
        <v>27</v>
      </c>
      <c r="I196">
        <v>0.99</v>
      </c>
      <c r="J196">
        <v>0.24</v>
      </c>
      <c r="K196">
        <v>0.53</v>
      </c>
      <c r="L196">
        <v>0.65</v>
      </c>
      <c r="M196">
        <v>0.64</v>
      </c>
      <c r="N196">
        <v>0.56000000000000005</v>
      </c>
      <c r="O196">
        <v>0.78</v>
      </c>
      <c r="P196">
        <v>0.2</v>
      </c>
      <c r="Q196">
        <v>0.73</v>
      </c>
      <c r="R196" s="2">
        <v>0.62</v>
      </c>
      <c r="S196" t="str">
        <f>IF(Table1[[#This Row],[Years_Experience]]&lt;=5,"Early Career",
IF(Table1[[#This Row],[Years_Experience]]&lt;=15,"Mid Career","Senior Level"))</f>
        <v>Mid Career</v>
      </c>
      <c r="T196" t="str">
        <f>IF(Table1[[#This Row],[AI_Exposure_Index]]&gt;=0.7,"High Exposure", IF(Table1[[#This Row],[AI_Exposure_Index]]&gt;=0.3,"Medium Exposure","Low Exposure"))</f>
        <v>Low Exposure</v>
      </c>
    </row>
    <row r="197" spans="1:20" x14ac:dyDescent="0.25">
      <c r="A197" t="s">
        <v>36</v>
      </c>
      <c r="B197">
        <v>107240</v>
      </c>
      <c r="C197" s="1">
        <v>25</v>
      </c>
      <c r="D197" t="s">
        <v>38</v>
      </c>
      <c r="E197" s="7">
        <v>0.82</v>
      </c>
      <c r="F197" s="2">
        <v>0.85</v>
      </c>
      <c r="G197" s="7">
        <v>0.41</v>
      </c>
      <c r="H197" s="9" t="s">
        <v>27</v>
      </c>
      <c r="I197">
        <v>0.98</v>
      </c>
      <c r="J197">
        <v>0.53</v>
      </c>
      <c r="K197">
        <v>0.91</v>
      </c>
      <c r="L197">
        <v>0.16</v>
      </c>
      <c r="M197">
        <v>0.64</v>
      </c>
      <c r="N197">
        <v>0.81</v>
      </c>
      <c r="O197">
        <v>0.95</v>
      </c>
      <c r="P197">
        <v>0.34</v>
      </c>
      <c r="Q197">
        <v>0.72</v>
      </c>
      <c r="R197" s="2">
        <v>0.54</v>
      </c>
      <c r="S197" t="str">
        <f>IF(Table1[[#This Row],[Years_Experience]]&lt;=5,"Early Career",
IF(Table1[[#This Row],[Years_Experience]]&lt;=15,"Mid Career","Senior Level"))</f>
        <v>Senior Level</v>
      </c>
      <c r="T197" t="str">
        <f>IF(Table1[[#This Row],[AI_Exposure_Index]]&gt;=0.7,"High Exposure", IF(Table1[[#This Row],[AI_Exposure_Index]]&gt;=0.3,"Medium Exposure","Low Exposure"))</f>
        <v>High Exposure</v>
      </c>
    </row>
    <row r="198" spans="1:20" x14ac:dyDescent="0.25">
      <c r="A198" t="s">
        <v>34</v>
      </c>
      <c r="B198">
        <v>120270</v>
      </c>
      <c r="C198" s="1">
        <v>8</v>
      </c>
      <c r="D198" t="s">
        <v>19</v>
      </c>
      <c r="E198" s="7">
        <v>1.19</v>
      </c>
      <c r="F198" s="2">
        <v>0.69</v>
      </c>
      <c r="G198" s="7">
        <v>0.67</v>
      </c>
      <c r="H198" s="9" t="s">
        <v>27</v>
      </c>
      <c r="I198">
        <v>0.5</v>
      </c>
      <c r="J198">
        <v>0.23</v>
      </c>
      <c r="K198">
        <v>0.04</v>
      </c>
      <c r="L198">
        <v>0.42</v>
      </c>
      <c r="M198">
        <v>0.3</v>
      </c>
      <c r="N198">
        <v>0.76</v>
      </c>
      <c r="O198">
        <v>0.35</v>
      </c>
      <c r="P198">
        <v>0.95</v>
      </c>
      <c r="Q198">
        <v>0.96</v>
      </c>
      <c r="R198" s="2">
        <v>0.62</v>
      </c>
      <c r="S198" t="str">
        <f>IF(Table1[[#This Row],[Years_Experience]]&lt;=5,"Early Career",
IF(Table1[[#This Row],[Years_Experience]]&lt;=15,"Mid Career","Senior Level"))</f>
        <v>Mid Career</v>
      </c>
      <c r="T198" t="str">
        <f>IF(Table1[[#This Row],[AI_Exposure_Index]]&gt;=0.7,"High Exposure", IF(Table1[[#This Row],[AI_Exposure_Index]]&gt;=0.3,"Medium Exposure","Low Exposure"))</f>
        <v>Medium Exposure</v>
      </c>
    </row>
    <row r="199" spans="1:20" x14ac:dyDescent="0.25">
      <c r="A199" t="s">
        <v>29</v>
      </c>
      <c r="B199">
        <v>74605</v>
      </c>
      <c r="C199" s="1">
        <v>21</v>
      </c>
      <c r="D199" t="s">
        <v>19</v>
      </c>
      <c r="E199" s="7">
        <v>1.05</v>
      </c>
      <c r="F199" s="2">
        <v>0.76</v>
      </c>
      <c r="G199" s="7">
        <v>0.1</v>
      </c>
      <c r="H199" s="9" t="s">
        <v>23</v>
      </c>
      <c r="I199">
        <v>0.46</v>
      </c>
      <c r="J199">
        <v>0.56000000000000005</v>
      </c>
      <c r="K199">
        <v>0.86</v>
      </c>
      <c r="L199">
        <v>0.48</v>
      </c>
      <c r="M199">
        <v>0.9</v>
      </c>
      <c r="N199">
        <v>0.67</v>
      </c>
      <c r="O199">
        <v>0.14000000000000001</v>
      </c>
      <c r="P199">
        <v>0.99</v>
      </c>
      <c r="Q199">
        <v>0.53</v>
      </c>
      <c r="R199" s="2">
        <v>0.39</v>
      </c>
      <c r="S199" t="str">
        <f>IF(Table1[[#This Row],[Years_Experience]]&lt;=5,"Early Career",
IF(Table1[[#This Row],[Years_Experience]]&lt;=15,"Mid Career","Senior Level"))</f>
        <v>Senior Level</v>
      </c>
      <c r="T199" t="str">
        <f>IF(Table1[[#This Row],[AI_Exposure_Index]]&gt;=0.7,"High Exposure", IF(Table1[[#This Row],[AI_Exposure_Index]]&gt;=0.3,"Medium Exposure","Low Exposure"))</f>
        <v>High Exposure</v>
      </c>
    </row>
    <row r="200" spans="1:20" x14ac:dyDescent="0.25">
      <c r="A200" t="s">
        <v>34</v>
      </c>
      <c r="B200">
        <v>140059</v>
      </c>
      <c r="C200" s="1">
        <v>5</v>
      </c>
      <c r="D200" t="s">
        <v>38</v>
      </c>
      <c r="E200" s="7">
        <v>1.1399999999999999</v>
      </c>
      <c r="F200" s="2">
        <v>0.11</v>
      </c>
      <c r="G200" s="7">
        <v>0.5</v>
      </c>
      <c r="H200" s="9" t="s">
        <v>27</v>
      </c>
      <c r="I200">
        <v>0.41</v>
      </c>
      <c r="J200">
        <v>0.95</v>
      </c>
      <c r="K200">
        <v>0.52</v>
      </c>
      <c r="L200">
        <v>0.22</v>
      </c>
      <c r="M200">
        <v>0.46</v>
      </c>
      <c r="N200">
        <v>0.92</v>
      </c>
      <c r="O200">
        <v>0.18</v>
      </c>
      <c r="P200">
        <v>0.21</v>
      </c>
      <c r="Q200">
        <v>0.01</v>
      </c>
      <c r="R200" s="2">
        <v>0.01</v>
      </c>
      <c r="S200" t="str">
        <f>IF(Table1[[#This Row],[Years_Experience]]&lt;=5,"Early Career",
IF(Table1[[#This Row],[Years_Experience]]&lt;=15,"Mid Career","Senior Level"))</f>
        <v>Early Career</v>
      </c>
      <c r="T200" t="str">
        <f>IF(Table1[[#This Row],[AI_Exposure_Index]]&gt;=0.7,"High Exposure", IF(Table1[[#This Row],[AI_Exposure_Index]]&gt;=0.3,"Medium Exposure","Low Exposure"))</f>
        <v>Low Exposure</v>
      </c>
    </row>
    <row r="201" spans="1:20" x14ac:dyDescent="0.25">
      <c r="A201" t="s">
        <v>30</v>
      </c>
      <c r="B201">
        <v>96155</v>
      </c>
      <c r="C201" s="1">
        <v>18</v>
      </c>
      <c r="D201" t="s">
        <v>38</v>
      </c>
      <c r="E201" s="7">
        <v>0.86</v>
      </c>
      <c r="F201" s="2">
        <v>0.73</v>
      </c>
      <c r="G201" s="7">
        <v>0.57999999999999996</v>
      </c>
      <c r="H201" s="9" t="s">
        <v>27</v>
      </c>
      <c r="I201">
        <v>0.4</v>
      </c>
      <c r="J201">
        <v>0.95</v>
      </c>
      <c r="K201">
        <v>0.97</v>
      </c>
      <c r="L201">
        <v>0.39</v>
      </c>
      <c r="M201">
        <v>0.85</v>
      </c>
      <c r="N201">
        <v>0.77</v>
      </c>
      <c r="O201">
        <v>0.31</v>
      </c>
      <c r="P201">
        <v>0.23</v>
      </c>
      <c r="Q201">
        <v>0.46</v>
      </c>
      <c r="R201" s="2">
        <v>0.78</v>
      </c>
      <c r="S201" t="str">
        <f>IF(Table1[[#This Row],[Years_Experience]]&lt;=5,"Early Career",
IF(Table1[[#This Row],[Years_Experience]]&lt;=15,"Mid Career","Senior Level"))</f>
        <v>Senior Level</v>
      </c>
      <c r="T201" t="str">
        <f>IF(Table1[[#This Row],[AI_Exposure_Index]]&gt;=0.7,"High Exposure", IF(Table1[[#This Row],[AI_Exposure_Index]]&gt;=0.3,"Medium Exposure","Low Exposure"))</f>
        <v>High Exposure</v>
      </c>
    </row>
    <row r="202" spans="1:20" x14ac:dyDescent="0.25">
      <c r="A202" t="s">
        <v>24</v>
      </c>
      <c r="B202">
        <v>131971</v>
      </c>
      <c r="C202" s="1">
        <v>23</v>
      </c>
      <c r="D202" t="s">
        <v>19</v>
      </c>
      <c r="E202" s="7">
        <v>1.36</v>
      </c>
      <c r="F202" s="2">
        <v>0.76</v>
      </c>
      <c r="G202" s="7">
        <v>0.85</v>
      </c>
      <c r="H202" s="9" t="s">
        <v>20</v>
      </c>
      <c r="I202">
        <v>0.84</v>
      </c>
      <c r="J202">
        <v>0.78</v>
      </c>
      <c r="K202">
        <v>0.38</v>
      </c>
      <c r="L202">
        <v>0.55000000000000004</v>
      </c>
      <c r="M202">
        <v>0.8</v>
      </c>
      <c r="N202">
        <v>0.05</v>
      </c>
      <c r="O202">
        <v>0.81</v>
      </c>
      <c r="P202">
        <v>0.18</v>
      </c>
      <c r="Q202">
        <v>0.51</v>
      </c>
      <c r="R202" s="2">
        <v>0.81</v>
      </c>
      <c r="S202" t="str">
        <f>IF(Table1[[#This Row],[Years_Experience]]&lt;=5,"Early Career",
IF(Table1[[#This Row],[Years_Experience]]&lt;=15,"Mid Career","Senior Level"))</f>
        <v>Senior Level</v>
      </c>
      <c r="T202" t="str">
        <f>IF(Table1[[#This Row],[AI_Exposure_Index]]&gt;=0.7,"High Exposure", IF(Table1[[#This Row],[AI_Exposure_Index]]&gt;=0.3,"Medium Exposure","Low Exposure"))</f>
        <v>High Exposure</v>
      </c>
    </row>
    <row r="203" spans="1:20" x14ac:dyDescent="0.25">
      <c r="A203" t="s">
        <v>31</v>
      </c>
      <c r="B203">
        <v>57413</v>
      </c>
      <c r="C203" s="1">
        <v>4</v>
      </c>
      <c r="D203" t="s">
        <v>25</v>
      </c>
      <c r="E203" s="7">
        <v>0.9</v>
      </c>
      <c r="F203" s="2">
        <v>0.25</v>
      </c>
      <c r="G203" s="7">
        <v>0.27</v>
      </c>
      <c r="H203" s="9" t="s">
        <v>23</v>
      </c>
      <c r="I203">
        <v>0</v>
      </c>
      <c r="J203">
        <v>0.9</v>
      </c>
      <c r="K203">
        <v>0.15</v>
      </c>
      <c r="L203">
        <v>0.99</v>
      </c>
      <c r="M203">
        <v>0.95</v>
      </c>
      <c r="N203">
        <v>0.49</v>
      </c>
      <c r="O203">
        <v>0.51</v>
      </c>
      <c r="P203">
        <v>0.48</v>
      </c>
      <c r="Q203">
        <v>0.64</v>
      </c>
      <c r="R203" s="2">
        <v>0.09</v>
      </c>
      <c r="S203" t="str">
        <f>IF(Table1[[#This Row],[Years_Experience]]&lt;=5,"Early Career",
IF(Table1[[#This Row],[Years_Experience]]&lt;=15,"Mid Career","Senior Level"))</f>
        <v>Early Career</v>
      </c>
      <c r="T203" t="str">
        <f>IF(Table1[[#This Row],[AI_Exposure_Index]]&gt;=0.7,"High Exposure", IF(Table1[[#This Row],[AI_Exposure_Index]]&gt;=0.3,"Medium Exposure","Low Exposure"))</f>
        <v>Low Exposure</v>
      </c>
    </row>
    <row r="204" spans="1:20" x14ac:dyDescent="0.25">
      <c r="A204" t="s">
        <v>26</v>
      </c>
      <c r="B204">
        <v>138125</v>
      </c>
      <c r="C204" s="1">
        <v>2</v>
      </c>
      <c r="D204" t="s">
        <v>38</v>
      </c>
      <c r="E204" s="7">
        <v>0.94</v>
      </c>
      <c r="F204" s="2">
        <v>0.06</v>
      </c>
      <c r="G204" s="7">
        <v>0.41</v>
      </c>
      <c r="H204" s="9" t="s">
        <v>27</v>
      </c>
      <c r="I204">
        <v>0.62</v>
      </c>
      <c r="J204">
        <v>0.99</v>
      </c>
      <c r="K204">
        <v>0.39</v>
      </c>
      <c r="L204">
        <v>0.56999999999999995</v>
      </c>
      <c r="M204">
        <v>0.42</v>
      </c>
      <c r="N204">
        <v>0.85</v>
      </c>
      <c r="O204">
        <v>0.9</v>
      </c>
      <c r="P204">
        <v>0.88</v>
      </c>
      <c r="Q204">
        <v>0.97</v>
      </c>
      <c r="R204" s="2">
        <v>0.03</v>
      </c>
      <c r="S204" t="str">
        <f>IF(Table1[[#This Row],[Years_Experience]]&lt;=5,"Early Career",
IF(Table1[[#This Row],[Years_Experience]]&lt;=15,"Mid Career","Senior Level"))</f>
        <v>Early Career</v>
      </c>
      <c r="T204" t="str">
        <f>IF(Table1[[#This Row],[AI_Exposure_Index]]&gt;=0.7,"High Exposure", IF(Table1[[#This Row],[AI_Exposure_Index]]&gt;=0.3,"Medium Exposure","Low Exposure"))</f>
        <v>Low Exposure</v>
      </c>
    </row>
    <row r="205" spans="1:20" x14ac:dyDescent="0.25">
      <c r="A205" t="s">
        <v>32</v>
      </c>
      <c r="B205">
        <v>42602</v>
      </c>
      <c r="C205" s="1">
        <v>10</v>
      </c>
      <c r="D205" t="s">
        <v>22</v>
      </c>
      <c r="E205" s="7">
        <v>0.73</v>
      </c>
      <c r="F205" s="2">
        <v>0.75</v>
      </c>
      <c r="G205" s="7">
        <v>0.68</v>
      </c>
      <c r="H205" s="9" t="s">
        <v>27</v>
      </c>
      <c r="I205">
        <v>0.15</v>
      </c>
      <c r="J205">
        <v>0.68</v>
      </c>
      <c r="K205">
        <v>0.22</v>
      </c>
      <c r="L205">
        <v>0.43</v>
      </c>
      <c r="M205">
        <v>0.72</v>
      </c>
      <c r="N205">
        <v>0.56000000000000005</v>
      </c>
      <c r="O205">
        <v>0.43</v>
      </c>
      <c r="P205">
        <v>0.33</v>
      </c>
      <c r="Q205">
        <v>0.84</v>
      </c>
      <c r="R205" s="2">
        <v>0.14000000000000001</v>
      </c>
      <c r="S205" t="str">
        <f>IF(Table1[[#This Row],[Years_Experience]]&lt;=5,"Early Career",
IF(Table1[[#This Row],[Years_Experience]]&lt;=15,"Mid Career","Senior Level"))</f>
        <v>Mid Career</v>
      </c>
      <c r="T205" t="str">
        <f>IF(Table1[[#This Row],[AI_Exposure_Index]]&gt;=0.7,"High Exposure", IF(Table1[[#This Row],[AI_Exposure_Index]]&gt;=0.3,"Medium Exposure","Low Exposure"))</f>
        <v>High Exposure</v>
      </c>
    </row>
    <row r="206" spans="1:20" x14ac:dyDescent="0.25">
      <c r="A206" t="s">
        <v>21</v>
      </c>
      <c r="B206">
        <v>110070</v>
      </c>
      <c r="C206" s="1">
        <v>14</v>
      </c>
      <c r="D206" t="s">
        <v>19</v>
      </c>
      <c r="E206" s="7">
        <v>1.35</v>
      </c>
      <c r="F206" s="2">
        <v>0.9</v>
      </c>
      <c r="G206" s="7">
        <v>0.15</v>
      </c>
      <c r="H206" s="9" t="s">
        <v>23</v>
      </c>
      <c r="I206">
        <v>0.76</v>
      </c>
      <c r="J206">
        <v>0.82</v>
      </c>
      <c r="K206">
        <v>0.89</v>
      </c>
      <c r="L206">
        <v>0.54</v>
      </c>
      <c r="M206">
        <v>0.2</v>
      </c>
      <c r="N206">
        <v>0.26</v>
      </c>
      <c r="O206">
        <v>0.3</v>
      </c>
      <c r="P206">
        <v>0.59</v>
      </c>
      <c r="Q206">
        <v>0.03</v>
      </c>
      <c r="R206" s="2">
        <v>0.64</v>
      </c>
      <c r="S206" t="str">
        <f>IF(Table1[[#This Row],[Years_Experience]]&lt;=5,"Early Career",
IF(Table1[[#This Row],[Years_Experience]]&lt;=15,"Mid Career","Senior Level"))</f>
        <v>Mid Career</v>
      </c>
      <c r="T206" t="str">
        <f>IF(Table1[[#This Row],[AI_Exposure_Index]]&gt;=0.7,"High Exposure", IF(Table1[[#This Row],[AI_Exposure_Index]]&gt;=0.3,"Medium Exposure","Low Exposure"))</f>
        <v>High Exposure</v>
      </c>
    </row>
    <row r="207" spans="1:20" x14ac:dyDescent="0.25">
      <c r="A207" t="s">
        <v>34</v>
      </c>
      <c r="B207">
        <v>50954</v>
      </c>
      <c r="C207" s="1">
        <v>3</v>
      </c>
      <c r="D207" t="s">
        <v>19</v>
      </c>
      <c r="E207" s="7">
        <v>1.38</v>
      </c>
      <c r="F207" s="2">
        <v>0.3</v>
      </c>
      <c r="G207" s="7">
        <v>0.48</v>
      </c>
      <c r="H207" s="9" t="s">
        <v>27</v>
      </c>
      <c r="I207">
        <v>0.1</v>
      </c>
      <c r="J207">
        <v>0.83</v>
      </c>
      <c r="K207">
        <v>0.05</v>
      </c>
      <c r="L207">
        <v>0.73</v>
      </c>
      <c r="M207">
        <v>0.77</v>
      </c>
      <c r="N207">
        <v>0.35</v>
      </c>
      <c r="O207">
        <v>0.82</v>
      </c>
      <c r="P207">
        <v>0.52</v>
      </c>
      <c r="Q207">
        <v>0.46</v>
      </c>
      <c r="R207" s="2">
        <v>0.05</v>
      </c>
      <c r="S207" t="str">
        <f>IF(Table1[[#This Row],[Years_Experience]]&lt;=5,"Early Career",
IF(Table1[[#This Row],[Years_Experience]]&lt;=15,"Mid Career","Senior Level"))</f>
        <v>Early Career</v>
      </c>
      <c r="T207" t="str">
        <f>IF(Table1[[#This Row],[AI_Exposure_Index]]&gt;=0.7,"High Exposure", IF(Table1[[#This Row],[AI_Exposure_Index]]&gt;=0.3,"Medium Exposure","Low Exposure"))</f>
        <v>Medium Exposure</v>
      </c>
    </row>
    <row r="208" spans="1:20" x14ac:dyDescent="0.25">
      <c r="A208" t="s">
        <v>33</v>
      </c>
      <c r="B208">
        <v>118691</v>
      </c>
      <c r="C208" s="1">
        <v>22</v>
      </c>
      <c r="D208" t="s">
        <v>22</v>
      </c>
      <c r="E208" s="7">
        <v>0.89</v>
      </c>
      <c r="F208" s="2">
        <v>0.93</v>
      </c>
      <c r="G208" s="7">
        <v>0.84</v>
      </c>
      <c r="H208" s="9" t="s">
        <v>20</v>
      </c>
      <c r="I208">
        <v>0.53</v>
      </c>
      <c r="J208">
        <v>0.59</v>
      </c>
      <c r="K208">
        <v>0.06</v>
      </c>
      <c r="L208">
        <v>0.36</v>
      </c>
      <c r="M208">
        <v>0.72</v>
      </c>
      <c r="N208">
        <v>0.2</v>
      </c>
      <c r="O208">
        <v>0.2</v>
      </c>
      <c r="P208">
        <v>0.01</v>
      </c>
      <c r="Q208">
        <v>0.44</v>
      </c>
      <c r="R208" s="2">
        <v>0.88</v>
      </c>
      <c r="S208" t="str">
        <f>IF(Table1[[#This Row],[Years_Experience]]&lt;=5,"Early Career",
IF(Table1[[#This Row],[Years_Experience]]&lt;=15,"Mid Career","Senior Level"))</f>
        <v>Senior Level</v>
      </c>
      <c r="T208" t="str">
        <f>IF(Table1[[#This Row],[AI_Exposure_Index]]&gt;=0.7,"High Exposure", IF(Table1[[#This Row],[AI_Exposure_Index]]&gt;=0.3,"Medium Exposure","Low Exposure"))</f>
        <v>High Exposure</v>
      </c>
    </row>
    <row r="209" spans="1:20" x14ac:dyDescent="0.25">
      <c r="A209" t="s">
        <v>35</v>
      </c>
      <c r="B209">
        <v>120453</v>
      </c>
      <c r="C209" s="1">
        <v>14</v>
      </c>
      <c r="D209" t="s">
        <v>38</v>
      </c>
      <c r="E209" s="7">
        <v>0.81</v>
      </c>
      <c r="F209" s="2">
        <v>0.19</v>
      </c>
      <c r="G209" s="7">
        <v>0.59</v>
      </c>
      <c r="H209" s="9" t="s">
        <v>27</v>
      </c>
      <c r="I209">
        <v>0.64</v>
      </c>
      <c r="J209">
        <v>0.42</v>
      </c>
      <c r="K209">
        <v>0.76</v>
      </c>
      <c r="L209">
        <v>0.61</v>
      </c>
      <c r="M209">
        <v>0.9</v>
      </c>
      <c r="N209">
        <v>0.82</v>
      </c>
      <c r="O209">
        <v>0.25</v>
      </c>
      <c r="P209">
        <v>0.27</v>
      </c>
      <c r="Q209">
        <v>0.13</v>
      </c>
      <c r="R209" s="2">
        <v>0.34</v>
      </c>
      <c r="S209" t="str">
        <f>IF(Table1[[#This Row],[Years_Experience]]&lt;=5,"Early Career",
IF(Table1[[#This Row],[Years_Experience]]&lt;=15,"Mid Career","Senior Level"))</f>
        <v>Mid Career</v>
      </c>
      <c r="T209" t="str">
        <f>IF(Table1[[#This Row],[AI_Exposure_Index]]&gt;=0.7,"High Exposure", IF(Table1[[#This Row],[AI_Exposure_Index]]&gt;=0.3,"Medium Exposure","Low Exposure"))</f>
        <v>Low Exposure</v>
      </c>
    </row>
    <row r="210" spans="1:20" x14ac:dyDescent="0.25">
      <c r="A210" t="s">
        <v>26</v>
      </c>
      <c r="B210">
        <v>37214</v>
      </c>
      <c r="C210" s="1">
        <v>21</v>
      </c>
      <c r="D210" t="s">
        <v>22</v>
      </c>
      <c r="E210" s="7">
        <v>0.72</v>
      </c>
      <c r="F210" s="2">
        <v>0.41</v>
      </c>
      <c r="G210" s="7">
        <v>0.6</v>
      </c>
      <c r="H210" s="9" t="s">
        <v>27</v>
      </c>
      <c r="I210">
        <v>0.54</v>
      </c>
      <c r="J210">
        <v>0.15</v>
      </c>
      <c r="K210">
        <v>0.38</v>
      </c>
      <c r="L210">
        <v>0.41</v>
      </c>
      <c r="M210">
        <v>0.75</v>
      </c>
      <c r="N210">
        <v>0.02</v>
      </c>
      <c r="O210">
        <v>0.27</v>
      </c>
      <c r="P210">
        <v>0.52</v>
      </c>
      <c r="Q210">
        <v>0.27</v>
      </c>
      <c r="R210" s="2">
        <v>0.63</v>
      </c>
      <c r="S210" t="str">
        <f>IF(Table1[[#This Row],[Years_Experience]]&lt;=5,"Early Career",
IF(Table1[[#This Row],[Years_Experience]]&lt;=15,"Mid Career","Senior Level"))</f>
        <v>Senior Level</v>
      </c>
      <c r="T210" t="str">
        <f>IF(Table1[[#This Row],[AI_Exposure_Index]]&gt;=0.7,"High Exposure", IF(Table1[[#This Row],[AI_Exposure_Index]]&gt;=0.3,"Medium Exposure","Low Exposure"))</f>
        <v>Medium Exposure</v>
      </c>
    </row>
    <row r="211" spans="1:20" x14ac:dyDescent="0.25">
      <c r="A211" t="s">
        <v>21</v>
      </c>
      <c r="B211">
        <v>139269</v>
      </c>
      <c r="C211" s="1">
        <v>24</v>
      </c>
      <c r="D211" t="s">
        <v>25</v>
      </c>
      <c r="E211" s="7">
        <v>1.45</v>
      </c>
      <c r="F211" s="2">
        <v>0.36</v>
      </c>
      <c r="G211" s="7">
        <v>0.21</v>
      </c>
      <c r="H211" s="9" t="s">
        <v>23</v>
      </c>
      <c r="I211">
        <v>0.13</v>
      </c>
      <c r="J211">
        <v>0.56000000000000005</v>
      </c>
      <c r="K211">
        <v>0.78</v>
      </c>
      <c r="L211">
        <v>0.71</v>
      </c>
      <c r="M211">
        <v>0.17</v>
      </c>
      <c r="N211">
        <v>0.97</v>
      </c>
      <c r="O211">
        <v>0.45</v>
      </c>
      <c r="P211">
        <v>0.16</v>
      </c>
      <c r="Q211">
        <v>0.18</v>
      </c>
      <c r="R211" s="2">
        <v>0.1</v>
      </c>
      <c r="S211" t="str">
        <f>IF(Table1[[#This Row],[Years_Experience]]&lt;=5,"Early Career",
IF(Table1[[#This Row],[Years_Experience]]&lt;=15,"Mid Career","Senior Level"))</f>
        <v>Senior Level</v>
      </c>
      <c r="T211" t="str">
        <f>IF(Table1[[#This Row],[AI_Exposure_Index]]&gt;=0.7,"High Exposure", IF(Table1[[#This Row],[AI_Exposure_Index]]&gt;=0.3,"Medium Exposure","Low Exposure"))</f>
        <v>Medium Exposure</v>
      </c>
    </row>
    <row r="212" spans="1:20" x14ac:dyDescent="0.25">
      <c r="A212" t="s">
        <v>24</v>
      </c>
      <c r="B212">
        <v>119285</v>
      </c>
      <c r="C212" s="1">
        <v>0</v>
      </c>
      <c r="D212" t="s">
        <v>22</v>
      </c>
      <c r="E212" s="7">
        <v>0.63</v>
      </c>
      <c r="F212" s="2">
        <v>0.12</v>
      </c>
      <c r="G212" s="7">
        <v>0.91</v>
      </c>
      <c r="H212" s="9" t="s">
        <v>20</v>
      </c>
      <c r="I212">
        <v>0.34</v>
      </c>
      <c r="J212">
        <v>0.03</v>
      </c>
      <c r="K212">
        <v>0.05</v>
      </c>
      <c r="L212">
        <v>0.14000000000000001</v>
      </c>
      <c r="M212">
        <v>0.21</v>
      </c>
      <c r="N212">
        <v>0.67</v>
      </c>
      <c r="O212">
        <v>0.16</v>
      </c>
      <c r="P212">
        <v>0.12</v>
      </c>
      <c r="Q212">
        <v>0.76</v>
      </c>
      <c r="R212" s="2">
        <v>0.67</v>
      </c>
      <c r="S212" t="str">
        <f>IF(Table1[[#This Row],[Years_Experience]]&lt;=5,"Early Career",
IF(Table1[[#This Row],[Years_Experience]]&lt;=15,"Mid Career","Senior Level"))</f>
        <v>Early Career</v>
      </c>
      <c r="T212" t="str">
        <f>IF(Table1[[#This Row],[AI_Exposure_Index]]&gt;=0.7,"High Exposure", IF(Table1[[#This Row],[AI_Exposure_Index]]&gt;=0.3,"Medium Exposure","Low Exposure"))</f>
        <v>Low Exposure</v>
      </c>
    </row>
    <row r="213" spans="1:20" x14ac:dyDescent="0.25">
      <c r="A213" t="s">
        <v>21</v>
      </c>
      <c r="B213">
        <v>122268</v>
      </c>
      <c r="C213" s="1">
        <v>22</v>
      </c>
      <c r="D213" t="s">
        <v>38</v>
      </c>
      <c r="E213" s="7">
        <v>0.81</v>
      </c>
      <c r="F213" s="2">
        <v>0.55000000000000004</v>
      </c>
      <c r="G213" s="7">
        <v>0.17</v>
      </c>
      <c r="H213" s="9" t="s">
        <v>23</v>
      </c>
      <c r="I213">
        <v>0.51</v>
      </c>
      <c r="J213">
        <v>0.39</v>
      </c>
      <c r="K213">
        <v>0.91</v>
      </c>
      <c r="L213">
        <v>0.02</v>
      </c>
      <c r="M213">
        <v>0.78</v>
      </c>
      <c r="N213">
        <v>0.12</v>
      </c>
      <c r="O213">
        <v>0.8</v>
      </c>
      <c r="P213">
        <v>0.62</v>
      </c>
      <c r="Q213">
        <v>0.84</v>
      </c>
      <c r="R213" s="2">
        <v>0.1</v>
      </c>
      <c r="S213" t="str">
        <f>IF(Table1[[#This Row],[Years_Experience]]&lt;=5,"Early Career",
IF(Table1[[#This Row],[Years_Experience]]&lt;=15,"Mid Career","Senior Level"))</f>
        <v>Senior Level</v>
      </c>
      <c r="T213" t="str">
        <f>IF(Table1[[#This Row],[AI_Exposure_Index]]&gt;=0.7,"High Exposure", IF(Table1[[#This Row],[AI_Exposure_Index]]&gt;=0.3,"Medium Exposure","Low Exposure"))</f>
        <v>Medium Exposure</v>
      </c>
    </row>
    <row r="214" spans="1:20" x14ac:dyDescent="0.25">
      <c r="A214" t="s">
        <v>33</v>
      </c>
      <c r="B214">
        <v>118791</v>
      </c>
      <c r="C214" s="1">
        <v>26</v>
      </c>
      <c r="D214" t="s">
        <v>38</v>
      </c>
      <c r="E214" s="7">
        <v>1.21</v>
      </c>
      <c r="F214" s="2">
        <v>0.5</v>
      </c>
      <c r="G214" s="7">
        <v>0.83</v>
      </c>
      <c r="H214" s="9" t="s">
        <v>20</v>
      </c>
      <c r="I214">
        <v>0.54</v>
      </c>
      <c r="J214">
        <v>0.43</v>
      </c>
      <c r="K214">
        <v>0.31</v>
      </c>
      <c r="L214">
        <v>0.48</v>
      </c>
      <c r="M214">
        <v>0.12</v>
      </c>
      <c r="N214">
        <v>0.96</v>
      </c>
      <c r="O214">
        <v>0.71</v>
      </c>
      <c r="P214">
        <v>0.95</v>
      </c>
      <c r="Q214">
        <v>0.23</v>
      </c>
      <c r="R214" s="2">
        <v>0.88</v>
      </c>
      <c r="S214" t="str">
        <f>IF(Table1[[#This Row],[Years_Experience]]&lt;=5,"Early Career",
IF(Table1[[#This Row],[Years_Experience]]&lt;=15,"Mid Career","Senior Level"))</f>
        <v>Senior Level</v>
      </c>
      <c r="T214" t="str">
        <f>IF(Table1[[#This Row],[AI_Exposure_Index]]&gt;=0.7,"High Exposure", IF(Table1[[#This Row],[AI_Exposure_Index]]&gt;=0.3,"Medium Exposure","Low Exposure"))</f>
        <v>Medium Exposure</v>
      </c>
    </row>
    <row r="215" spans="1:20" x14ac:dyDescent="0.25">
      <c r="A215" t="s">
        <v>33</v>
      </c>
      <c r="B215">
        <v>86408</v>
      </c>
      <c r="C215" s="1">
        <v>19</v>
      </c>
      <c r="D215" t="s">
        <v>25</v>
      </c>
      <c r="E215" s="7">
        <v>1.1299999999999999</v>
      </c>
      <c r="F215" s="2">
        <v>0.68</v>
      </c>
      <c r="G215" s="7">
        <v>0.78</v>
      </c>
      <c r="H215" s="9" t="s">
        <v>20</v>
      </c>
      <c r="I215">
        <v>0.82</v>
      </c>
      <c r="J215">
        <v>0.5</v>
      </c>
      <c r="K215">
        <v>7.0000000000000007E-2</v>
      </c>
      <c r="L215">
        <v>0.31</v>
      </c>
      <c r="M215">
        <v>0.94</v>
      </c>
      <c r="N215">
        <v>0.85</v>
      </c>
      <c r="O215">
        <v>0.98</v>
      </c>
      <c r="P215">
        <v>0.63</v>
      </c>
      <c r="Q215">
        <v>0.25</v>
      </c>
      <c r="R215" s="2">
        <v>0.16</v>
      </c>
      <c r="S215" t="str">
        <f>IF(Table1[[#This Row],[Years_Experience]]&lt;=5,"Early Career",
IF(Table1[[#This Row],[Years_Experience]]&lt;=15,"Mid Career","Senior Level"))</f>
        <v>Senior Level</v>
      </c>
      <c r="T215" t="str">
        <f>IF(Table1[[#This Row],[AI_Exposure_Index]]&gt;=0.7,"High Exposure", IF(Table1[[#This Row],[AI_Exposure_Index]]&gt;=0.3,"Medium Exposure","Low Exposure"))</f>
        <v>Medium Exposure</v>
      </c>
    </row>
    <row r="216" spans="1:20" x14ac:dyDescent="0.25">
      <c r="A216" t="s">
        <v>28</v>
      </c>
      <c r="B216">
        <v>136464</v>
      </c>
      <c r="C216" s="1">
        <v>16</v>
      </c>
      <c r="D216" t="s">
        <v>22</v>
      </c>
      <c r="E216" s="7">
        <v>0.89</v>
      </c>
      <c r="F216" s="2">
        <v>0.02</v>
      </c>
      <c r="G216" s="7">
        <v>0.38</v>
      </c>
      <c r="H216" s="9" t="s">
        <v>27</v>
      </c>
      <c r="I216">
        <v>0.41</v>
      </c>
      <c r="J216">
        <v>0.93</v>
      </c>
      <c r="K216">
        <v>0.43</v>
      </c>
      <c r="L216">
        <v>0.88</v>
      </c>
      <c r="M216">
        <v>0.61</v>
      </c>
      <c r="N216">
        <v>0.25</v>
      </c>
      <c r="O216">
        <v>0.36</v>
      </c>
      <c r="P216">
        <v>0.08</v>
      </c>
      <c r="Q216">
        <v>0.33</v>
      </c>
      <c r="R216" s="2">
        <v>0.68</v>
      </c>
      <c r="S216" t="str">
        <f>IF(Table1[[#This Row],[Years_Experience]]&lt;=5,"Early Career",
IF(Table1[[#This Row],[Years_Experience]]&lt;=15,"Mid Career","Senior Level"))</f>
        <v>Senior Level</v>
      </c>
      <c r="T216" t="str">
        <f>IF(Table1[[#This Row],[AI_Exposure_Index]]&gt;=0.7,"High Exposure", IF(Table1[[#This Row],[AI_Exposure_Index]]&gt;=0.3,"Medium Exposure","Low Exposure"))</f>
        <v>Low Exposure</v>
      </c>
    </row>
    <row r="217" spans="1:20" x14ac:dyDescent="0.25">
      <c r="A217" t="s">
        <v>37</v>
      </c>
      <c r="B217">
        <v>56049</v>
      </c>
      <c r="C217" s="1">
        <v>29</v>
      </c>
      <c r="D217" t="s">
        <v>38</v>
      </c>
      <c r="E217" s="7">
        <v>1.44</v>
      </c>
      <c r="F217" s="2">
        <v>0.37</v>
      </c>
      <c r="G217" s="7">
        <v>0.56000000000000005</v>
      </c>
      <c r="H217" s="9" t="s">
        <v>27</v>
      </c>
      <c r="I217">
        <v>0.67</v>
      </c>
      <c r="J217">
        <v>0.63</v>
      </c>
      <c r="K217">
        <v>0.2</v>
      </c>
      <c r="L217">
        <v>0.42</v>
      </c>
      <c r="M217">
        <v>0.75</v>
      </c>
      <c r="N217">
        <v>0.1</v>
      </c>
      <c r="O217">
        <v>0.28000000000000003</v>
      </c>
      <c r="P217">
        <v>0.28000000000000003</v>
      </c>
      <c r="Q217">
        <v>0.43</v>
      </c>
      <c r="R217" s="2">
        <v>0.98</v>
      </c>
      <c r="S217" t="str">
        <f>IF(Table1[[#This Row],[Years_Experience]]&lt;=5,"Early Career",
IF(Table1[[#This Row],[Years_Experience]]&lt;=15,"Mid Career","Senior Level"))</f>
        <v>Senior Level</v>
      </c>
      <c r="T217" t="str">
        <f>IF(Table1[[#This Row],[AI_Exposure_Index]]&gt;=0.7,"High Exposure", IF(Table1[[#This Row],[AI_Exposure_Index]]&gt;=0.3,"Medium Exposure","Low Exposure"))</f>
        <v>Medium Exposure</v>
      </c>
    </row>
    <row r="218" spans="1:20" x14ac:dyDescent="0.25">
      <c r="A218" t="s">
        <v>37</v>
      </c>
      <c r="B218">
        <v>84845</v>
      </c>
      <c r="C218" s="1">
        <v>28</v>
      </c>
      <c r="D218" t="s">
        <v>22</v>
      </c>
      <c r="E218" s="7">
        <v>0.6</v>
      </c>
      <c r="F218" s="2">
        <v>0.98</v>
      </c>
      <c r="G218" s="7">
        <v>0.52</v>
      </c>
      <c r="H218" s="9" t="s">
        <v>27</v>
      </c>
      <c r="I218">
        <v>0.98</v>
      </c>
      <c r="J218">
        <v>0.56000000000000005</v>
      </c>
      <c r="K218">
        <v>0.19</v>
      </c>
      <c r="L218">
        <v>0.57999999999999996</v>
      </c>
      <c r="M218">
        <v>0.2</v>
      </c>
      <c r="N218">
        <v>0.52</v>
      </c>
      <c r="O218">
        <v>7.0000000000000007E-2</v>
      </c>
      <c r="P218">
        <v>0.61</v>
      </c>
      <c r="Q218">
        <v>0.52</v>
      </c>
      <c r="R218" s="2">
        <v>0.74</v>
      </c>
      <c r="S218" t="str">
        <f>IF(Table1[[#This Row],[Years_Experience]]&lt;=5,"Early Career",
IF(Table1[[#This Row],[Years_Experience]]&lt;=15,"Mid Career","Senior Level"))</f>
        <v>Senior Level</v>
      </c>
      <c r="T218" t="str">
        <f>IF(Table1[[#This Row],[AI_Exposure_Index]]&gt;=0.7,"High Exposure", IF(Table1[[#This Row],[AI_Exposure_Index]]&gt;=0.3,"Medium Exposure","Low Exposure"))</f>
        <v>High Exposure</v>
      </c>
    </row>
    <row r="219" spans="1:20" x14ac:dyDescent="0.25">
      <c r="A219" t="s">
        <v>37</v>
      </c>
      <c r="B219">
        <v>133937</v>
      </c>
      <c r="C219" s="1">
        <v>27</v>
      </c>
      <c r="D219" t="s">
        <v>19</v>
      </c>
      <c r="E219" s="7">
        <v>1.19</v>
      </c>
      <c r="F219" s="2">
        <v>0.55000000000000004</v>
      </c>
      <c r="G219" s="7">
        <v>0.36</v>
      </c>
      <c r="H219" s="9" t="s">
        <v>27</v>
      </c>
      <c r="I219">
        <v>0.6</v>
      </c>
      <c r="J219">
        <v>0.17</v>
      </c>
      <c r="K219">
        <v>0.93</v>
      </c>
      <c r="L219">
        <v>7.0000000000000007E-2</v>
      </c>
      <c r="M219">
        <v>0.43</v>
      </c>
      <c r="N219">
        <v>0.7</v>
      </c>
      <c r="O219">
        <v>0.46</v>
      </c>
      <c r="P219">
        <v>0.09</v>
      </c>
      <c r="Q219">
        <v>0.55000000000000004</v>
      </c>
      <c r="R219" s="2">
        <v>0.64</v>
      </c>
      <c r="S219" t="str">
        <f>IF(Table1[[#This Row],[Years_Experience]]&lt;=5,"Early Career",
IF(Table1[[#This Row],[Years_Experience]]&lt;=15,"Mid Career","Senior Level"))</f>
        <v>Senior Level</v>
      </c>
      <c r="T219" t="str">
        <f>IF(Table1[[#This Row],[AI_Exposure_Index]]&gt;=0.7,"High Exposure", IF(Table1[[#This Row],[AI_Exposure_Index]]&gt;=0.3,"Medium Exposure","Low Exposure"))</f>
        <v>Medium Exposure</v>
      </c>
    </row>
    <row r="220" spans="1:20" x14ac:dyDescent="0.25">
      <c r="A220" t="s">
        <v>29</v>
      </c>
      <c r="B220">
        <v>143557</v>
      </c>
      <c r="C220" s="1">
        <v>2</v>
      </c>
      <c r="D220" t="s">
        <v>25</v>
      </c>
      <c r="E220" s="7">
        <v>1.06</v>
      </c>
      <c r="F220" s="2">
        <v>0.37</v>
      </c>
      <c r="G220" s="7">
        <v>0.16</v>
      </c>
      <c r="H220" s="9" t="s">
        <v>23</v>
      </c>
      <c r="I220">
        <v>0.67</v>
      </c>
      <c r="J220">
        <v>0.57999999999999996</v>
      </c>
      <c r="K220">
        <v>0.53</v>
      </c>
      <c r="L220">
        <v>0.25</v>
      </c>
      <c r="M220">
        <v>0</v>
      </c>
      <c r="N220">
        <v>0.17</v>
      </c>
      <c r="O220">
        <v>0.12</v>
      </c>
      <c r="P220">
        <v>0.45</v>
      </c>
      <c r="Q220">
        <v>0.61</v>
      </c>
      <c r="R220" s="2">
        <v>0.21</v>
      </c>
      <c r="S220" t="str">
        <f>IF(Table1[[#This Row],[Years_Experience]]&lt;=5,"Early Career",
IF(Table1[[#This Row],[Years_Experience]]&lt;=15,"Mid Career","Senior Level"))</f>
        <v>Early Career</v>
      </c>
      <c r="T220" t="str">
        <f>IF(Table1[[#This Row],[AI_Exposure_Index]]&gt;=0.7,"High Exposure", IF(Table1[[#This Row],[AI_Exposure_Index]]&gt;=0.3,"Medium Exposure","Low Exposure"))</f>
        <v>Medium Exposure</v>
      </c>
    </row>
    <row r="221" spans="1:20" x14ac:dyDescent="0.25">
      <c r="A221" t="s">
        <v>36</v>
      </c>
      <c r="B221">
        <v>32994</v>
      </c>
      <c r="C221" s="1">
        <v>15</v>
      </c>
      <c r="D221" t="s">
        <v>22</v>
      </c>
      <c r="E221" s="7">
        <v>1.27</v>
      </c>
      <c r="F221" s="2">
        <v>0.01</v>
      </c>
      <c r="G221" s="7">
        <v>0.55000000000000004</v>
      </c>
      <c r="H221" s="9" t="s">
        <v>27</v>
      </c>
      <c r="I221">
        <v>0.37</v>
      </c>
      <c r="J221">
        <v>0.05</v>
      </c>
      <c r="K221">
        <v>0.63</v>
      </c>
      <c r="L221">
        <v>0.39</v>
      </c>
      <c r="M221">
        <v>0.94</v>
      </c>
      <c r="N221">
        <v>0.54</v>
      </c>
      <c r="O221">
        <v>0.94</v>
      </c>
      <c r="P221">
        <v>0.22</v>
      </c>
      <c r="Q221">
        <v>0.73</v>
      </c>
      <c r="R221" s="2">
        <v>0.62</v>
      </c>
      <c r="S221" t="str">
        <f>IF(Table1[[#This Row],[Years_Experience]]&lt;=5,"Early Career",
IF(Table1[[#This Row],[Years_Experience]]&lt;=15,"Mid Career","Senior Level"))</f>
        <v>Mid Career</v>
      </c>
      <c r="T221" t="str">
        <f>IF(Table1[[#This Row],[AI_Exposure_Index]]&gt;=0.7,"High Exposure", IF(Table1[[#This Row],[AI_Exposure_Index]]&gt;=0.3,"Medium Exposure","Low Exposure"))</f>
        <v>Low Exposure</v>
      </c>
    </row>
    <row r="222" spans="1:20" x14ac:dyDescent="0.25">
      <c r="A222" t="s">
        <v>41</v>
      </c>
      <c r="B222">
        <v>54351</v>
      </c>
      <c r="C222" s="1">
        <v>5</v>
      </c>
      <c r="D222" t="s">
        <v>22</v>
      </c>
      <c r="E222" s="7">
        <v>0.6</v>
      </c>
      <c r="F222" s="2">
        <v>0.98</v>
      </c>
      <c r="G222" s="7">
        <v>0.7</v>
      </c>
      <c r="H222" s="9" t="s">
        <v>27</v>
      </c>
      <c r="I222">
        <v>0.43</v>
      </c>
      <c r="J222">
        <v>0.09</v>
      </c>
      <c r="K222">
        <v>0.75</v>
      </c>
      <c r="L222">
        <v>0.91</v>
      </c>
      <c r="M222">
        <v>0.43</v>
      </c>
      <c r="N222">
        <v>0.26</v>
      </c>
      <c r="O222">
        <v>0.43</v>
      </c>
      <c r="P222">
        <v>0.72</v>
      </c>
      <c r="Q222">
        <v>0.01</v>
      </c>
      <c r="R222" s="2">
        <v>0.59</v>
      </c>
      <c r="S222" t="str">
        <f>IF(Table1[[#This Row],[Years_Experience]]&lt;=5,"Early Career",
IF(Table1[[#This Row],[Years_Experience]]&lt;=15,"Mid Career","Senior Level"))</f>
        <v>Early Career</v>
      </c>
      <c r="T222" t="str">
        <f>IF(Table1[[#This Row],[AI_Exposure_Index]]&gt;=0.7,"High Exposure", IF(Table1[[#This Row],[AI_Exposure_Index]]&gt;=0.3,"Medium Exposure","Low Exposure"))</f>
        <v>High Exposure</v>
      </c>
    </row>
    <row r="223" spans="1:20" x14ac:dyDescent="0.25">
      <c r="A223" t="s">
        <v>31</v>
      </c>
      <c r="B223">
        <v>74816</v>
      </c>
      <c r="C223" s="1">
        <v>10</v>
      </c>
      <c r="D223" t="s">
        <v>19</v>
      </c>
      <c r="E223" s="7">
        <v>0.74</v>
      </c>
      <c r="F223" s="2">
        <v>0.64</v>
      </c>
      <c r="G223" s="7">
        <v>0.23</v>
      </c>
      <c r="H223" s="9" t="s">
        <v>23</v>
      </c>
      <c r="I223">
        <v>0.09</v>
      </c>
      <c r="J223">
        <v>0.2</v>
      </c>
      <c r="K223">
        <v>0.88</v>
      </c>
      <c r="L223">
        <v>0.74</v>
      </c>
      <c r="M223">
        <v>0.01</v>
      </c>
      <c r="N223">
        <v>0.25</v>
      </c>
      <c r="O223">
        <v>0.21</v>
      </c>
      <c r="P223">
        <v>0.27</v>
      </c>
      <c r="Q223">
        <v>0.25</v>
      </c>
      <c r="R223" s="2">
        <v>0.06</v>
      </c>
      <c r="S223" t="str">
        <f>IF(Table1[[#This Row],[Years_Experience]]&lt;=5,"Early Career",
IF(Table1[[#This Row],[Years_Experience]]&lt;=15,"Mid Career","Senior Level"))</f>
        <v>Mid Career</v>
      </c>
      <c r="T223" t="str">
        <f>IF(Table1[[#This Row],[AI_Exposure_Index]]&gt;=0.7,"High Exposure", IF(Table1[[#This Row],[AI_Exposure_Index]]&gt;=0.3,"Medium Exposure","Low Exposure"))</f>
        <v>Medium Exposure</v>
      </c>
    </row>
    <row r="224" spans="1:20" x14ac:dyDescent="0.25">
      <c r="A224" t="s">
        <v>28</v>
      </c>
      <c r="B224">
        <v>103788</v>
      </c>
      <c r="C224" s="1">
        <v>17</v>
      </c>
      <c r="D224" t="s">
        <v>38</v>
      </c>
      <c r="E224" s="7">
        <v>1.1100000000000001</v>
      </c>
      <c r="F224" s="2">
        <v>0.73</v>
      </c>
      <c r="G224" s="7">
        <v>0.56999999999999995</v>
      </c>
      <c r="H224" s="9" t="s">
        <v>27</v>
      </c>
      <c r="I224">
        <v>0.08</v>
      </c>
      <c r="J224">
        <v>0.95</v>
      </c>
      <c r="K224">
        <v>0.84</v>
      </c>
      <c r="L224">
        <v>0.81</v>
      </c>
      <c r="M224">
        <v>0.82</v>
      </c>
      <c r="N224">
        <v>0.93</v>
      </c>
      <c r="O224">
        <v>0.54</v>
      </c>
      <c r="P224">
        <v>0.2</v>
      </c>
      <c r="Q224">
        <v>0.62</v>
      </c>
      <c r="R224" s="2">
        <v>0.74</v>
      </c>
      <c r="S224" t="str">
        <f>IF(Table1[[#This Row],[Years_Experience]]&lt;=5,"Early Career",
IF(Table1[[#This Row],[Years_Experience]]&lt;=15,"Mid Career","Senior Level"))</f>
        <v>Senior Level</v>
      </c>
      <c r="T224" t="str">
        <f>IF(Table1[[#This Row],[AI_Exposure_Index]]&gt;=0.7,"High Exposure", IF(Table1[[#This Row],[AI_Exposure_Index]]&gt;=0.3,"Medium Exposure","Low Exposure"))</f>
        <v>High Exposure</v>
      </c>
    </row>
    <row r="225" spans="1:20" x14ac:dyDescent="0.25">
      <c r="A225" t="s">
        <v>31</v>
      </c>
      <c r="B225">
        <v>40103</v>
      </c>
      <c r="C225" s="1">
        <v>26</v>
      </c>
      <c r="D225" t="s">
        <v>38</v>
      </c>
      <c r="E225" s="7">
        <v>0.56999999999999995</v>
      </c>
      <c r="F225" s="2">
        <v>0.52</v>
      </c>
      <c r="G225" s="7">
        <v>0.14000000000000001</v>
      </c>
      <c r="H225" s="9" t="s">
        <v>23</v>
      </c>
      <c r="I225">
        <v>0.92</v>
      </c>
      <c r="J225">
        <v>0.57999999999999996</v>
      </c>
      <c r="K225">
        <v>0.54</v>
      </c>
      <c r="L225">
        <v>0.27</v>
      </c>
      <c r="M225">
        <v>0.37</v>
      </c>
      <c r="N225">
        <v>0.9</v>
      </c>
      <c r="O225">
        <v>0.67</v>
      </c>
      <c r="P225">
        <v>0.79</v>
      </c>
      <c r="Q225">
        <v>0.45</v>
      </c>
      <c r="R225" s="2">
        <v>0.63</v>
      </c>
      <c r="S225" t="str">
        <f>IF(Table1[[#This Row],[Years_Experience]]&lt;=5,"Early Career",
IF(Table1[[#This Row],[Years_Experience]]&lt;=15,"Mid Career","Senior Level"))</f>
        <v>Senior Level</v>
      </c>
      <c r="T225" t="str">
        <f>IF(Table1[[#This Row],[AI_Exposure_Index]]&gt;=0.7,"High Exposure", IF(Table1[[#This Row],[AI_Exposure_Index]]&gt;=0.3,"Medium Exposure","Low Exposure"))</f>
        <v>Medium Exposure</v>
      </c>
    </row>
    <row r="226" spans="1:20" x14ac:dyDescent="0.25">
      <c r="A226" t="s">
        <v>44</v>
      </c>
      <c r="B226">
        <v>34458</v>
      </c>
      <c r="C226" s="1">
        <v>26</v>
      </c>
      <c r="D226" t="s">
        <v>25</v>
      </c>
      <c r="E226" s="7">
        <v>0.93</v>
      </c>
      <c r="F226" s="2">
        <v>0.71</v>
      </c>
      <c r="G226" s="7">
        <v>0.48</v>
      </c>
      <c r="H226" s="9" t="s">
        <v>27</v>
      </c>
      <c r="I226">
        <v>0.65</v>
      </c>
      <c r="J226">
        <v>0.94</v>
      </c>
      <c r="K226">
        <v>0.06</v>
      </c>
      <c r="L226">
        <v>0.82</v>
      </c>
      <c r="M226">
        <v>0.28999999999999998</v>
      </c>
      <c r="N226">
        <v>0.44</v>
      </c>
      <c r="O226">
        <v>0.02</v>
      </c>
      <c r="P226">
        <v>0.3</v>
      </c>
      <c r="Q226">
        <v>0.5</v>
      </c>
      <c r="R226" s="2">
        <v>0.06</v>
      </c>
      <c r="S226" t="str">
        <f>IF(Table1[[#This Row],[Years_Experience]]&lt;=5,"Early Career",
IF(Table1[[#This Row],[Years_Experience]]&lt;=15,"Mid Career","Senior Level"))</f>
        <v>Senior Level</v>
      </c>
      <c r="T226" t="str">
        <f>IF(Table1[[#This Row],[AI_Exposure_Index]]&gt;=0.7,"High Exposure", IF(Table1[[#This Row],[AI_Exposure_Index]]&gt;=0.3,"Medium Exposure","Low Exposure"))</f>
        <v>High Exposure</v>
      </c>
    </row>
    <row r="227" spans="1:20" x14ac:dyDescent="0.25">
      <c r="A227" t="s">
        <v>24</v>
      </c>
      <c r="B227">
        <v>59493</v>
      </c>
      <c r="C227" s="1">
        <v>23</v>
      </c>
      <c r="D227" t="s">
        <v>38</v>
      </c>
      <c r="E227" s="7">
        <v>0.61</v>
      </c>
      <c r="F227" s="2">
        <v>0.93</v>
      </c>
      <c r="G227" s="7">
        <v>0.89</v>
      </c>
      <c r="H227" s="9" t="s">
        <v>20</v>
      </c>
      <c r="I227">
        <v>0.41</v>
      </c>
      <c r="J227">
        <v>0.66</v>
      </c>
      <c r="K227">
        <v>0.26</v>
      </c>
      <c r="L227">
        <v>0.16</v>
      </c>
      <c r="M227">
        <v>0.16</v>
      </c>
      <c r="N227">
        <v>7.0000000000000007E-2</v>
      </c>
      <c r="O227">
        <v>0.19</v>
      </c>
      <c r="P227">
        <v>0.66</v>
      </c>
      <c r="Q227">
        <v>0.88</v>
      </c>
      <c r="R227" s="2">
        <v>0.81</v>
      </c>
      <c r="S227" t="str">
        <f>IF(Table1[[#This Row],[Years_Experience]]&lt;=5,"Early Career",
IF(Table1[[#This Row],[Years_Experience]]&lt;=15,"Mid Career","Senior Level"))</f>
        <v>Senior Level</v>
      </c>
      <c r="T227" t="str">
        <f>IF(Table1[[#This Row],[AI_Exposure_Index]]&gt;=0.7,"High Exposure", IF(Table1[[#This Row],[AI_Exposure_Index]]&gt;=0.3,"Medium Exposure","Low Exposure"))</f>
        <v>High Exposure</v>
      </c>
    </row>
    <row r="228" spans="1:20" x14ac:dyDescent="0.25">
      <c r="A228" t="s">
        <v>36</v>
      </c>
      <c r="B228">
        <v>93059</v>
      </c>
      <c r="C228" s="1">
        <v>18</v>
      </c>
      <c r="D228" t="s">
        <v>25</v>
      </c>
      <c r="E228" s="7">
        <v>0.79</v>
      </c>
      <c r="F228" s="2">
        <v>0.11</v>
      </c>
      <c r="G228" s="7">
        <v>0.42</v>
      </c>
      <c r="H228" s="9" t="s">
        <v>27</v>
      </c>
      <c r="I228">
        <v>0.25</v>
      </c>
      <c r="J228">
        <v>0.52</v>
      </c>
      <c r="K228">
        <v>0.54</v>
      </c>
      <c r="L228">
        <v>0.36</v>
      </c>
      <c r="M228">
        <v>0.35</v>
      </c>
      <c r="N228">
        <v>0.83</v>
      </c>
      <c r="O228">
        <v>0.79</v>
      </c>
      <c r="P228">
        <v>0.31</v>
      </c>
      <c r="Q228">
        <v>0.91</v>
      </c>
      <c r="R228" s="2">
        <v>0.95</v>
      </c>
      <c r="S228" t="str">
        <f>IF(Table1[[#This Row],[Years_Experience]]&lt;=5,"Early Career",
IF(Table1[[#This Row],[Years_Experience]]&lt;=15,"Mid Career","Senior Level"))</f>
        <v>Senior Level</v>
      </c>
      <c r="T228" t="str">
        <f>IF(Table1[[#This Row],[AI_Exposure_Index]]&gt;=0.7,"High Exposure", IF(Table1[[#This Row],[AI_Exposure_Index]]&gt;=0.3,"Medium Exposure","Low Exposure"))</f>
        <v>Low Exposure</v>
      </c>
    </row>
    <row r="229" spans="1:20" x14ac:dyDescent="0.25">
      <c r="A229" t="s">
        <v>37</v>
      </c>
      <c r="B229">
        <v>121683</v>
      </c>
      <c r="C229" s="1">
        <v>13</v>
      </c>
      <c r="D229" t="s">
        <v>22</v>
      </c>
      <c r="E229" s="7">
        <v>1.01</v>
      </c>
      <c r="F229" s="2">
        <v>0.35</v>
      </c>
      <c r="G229" s="7">
        <v>0.68</v>
      </c>
      <c r="H229" s="9" t="s">
        <v>27</v>
      </c>
      <c r="I229">
        <v>0.88</v>
      </c>
      <c r="J229">
        <v>0.1</v>
      </c>
      <c r="K229">
        <v>0.39</v>
      </c>
      <c r="L229">
        <v>0.55000000000000004</v>
      </c>
      <c r="M229">
        <v>0.5</v>
      </c>
      <c r="N229">
        <v>0.19</v>
      </c>
      <c r="O229">
        <v>0.86</v>
      </c>
      <c r="P229">
        <v>0.68</v>
      </c>
      <c r="Q229">
        <v>0.84</v>
      </c>
      <c r="R229" s="2">
        <v>0.86</v>
      </c>
      <c r="S229" t="str">
        <f>IF(Table1[[#This Row],[Years_Experience]]&lt;=5,"Early Career",
IF(Table1[[#This Row],[Years_Experience]]&lt;=15,"Mid Career","Senior Level"))</f>
        <v>Mid Career</v>
      </c>
      <c r="T229" t="str">
        <f>IF(Table1[[#This Row],[AI_Exposure_Index]]&gt;=0.7,"High Exposure", IF(Table1[[#This Row],[AI_Exposure_Index]]&gt;=0.3,"Medium Exposure","Low Exposure"))</f>
        <v>Medium Exposure</v>
      </c>
    </row>
    <row r="230" spans="1:20" x14ac:dyDescent="0.25">
      <c r="A230" t="s">
        <v>35</v>
      </c>
      <c r="B230">
        <v>46322</v>
      </c>
      <c r="C230" s="1">
        <v>29</v>
      </c>
      <c r="D230" t="s">
        <v>22</v>
      </c>
      <c r="E230" s="7">
        <v>1.1100000000000001</v>
      </c>
      <c r="F230" s="2">
        <v>0.44</v>
      </c>
      <c r="G230" s="7">
        <v>0.36</v>
      </c>
      <c r="H230" s="9" t="s">
        <v>27</v>
      </c>
      <c r="I230">
        <v>0.67</v>
      </c>
      <c r="J230">
        <v>0.18</v>
      </c>
      <c r="K230">
        <v>0.69</v>
      </c>
      <c r="L230">
        <v>0.23</v>
      </c>
      <c r="M230">
        <v>0.12</v>
      </c>
      <c r="N230">
        <v>0.17</v>
      </c>
      <c r="O230">
        <v>0</v>
      </c>
      <c r="P230">
        <v>0.72</v>
      </c>
      <c r="Q230">
        <v>0.73</v>
      </c>
      <c r="R230" s="2">
        <v>0.51</v>
      </c>
      <c r="S230" t="str">
        <f>IF(Table1[[#This Row],[Years_Experience]]&lt;=5,"Early Career",
IF(Table1[[#This Row],[Years_Experience]]&lt;=15,"Mid Career","Senior Level"))</f>
        <v>Senior Level</v>
      </c>
      <c r="T230" t="str">
        <f>IF(Table1[[#This Row],[AI_Exposure_Index]]&gt;=0.7,"High Exposure", IF(Table1[[#This Row],[AI_Exposure_Index]]&gt;=0.3,"Medium Exposure","Low Exposure"))</f>
        <v>Medium Exposure</v>
      </c>
    </row>
    <row r="231" spans="1:20" x14ac:dyDescent="0.25">
      <c r="A231" t="s">
        <v>26</v>
      </c>
      <c r="B231">
        <v>100293</v>
      </c>
      <c r="C231" s="1">
        <v>21</v>
      </c>
      <c r="D231" t="s">
        <v>38</v>
      </c>
      <c r="E231" s="7">
        <v>0.52</v>
      </c>
      <c r="F231" s="2">
        <v>0.08</v>
      </c>
      <c r="G231" s="7">
        <v>0.37</v>
      </c>
      <c r="H231" s="9" t="s">
        <v>27</v>
      </c>
      <c r="I231">
        <v>0.89</v>
      </c>
      <c r="J231">
        <v>0.24</v>
      </c>
      <c r="K231">
        <v>0.35</v>
      </c>
      <c r="L231">
        <v>0.11</v>
      </c>
      <c r="M231">
        <v>0.22</v>
      </c>
      <c r="N231">
        <v>0.52</v>
      </c>
      <c r="O231">
        <v>0.61</v>
      </c>
      <c r="P231">
        <v>0.25</v>
      </c>
      <c r="Q231">
        <v>0.06</v>
      </c>
      <c r="R231" s="2">
        <v>0.39</v>
      </c>
      <c r="S231" t="str">
        <f>IF(Table1[[#This Row],[Years_Experience]]&lt;=5,"Early Career",
IF(Table1[[#This Row],[Years_Experience]]&lt;=15,"Mid Career","Senior Level"))</f>
        <v>Senior Level</v>
      </c>
      <c r="T231" t="str">
        <f>IF(Table1[[#This Row],[AI_Exposure_Index]]&gt;=0.7,"High Exposure", IF(Table1[[#This Row],[AI_Exposure_Index]]&gt;=0.3,"Medium Exposure","Low Exposure"))</f>
        <v>Low Exposure</v>
      </c>
    </row>
    <row r="232" spans="1:20" x14ac:dyDescent="0.25">
      <c r="A232" t="s">
        <v>41</v>
      </c>
      <c r="B232">
        <v>79298</v>
      </c>
      <c r="C232" s="1">
        <v>21</v>
      </c>
      <c r="D232" t="s">
        <v>38</v>
      </c>
      <c r="E232" s="7">
        <v>1.46</v>
      </c>
      <c r="F232" s="2">
        <v>0.22</v>
      </c>
      <c r="G232" s="7">
        <v>0.85</v>
      </c>
      <c r="H232" s="9" t="s">
        <v>20</v>
      </c>
      <c r="I232">
        <v>0.56000000000000005</v>
      </c>
      <c r="J232">
        <v>0.42</v>
      </c>
      <c r="K232">
        <v>0.43</v>
      </c>
      <c r="L232">
        <v>0.54</v>
      </c>
      <c r="M232">
        <v>0.7</v>
      </c>
      <c r="N232">
        <v>0.7</v>
      </c>
      <c r="O232">
        <v>0.17</v>
      </c>
      <c r="P232">
        <v>0.5</v>
      </c>
      <c r="Q232">
        <v>0.41</v>
      </c>
      <c r="R232" s="2">
        <v>0.87</v>
      </c>
      <c r="S232" t="str">
        <f>IF(Table1[[#This Row],[Years_Experience]]&lt;=5,"Early Career",
IF(Table1[[#This Row],[Years_Experience]]&lt;=15,"Mid Career","Senior Level"))</f>
        <v>Senior Level</v>
      </c>
      <c r="T232" t="str">
        <f>IF(Table1[[#This Row],[AI_Exposure_Index]]&gt;=0.7,"High Exposure", IF(Table1[[#This Row],[AI_Exposure_Index]]&gt;=0.3,"Medium Exposure","Low Exposure"))</f>
        <v>Low Exposure</v>
      </c>
    </row>
    <row r="233" spans="1:20" x14ac:dyDescent="0.25">
      <c r="A233" t="s">
        <v>24</v>
      </c>
      <c r="B233">
        <v>73937</v>
      </c>
      <c r="C233" s="1">
        <v>28</v>
      </c>
      <c r="D233" t="s">
        <v>22</v>
      </c>
      <c r="E233" s="7">
        <v>0.62</v>
      </c>
      <c r="F233" s="2">
        <v>0.53</v>
      </c>
      <c r="G233" s="7">
        <v>0.85</v>
      </c>
      <c r="H233" s="9" t="s">
        <v>20</v>
      </c>
      <c r="I233">
        <v>0.12</v>
      </c>
      <c r="J233">
        <v>0.34</v>
      </c>
      <c r="K233">
        <v>0.14000000000000001</v>
      </c>
      <c r="L233">
        <v>0.69</v>
      </c>
      <c r="M233">
        <v>0.21</v>
      </c>
      <c r="N233">
        <v>0.39</v>
      </c>
      <c r="O233">
        <v>0.9</v>
      </c>
      <c r="P233">
        <v>0.2</v>
      </c>
      <c r="Q233">
        <v>0.51</v>
      </c>
      <c r="R233" s="2">
        <v>0.42</v>
      </c>
      <c r="S233" t="str">
        <f>IF(Table1[[#This Row],[Years_Experience]]&lt;=5,"Early Career",
IF(Table1[[#This Row],[Years_Experience]]&lt;=15,"Mid Career","Senior Level"))</f>
        <v>Senior Level</v>
      </c>
      <c r="T233" t="str">
        <f>IF(Table1[[#This Row],[AI_Exposure_Index]]&gt;=0.7,"High Exposure", IF(Table1[[#This Row],[AI_Exposure_Index]]&gt;=0.3,"Medium Exposure","Low Exposure"))</f>
        <v>Medium Exposure</v>
      </c>
    </row>
    <row r="234" spans="1:20" x14ac:dyDescent="0.25">
      <c r="A234" t="s">
        <v>35</v>
      </c>
      <c r="B234">
        <v>146464</v>
      </c>
      <c r="C234" s="1">
        <v>29</v>
      </c>
      <c r="D234" t="s">
        <v>25</v>
      </c>
      <c r="E234" s="7">
        <v>0.56999999999999995</v>
      </c>
      <c r="F234" s="2">
        <v>0.79</v>
      </c>
      <c r="G234" s="7">
        <v>0.49</v>
      </c>
      <c r="H234" s="9" t="s">
        <v>27</v>
      </c>
      <c r="I234">
        <v>0.56000000000000005</v>
      </c>
      <c r="J234">
        <v>0.63</v>
      </c>
      <c r="K234">
        <v>0.69</v>
      </c>
      <c r="L234">
        <v>0.25</v>
      </c>
      <c r="M234">
        <v>0.01</v>
      </c>
      <c r="N234">
        <v>0.72</v>
      </c>
      <c r="O234">
        <v>0.54</v>
      </c>
      <c r="P234">
        <v>0.84</v>
      </c>
      <c r="Q234">
        <v>0.82</v>
      </c>
      <c r="R234" s="2">
        <v>0.84</v>
      </c>
      <c r="S234" t="str">
        <f>IF(Table1[[#This Row],[Years_Experience]]&lt;=5,"Early Career",
IF(Table1[[#This Row],[Years_Experience]]&lt;=15,"Mid Career","Senior Level"))</f>
        <v>Senior Level</v>
      </c>
      <c r="T234" t="str">
        <f>IF(Table1[[#This Row],[AI_Exposure_Index]]&gt;=0.7,"High Exposure", IF(Table1[[#This Row],[AI_Exposure_Index]]&gt;=0.3,"Medium Exposure","Low Exposure"))</f>
        <v>High Exposure</v>
      </c>
    </row>
    <row r="235" spans="1:20" x14ac:dyDescent="0.25">
      <c r="A235" t="s">
        <v>39</v>
      </c>
      <c r="B235">
        <v>106274</v>
      </c>
      <c r="C235" s="1">
        <v>11</v>
      </c>
      <c r="D235" t="s">
        <v>25</v>
      </c>
      <c r="E235" s="7">
        <v>1.29</v>
      </c>
      <c r="F235" s="2">
        <v>0.33</v>
      </c>
      <c r="G235" s="7">
        <v>0.81</v>
      </c>
      <c r="H235" s="9" t="s">
        <v>20</v>
      </c>
      <c r="I235">
        <v>0.18</v>
      </c>
      <c r="J235">
        <v>0.85</v>
      </c>
      <c r="K235">
        <v>0.88</v>
      </c>
      <c r="L235">
        <v>0.47</v>
      </c>
      <c r="M235">
        <v>0.08</v>
      </c>
      <c r="N235">
        <v>0.39</v>
      </c>
      <c r="O235">
        <v>0.8</v>
      </c>
      <c r="P235">
        <v>0.9</v>
      </c>
      <c r="Q235">
        <v>0.2</v>
      </c>
      <c r="R235" s="2">
        <v>7.0000000000000007E-2</v>
      </c>
      <c r="S235" t="str">
        <f>IF(Table1[[#This Row],[Years_Experience]]&lt;=5,"Early Career",
IF(Table1[[#This Row],[Years_Experience]]&lt;=15,"Mid Career","Senior Level"))</f>
        <v>Mid Career</v>
      </c>
      <c r="T235" t="str">
        <f>IF(Table1[[#This Row],[AI_Exposure_Index]]&gt;=0.7,"High Exposure", IF(Table1[[#This Row],[AI_Exposure_Index]]&gt;=0.3,"Medium Exposure","Low Exposure"))</f>
        <v>Medium Exposure</v>
      </c>
    </row>
    <row r="236" spans="1:20" x14ac:dyDescent="0.25">
      <c r="A236" t="s">
        <v>42</v>
      </c>
      <c r="B236">
        <v>32581</v>
      </c>
      <c r="C236" s="1">
        <v>5</v>
      </c>
      <c r="D236" t="s">
        <v>22</v>
      </c>
      <c r="E236" s="7">
        <v>1.04</v>
      </c>
      <c r="F236" s="2">
        <v>0.39</v>
      </c>
      <c r="G236" s="7">
        <v>0.69</v>
      </c>
      <c r="H236" s="9" t="s">
        <v>27</v>
      </c>
      <c r="I236">
        <v>7.0000000000000007E-2</v>
      </c>
      <c r="J236">
        <v>0.65</v>
      </c>
      <c r="K236">
        <v>7.0000000000000007E-2</v>
      </c>
      <c r="L236">
        <v>0.38</v>
      </c>
      <c r="M236">
        <v>0.8</v>
      </c>
      <c r="N236">
        <v>0.43</v>
      </c>
      <c r="O236">
        <v>1</v>
      </c>
      <c r="P236">
        <v>0.56000000000000005</v>
      </c>
      <c r="Q236">
        <v>0.32</v>
      </c>
      <c r="R236" s="2">
        <v>0.22</v>
      </c>
      <c r="S236" t="str">
        <f>IF(Table1[[#This Row],[Years_Experience]]&lt;=5,"Early Career",
IF(Table1[[#This Row],[Years_Experience]]&lt;=15,"Mid Career","Senior Level"))</f>
        <v>Early Career</v>
      </c>
      <c r="T236" t="str">
        <f>IF(Table1[[#This Row],[AI_Exposure_Index]]&gt;=0.7,"High Exposure", IF(Table1[[#This Row],[AI_Exposure_Index]]&gt;=0.3,"Medium Exposure","Low Exposure"))</f>
        <v>Medium Exposure</v>
      </c>
    </row>
    <row r="237" spans="1:20" x14ac:dyDescent="0.25">
      <c r="A237" t="s">
        <v>41</v>
      </c>
      <c r="B237">
        <v>142309</v>
      </c>
      <c r="C237" s="1">
        <v>13</v>
      </c>
      <c r="D237" t="s">
        <v>19</v>
      </c>
      <c r="E237" s="7">
        <v>0.56999999999999995</v>
      </c>
      <c r="F237" s="2">
        <v>0.37</v>
      </c>
      <c r="G237" s="7">
        <v>0.79</v>
      </c>
      <c r="H237" s="9" t="s">
        <v>20</v>
      </c>
      <c r="I237">
        <v>0.46</v>
      </c>
      <c r="J237">
        <v>0.72</v>
      </c>
      <c r="K237">
        <v>0.66</v>
      </c>
      <c r="L237">
        <v>0.71</v>
      </c>
      <c r="M237">
        <v>0.01</v>
      </c>
      <c r="N237">
        <v>0.22</v>
      </c>
      <c r="O237">
        <v>0.66</v>
      </c>
      <c r="P237">
        <v>0.48</v>
      </c>
      <c r="Q237">
        <v>0.01</v>
      </c>
      <c r="R237" s="2">
        <v>0.8</v>
      </c>
      <c r="S237" t="str">
        <f>IF(Table1[[#This Row],[Years_Experience]]&lt;=5,"Early Career",
IF(Table1[[#This Row],[Years_Experience]]&lt;=15,"Mid Career","Senior Level"))</f>
        <v>Mid Career</v>
      </c>
      <c r="T237" t="str">
        <f>IF(Table1[[#This Row],[AI_Exposure_Index]]&gt;=0.7,"High Exposure", IF(Table1[[#This Row],[AI_Exposure_Index]]&gt;=0.3,"Medium Exposure","Low Exposure"))</f>
        <v>Medium Exposure</v>
      </c>
    </row>
    <row r="238" spans="1:20" x14ac:dyDescent="0.25">
      <c r="A238" t="s">
        <v>44</v>
      </c>
      <c r="B238">
        <v>85612</v>
      </c>
      <c r="C238" s="1">
        <v>23</v>
      </c>
      <c r="D238" t="s">
        <v>25</v>
      </c>
      <c r="E238" s="7">
        <v>0.56999999999999995</v>
      </c>
      <c r="F238" s="2">
        <v>0.55000000000000004</v>
      </c>
      <c r="G238" s="7">
        <v>0.61</v>
      </c>
      <c r="H238" s="9" t="s">
        <v>27</v>
      </c>
      <c r="I238">
        <v>0.57999999999999996</v>
      </c>
      <c r="J238">
        <v>0.78</v>
      </c>
      <c r="K238">
        <v>0.75</v>
      </c>
      <c r="L238">
        <v>0.8</v>
      </c>
      <c r="M238">
        <v>0.52</v>
      </c>
      <c r="N238">
        <v>0.14000000000000001</v>
      </c>
      <c r="O238">
        <v>0.67</v>
      </c>
      <c r="P238">
        <v>0.62</v>
      </c>
      <c r="Q238">
        <v>0.74</v>
      </c>
      <c r="R238" s="2">
        <v>0.17</v>
      </c>
      <c r="S238" t="str">
        <f>IF(Table1[[#This Row],[Years_Experience]]&lt;=5,"Early Career",
IF(Table1[[#This Row],[Years_Experience]]&lt;=15,"Mid Career","Senior Level"))</f>
        <v>Senior Level</v>
      </c>
      <c r="T238" t="str">
        <f>IF(Table1[[#This Row],[AI_Exposure_Index]]&gt;=0.7,"High Exposure", IF(Table1[[#This Row],[AI_Exposure_Index]]&gt;=0.3,"Medium Exposure","Low Exposure"))</f>
        <v>Medium Exposure</v>
      </c>
    </row>
    <row r="239" spans="1:20" x14ac:dyDescent="0.25">
      <c r="A239" t="s">
        <v>41</v>
      </c>
      <c r="B239">
        <v>65710</v>
      </c>
      <c r="C239" s="1">
        <v>27</v>
      </c>
      <c r="D239" t="s">
        <v>38</v>
      </c>
      <c r="E239" s="7">
        <v>0.66</v>
      </c>
      <c r="F239" s="2">
        <v>0.39</v>
      </c>
      <c r="G239" s="7">
        <v>0.76</v>
      </c>
      <c r="H239" s="9" t="s">
        <v>20</v>
      </c>
      <c r="I239">
        <v>0.61</v>
      </c>
      <c r="J239">
        <v>0.43</v>
      </c>
      <c r="K239">
        <v>0.77</v>
      </c>
      <c r="L239">
        <v>0.85</v>
      </c>
      <c r="M239">
        <v>0.54</v>
      </c>
      <c r="N239">
        <v>0.76</v>
      </c>
      <c r="O239">
        <v>0.31</v>
      </c>
      <c r="P239">
        <v>0.41</v>
      </c>
      <c r="Q239">
        <v>0.71</v>
      </c>
      <c r="R239" s="2">
        <v>0.39</v>
      </c>
      <c r="S239" t="str">
        <f>IF(Table1[[#This Row],[Years_Experience]]&lt;=5,"Early Career",
IF(Table1[[#This Row],[Years_Experience]]&lt;=15,"Mid Career","Senior Level"))</f>
        <v>Senior Level</v>
      </c>
      <c r="T239" t="str">
        <f>IF(Table1[[#This Row],[AI_Exposure_Index]]&gt;=0.7,"High Exposure", IF(Table1[[#This Row],[AI_Exposure_Index]]&gt;=0.3,"Medium Exposure","Low Exposure"))</f>
        <v>Medium Exposure</v>
      </c>
    </row>
    <row r="240" spans="1:20" x14ac:dyDescent="0.25">
      <c r="A240" t="s">
        <v>18</v>
      </c>
      <c r="B240">
        <v>46999</v>
      </c>
      <c r="C240" s="1">
        <v>26</v>
      </c>
      <c r="D240" t="s">
        <v>19</v>
      </c>
      <c r="E240" s="7">
        <v>1.1000000000000001</v>
      </c>
      <c r="F240" s="2">
        <v>0.19</v>
      </c>
      <c r="G240" s="7">
        <v>0.92</v>
      </c>
      <c r="H240" s="9" t="s">
        <v>20</v>
      </c>
      <c r="I240">
        <v>0.87</v>
      </c>
      <c r="J240">
        <v>0.72</v>
      </c>
      <c r="K240">
        <v>0.75</v>
      </c>
      <c r="L240">
        <v>0.56000000000000005</v>
      </c>
      <c r="M240">
        <v>0.57999999999999996</v>
      </c>
      <c r="N240">
        <v>0.13</v>
      </c>
      <c r="O240">
        <v>0.44</v>
      </c>
      <c r="P240">
        <v>0.45</v>
      </c>
      <c r="Q240">
        <v>0.96</v>
      </c>
      <c r="R240" s="2">
        <v>0.43</v>
      </c>
      <c r="S240" t="str">
        <f>IF(Table1[[#This Row],[Years_Experience]]&lt;=5,"Early Career",
IF(Table1[[#This Row],[Years_Experience]]&lt;=15,"Mid Career","Senior Level"))</f>
        <v>Senior Level</v>
      </c>
      <c r="T240" t="str">
        <f>IF(Table1[[#This Row],[AI_Exposure_Index]]&gt;=0.7,"High Exposure", IF(Table1[[#This Row],[AI_Exposure_Index]]&gt;=0.3,"Medium Exposure","Low Exposure"))</f>
        <v>Low Exposure</v>
      </c>
    </row>
    <row r="241" spans="1:20" x14ac:dyDescent="0.25">
      <c r="A241" t="s">
        <v>33</v>
      </c>
      <c r="B241">
        <v>142701</v>
      </c>
      <c r="C241" s="1">
        <v>5</v>
      </c>
      <c r="D241" t="s">
        <v>22</v>
      </c>
      <c r="E241" s="7">
        <v>1.1399999999999999</v>
      </c>
      <c r="F241" s="2">
        <v>0.53</v>
      </c>
      <c r="G241" s="7">
        <v>0.89</v>
      </c>
      <c r="H241" s="9" t="s">
        <v>20</v>
      </c>
      <c r="I241">
        <v>0.23</v>
      </c>
      <c r="J241">
        <v>0.53</v>
      </c>
      <c r="K241">
        <v>0.83</v>
      </c>
      <c r="L241">
        <v>0.46</v>
      </c>
      <c r="M241">
        <v>0.28000000000000003</v>
      </c>
      <c r="N241">
        <v>0.65</v>
      </c>
      <c r="O241">
        <v>0.82</v>
      </c>
      <c r="P241">
        <v>0.06</v>
      </c>
      <c r="Q241">
        <v>0.78</v>
      </c>
      <c r="R241" s="2">
        <v>0.82</v>
      </c>
      <c r="S241" t="str">
        <f>IF(Table1[[#This Row],[Years_Experience]]&lt;=5,"Early Career",
IF(Table1[[#This Row],[Years_Experience]]&lt;=15,"Mid Career","Senior Level"))</f>
        <v>Early Career</v>
      </c>
      <c r="T241" t="str">
        <f>IF(Table1[[#This Row],[AI_Exposure_Index]]&gt;=0.7,"High Exposure", IF(Table1[[#This Row],[AI_Exposure_Index]]&gt;=0.3,"Medium Exposure","Low Exposure"))</f>
        <v>Medium Exposure</v>
      </c>
    </row>
    <row r="242" spans="1:20" x14ac:dyDescent="0.25">
      <c r="A242" t="s">
        <v>31</v>
      </c>
      <c r="B242">
        <v>54031</v>
      </c>
      <c r="C242" s="1">
        <v>22</v>
      </c>
      <c r="D242" t="s">
        <v>22</v>
      </c>
      <c r="E242" s="7">
        <v>1.29</v>
      </c>
      <c r="F242" s="2">
        <v>0.98</v>
      </c>
      <c r="G242" s="7">
        <v>0.24</v>
      </c>
      <c r="H242" s="9" t="s">
        <v>23</v>
      </c>
      <c r="I242">
        <v>0.75</v>
      </c>
      <c r="J242">
        <v>0.15</v>
      </c>
      <c r="K242">
        <v>0.22</v>
      </c>
      <c r="L242">
        <v>0.46</v>
      </c>
      <c r="M242">
        <v>0.26</v>
      </c>
      <c r="N242">
        <v>0.42</v>
      </c>
      <c r="O242">
        <v>0.89</v>
      </c>
      <c r="P242">
        <v>0.82</v>
      </c>
      <c r="Q242">
        <v>0.63</v>
      </c>
      <c r="R242" s="2">
        <v>0.86</v>
      </c>
      <c r="S242" t="str">
        <f>IF(Table1[[#This Row],[Years_Experience]]&lt;=5,"Early Career",
IF(Table1[[#This Row],[Years_Experience]]&lt;=15,"Mid Career","Senior Level"))</f>
        <v>Senior Level</v>
      </c>
      <c r="T242" t="str">
        <f>IF(Table1[[#This Row],[AI_Exposure_Index]]&gt;=0.7,"High Exposure", IF(Table1[[#This Row],[AI_Exposure_Index]]&gt;=0.3,"Medium Exposure","Low Exposure"))</f>
        <v>High Exposure</v>
      </c>
    </row>
    <row r="243" spans="1:20" x14ac:dyDescent="0.25">
      <c r="A243" t="s">
        <v>26</v>
      </c>
      <c r="B243">
        <v>115679</v>
      </c>
      <c r="C243" s="1">
        <v>5</v>
      </c>
      <c r="D243" t="s">
        <v>22</v>
      </c>
      <c r="E243" s="7">
        <v>0.7</v>
      </c>
      <c r="F243" s="2">
        <v>0.43</v>
      </c>
      <c r="G243" s="7">
        <v>0.51</v>
      </c>
      <c r="H243" s="9" t="s">
        <v>27</v>
      </c>
      <c r="I243">
        <v>0.74</v>
      </c>
      <c r="J243">
        <v>0.44</v>
      </c>
      <c r="K243">
        <v>0.67</v>
      </c>
      <c r="L243">
        <v>0.09</v>
      </c>
      <c r="M243">
        <v>0.75</v>
      </c>
      <c r="N243">
        <v>0.81</v>
      </c>
      <c r="O243">
        <v>0.71</v>
      </c>
      <c r="P243">
        <v>0.97</v>
      </c>
      <c r="Q243">
        <v>0.83</v>
      </c>
      <c r="R243" s="2">
        <v>0.9</v>
      </c>
      <c r="S243" t="str">
        <f>IF(Table1[[#This Row],[Years_Experience]]&lt;=5,"Early Career",
IF(Table1[[#This Row],[Years_Experience]]&lt;=15,"Mid Career","Senior Level"))</f>
        <v>Early Career</v>
      </c>
      <c r="T243" t="str">
        <f>IF(Table1[[#This Row],[AI_Exposure_Index]]&gt;=0.7,"High Exposure", IF(Table1[[#This Row],[AI_Exposure_Index]]&gt;=0.3,"Medium Exposure","Low Exposure"))</f>
        <v>Medium Exposure</v>
      </c>
    </row>
    <row r="244" spans="1:20" x14ac:dyDescent="0.25">
      <c r="A244" t="s">
        <v>30</v>
      </c>
      <c r="B244">
        <v>63724</v>
      </c>
      <c r="C244" s="1">
        <v>26</v>
      </c>
      <c r="D244" t="s">
        <v>22</v>
      </c>
      <c r="E244" s="7">
        <v>1.36</v>
      </c>
      <c r="F244" s="2">
        <v>0.81</v>
      </c>
      <c r="G244" s="7">
        <v>0.7</v>
      </c>
      <c r="H244" s="9" t="s">
        <v>27</v>
      </c>
      <c r="I244">
        <v>0.24</v>
      </c>
      <c r="J244">
        <v>0.04</v>
      </c>
      <c r="K244">
        <v>0.41</v>
      </c>
      <c r="L244">
        <v>0.13</v>
      </c>
      <c r="M244">
        <v>0.02</v>
      </c>
      <c r="N244">
        <v>0.36</v>
      </c>
      <c r="O244">
        <v>0.78</v>
      </c>
      <c r="P244">
        <v>0.56999999999999995</v>
      </c>
      <c r="Q244">
        <v>0.31</v>
      </c>
      <c r="R244" s="2">
        <v>0.65</v>
      </c>
      <c r="S244" t="str">
        <f>IF(Table1[[#This Row],[Years_Experience]]&lt;=5,"Early Career",
IF(Table1[[#This Row],[Years_Experience]]&lt;=15,"Mid Career","Senior Level"))</f>
        <v>Senior Level</v>
      </c>
      <c r="T244" t="str">
        <f>IF(Table1[[#This Row],[AI_Exposure_Index]]&gt;=0.7,"High Exposure", IF(Table1[[#This Row],[AI_Exposure_Index]]&gt;=0.3,"Medium Exposure","Low Exposure"))</f>
        <v>High Exposure</v>
      </c>
    </row>
    <row r="245" spans="1:20" x14ac:dyDescent="0.25">
      <c r="A245" t="s">
        <v>34</v>
      </c>
      <c r="B245">
        <v>131154</v>
      </c>
      <c r="C245" s="1">
        <v>21</v>
      </c>
      <c r="D245" t="s">
        <v>19</v>
      </c>
      <c r="E245" s="7">
        <v>1.26</v>
      </c>
      <c r="F245" s="2">
        <v>0.01</v>
      </c>
      <c r="G245" s="7">
        <v>0.55000000000000004</v>
      </c>
      <c r="H245" s="9" t="s">
        <v>27</v>
      </c>
      <c r="I245">
        <v>0.76</v>
      </c>
      <c r="J245">
        <v>0.04</v>
      </c>
      <c r="K245">
        <v>0.84</v>
      </c>
      <c r="L245">
        <v>0.62</v>
      </c>
      <c r="M245">
        <v>0.56000000000000005</v>
      </c>
      <c r="N245">
        <v>0.62</v>
      </c>
      <c r="O245">
        <v>0.86</v>
      </c>
      <c r="P245">
        <v>0.59</v>
      </c>
      <c r="Q245">
        <v>0.57999999999999996</v>
      </c>
      <c r="R245" s="2">
        <v>0.99</v>
      </c>
      <c r="S245" t="str">
        <f>IF(Table1[[#This Row],[Years_Experience]]&lt;=5,"Early Career",
IF(Table1[[#This Row],[Years_Experience]]&lt;=15,"Mid Career","Senior Level"))</f>
        <v>Senior Level</v>
      </c>
      <c r="T245" t="str">
        <f>IF(Table1[[#This Row],[AI_Exposure_Index]]&gt;=0.7,"High Exposure", IF(Table1[[#This Row],[AI_Exposure_Index]]&gt;=0.3,"Medium Exposure","Low Exposure"))</f>
        <v>Low Exposure</v>
      </c>
    </row>
    <row r="246" spans="1:20" x14ac:dyDescent="0.25">
      <c r="A246" t="s">
        <v>30</v>
      </c>
      <c r="B246">
        <v>100014</v>
      </c>
      <c r="C246" s="1">
        <v>18</v>
      </c>
      <c r="D246" t="s">
        <v>38</v>
      </c>
      <c r="E246" s="7">
        <v>1.21</v>
      </c>
      <c r="F246" s="2">
        <v>0.44</v>
      </c>
      <c r="G246" s="7">
        <v>0.46</v>
      </c>
      <c r="H246" s="9" t="s">
        <v>27</v>
      </c>
      <c r="I246">
        <v>0.23</v>
      </c>
      <c r="J246">
        <v>0.6</v>
      </c>
      <c r="K246">
        <v>0.93</v>
      </c>
      <c r="L246">
        <v>0.93</v>
      </c>
      <c r="M246">
        <v>0.34</v>
      </c>
      <c r="N246">
        <v>0.53</v>
      </c>
      <c r="O246">
        <v>0.21</v>
      </c>
      <c r="P246">
        <v>1</v>
      </c>
      <c r="Q246">
        <v>0.98</v>
      </c>
      <c r="R246" s="2">
        <v>0.65</v>
      </c>
      <c r="S246" t="str">
        <f>IF(Table1[[#This Row],[Years_Experience]]&lt;=5,"Early Career",
IF(Table1[[#This Row],[Years_Experience]]&lt;=15,"Mid Career","Senior Level"))</f>
        <v>Senior Level</v>
      </c>
      <c r="T246" t="str">
        <f>IF(Table1[[#This Row],[AI_Exposure_Index]]&gt;=0.7,"High Exposure", IF(Table1[[#This Row],[AI_Exposure_Index]]&gt;=0.3,"Medium Exposure","Low Exposure"))</f>
        <v>Medium Exposure</v>
      </c>
    </row>
    <row r="247" spans="1:20" x14ac:dyDescent="0.25">
      <c r="A247" t="s">
        <v>43</v>
      </c>
      <c r="B247">
        <v>35232</v>
      </c>
      <c r="C247" s="1">
        <v>9</v>
      </c>
      <c r="D247" t="s">
        <v>25</v>
      </c>
      <c r="E247" s="7">
        <v>1.0900000000000001</v>
      </c>
      <c r="F247" s="2">
        <v>0.72</v>
      </c>
      <c r="G247" s="7">
        <v>0.06</v>
      </c>
      <c r="H247" s="9" t="s">
        <v>23</v>
      </c>
      <c r="I247">
        <v>0.45</v>
      </c>
      <c r="J247">
        <v>0.67</v>
      </c>
      <c r="K247">
        <v>0.68</v>
      </c>
      <c r="L247">
        <v>0.37</v>
      </c>
      <c r="M247">
        <v>0.94</v>
      </c>
      <c r="N247">
        <v>0.17</v>
      </c>
      <c r="O247">
        <v>0.5</v>
      </c>
      <c r="P247">
        <v>0.69</v>
      </c>
      <c r="Q247">
        <v>0.7</v>
      </c>
      <c r="R247" s="2">
        <v>0.65</v>
      </c>
      <c r="S247" t="str">
        <f>IF(Table1[[#This Row],[Years_Experience]]&lt;=5,"Early Career",
IF(Table1[[#This Row],[Years_Experience]]&lt;=15,"Mid Career","Senior Level"))</f>
        <v>Mid Career</v>
      </c>
      <c r="T247" t="str">
        <f>IF(Table1[[#This Row],[AI_Exposure_Index]]&gt;=0.7,"High Exposure", IF(Table1[[#This Row],[AI_Exposure_Index]]&gt;=0.3,"Medium Exposure","Low Exposure"))</f>
        <v>High Exposure</v>
      </c>
    </row>
    <row r="248" spans="1:20" x14ac:dyDescent="0.25">
      <c r="A248" t="s">
        <v>37</v>
      </c>
      <c r="B248">
        <v>114425</v>
      </c>
      <c r="C248" s="1">
        <v>21</v>
      </c>
      <c r="D248" t="s">
        <v>22</v>
      </c>
      <c r="E248" s="7">
        <v>1.1399999999999999</v>
      </c>
      <c r="F248" s="2">
        <v>0.16</v>
      </c>
      <c r="G248" s="7">
        <v>0.54</v>
      </c>
      <c r="H248" s="9" t="s">
        <v>27</v>
      </c>
      <c r="I248">
        <v>0.18</v>
      </c>
      <c r="J248">
        <v>0.71</v>
      </c>
      <c r="K248">
        <v>0.46</v>
      </c>
      <c r="L248">
        <v>0.67</v>
      </c>
      <c r="M248">
        <v>0.84</v>
      </c>
      <c r="N248">
        <v>0.17</v>
      </c>
      <c r="O248">
        <v>0.02</v>
      </c>
      <c r="P248">
        <v>0.78</v>
      </c>
      <c r="Q248">
        <v>0.61</v>
      </c>
      <c r="R248" s="2">
        <v>0.7</v>
      </c>
      <c r="S248" t="str">
        <f>IF(Table1[[#This Row],[Years_Experience]]&lt;=5,"Early Career",
IF(Table1[[#This Row],[Years_Experience]]&lt;=15,"Mid Career","Senior Level"))</f>
        <v>Senior Level</v>
      </c>
      <c r="T248" t="str">
        <f>IF(Table1[[#This Row],[AI_Exposure_Index]]&gt;=0.7,"High Exposure", IF(Table1[[#This Row],[AI_Exposure_Index]]&gt;=0.3,"Medium Exposure","Low Exposure"))</f>
        <v>Low Exposure</v>
      </c>
    </row>
    <row r="249" spans="1:20" x14ac:dyDescent="0.25">
      <c r="A249" t="s">
        <v>21</v>
      </c>
      <c r="B249">
        <v>116795</v>
      </c>
      <c r="C249" s="1">
        <v>7</v>
      </c>
      <c r="D249" t="s">
        <v>25</v>
      </c>
      <c r="E249" s="7">
        <v>1.46</v>
      </c>
      <c r="F249" s="2">
        <v>0.8</v>
      </c>
      <c r="G249" s="7">
        <v>0.18</v>
      </c>
      <c r="H249" s="9" t="s">
        <v>23</v>
      </c>
      <c r="I249">
        <v>0.49</v>
      </c>
      <c r="J249">
        <v>0.4</v>
      </c>
      <c r="K249">
        <v>0.15</v>
      </c>
      <c r="L249">
        <v>0.56999999999999995</v>
      </c>
      <c r="M249">
        <v>0.28000000000000003</v>
      </c>
      <c r="N249">
        <v>0.92</v>
      </c>
      <c r="O249">
        <v>0.57999999999999996</v>
      </c>
      <c r="P249">
        <v>0.59</v>
      </c>
      <c r="Q249">
        <v>0.35</v>
      </c>
      <c r="R249" s="2">
        <v>0.05</v>
      </c>
      <c r="S249" t="str">
        <f>IF(Table1[[#This Row],[Years_Experience]]&lt;=5,"Early Career",
IF(Table1[[#This Row],[Years_Experience]]&lt;=15,"Mid Career","Senior Level"))</f>
        <v>Mid Career</v>
      </c>
      <c r="T249" t="str">
        <f>IF(Table1[[#This Row],[AI_Exposure_Index]]&gt;=0.7,"High Exposure", IF(Table1[[#This Row],[AI_Exposure_Index]]&gt;=0.3,"Medium Exposure","Low Exposure"))</f>
        <v>High Exposure</v>
      </c>
    </row>
    <row r="250" spans="1:20" x14ac:dyDescent="0.25">
      <c r="A250" t="s">
        <v>33</v>
      </c>
      <c r="B250">
        <v>53559</v>
      </c>
      <c r="C250" s="1">
        <v>28</v>
      </c>
      <c r="D250" t="s">
        <v>38</v>
      </c>
      <c r="E250" s="7">
        <v>0.57999999999999996</v>
      </c>
      <c r="F250" s="2">
        <v>0.42</v>
      </c>
      <c r="G250" s="7">
        <v>0.85</v>
      </c>
      <c r="H250" s="9" t="s">
        <v>20</v>
      </c>
      <c r="I250">
        <v>0.88</v>
      </c>
      <c r="J250">
        <v>0.88</v>
      </c>
      <c r="K250">
        <v>0.66</v>
      </c>
      <c r="L250">
        <v>0.21</v>
      </c>
      <c r="M250">
        <v>0.86</v>
      </c>
      <c r="N250">
        <v>0.89</v>
      </c>
      <c r="O250">
        <v>0.2</v>
      </c>
      <c r="P250">
        <v>0.74</v>
      </c>
      <c r="Q250">
        <v>0.28999999999999998</v>
      </c>
      <c r="R250" s="2">
        <v>0.8</v>
      </c>
      <c r="S250" t="str">
        <f>IF(Table1[[#This Row],[Years_Experience]]&lt;=5,"Early Career",
IF(Table1[[#This Row],[Years_Experience]]&lt;=15,"Mid Career","Senior Level"))</f>
        <v>Senior Level</v>
      </c>
      <c r="T250" t="str">
        <f>IF(Table1[[#This Row],[AI_Exposure_Index]]&gt;=0.7,"High Exposure", IF(Table1[[#This Row],[AI_Exposure_Index]]&gt;=0.3,"Medium Exposure","Low Exposure"))</f>
        <v>Medium Exposure</v>
      </c>
    </row>
    <row r="251" spans="1:20" x14ac:dyDescent="0.25">
      <c r="A251" t="s">
        <v>24</v>
      </c>
      <c r="B251">
        <v>94418</v>
      </c>
      <c r="C251" s="1">
        <v>18</v>
      </c>
      <c r="D251" t="s">
        <v>19</v>
      </c>
      <c r="E251" s="7">
        <v>1.4</v>
      </c>
      <c r="F251" s="2">
        <v>0.03</v>
      </c>
      <c r="G251" s="7">
        <v>0.86</v>
      </c>
      <c r="H251" s="9" t="s">
        <v>20</v>
      </c>
      <c r="I251">
        <v>0.97</v>
      </c>
      <c r="J251">
        <v>0.47</v>
      </c>
      <c r="K251">
        <v>0.85</v>
      </c>
      <c r="L251">
        <v>0.06</v>
      </c>
      <c r="M251">
        <v>0.34</v>
      </c>
      <c r="N251">
        <v>7.0000000000000007E-2</v>
      </c>
      <c r="O251">
        <v>0.98</v>
      </c>
      <c r="P251">
        <v>0.82</v>
      </c>
      <c r="Q251">
        <v>0.85</v>
      </c>
      <c r="R251" s="2">
        <v>0.94</v>
      </c>
      <c r="S251" t="str">
        <f>IF(Table1[[#This Row],[Years_Experience]]&lt;=5,"Early Career",
IF(Table1[[#This Row],[Years_Experience]]&lt;=15,"Mid Career","Senior Level"))</f>
        <v>Senior Level</v>
      </c>
      <c r="T251" t="str">
        <f>IF(Table1[[#This Row],[AI_Exposure_Index]]&gt;=0.7,"High Exposure", IF(Table1[[#This Row],[AI_Exposure_Index]]&gt;=0.3,"Medium Exposure","Low Exposure"))</f>
        <v>Low Exposure</v>
      </c>
    </row>
    <row r="252" spans="1:20" x14ac:dyDescent="0.25">
      <c r="A252" t="s">
        <v>36</v>
      </c>
      <c r="B252">
        <v>117954</v>
      </c>
      <c r="C252" s="1">
        <v>13</v>
      </c>
      <c r="D252" t="s">
        <v>22</v>
      </c>
      <c r="E252" s="7">
        <v>0.56999999999999995</v>
      </c>
      <c r="F252" s="2">
        <v>0.39</v>
      </c>
      <c r="G252" s="7">
        <v>0.38</v>
      </c>
      <c r="H252" s="9" t="s">
        <v>27</v>
      </c>
      <c r="I252">
        <v>0.23</v>
      </c>
      <c r="J252">
        <v>0.47</v>
      </c>
      <c r="K252">
        <v>0.27</v>
      </c>
      <c r="L252">
        <v>0.1</v>
      </c>
      <c r="M252">
        <v>0.17</v>
      </c>
      <c r="N252">
        <v>0.15</v>
      </c>
      <c r="O252">
        <v>0.97</v>
      </c>
      <c r="P252">
        <v>0.76</v>
      </c>
      <c r="Q252">
        <v>0.97</v>
      </c>
      <c r="R252" s="2">
        <v>0.44</v>
      </c>
      <c r="S252" t="str">
        <f>IF(Table1[[#This Row],[Years_Experience]]&lt;=5,"Early Career",
IF(Table1[[#This Row],[Years_Experience]]&lt;=15,"Mid Career","Senior Level"))</f>
        <v>Mid Career</v>
      </c>
      <c r="T252" t="str">
        <f>IF(Table1[[#This Row],[AI_Exposure_Index]]&gt;=0.7,"High Exposure", IF(Table1[[#This Row],[AI_Exposure_Index]]&gt;=0.3,"Medium Exposure","Low Exposure"))</f>
        <v>Medium Exposure</v>
      </c>
    </row>
    <row r="253" spans="1:20" x14ac:dyDescent="0.25">
      <c r="A253" t="s">
        <v>30</v>
      </c>
      <c r="B253">
        <v>105831</v>
      </c>
      <c r="C253" s="1">
        <v>22</v>
      </c>
      <c r="D253" t="s">
        <v>19</v>
      </c>
      <c r="E253" s="7">
        <v>0.83</v>
      </c>
      <c r="F253" s="2">
        <v>0.8</v>
      </c>
      <c r="G253" s="7">
        <v>0.42</v>
      </c>
      <c r="H253" s="9" t="s">
        <v>27</v>
      </c>
      <c r="I253">
        <v>0.23</v>
      </c>
      <c r="J253">
        <v>0.13</v>
      </c>
      <c r="K253">
        <v>0.26</v>
      </c>
      <c r="L253">
        <v>0.36</v>
      </c>
      <c r="M253">
        <v>0.67</v>
      </c>
      <c r="N253">
        <v>0.06</v>
      </c>
      <c r="O253">
        <v>0.21</v>
      </c>
      <c r="P253">
        <v>0.81</v>
      </c>
      <c r="Q253">
        <v>0.15</v>
      </c>
      <c r="R253" s="2">
        <v>0.34</v>
      </c>
      <c r="S253" t="str">
        <f>IF(Table1[[#This Row],[Years_Experience]]&lt;=5,"Early Career",
IF(Table1[[#This Row],[Years_Experience]]&lt;=15,"Mid Career","Senior Level"))</f>
        <v>Senior Level</v>
      </c>
      <c r="T253" t="str">
        <f>IF(Table1[[#This Row],[AI_Exposure_Index]]&gt;=0.7,"High Exposure", IF(Table1[[#This Row],[AI_Exposure_Index]]&gt;=0.3,"Medium Exposure","Low Exposure"))</f>
        <v>High Exposure</v>
      </c>
    </row>
    <row r="254" spans="1:20" x14ac:dyDescent="0.25">
      <c r="A254" t="s">
        <v>32</v>
      </c>
      <c r="B254">
        <v>48814</v>
      </c>
      <c r="C254" s="1">
        <v>23</v>
      </c>
      <c r="D254" t="s">
        <v>38</v>
      </c>
      <c r="E254" s="7">
        <v>0.57999999999999996</v>
      </c>
      <c r="F254" s="2">
        <v>0.15</v>
      </c>
      <c r="G254" s="7">
        <v>0.49</v>
      </c>
      <c r="H254" s="9" t="s">
        <v>27</v>
      </c>
      <c r="I254">
        <v>0.3</v>
      </c>
      <c r="J254">
        <v>0.56000000000000005</v>
      </c>
      <c r="K254">
        <v>0.8</v>
      </c>
      <c r="L254">
        <v>0.14000000000000001</v>
      </c>
      <c r="M254">
        <v>0.57999999999999996</v>
      </c>
      <c r="N254">
        <v>0.51</v>
      </c>
      <c r="O254">
        <v>0.14000000000000001</v>
      </c>
      <c r="P254">
        <v>0.62</v>
      </c>
      <c r="Q254">
        <v>0.27</v>
      </c>
      <c r="R254" s="2">
        <v>0.49</v>
      </c>
      <c r="S254" t="str">
        <f>IF(Table1[[#This Row],[Years_Experience]]&lt;=5,"Early Career",
IF(Table1[[#This Row],[Years_Experience]]&lt;=15,"Mid Career","Senior Level"))</f>
        <v>Senior Level</v>
      </c>
      <c r="T254" t="str">
        <f>IF(Table1[[#This Row],[AI_Exposure_Index]]&gt;=0.7,"High Exposure", IF(Table1[[#This Row],[AI_Exposure_Index]]&gt;=0.3,"Medium Exposure","Low Exposure"))</f>
        <v>Low Exposure</v>
      </c>
    </row>
    <row r="255" spans="1:20" x14ac:dyDescent="0.25">
      <c r="A255" t="s">
        <v>21</v>
      </c>
      <c r="B255">
        <v>147904</v>
      </c>
      <c r="C255" s="1">
        <v>0</v>
      </c>
      <c r="D255" t="s">
        <v>25</v>
      </c>
      <c r="E255" s="7">
        <v>0.81</v>
      </c>
      <c r="F255" s="2">
        <v>0.46</v>
      </c>
      <c r="G255" s="7">
        <v>0.26</v>
      </c>
      <c r="H255" s="9" t="s">
        <v>23</v>
      </c>
      <c r="I255">
        <v>0.06</v>
      </c>
      <c r="J255">
        <v>0.42</v>
      </c>
      <c r="K255">
        <v>0.46</v>
      </c>
      <c r="L255">
        <v>0.73</v>
      </c>
      <c r="M255">
        <v>0.56999999999999995</v>
      </c>
      <c r="N255">
        <v>0.67</v>
      </c>
      <c r="O255">
        <v>0.78</v>
      </c>
      <c r="P255">
        <v>0.86</v>
      </c>
      <c r="Q255">
        <v>0.31</v>
      </c>
      <c r="R255" s="2">
        <v>0.54</v>
      </c>
      <c r="S255" t="str">
        <f>IF(Table1[[#This Row],[Years_Experience]]&lt;=5,"Early Career",
IF(Table1[[#This Row],[Years_Experience]]&lt;=15,"Mid Career","Senior Level"))</f>
        <v>Early Career</v>
      </c>
      <c r="T255" t="str">
        <f>IF(Table1[[#This Row],[AI_Exposure_Index]]&gt;=0.7,"High Exposure", IF(Table1[[#This Row],[AI_Exposure_Index]]&gt;=0.3,"Medium Exposure","Low Exposure"))</f>
        <v>Medium Exposure</v>
      </c>
    </row>
    <row r="256" spans="1:20" x14ac:dyDescent="0.25">
      <c r="A256" t="s">
        <v>42</v>
      </c>
      <c r="B256">
        <v>116694</v>
      </c>
      <c r="C256" s="1">
        <v>12</v>
      </c>
      <c r="D256" t="s">
        <v>25</v>
      </c>
      <c r="E256" s="7">
        <v>1.39</v>
      </c>
      <c r="F256" s="2">
        <v>0.99</v>
      </c>
      <c r="G256" s="7">
        <v>0.45</v>
      </c>
      <c r="H256" s="9" t="s">
        <v>27</v>
      </c>
      <c r="I256">
        <v>0.2</v>
      </c>
      <c r="J256">
        <v>0.49</v>
      </c>
      <c r="K256">
        <v>0.74</v>
      </c>
      <c r="L256">
        <v>0.49</v>
      </c>
      <c r="M256">
        <v>0.48</v>
      </c>
      <c r="N256">
        <v>0.84</v>
      </c>
      <c r="O256">
        <v>0.36</v>
      </c>
      <c r="P256">
        <v>0.86</v>
      </c>
      <c r="Q256">
        <v>0.41</v>
      </c>
      <c r="R256" s="2">
        <v>0.33</v>
      </c>
      <c r="S256" t="str">
        <f>IF(Table1[[#This Row],[Years_Experience]]&lt;=5,"Early Career",
IF(Table1[[#This Row],[Years_Experience]]&lt;=15,"Mid Career","Senior Level"))</f>
        <v>Mid Career</v>
      </c>
      <c r="T256" t="str">
        <f>IF(Table1[[#This Row],[AI_Exposure_Index]]&gt;=0.7,"High Exposure", IF(Table1[[#This Row],[AI_Exposure_Index]]&gt;=0.3,"Medium Exposure","Low Exposure"))</f>
        <v>High Exposure</v>
      </c>
    </row>
    <row r="257" spans="1:20" x14ac:dyDescent="0.25">
      <c r="A257" t="s">
        <v>18</v>
      </c>
      <c r="B257">
        <v>74739</v>
      </c>
      <c r="C257" s="1">
        <v>26</v>
      </c>
      <c r="D257" t="s">
        <v>25</v>
      </c>
      <c r="E257" s="7">
        <v>0.63</v>
      </c>
      <c r="F257" s="2">
        <v>0.76</v>
      </c>
      <c r="G257" s="7">
        <v>0.75</v>
      </c>
      <c r="H257" s="9" t="s">
        <v>20</v>
      </c>
      <c r="I257">
        <v>0.95</v>
      </c>
      <c r="J257">
        <v>0.18</v>
      </c>
      <c r="K257">
        <v>0.56999999999999995</v>
      </c>
      <c r="L257">
        <v>0.57999999999999996</v>
      </c>
      <c r="M257">
        <v>0.49</v>
      </c>
      <c r="N257">
        <v>0.64</v>
      </c>
      <c r="O257">
        <v>0.23</v>
      </c>
      <c r="P257">
        <v>0.55000000000000004</v>
      </c>
      <c r="Q257">
        <v>0.37</v>
      </c>
      <c r="R257" s="2">
        <v>0.66</v>
      </c>
      <c r="S257" t="str">
        <f>IF(Table1[[#This Row],[Years_Experience]]&lt;=5,"Early Career",
IF(Table1[[#This Row],[Years_Experience]]&lt;=15,"Mid Career","Senior Level"))</f>
        <v>Senior Level</v>
      </c>
      <c r="T257" t="str">
        <f>IF(Table1[[#This Row],[AI_Exposure_Index]]&gt;=0.7,"High Exposure", IF(Table1[[#This Row],[AI_Exposure_Index]]&gt;=0.3,"Medium Exposure","Low Exposure"))</f>
        <v>High Exposure</v>
      </c>
    </row>
    <row r="258" spans="1:20" x14ac:dyDescent="0.25">
      <c r="A258" t="s">
        <v>29</v>
      </c>
      <c r="B258">
        <v>110357</v>
      </c>
      <c r="C258" s="1">
        <v>5</v>
      </c>
      <c r="D258" t="s">
        <v>25</v>
      </c>
      <c r="E258" s="7">
        <v>0.67</v>
      </c>
      <c r="F258" s="2">
        <v>0.85</v>
      </c>
      <c r="G258" s="7">
        <v>0.26</v>
      </c>
      <c r="H258" s="9" t="s">
        <v>23</v>
      </c>
      <c r="I258">
        <v>0.49</v>
      </c>
      <c r="J258">
        <v>0.41</v>
      </c>
      <c r="K258">
        <v>0.9</v>
      </c>
      <c r="L258">
        <v>0.6</v>
      </c>
      <c r="M258">
        <v>0.57999999999999996</v>
      </c>
      <c r="N258">
        <v>0.56000000000000005</v>
      </c>
      <c r="O258">
        <v>0.37</v>
      </c>
      <c r="P258">
        <v>0.79</v>
      </c>
      <c r="Q258">
        <v>0.25</v>
      </c>
      <c r="R258" s="2">
        <v>0.94</v>
      </c>
      <c r="S258" t="str">
        <f>IF(Table1[[#This Row],[Years_Experience]]&lt;=5,"Early Career",
IF(Table1[[#This Row],[Years_Experience]]&lt;=15,"Mid Career","Senior Level"))</f>
        <v>Early Career</v>
      </c>
      <c r="T258" t="str">
        <f>IF(Table1[[#This Row],[AI_Exposure_Index]]&gt;=0.7,"High Exposure", IF(Table1[[#This Row],[AI_Exposure_Index]]&gt;=0.3,"Medium Exposure","Low Exposure"))</f>
        <v>High Exposure</v>
      </c>
    </row>
    <row r="259" spans="1:20" x14ac:dyDescent="0.25">
      <c r="A259" t="s">
        <v>35</v>
      </c>
      <c r="B259">
        <v>44079</v>
      </c>
      <c r="C259" s="1">
        <v>26</v>
      </c>
      <c r="D259" t="s">
        <v>25</v>
      </c>
      <c r="E259" s="7">
        <v>1.23</v>
      </c>
      <c r="F259" s="2">
        <v>0.34</v>
      </c>
      <c r="G259" s="7">
        <v>0.53</v>
      </c>
      <c r="H259" s="9" t="s">
        <v>27</v>
      </c>
      <c r="I259">
        <v>0.34</v>
      </c>
      <c r="J259">
        <v>0.99</v>
      </c>
      <c r="K259">
        <v>0.03</v>
      </c>
      <c r="L259">
        <v>0.25</v>
      </c>
      <c r="M259">
        <v>0.52</v>
      </c>
      <c r="N259">
        <v>0.52</v>
      </c>
      <c r="O259">
        <v>0.59</v>
      </c>
      <c r="P259">
        <v>0.75</v>
      </c>
      <c r="Q259">
        <v>0.62</v>
      </c>
      <c r="R259" s="2">
        <v>0.6</v>
      </c>
      <c r="S259" t="str">
        <f>IF(Table1[[#This Row],[Years_Experience]]&lt;=5,"Early Career",
IF(Table1[[#This Row],[Years_Experience]]&lt;=15,"Mid Career","Senior Level"))</f>
        <v>Senior Level</v>
      </c>
      <c r="T259" t="str">
        <f>IF(Table1[[#This Row],[AI_Exposure_Index]]&gt;=0.7,"High Exposure", IF(Table1[[#This Row],[AI_Exposure_Index]]&gt;=0.3,"Medium Exposure","Low Exposure"))</f>
        <v>Medium Exposure</v>
      </c>
    </row>
    <row r="260" spans="1:20" x14ac:dyDescent="0.25">
      <c r="A260" t="s">
        <v>34</v>
      </c>
      <c r="B260">
        <v>103648</v>
      </c>
      <c r="C260" s="1">
        <v>19</v>
      </c>
      <c r="D260" t="s">
        <v>38</v>
      </c>
      <c r="E260" s="7">
        <v>0.73</v>
      </c>
      <c r="F260" s="2">
        <v>0.38</v>
      </c>
      <c r="G260" s="7">
        <v>0.41</v>
      </c>
      <c r="H260" s="9" t="s">
        <v>27</v>
      </c>
      <c r="I260">
        <v>0.55000000000000004</v>
      </c>
      <c r="J260">
        <v>0.2</v>
      </c>
      <c r="K260">
        <v>0.28999999999999998</v>
      </c>
      <c r="L260">
        <v>0.24</v>
      </c>
      <c r="M260">
        <v>0.95</v>
      </c>
      <c r="N260">
        <v>0.94</v>
      </c>
      <c r="O260">
        <v>0.61</v>
      </c>
      <c r="P260">
        <v>0.92</v>
      </c>
      <c r="Q260">
        <v>0.79</v>
      </c>
      <c r="R260" s="2">
        <v>0.59</v>
      </c>
      <c r="S260" t="str">
        <f>IF(Table1[[#This Row],[Years_Experience]]&lt;=5,"Early Career",
IF(Table1[[#This Row],[Years_Experience]]&lt;=15,"Mid Career","Senior Level"))</f>
        <v>Senior Level</v>
      </c>
      <c r="T260" t="str">
        <f>IF(Table1[[#This Row],[AI_Exposure_Index]]&gt;=0.7,"High Exposure", IF(Table1[[#This Row],[AI_Exposure_Index]]&gt;=0.3,"Medium Exposure","Low Exposure"))</f>
        <v>Medium Exposure</v>
      </c>
    </row>
    <row r="261" spans="1:20" x14ac:dyDescent="0.25">
      <c r="A261" t="s">
        <v>34</v>
      </c>
      <c r="B261">
        <v>143892</v>
      </c>
      <c r="C261" s="1">
        <v>16</v>
      </c>
      <c r="D261" t="s">
        <v>19</v>
      </c>
      <c r="E261" s="7">
        <v>1.2</v>
      </c>
      <c r="F261" s="2">
        <v>0.77</v>
      </c>
      <c r="G261" s="7">
        <v>0.55000000000000004</v>
      </c>
      <c r="H261" s="9" t="s">
        <v>27</v>
      </c>
      <c r="I261">
        <v>0.76</v>
      </c>
      <c r="J261">
        <v>0.51</v>
      </c>
      <c r="K261">
        <v>0.7</v>
      </c>
      <c r="L261">
        <v>0.94</v>
      </c>
      <c r="M261">
        <v>0.38</v>
      </c>
      <c r="N261">
        <v>0.71</v>
      </c>
      <c r="O261">
        <v>0.48</v>
      </c>
      <c r="P261">
        <v>0.67</v>
      </c>
      <c r="Q261">
        <v>0.76</v>
      </c>
      <c r="R261" s="2">
        <v>0.05</v>
      </c>
      <c r="S261" t="str">
        <f>IF(Table1[[#This Row],[Years_Experience]]&lt;=5,"Early Career",
IF(Table1[[#This Row],[Years_Experience]]&lt;=15,"Mid Career","Senior Level"))</f>
        <v>Senior Level</v>
      </c>
      <c r="T261" t="str">
        <f>IF(Table1[[#This Row],[AI_Exposure_Index]]&gt;=0.7,"High Exposure", IF(Table1[[#This Row],[AI_Exposure_Index]]&gt;=0.3,"Medium Exposure","Low Exposure"))</f>
        <v>High Exposure</v>
      </c>
    </row>
    <row r="262" spans="1:20" x14ac:dyDescent="0.25">
      <c r="A262" t="s">
        <v>36</v>
      </c>
      <c r="B262">
        <v>135296</v>
      </c>
      <c r="C262" s="1">
        <v>7</v>
      </c>
      <c r="D262" t="s">
        <v>25</v>
      </c>
      <c r="E262" s="7">
        <v>1.17</v>
      </c>
      <c r="F262" s="2">
        <v>0.23</v>
      </c>
      <c r="G262" s="7">
        <v>0.49</v>
      </c>
      <c r="H262" s="9" t="s">
        <v>27</v>
      </c>
      <c r="I262">
        <v>0.77</v>
      </c>
      <c r="J262">
        <v>0.12</v>
      </c>
      <c r="K262">
        <v>0.63</v>
      </c>
      <c r="L262">
        <v>0.28000000000000003</v>
      </c>
      <c r="M262">
        <v>0.85</v>
      </c>
      <c r="N262">
        <v>0.93</v>
      </c>
      <c r="O262">
        <v>1</v>
      </c>
      <c r="P262">
        <v>0.8</v>
      </c>
      <c r="Q262">
        <v>0.75</v>
      </c>
      <c r="R262" s="2">
        <v>0.22</v>
      </c>
      <c r="S262" t="str">
        <f>IF(Table1[[#This Row],[Years_Experience]]&lt;=5,"Early Career",
IF(Table1[[#This Row],[Years_Experience]]&lt;=15,"Mid Career","Senior Level"))</f>
        <v>Mid Career</v>
      </c>
      <c r="T262" t="str">
        <f>IF(Table1[[#This Row],[AI_Exposure_Index]]&gt;=0.7,"High Exposure", IF(Table1[[#This Row],[AI_Exposure_Index]]&gt;=0.3,"Medium Exposure","Low Exposure"))</f>
        <v>Low Exposure</v>
      </c>
    </row>
    <row r="263" spans="1:20" x14ac:dyDescent="0.25">
      <c r="A263" t="s">
        <v>39</v>
      </c>
      <c r="B263">
        <v>66639</v>
      </c>
      <c r="C263" s="1">
        <v>14</v>
      </c>
      <c r="D263" t="s">
        <v>19</v>
      </c>
      <c r="E263" s="7">
        <v>1.27</v>
      </c>
      <c r="F263" s="2">
        <v>0.47</v>
      </c>
      <c r="G263" s="7">
        <v>0.93</v>
      </c>
      <c r="H263" s="9" t="s">
        <v>20</v>
      </c>
      <c r="I263">
        <v>0.19</v>
      </c>
      <c r="J263">
        <v>0.92</v>
      </c>
      <c r="K263">
        <v>0.7</v>
      </c>
      <c r="L263">
        <v>0.61</v>
      </c>
      <c r="M263">
        <v>0.2</v>
      </c>
      <c r="N263">
        <v>0.06</v>
      </c>
      <c r="O263">
        <v>0.56999999999999995</v>
      </c>
      <c r="P263">
        <v>0.65</v>
      </c>
      <c r="Q263">
        <v>0.21</v>
      </c>
      <c r="R263" s="2">
        <v>0.56000000000000005</v>
      </c>
      <c r="S263" t="str">
        <f>IF(Table1[[#This Row],[Years_Experience]]&lt;=5,"Early Career",
IF(Table1[[#This Row],[Years_Experience]]&lt;=15,"Mid Career","Senior Level"))</f>
        <v>Mid Career</v>
      </c>
      <c r="T263" t="str">
        <f>IF(Table1[[#This Row],[AI_Exposure_Index]]&gt;=0.7,"High Exposure", IF(Table1[[#This Row],[AI_Exposure_Index]]&gt;=0.3,"Medium Exposure","Low Exposure"))</f>
        <v>Medium Exposure</v>
      </c>
    </row>
    <row r="264" spans="1:20" x14ac:dyDescent="0.25">
      <c r="A264" t="s">
        <v>37</v>
      </c>
      <c r="B264">
        <v>105476</v>
      </c>
      <c r="C264" s="1">
        <v>20</v>
      </c>
      <c r="D264" t="s">
        <v>38</v>
      </c>
      <c r="E264" s="7">
        <v>1.43</v>
      </c>
      <c r="F264" s="2">
        <v>0.84</v>
      </c>
      <c r="G264" s="7">
        <v>0.45</v>
      </c>
      <c r="H264" s="9" t="s">
        <v>27</v>
      </c>
      <c r="I264">
        <v>0.32</v>
      </c>
      <c r="J264">
        <v>0.75</v>
      </c>
      <c r="K264">
        <v>0.43</v>
      </c>
      <c r="L264">
        <v>0.09</v>
      </c>
      <c r="M264">
        <v>0.28000000000000003</v>
      </c>
      <c r="N264">
        <v>0.42</v>
      </c>
      <c r="O264">
        <v>0.28999999999999998</v>
      </c>
      <c r="P264">
        <v>0.33</v>
      </c>
      <c r="Q264">
        <v>0.28999999999999998</v>
      </c>
      <c r="R264" s="2">
        <v>0.04</v>
      </c>
      <c r="S264" t="str">
        <f>IF(Table1[[#This Row],[Years_Experience]]&lt;=5,"Early Career",
IF(Table1[[#This Row],[Years_Experience]]&lt;=15,"Mid Career","Senior Level"))</f>
        <v>Senior Level</v>
      </c>
      <c r="T264" t="str">
        <f>IF(Table1[[#This Row],[AI_Exposure_Index]]&gt;=0.7,"High Exposure", IF(Table1[[#This Row],[AI_Exposure_Index]]&gt;=0.3,"Medium Exposure","Low Exposure"))</f>
        <v>High Exposure</v>
      </c>
    </row>
    <row r="265" spans="1:20" x14ac:dyDescent="0.25">
      <c r="A265" t="s">
        <v>34</v>
      </c>
      <c r="B265">
        <v>71830</v>
      </c>
      <c r="C265" s="1">
        <v>27</v>
      </c>
      <c r="D265" t="s">
        <v>19</v>
      </c>
      <c r="E265" s="7">
        <v>1.1499999999999999</v>
      </c>
      <c r="F265" s="2">
        <v>0.6</v>
      </c>
      <c r="G265" s="7">
        <v>0.38</v>
      </c>
      <c r="H265" s="9" t="s">
        <v>27</v>
      </c>
      <c r="I265">
        <v>0.3</v>
      </c>
      <c r="J265">
        <v>0.62</v>
      </c>
      <c r="K265">
        <v>0.6</v>
      </c>
      <c r="L265">
        <v>0.51</v>
      </c>
      <c r="M265">
        <v>0.35</v>
      </c>
      <c r="N265">
        <v>0.91</v>
      </c>
      <c r="O265">
        <v>0.34</v>
      </c>
      <c r="P265">
        <v>0.46</v>
      </c>
      <c r="Q265">
        <v>0.68</v>
      </c>
      <c r="R265" s="2">
        <v>0.54</v>
      </c>
      <c r="S265" t="str">
        <f>IF(Table1[[#This Row],[Years_Experience]]&lt;=5,"Early Career",
IF(Table1[[#This Row],[Years_Experience]]&lt;=15,"Mid Career","Senior Level"))</f>
        <v>Senior Level</v>
      </c>
      <c r="T265" t="str">
        <f>IF(Table1[[#This Row],[AI_Exposure_Index]]&gt;=0.7,"High Exposure", IF(Table1[[#This Row],[AI_Exposure_Index]]&gt;=0.3,"Medium Exposure","Low Exposure"))</f>
        <v>Medium Exposure</v>
      </c>
    </row>
    <row r="266" spans="1:20" x14ac:dyDescent="0.25">
      <c r="A266" t="s">
        <v>26</v>
      </c>
      <c r="B266">
        <v>129555</v>
      </c>
      <c r="C266" s="1">
        <v>22</v>
      </c>
      <c r="D266" t="s">
        <v>25</v>
      </c>
      <c r="E266" s="7">
        <v>1.29</v>
      </c>
      <c r="F266" s="2">
        <v>0.44</v>
      </c>
      <c r="G266" s="7">
        <v>0.41</v>
      </c>
      <c r="H266" s="9" t="s">
        <v>27</v>
      </c>
      <c r="I266">
        <v>0.14000000000000001</v>
      </c>
      <c r="J266">
        <v>0.31</v>
      </c>
      <c r="K266">
        <v>0.85</v>
      </c>
      <c r="L266">
        <v>0.09</v>
      </c>
      <c r="M266">
        <v>0.99</v>
      </c>
      <c r="N266">
        <v>0.54</v>
      </c>
      <c r="O266">
        <v>0.98</v>
      </c>
      <c r="P266">
        <v>0.94</v>
      </c>
      <c r="Q266">
        <v>0.45</v>
      </c>
      <c r="R266" s="2">
        <v>0.2</v>
      </c>
      <c r="S266" t="str">
        <f>IF(Table1[[#This Row],[Years_Experience]]&lt;=5,"Early Career",
IF(Table1[[#This Row],[Years_Experience]]&lt;=15,"Mid Career","Senior Level"))</f>
        <v>Senior Level</v>
      </c>
      <c r="T266" t="str">
        <f>IF(Table1[[#This Row],[AI_Exposure_Index]]&gt;=0.7,"High Exposure", IF(Table1[[#This Row],[AI_Exposure_Index]]&gt;=0.3,"Medium Exposure","Low Exposure"))</f>
        <v>Medium Exposure</v>
      </c>
    </row>
    <row r="267" spans="1:20" x14ac:dyDescent="0.25">
      <c r="A267" t="s">
        <v>32</v>
      </c>
      <c r="B267">
        <v>91576</v>
      </c>
      <c r="C267" s="1">
        <v>14</v>
      </c>
      <c r="D267" t="s">
        <v>22</v>
      </c>
      <c r="E267" s="7">
        <v>1.1000000000000001</v>
      </c>
      <c r="F267" s="2">
        <v>0.16</v>
      </c>
      <c r="G267" s="7">
        <v>0.36</v>
      </c>
      <c r="H267" s="9" t="s">
        <v>27</v>
      </c>
      <c r="I267">
        <v>0.97</v>
      </c>
      <c r="J267">
        <v>0.45</v>
      </c>
      <c r="K267">
        <v>0.5</v>
      </c>
      <c r="L267">
        <v>0.25</v>
      </c>
      <c r="M267">
        <v>0.47</v>
      </c>
      <c r="N267">
        <v>0.66</v>
      </c>
      <c r="O267">
        <v>0.75</v>
      </c>
      <c r="P267">
        <v>0.75</v>
      </c>
      <c r="Q267">
        <v>0.57999999999999996</v>
      </c>
      <c r="R267" s="2">
        <v>0.9</v>
      </c>
      <c r="S267" t="str">
        <f>IF(Table1[[#This Row],[Years_Experience]]&lt;=5,"Early Career",
IF(Table1[[#This Row],[Years_Experience]]&lt;=15,"Mid Career","Senior Level"))</f>
        <v>Mid Career</v>
      </c>
      <c r="T267" t="str">
        <f>IF(Table1[[#This Row],[AI_Exposure_Index]]&gt;=0.7,"High Exposure", IF(Table1[[#This Row],[AI_Exposure_Index]]&gt;=0.3,"Medium Exposure","Low Exposure"))</f>
        <v>Low Exposure</v>
      </c>
    </row>
    <row r="268" spans="1:20" x14ac:dyDescent="0.25">
      <c r="A268" t="s">
        <v>36</v>
      </c>
      <c r="B268">
        <v>137524</v>
      </c>
      <c r="C268" s="1">
        <v>2</v>
      </c>
      <c r="D268" t="s">
        <v>22</v>
      </c>
      <c r="E268" s="7">
        <v>0.56000000000000005</v>
      </c>
      <c r="F268" s="2">
        <v>0.76</v>
      </c>
      <c r="G268" s="7">
        <v>0.3</v>
      </c>
      <c r="H268" s="9" t="s">
        <v>23</v>
      </c>
      <c r="I268">
        <v>0.21</v>
      </c>
      <c r="J268">
        <v>0.66</v>
      </c>
      <c r="K268">
        <v>0.41</v>
      </c>
      <c r="L268">
        <v>0.4</v>
      </c>
      <c r="M268">
        <v>0.88</v>
      </c>
      <c r="N268">
        <v>0.9</v>
      </c>
      <c r="O268">
        <v>0.91</v>
      </c>
      <c r="P268">
        <v>0.31</v>
      </c>
      <c r="Q268">
        <v>0.69</v>
      </c>
      <c r="R268" s="2">
        <v>0.27</v>
      </c>
      <c r="S268" t="str">
        <f>IF(Table1[[#This Row],[Years_Experience]]&lt;=5,"Early Career",
IF(Table1[[#This Row],[Years_Experience]]&lt;=15,"Mid Career","Senior Level"))</f>
        <v>Early Career</v>
      </c>
      <c r="T268" t="str">
        <f>IF(Table1[[#This Row],[AI_Exposure_Index]]&gt;=0.7,"High Exposure", IF(Table1[[#This Row],[AI_Exposure_Index]]&gt;=0.3,"Medium Exposure","Low Exposure"))</f>
        <v>High Exposure</v>
      </c>
    </row>
    <row r="269" spans="1:20" x14ac:dyDescent="0.25">
      <c r="A269" t="s">
        <v>39</v>
      </c>
      <c r="B269">
        <v>148360</v>
      </c>
      <c r="C269" s="1">
        <v>1</v>
      </c>
      <c r="D269" t="s">
        <v>25</v>
      </c>
      <c r="E269" s="7">
        <v>0.84</v>
      </c>
      <c r="F269" s="2">
        <v>0.18</v>
      </c>
      <c r="G269" s="7">
        <v>0.81</v>
      </c>
      <c r="H269" s="9" t="s">
        <v>20</v>
      </c>
      <c r="I269">
        <v>0.83</v>
      </c>
      <c r="J269">
        <v>0.12</v>
      </c>
      <c r="K269">
        <v>0.73</v>
      </c>
      <c r="L269">
        <v>0.53</v>
      </c>
      <c r="M269">
        <v>0.28999999999999998</v>
      </c>
      <c r="N269">
        <v>0.49</v>
      </c>
      <c r="O269">
        <v>0.3</v>
      </c>
      <c r="P269">
        <v>0.6</v>
      </c>
      <c r="Q269">
        <v>0.43</v>
      </c>
      <c r="R269" s="2">
        <v>0.16</v>
      </c>
      <c r="S269" t="str">
        <f>IF(Table1[[#This Row],[Years_Experience]]&lt;=5,"Early Career",
IF(Table1[[#This Row],[Years_Experience]]&lt;=15,"Mid Career","Senior Level"))</f>
        <v>Early Career</v>
      </c>
      <c r="T269" t="str">
        <f>IF(Table1[[#This Row],[AI_Exposure_Index]]&gt;=0.7,"High Exposure", IF(Table1[[#This Row],[AI_Exposure_Index]]&gt;=0.3,"Medium Exposure","Low Exposure"))</f>
        <v>Low Exposure</v>
      </c>
    </row>
    <row r="270" spans="1:20" x14ac:dyDescent="0.25">
      <c r="A270" t="s">
        <v>21</v>
      </c>
      <c r="B270">
        <v>55464</v>
      </c>
      <c r="C270" s="1">
        <v>25</v>
      </c>
      <c r="D270" t="s">
        <v>22</v>
      </c>
      <c r="E270" s="7">
        <v>1.4</v>
      </c>
      <c r="F270" s="2">
        <v>0.55000000000000004</v>
      </c>
      <c r="G270" s="7">
        <v>0.14000000000000001</v>
      </c>
      <c r="H270" s="9" t="s">
        <v>23</v>
      </c>
      <c r="I270">
        <v>0.73</v>
      </c>
      <c r="J270">
        <v>0.66</v>
      </c>
      <c r="K270">
        <v>0.93</v>
      </c>
      <c r="L270">
        <v>0.82</v>
      </c>
      <c r="M270">
        <v>0.56999999999999995</v>
      </c>
      <c r="N270">
        <v>0.66</v>
      </c>
      <c r="O270">
        <v>0.9</v>
      </c>
      <c r="P270">
        <v>0.4</v>
      </c>
      <c r="Q270">
        <v>0.33</v>
      </c>
      <c r="R270" s="2">
        <v>0.01</v>
      </c>
      <c r="S270" t="str">
        <f>IF(Table1[[#This Row],[Years_Experience]]&lt;=5,"Early Career",
IF(Table1[[#This Row],[Years_Experience]]&lt;=15,"Mid Career","Senior Level"))</f>
        <v>Senior Level</v>
      </c>
      <c r="T270" t="str">
        <f>IF(Table1[[#This Row],[AI_Exposure_Index]]&gt;=0.7,"High Exposure", IF(Table1[[#This Row],[AI_Exposure_Index]]&gt;=0.3,"Medium Exposure","Low Exposure"))</f>
        <v>Medium Exposure</v>
      </c>
    </row>
    <row r="271" spans="1:20" x14ac:dyDescent="0.25">
      <c r="A271" t="s">
        <v>36</v>
      </c>
      <c r="B271">
        <v>85798</v>
      </c>
      <c r="C271" s="1">
        <v>10</v>
      </c>
      <c r="D271" t="s">
        <v>25</v>
      </c>
      <c r="E271" s="7">
        <v>0.6</v>
      </c>
      <c r="F271" s="2">
        <v>0.8</v>
      </c>
      <c r="G271" s="7">
        <v>0.53</v>
      </c>
      <c r="H271" s="9" t="s">
        <v>27</v>
      </c>
      <c r="I271">
        <v>0.46</v>
      </c>
      <c r="J271">
        <v>0.12</v>
      </c>
      <c r="K271">
        <v>0.98</v>
      </c>
      <c r="L271">
        <v>0.21</v>
      </c>
      <c r="M271">
        <v>7.0000000000000007E-2</v>
      </c>
      <c r="N271">
        <v>0.59</v>
      </c>
      <c r="O271">
        <v>0.74</v>
      </c>
      <c r="P271">
        <v>0.03</v>
      </c>
      <c r="Q271">
        <v>0.66</v>
      </c>
      <c r="R271" s="2">
        <v>0.53</v>
      </c>
      <c r="S271" t="str">
        <f>IF(Table1[[#This Row],[Years_Experience]]&lt;=5,"Early Career",
IF(Table1[[#This Row],[Years_Experience]]&lt;=15,"Mid Career","Senior Level"))</f>
        <v>Mid Career</v>
      </c>
      <c r="T271" t="str">
        <f>IF(Table1[[#This Row],[AI_Exposure_Index]]&gt;=0.7,"High Exposure", IF(Table1[[#This Row],[AI_Exposure_Index]]&gt;=0.3,"Medium Exposure","Low Exposure"))</f>
        <v>High Exposure</v>
      </c>
    </row>
    <row r="272" spans="1:20" x14ac:dyDescent="0.25">
      <c r="A272" t="s">
        <v>21</v>
      </c>
      <c r="B272">
        <v>133243</v>
      </c>
      <c r="C272" s="1">
        <v>6</v>
      </c>
      <c r="D272" t="s">
        <v>19</v>
      </c>
      <c r="E272" s="7">
        <v>1.07</v>
      </c>
      <c r="F272" s="2">
        <v>0.17</v>
      </c>
      <c r="G272" s="7">
        <v>0.12</v>
      </c>
      <c r="H272" s="9" t="s">
        <v>23</v>
      </c>
      <c r="I272">
        <v>0.94</v>
      </c>
      <c r="J272">
        <v>0.82</v>
      </c>
      <c r="K272">
        <v>0.98</v>
      </c>
      <c r="L272">
        <v>0.26</v>
      </c>
      <c r="M272">
        <v>0.97</v>
      </c>
      <c r="N272">
        <v>0.43</v>
      </c>
      <c r="O272">
        <v>0.35</v>
      </c>
      <c r="P272">
        <v>0.05</v>
      </c>
      <c r="Q272">
        <v>0.05</v>
      </c>
      <c r="R272" s="2">
        <v>0.69</v>
      </c>
      <c r="S272" t="str">
        <f>IF(Table1[[#This Row],[Years_Experience]]&lt;=5,"Early Career",
IF(Table1[[#This Row],[Years_Experience]]&lt;=15,"Mid Career","Senior Level"))</f>
        <v>Mid Career</v>
      </c>
      <c r="T272" t="str">
        <f>IF(Table1[[#This Row],[AI_Exposure_Index]]&gt;=0.7,"High Exposure", IF(Table1[[#This Row],[AI_Exposure_Index]]&gt;=0.3,"Medium Exposure","Low Exposure"))</f>
        <v>Low Exposure</v>
      </c>
    </row>
    <row r="273" spans="1:20" x14ac:dyDescent="0.25">
      <c r="A273" t="s">
        <v>29</v>
      </c>
      <c r="B273">
        <v>84710</v>
      </c>
      <c r="C273" s="1">
        <v>21</v>
      </c>
      <c r="D273" t="s">
        <v>38</v>
      </c>
      <c r="E273" s="7">
        <v>1.1100000000000001</v>
      </c>
      <c r="F273" s="2">
        <v>0.23</v>
      </c>
      <c r="G273" s="7">
        <v>0.11</v>
      </c>
      <c r="H273" s="9" t="s">
        <v>23</v>
      </c>
      <c r="I273">
        <v>0.57999999999999996</v>
      </c>
      <c r="J273">
        <v>0.36</v>
      </c>
      <c r="K273">
        <v>0.82</v>
      </c>
      <c r="L273">
        <v>0.82</v>
      </c>
      <c r="M273">
        <v>0.48</v>
      </c>
      <c r="N273">
        <v>0.35</v>
      </c>
      <c r="O273">
        <v>0.36</v>
      </c>
      <c r="P273">
        <v>0.81</v>
      </c>
      <c r="Q273">
        <v>0.33</v>
      </c>
      <c r="R273" s="2">
        <v>0.21</v>
      </c>
      <c r="S273" t="str">
        <f>IF(Table1[[#This Row],[Years_Experience]]&lt;=5,"Early Career",
IF(Table1[[#This Row],[Years_Experience]]&lt;=15,"Mid Career","Senior Level"))</f>
        <v>Senior Level</v>
      </c>
      <c r="T273" t="str">
        <f>IF(Table1[[#This Row],[AI_Exposure_Index]]&gt;=0.7,"High Exposure", IF(Table1[[#This Row],[AI_Exposure_Index]]&gt;=0.3,"Medium Exposure","Low Exposure"))</f>
        <v>Low Exposure</v>
      </c>
    </row>
    <row r="274" spans="1:20" x14ac:dyDescent="0.25">
      <c r="A274" t="s">
        <v>34</v>
      </c>
      <c r="B274">
        <v>38848</v>
      </c>
      <c r="C274" s="1">
        <v>5</v>
      </c>
      <c r="D274" t="s">
        <v>22</v>
      </c>
      <c r="E274" s="7">
        <v>0.98</v>
      </c>
      <c r="F274" s="2">
        <v>0.47</v>
      </c>
      <c r="G274" s="7">
        <v>0.64</v>
      </c>
      <c r="H274" s="9" t="s">
        <v>27</v>
      </c>
      <c r="I274">
        <v>0.22</v>
      </c>
      <c r="J274">
        <v>0.38</v>
      </c>
      <c r="K274">
        <v>0.81</v>
      </c>
      <c r="L274">
        <v>0.82</v>
      </c>
      <c r="M274">
        <v>0.38</v>
      </c>
      <c r="N274">
        <v>0.46</v>
      </c>
      <c r="O274">
        <v>0.3</v>
      </c>
      <c r="P274">
        <v>0.93</v>
      </c>
      <c r="Q274">
        <v>0.12</v>
      </c>
      <c r="R274" s="2">
        <v>0.93</v>
      </c>
      <c r="S274" t="str">
        <f>IF(Table1[[#This Row],[Years_Experience]]&lt;=5,"Early Career",
IF(Table1[[#This Row],[Years_Experience]]&lt;=15,"Mid Career","Senior Level"))</f>
        <v>Early Career</v>
      </c>
      <c r="T274" t="str">
        <f>IF(Table1[[#This Row],[AI_Exposure_Index]]&gt;=0.7,"High Exposure", IF(Table1[[#This Row],[AI_Exposure_Index]]&gt;=0.3,"Medium Exposure","Low Exposure"))</f>
        <v>Medium Exposure</v>
      </c>
    </row>
    <row r="275" spans="1:20" x14ac:dyDescent="0.25">
      <c r="A275" t="s">
        <v>31</v>
      </c>
      <c r="B275">
        <v>95942</v>
      </c>
      <c r="C275" s="1">
        <v>24</v>
      </c>
      <c r="D275" t="s">
        <v>19</v>
      </c>
      <c r="E275" s="7">
        <v>1.44</v>
      </c>
      <c r="F275" s="2">
        <v>0.6</v>
      </c>
      <c r="G275" s="7">
        <v>0.13</v>
      </c>
      <c r="H275" s="9" t="s">
        <v>23</v>
      </c>
      <c r="I275">
        <v>0.25</v>
      </c>
      <c r="J275">
        <v>0.65</v>
      </c>
      <c r="K275">
        <v>0.62</v>
      </c>
      <c r="L275">
        <v>0.33</v>
      </c>
      <c r="M275">
        <v>0.93</v>
      </c>
      <c r="N275">
        <v>0.84</v>
      </c>
      <c r="O275">
        <v>0.22</v>
      </c>
      <c r="P275">
        <v>0.24</v>
      </c>
      <c r="Q275">
        <v>0.51</v>
      </c>
      <c r="R275" s="2">
        <v>0.77</v>
      </c>
      <c r="S275" t="str">
        <f>IF(Table1[[#This Row],[Years_Experience]]&lt;=5,"Early Career",
IF(Table1[[#This Row],[Years_Experience]]&lt;=15,"Mid Career","Senior Level"))</f>
        <v>Senior Level</v>
      </c>
      <c r="T275" t="str">
        <f>IF(Table1[[#This Row],[AI_Exposure_Index]]&gt;=0.7,"High Exposure", IF(Table1[[#This Row],[AI_Exposure_Index]]&gt;=0.3,"Medium Exposure","Low Exposure"))</f>
        <v>Medium Exposure</v>
      </c>
    </row>
    <row r="276" spans="1:20" x14ac:dyDescent="0.25">
      <c r="A276" t="s">
        <v>37</v>
      </c>
      <c r="B276">
        <v>45086</v>
      </c>
      <c r="C276" s="1">
        <v>11</v>
      </c>
      <c r="D276" t="s">
        <v>25</v>
      </c>
      <c r="E276" s="7">
        <v>1.1499999999999999</v>
      </c>
      <c r="F276" s="2">
        <v>0.69</v>
      </c>
      <c r="G276" s="7">
        <v>0.39</v>
      </c>
      <c r="H276" s="9" t="s">
        <v>27</v>
      </c>
      <c r="I276">
        <v>0.68</v>
      </c>
      <c r="J276">
        <v>0.94</v>
      </c>
      <c r="K276">
        <v>0.05</v>
      </c>
      <c r="L276">
        <v>0.32</v>
      </c>
      <c r="M276">
        <v>0.44</v>
      </c>
      <c r="N276">
        <v>0.9</v>
      </c>
      <c r="O276">
        <v>0.96</v>
      </c>
      <c r="P276">
        <v>0.44</v>
      </c>
      <c r="Q276">
        <v>0.75</v>
      </c>
      <c r="R276" s="2">
        <v>0.53</v>
      </c>
      <c r="S276" t="str">
        <f>IF(Table1[[#This Row],[Years_Experience]]&lt;=5,"Early Career",
IF(Table1[[#This Row],[Years_Experience]]&lt;=15,"Mid Career","Senior Level"))</f>
        <v>Mid Career</v>
      </c>
      <c r="T276" t="str">
        <f>IF(Table1[[#This Row],[AI_Exposure_Index]]&gt;=0.7,"High Exposure", IF(Table1[[#This Row],[AI_Exposure_Index]]&gt;=0.3,"Medium Exposure","Low Exposure"))</f>
        <v>Medium Exposure</v>
      </c>
    </row>
    <row r="277" spans="1:20" x14ac:dyDescent="0.25">
      <c r="A277" t="s">
        <v>40</v>
      </c>
      <c r="B277">
        <v>39343</v>
      </c>
      <c r="C277" s="1">
        <v>13</v>
      </c>
      <c r="D277" t="s">
        <v>22</v>
      </c>
      <c r="E277" s="7">
        <v>0.72</v>
      </c>
      <c r="F277" s="2">
        <v>0.28000000000000003</v>
      </c>
      <c r="G277" s="7">
        <v>0.12</v>
      </c>
      <c r="H277" s="9" t="s">
        <v>23</v>
      </c>
      <c r="I277">
        <v>0.56000000000000005</v>
      </c>
      <c r="J277">
        <v>0.03</v>
      </c>
      <c r="K277">
        <v>0.91</v>
      </c>
      <c r="L277">
        <v>0.16</v>
      </c>
      <c r="M277">
        <v>0.22</v>
      </c>
      <c r="N277">
        <v>0.52</v>
      </c>
      <c r="O277">
        <v>0.71</v>
      </c>
      <c r="P277">
        <v>0.1</v>
      </c>
      <c r="Q277">
        <v>0.32</v>
      </c>
      <c r="R277" s="2">
        <v>0.97</v>
      </c>
      <c r="S277" t="str">
        <f>IF(Table1[[#This Row],[Years_Experience]]&lt;=5,"Early Career",
IF(Table1[[#This Row],[Years_Experience]]&lt;=15,"Mid Career","Senior Level"))</f>
        <v>Mid Career</v>
      </c>
      <c r="T277" t="str">
        <f>IF(Table1[[#This Row],[AI_Exposure_Index]]&gt;=0.7,"High Exposure", IF(Table1[[#This Row],[AI_Exposure_Index]]&gt;=0.3,"Medium Exposure","Low Exposure"))</f>
        <v>Low Exposure</v>
      </c>
    </row>
    <row r="278" spans="1:20" x14ac:dyDescent="0.25">
      <c r="A278" t="s">
        <v>44</v>
      </c>
      <c r="B278">
        <v>89550</v>
      </c>
      <c r="C278" s="1">
        <v>8</v>
      </c>
      <c r="D278" t="s">
        <v>38</v>
      </c>
      <c r="E278" s="7">
        <v>1.34</v>
      </c>
      <c r="F278" s="2">
        <v>0.31</v>
      </c>
      <c r="G278" s="7">
        <v>0.32</v>
      </c>
      <c r="H278" s="9" t="s">
        <v>27</v>
      </c>
      <c r="I278">
        <v>0.46</v>
      </c>
      <c r="J278">
        <v>0.38</v>
      </c>
      <c r="K278">
        <v>0.32</v>
      </c>
      <c r="L278">
        <v>0.28999999999999998</v>
      </c>
      <c r="M278">
        <v>0.09</v>
      </c>
      <c r="N278">
        <v>0.31</v>
      </c>
      <c r="O278">
        <v>0.04</v>
      </c>
      <c r="P278">
        <v>0.78</v>
      </c>
      <c r="Q278">
        <v>0.4</v>
      </c>
      <c r="R278" s="2">
        <v>0.44</v>
      </c>
      <c r="S278" t="str">
        <f>IF(Table1[[#This Row],[Years_Experience]]&lt;=5,"Early Career",
IF(Table1[[#This Row],[Years_Experience]]&lt;=15,"Mid Career","Senior Level"))</f>
        <v>Mid Career</v>
      </c>
      <c r="T278" t="str">
        <f>IF(Table1[[#This Row],[AI_Exposure_Index]]&gt;=0.7,"High Exposure", IF(Table1[[#This Row],[AI_Exposure_Index]]&gt;=0.3,"Medium Exposure","Low Exposure"))</f>
        <v>Medium Exposure</v>
      </c>
    </row>
    <row r="279" spans="1:20" x14ac:dyDescent="0.25">
      <c r="A279" t="s">
        <v>37</v>
      </c>
      <c r="B279">
        <v>70317</v>
      </c>
      <c r="C279" s="1">
        <v>12</v>
      </c>
      <c r="D279" t="s">
        <v>25</v>
      </c>
      <c r="E279" s="7">
        <v>0.51</v>
      </c>
      <c r="F279" s="2">
        <v>0.66</v>
      </c>
      <c r="G279" s="7">
        <v>0.68</v>
      </c>
      <c r="H279" s="9" t="s">
        <v>27</v>
      </c>
      <c r="I279">
        <v>0.24</v>
      </c>
      <c r="J279">
        <v>0.11</v>
      </c>
      <c r="K279">
        <v>0.77</v>
      </c>
      <c r="L279">
        <v>0.5</v>
      </c>
      <c r="M279">
        <v>0.43</v>
      </c>
      <c r="N279">
        <v>0.25</v>
      </c>
      <c r="O279">
        <v>0.55000000000000004</v>
      </c>
      <c r="P279">
        <v>0.27</v>
      </c>
      <c r="Q279">
        <v>0.9</v>
      </c>
      <c r="R279" s="2">
        <v>0.22</v>
      </c>
      <c r="S279" t="str">
        <f>IF(Table1[[#This Row],[Years_Experience]]&lt;=5,"Early Career",
IF(Table1[[#This Row],[Years_Experience]]&lt;=15,"Mid Career","Senior Level"))</f>
        <v>Mid Career</v>
      </c>
      <c r="T279" t="str">
        <f>IF(Table1[[#This Row],[AI_Exposure_Index]]&gt;=0.7,"High Exposure", IF(Table1[[#This Row],[AI_Exposure_Index]]&gt;=0.3,"Medium Exposure","Low Exposure"))</f>
        <v>Medium Exposure</v>
      </c>
    </row>
    <row r="280" spans="1:20" x14ac:dyDescent="0.25">
      <c r="A280" t="s">
        <v>28</v>
      </c>
      <c r="B280">
        <v>102055</v>
      </c>
      <c r="C280" s="1">
        <v>26</v>
      </c>
      <c r="D280" t="s">
        <v>38</v>
      </c>
      <c r="E280" s="7">
        <v>1.33</v>
      </c>
      <c r="F280" s="2">
        <v>0.56000000000000005</v>
      </c>
      <c r="G280" s="7">
        <v>0.59</v>
      </c>
      <c r="H280" s="9" t="s">
        <v>27</v>
      </c>
      <c r="I280">
        <v>0.7</v>
      </c>
      <c r="J280">
        <v>0.32</v>
      </c>
      <c r="K280">
        <v>0.23</v>
      </c>
      <c r="L280">
        <v>0.21</v>
      </c>
      <c r="M280">
        <v>0.86</v>
      </c>
      <c r="N280">
        <v>0.82</v>
      </c>
      <c r="O280">
        <v>0.44</v>
      </c>
      <c r="P280">
        <v>0.13</v>
      </c>
      <c r="Q280">
        <v>0.38</v>
      </c>
      <c r="R280" s="2">
        <v>0.62</v>
      </c>
      <c r="S280" t="str">
        <f>IF(Table1[[#This Row],[Years_Experience]]&lt;=5,"Early Career",
IF(Table1[[#This Row],[Years_Experience]]&lt;=15,"Mid Career","Senior Level"))</f>
        <v>Senior Level</v>
      </c>
      <c r="T280" t="str">
        <f>IF(Table1[[#This Row],[AI_Exposure_Index]]&gt;=0.7,"High Exposure", IF(Table1[[#This Row],[AI_Exposure_Index]]&gt;=0.3,"Medium Exposure","Low Exposure"))</f>
        <v>Medium Exposure</v>
      </c>
    </row>
    <row r="281" spans="1:20" x14ac:dyDescent="0.25">
      <c r="A281" t="s">
        <v>36</v>
      </c>
      <c r="B281">
        <v>145660</v>
      </c>
      <c r="C281" s="1">
        <v>26</v>
      </c>
      <c r="D281" t="s">
        <v>25</v>
      </c>
      <c r="E281" s="7">
        <v>1.5</v>
      </c>
      <c r="F281" s="2">
        <v>0.78</v>
      </c>
      <c r="G281" s="7">
        <v>0.38</v>
      </c>
      <c r="H281" s="9" t="s">
        <v>27</v>
      </c>
      <c r="I281">
        <v>0.46</v>
      </c>
      <c r="J281">
        <v>0.43</v>
      </c>
      <c r="K281">
        <v>0.3</v>
      </c>
      <c r="L281">
        <v>0.2</v>
      </c>
      <c r="M281">
        <v>7.0000000000000007E-2</v>
      </c>
      <c r="N281">
        <v>0.89</v>
      </c>
      <c r="O281">
        <v>0.42</v>
      </c>
      <c r="P281">
        <v>0.5</v>
      </c>
      <c r="Q281">
        <v>0.92</v>
      </c>
      <c r="R281" s="2">
        <v>0.78</v>
      </c>
      <c r="S281" t="str">
        <f>IF(Table1[[#This Row],[Years_Experience]]&lt;=5,"Early Career",
IF(Table1[[#This Row],[Years_Experience]]&lt;=15,"Mid Career","Senior Level"))</f>
        <v>Senior Level</v>
      </c>
      <c r="T281" t="str">
        <f>IF(Table1[[#This Row],[AI_Exposure_Index]]&gt;=0.7,"High Exposure", IF(Table1[[#This Row],[AI_Exposure_Index]]&gt;=0.3,"Medium Exposure","Low Exposure"))</f>
        <v>High Exposure</v>
      </c>
    </row>
    <row r="282" spans="1:20" x14ac:dyDescent="0.25">
      <c r="A282" t="s">
        <v>36</v>
      </c>
      <c r="B282">
        <v>64785</v>
      </c>
      <c r="C282" s="1">
        <v>12</v>
      </c>
      <c r="D282" t="s">
        <v>25</v>
      </c>
      <c r="E282" s="7">
        <v>0.94</v>
      </c>
      <c r="F282" s="2">
        <v>0.56999999999999995</v>
      </c>
      <c r="G282" s="7">
        <v>0.62</v>
      </c>
      <c r="H282" s="9" t="s">
        <v>27</v>
      </c>
      <c r="I282">
        <v>0.72</v>
      </c>
      <c r="J282">
        <v>0.69</v>
      </c>
      <c r="K282">
        <v>0.34</v>
      </c>
      <c r="L282">
        <v>0.8</v>
      </c>
      <c r="M282">
        <v>0.05</v>
      </c>
      <c r="N282">
        <v>0.16</v>
      </c>
      <c r="O282">
        <v>0.34</v>
      </c>
      <c r="P282">
        <v>0.08</v>
      </c>
      <c r="Q282">
        <v>0.23</v>
      </c>
      <c r="R282" s="2">
        <v>0.83</v>
      </c>
      <c r="S282" t="str">
        <f>IF(Table1[[#This Row],[Years_Experience]]&lt;=5,"Early Career",
IF(Table1[[#This Row],[Years_Experience]]&lt;=15,"Mid Career","Senior Level"))</f>
        <v>Mid Career</v>
      </c>
      <c r="T282" t="str">
        <f>IF(Table1[[#This Row],[AI_Exposure_Index]]&gt;=0.7,"High Exposure", IF(Table1[[#This Row],[AI_Exposure_Index]]&gt;=0.3,"Medium Exposure","Low Exposure"))</f>
        <v>Medium Exposure</v>
      </c>
    </row>
    <row r="283" spans="1:20" x14ac:dyDescent="0.25">
      <c r="A283" t="s">
        <v>37</v>
      </c>
      <c r="B283">
        <v>70149</v>
      </c>
      <c r="C283" s="1">
        <v>12</v>
      </c>
      <c r="D283" t="s">
        <v>19</v>
      </c>
      <c r="E283" s="7">
        <v>0.76</v>
      </c>
      <c r="F283" s="2">
        <v>0.3</v>
      </c>
      <c r="G283" s="7">
        <v>0.41</v>
      </c>
      <c r="H283" s="9" t="s">
        <v>27</v>
      </c>
      <c r="I283">
        <v>0.28000000000000003</v>
      </c>
      <c r="J283">
        <v>0.04</v>
      </c>
      <c r="K283">
        <v>0.93</v>
      </c>
      <c r="L283">
        <v>0.21</v>
      </c>
      <c r="M283">
        <v>0.42</v>
      </c>
      <c r="N283">
        <v>0.01</v>
      </c>
      <c r="O283">
        <v>0.86</v>
      </c>
      <c r="P283">
        <v>0.73</v>
      </c>
      <c r="Q283">
        <v>0.95</v>
      </c>
      <c r="R283" s="2">
        <v>0.78</v>
      </c>
      <c r="S283" t="str">
        <f>IF(Table1[[#This Row],[Years_Experience]]&lt;=5,"Early Career",
IF(Table1[[#This Row],[Years_Experience]]&lt;=15,"Mid Career","Senior Level"))</f>
        <v>Mid Career</v>
      </c>
      <c r="T283" t="str">
        <f>IF(Table1[[#This Row],[AI_Exposure_Index]]&gt;=0.7,"High Exposure", IF(Table1[[#This Row],[AI_Exposure_Index]]&gt;=0.3,"Medium Exposure","Low Exposure"))</f>
        <v>Medium Exposure</v>
      </c>
    </row>
    <row r="284" spans="1:20" x14ac:dyDescent="0.25">
      <c r="A284" t="s">
        <v>30</v>
      </c>
      <c r="B284">
        <v>100122</v>
      </c>
      <c r="C284" s="1">
        <v>14</v>
      </c>
      <c r="D284" t="s">
        <v>22</v>
      </c>
      <c r="E284" s="7">
        <v>1.2</v>
      </c>
      <c r="F284" s="2">
        <v>0.25</v>
      </c>
      <c r="G284" s="7">
        <v>0.45</v>
      </c>
      <c r="H284" s="9" t="s">
        <v>27</v>
      </c>
      <c r="I284">
        <v>0.56999999999999995</v>
      </c>
      <c r="J284">
        <v>0.01</v>
      </c>
      <c r="K284">
        <v>0.06</v>
      </c>
      <c r="L284">
        <v>0.54</v>
      </c>
      <c r="M284">
        <v>0.56999999999999995</v>
      </c>
      <c r="N284">
        <v>0.75</v>
      </c>
      <c r="O284">
        <v>0.13</v>
      </c>
      <c r="P284">
        <v>0.51</v>
      </c>
      <c r="Q284">
        <v>0.19</v>
      </c>
      <c r="R284" s="2">
        <v>0.09</v>
      </c>
      <c r="S284" t="str">
        <f>IF(Table1[[#This Row],[Years_Experience]]&lt;=5,"Early Career",
IF(Table1[[#This Row],[Years_Experience]]&lt;=15,"Mid Career","Senior Level"))</f>
        <v>Mid Career</v>
      </c>
      <c r="T284" t="str">
        <f>IF(Table1[[#This Row],[AI_Exposure_Index]]&gt;=0.7,"High Exposure", IF(Table1[[#This Row],[AI_Exposure_Index]]&gt;=0.3,"Medium Exposure","Low Exposure"))</f>
        <v>Low Exposure</v>
      </c>
    </row>
    <row r="285" spans="1:20" x14ac:dyDescent="0.25">
      <c r="A285" t="s">
        <v>32</v>
      </c>
      <c r="B285">
        <v>46524</v>
      </c>
      <c r="C285" s="1">
        <v>29</v>
      </c>
      <c r="D285" t="s">
        <v>25</v>
      </c>
      <c r="E285" s="7">
        <v>0.72</v>
      </c>
      <c r="F285" s="2">
        <v>0.16</v>
      </c>
      <c r="G285" s="7">
        <v>0.43</v>
      </c>
      <c r="H285" s="9" t="s">
        <v>27</v>
      </c>
      <c r="I285">
        <v>0.26</v>
      </c>
      <c r="J285">
        <v>0.09</v>
      </c>
      <c r="K285">
        <v>0.09</v>
      </c>
      <c r="L285">
        <v>0.19</v>
      </c>
      <c r="M285">
        <v>0.05</v>
      </c>
      <c r="N285">
        <v>0.63</v>
      </c>
      <c r="O285">
        <v>0.28999999999999998</v>
      </c>
      <c r="P285">
        <v>0.28000000000000003</v>
      </c>
      <c r="Q285">
        <v>0.33</v>
      </c>
      <c r="R285" s="2">
        <v>0.66</v>
      </c>
      <c r="S285" t="str">
        <f>IF(Table1[[#This Row],[Years_Experience]]&lt;=5,"Early Career",
IF(Table1[[#This Row],[Years_Experience]]&lt;=15,"Mid Career","Senior Level"))</f>
        <v>Senior Level</v>
      </c>
      <c r="T285" t="str">
        <f>IF(Table1[[#This Row],[AI_Exposure_Index]]&gt;=0.7,"High Exposure", IF(Table1[[#This Row],[AI_Exposure_Index]]&gt;=0.3,"Medium Exposure","Low Exposure"))</f>
        <v>Low Exposure</v>
      </c>
    </row>
    <row r="286" spans="1:20" x14ac:dyDescent="0.25">
      <c r="A286" t="s">
        <v>30</v>
      </c>
      <c r="B286">
        <v>82347</v>
      </c>
      <c r="C286" s="1">
        <v>28</v>
      </c>
      <c r="D286" t="s">
        <v>19</v>
      </c>
      <c r="E286" s="7">
        <v>0.83</v>
      </c>
      <c r="F286" s="2">
        <v>0.44</v>
      </c>
      <c r="G286" s="7">
        <v>0.46</v>
      </c>
      <c r="H286" s="9" t="s">
        <v>27</v>
      </c>
      <c r="I286">
        <v>0.53</v>
      </c>
      <c r="J286">
        <v>0.16</v>
      </c>
      <c r="K286">
        <v>0.56999999999999995</v>
      </c>
      <c r="L286">
        <v>0.81</v>
      </c>
      <c r="M286">
        <v>0.76</v>
      </c>
      <c r="N286">
        <v>0.15</v>
      </c>
      <c r="O286">
        <v>0.15</v>
      </c>
      <c r="P286">
        <v>0.27</v>
      </c>
      <c r="Q286">
        <v>0.36</v>
      </c>
      <c r="R286" s="2">
        <v>0.41</v>
      </c>
      <c r="S286" t="str">
        <f>IF(Table1[[#This Row],[Years_Experience]]&lt;=5,"Early Career",
IF(Table1[[#This Row],[Years_Experience]]&lt;=15,"Mid Career","Senior Level"))</f>
        <v>Senior Level</v>
      </c>
      <c r="T286" t="str">
        <f>IF(Table1[[#This Row],[AI_Exposure_Index]]&gt;=0.7,"High Exposure", IF(Table1[[#This Row],[AI_Exposure_Index]]&gt;=0.3,"Medium Exposure","Low Exposure"))</f>
        <v>Medium Exposure</v>
      </c>
    </row>
    <row r="287" spans="1:20" x14ac:dyDescent="0.25">
      <c r="A287" t="s">
        <v>21</v>
      </c>
      <c r="B287">
        <v>71743</v>
      </c>
      <c r="C287" s="1">
        <v>17</v>
      </c>
      <c r="D287" t="s">
        <v>22</v>
      </c>
      <c r="E287" s="7">
        <v>0.53</v>
      </c>
      <c r="F287" s="2">
        <v>0.06</v>
      </c>
      <c r="G287" s="7">
        <v>0.15</v>
      </c>
      <c r="H287" s="9" t="s">
        <v>23</v>
      </c>
      <c r="I287">
        <v>0.7</v>
      </c>
      <c r="J287">
        <v>0.19</v>
      </c>
      <c r="K287">
        <v>0.64</v>
      </c>
      <c r="L287">
        <v>0.26</v>
      </c>
      <c r="M287">
        <v>0.89</v>
      </c>
      <c r="N287">
        <v>0.9</v>
      </c>
      <c r="O287">
        <v>0.3</v>
      </c>
      <c r="P287">
        <v>0.23</v>
      </c>
      <c r="Q287">
        <v>0.41</v>
      </c>
      <c r="R287" s="2">
        <v>0.24</v>
      </c>
      <c r="S287" t="str">
        <f>IF(Table1[[#This Row],[Years_Experience]]&lt;=5,"Early Career",
IF(Table1[[#This Row],[Years_Experience]]&lt;=15,"Mid Career","Senior Level"))</f>
        <v>Senior Level</v>
      </c>
      <c r="T287" t="str">
        <f>IF(Table1[[#This Row],[AI_Exposure_Index]]&gt;=0.7,"High Exposure", IF(Table1[[#This Row],[AI_Exposure_Index]]&gt;=0.3,"Medium Exposure","Low Exposure"))</f>
        <v>Low Exposure</v>
      </c>
    </row>
    <row r="288" spans="1:20" x14ac:dyDescent="0.25">
      <c r="A288" t="s">
        <v>32</v>
      </c>
      <c r="B288">
        <v>118302</v>
      </c>
      <c r="C288" s="1">
        <v>14</v>
      </c>
      <c r="D288" t="s">
        <v>25</v>
      </c>
      <c r="E288" s="7">
        <v>1.17</v>
      </c>
      <c r="F288" s="2">
        <v>0.83</v>
      </c>
      <c r="G288" s="7">
        <v>0.63</v>
      </c>
      <c r="H288" s="9" t="s">
        <v>27</v>
      </c>
      <c r="I288">
        <v>0.4</v>
      </c>
      <c r="J288">
        <v>0.16</v>
      </c>
      <c r="K288">
        <v>0.74</v>
      </c>
      <c r="L288">
        <v>0.36</v>
      </c>
      <c r="M288">
        <v>0.67</v>
      </c>
      <c r="N288">
        <v>0.27</v>
      </c>
      <c r="O288">
        <v>0.08</v>
      </c>
      <c r="P288">
        <v>0.99</v>
      </c>
      <c r="Q288">
        <v>0.16</v>
      </c>
      <c r="R288" s="2">
        <v>0.99</v>
      </c>
      <c r="S288" t="str">
        <f>IF(Table1[[#This Row],[Years_Experience]]&lt;=5,"Early Career",
IF(Table1[[#This Row],[Years_Experience]]&lt;=15,"Mid Career","Senior Level"))</f>
        <v>Mid Career</v>
      </c>
      <c r="T288" t="str">
        <f>IF(Table1[[#This Row],[AI_Exposure_Index]]&gt;=0.7,"High Exposure", IF(Table1[[#This Row],[AI_Exposure_Index]]&gt;=0.3,"Medium Exposure","Low Exposure"))</f>
        <v>High Exposure</v>
      </c>
    </row>
    <row r="289" spans="1:20" x14ac:dyDescent="0.25">
      <c r="A289" t="s">
        <v>28</v>
      </c>
      <c r="B289">
        <v>96706</v>
      </c>
      <c r="C289" s="1">
        <v>9</v>
      </c>
      <c r="D289" t="s">
        <v>22</v>
      </c>
      <c r="E289" s="7">
        <v>1.1599999999999999</v>
      </c>
      <c r="F289" s="2">
        <v>0.79</v>
      </c>
      <c r="G289" s="7">
        <v>0.53</v>
      </c>
      <c r="H289" s="9" t="s">
        <v>27</v>
      </c>
      <c r="I289">
        <v>0.87</v>
      </c>
      <c r="J289">
        <v>0.28999999999999998</v>
      </c>
      <c r="K289">
        <v>0.47</v>
      </c>
      <c r="L289">
        <v>0.62</v>
      </c>
      <c r="M289">
        <v>0.41</v>
      </c>
      <c r="N289">
        <v>0.43</v>
      </c>
      <c r="O289">
        <v>0.33</v>
      </c>
      <c r="P289">
        <v>0.56000000000000005</v>
      </c>
      <c r="Q289">
        <v>0.85</v>
      </c>
      <c r="R289" s="2">
        <v>0.2</v>
      </c>
      <c r="S289" t="str">
        <f>IF(Table1[[#This Row],[Years_Experience]]&lt;=5,"Early Career",
IF(Table1[[#This Row],[Years_Experience]]&lt;=15,"Mid Career","Senior Level"))</f>
        <v>Mid Career</v>
      </c>
      <c r="T289" t="str">
        <f>IF(Table1[[#This Row],[AI_Exposure_Index]]&gt;=0.7,"High Exposure", IF(Table1[[#This Row],[AI_Exposure_Index]]&gt;=0.3,"Medium Exposure","Low Exposure"))</f>
        <v>High Exposure</v>
      </c>
    </row>
    <row r="290" spans="1:20" x14ac:dyDescent="0.25">
      <c r="A290" t="s">
        <v>37</v>
      </c>
      <c r="B290">
        <v>95780</v>
      </c>
      <c r="C290" s="1">
        <v>10</v>
      </c>
      <c r="D290" t="s">
        <v>19</v>
      </c>
      <c r="E290" s="7">
        <v>0.63</v>
      </c>
      <c r="F290" s="2">
        <v>0.28000000000000003</v>
      </c>
      <c r="G290" s="7">
        <v>0.34</v>
      </c>
      <c r="H290" s="9" t="s">
        <v>27</v>
      </c>
      <c r="I290">
        <v>0.6</v>
      </c>
      <c r="J290">
        <v>0.52</v>
      </c>
      <c r="K290">
        <v>0.25</v>
      </c>
      <c r="L290">
        <v>0.47</v>
      </c>
      <c r="M290">
        <v>0.49</v>
      </c>
      <c r="N290">
        <v>0.2</v>
      </c>
      <c r="O290">
        <v>0.65</v>
      </c>
      <c r="P290">
        <v>0.78</v>
      </c>
      <c r="Q290">
        <v>0.79</v>
      </c>
      <c r="R290" s="2">
        <v>0.6</v>
      </c>
      <c r="S290" t="str">
        <f>IF(Table1[[#This Row],[Years_Experience]]&lt;=5,"Early Career",
IF(Table1[[#This Row],[Years_Experience]]&lt;=15,"Mid Career","Senior Level"))</f>
        <v>Mid Career</v>
      </c>
      <c r="T290" t="str">
        <f>IF(Table1[[#This Row],[AI_Exposure_Index]]&gt;=0.7,"High Exposure", IF(Table1[[#This Row],[AI_Exposure_Index]]&gt;=0.3,"Medium Exposure","Low Exposure"))</f>
        <v>Low Exposure</v>
      </c>
    </row>
    <row r="291" spans="1:20" x14ac:dyDescent="0.25">
      <c r="A291" t="s">
        <v>26</v>
      </c>
      <c r="B291">
        <v>78899</v>
      </c>
      <c r="C291" s="1">
        <v>11</v>
      </c>
      <c r="D291" t="s">
        <v>19</v>
      </c>
      <c r="E291" s="7">
        <v>0.79</v>
      </c>
      <c r="F291" s="2">
        <v>0.06</v>
      </c>
      <c r="G291" s="7">
        <v>0.34</v>
      </c>
      <c r="H291" s="9" t="s">
        <v>27</v>
      </c>
      <c r="I291">
        <v>0.96</v>
      </c>
      <c r="J291">
        <v>0.14000000000000001</v>
      </c>
      <c r="K291">
        <v>0.15</v>
      </c>
      <c r="L291">
        <v>0.89</v>
      </c>
      <c r="M291">
        <v>0.94</v>
      </c>
      <c r="N291">
        <v>0.77</v>
      </c>
      <c r="O291">
        <v>0.01</v>
      </c>
      <c r="P291">
        <v>0</v>
      </c>
      <c r="Q291">
        <v>0.38</v>
      </c>
      <c r="R291" s="2">
        <v>0.14000000000000001</v>
      </c>
      <c r="S291" t="str">
        <f>IF(Table1[[#This Row],[Years_Experience]]&lt;=5,"Early Career",
IF(Table1[[#This Row],[Years_Experience]]&lt;=15,"Mid Career","Senior Level"))</f>
        <v>Mid Career</v>
      </c>
      <c r="T291" t="str">
        <f>IF(Table1[[#This Row],[AI_Exposure_Index]]&gt;=0.7,"High Exposure", IF(Table1[[#This Row],[AI_Exposure_Index]]&gt;=0.3,"Medium Exposure","Low Exposure"))</f>
        <v>Low Exposure</v>
      </c>
    </row>
    <row r="292" spans="1:20" x14ac:dyDescent="0.25">
      <c r="A292" t="s">
        <v>42</v>
      </c>
      <c r="B292">
        <v>92559</v>
      </c>
      <c r="C292" s="1">
        <v>28</v>
      </c>
      <c r="D292" t="s">
        <v>25</v>
      </c>
      <c r="E292" s="7">
        <v>1.44</v>
      </c>
      <c r="F292" s="2">
        <v>0.46</v>
      </c>
      <c r="G292" s="7">
        <v>0.43</v>
      </c>
      <c r="H292" s="9" t="s">
        <v>27</v>
      </c>
      <c r="I292">
        <v>0.66</v>
      </c>
      <c r="J292">
        <v>0.65</v>
      </c>
      <c r="K292">
        <v>0.25</v>
      </c>
      <c r="L292">
        <v>0.65</v>
      </c>
      <c r="M292">
        <v>0.21</v>
      </c>
      <c r="N292">
        <v>0.12</v>
      </c>
      <c r="O292">
        <v>0.7</v>
      </c>
      <c r="P292">
        <v>0.11</v>
      </c>
      <c r="Q292">
        <v>1</v>
      </c>
      <c r="R292" s="2">
        <v>0.18</v>
      </c>
      <c r="S292" t="str">
        <f>IF(Table1[[#This Row],[Years_Experience]]&lt;=5,"Early Career",
IF(Table1[[#This Row],[Years_Experience]]&lt;=15,"Mid Career","Senior Level"))</f>
        <v>Senior Level</v>
      </c>
      <c r="T292" t="str">
        <f>IF(Table1[[#This Row],[AI_Exposure_Index]]&gt;=0.7,"High Exposure", IF(Table1[[#This Row],[AI_Exposure_Index]]&gt;=0.3,"Medium Exposure","Low Exposure"))</f>
        <v>Medium Exposure</v>
      </c>
    </row>
    <row r="293" spans="1:20" x14ac:dyDescent="0.25">
      <c r="A293" t="s">
        <v>18</v>
      </c>
      <c r="B293">
        <v>140168</v>
      </c>
      <c r="C293" s="1">
        <v>1</v>
      </c>
      <c r="D293" t="s">
        <v>22</v>
      </c>
      <c r="E293" s="7">
        <v>0.63</v>
      </c>
      <c r="F293" s="2">
        <v>0.41</v>
      </c>
      <c r="G293" s="7">
        <v>0.71</v>
      </c>
      <c r="H293" s="9" t="s">
        <v>20</v>
      </c>
      <c r="I293">
        <v>0.62</v>
      </c>
      <c r="J293">
        <v>0.81</v>
      </c>
      <c r="K293">
        <v>0.84</v>
      </c>
      <c r="L293">
        <v>0.48</v>
      </c>
      <c r="M293">
        <v>0.78</v>
      </c>
      <c r="N293">
        <v>0.67</v>
      </c>
      <c r="O293">
        <v>0.72</v>
      </c>
      <c r="P293">
        <v>0.49</v>
      </c>
      <c r="Q293">
        <v>0.63</v>
      </c>
      <c r="R293" s="2">
        <v>0.81</v>
      </c>
      <c r="S293" t="str">
        <f>IF(Table1[[#This Row],[Years_Experience]]&lt;=5,"Early Career",
IF(Table1[[#This Row],[Years_Experience]]&lt;=15,"Mid Career","Senior Level"))</f>
        <v>Early Career</v>
      </c>
      <c r="T293" t="str">
        <f>IF(Table1[[#This Row],[AI_Exposure_Index]]&gt;=0.7,"High Exposure", IF(Table1[[#This Row],[AI_Exposure_Index]]&gt;=0.3,"Medium Exposure","Low Exposure"))</f>
        <v>Medium Exposure</v>
      </c>
    </row>
    <row r="294" spans="1:20" x14ac:dyDescent="0.25">
      <c r="A294" t="s">
        <v>26</v>
      </c>
      <c r="B294">
        <v>143857</v>
      </c>
      <c r="C294" s="1">
        <v>28</v>
      </c>
      <c r="D294" t="s">
        <v>25</v>
      </c>
      <c r="E294" s="7">
        <v>1.0900000000000001</v>
      </c>
      <c r="F294" s="2">
        <v>0.81</v>
      </c>
      <c r="G294" s="7">
        <v>0.37</v>
      </c>
      <c r="H294" s="9" t="s">
        <v>27</v>
      </c>
      <c r="I294">
        <v>0.02</v>
      </c>
      <c r="J294">
        <v>0.36</v>
      </c>
      <c r="K294">
        <v>0.55000000000000004</v>
      </c>
      <c r="L294">
        <v>0.84</v>
      </c>
      <c r="M294">
        <v>0.13</v>
      </c>
      <c r="N294">
        <v>0.8</v>
      </c>
      <c r="O294">
        <v>0.86</v>
      </c>
      <c r="P294">
        <v>0.15</v>
      </c>
      <c r="Q294">
        <v>0.85</v>
      </c>
      <c r="R294" s="2">
        <v>0.99</v>
      </c>
      <c r="S294" t="str">
        <f>IF(Table1[[#This Row],[Years_Experience]]&lt;=5,"Early Career",
IF(Table1[[#This Row],[Years_Experience]]&lt;=15,"Mid Career","Senior Level"))</f>
        <v>Senior Level</v>
      </c>
      <c r="T294" t="str">
        <f>IF(Table1[[#This Row],[AI_Exposure_Index]]&gt;=0.7,"High Exposure", IF(Table1[[#This Row],[AI_Exposure_Index]]&gt;=0.3,"Medium Exposure","Low Exposure"))</f>
        <v>High Exposure</v>
      </c>
    </row>
    <row r="295" spans="1:20" x14ac:dyDescent="0.25">
      <c r="A295" t="s">
        <v>33</v>
      </c>
      <c r="B295">
        <v>37189</v>
      </c>
      <c r="C295" s="1">
        <v>13</v>
      </c>
      <c r="D295" t="s">
        <v>25</v>
      </c>
      <c r="E295" s="7">
        <v>1.49</v>
      </c>
      <c r="F295" s="2">
        <v>0.78</v>
      </c>
      <c r="G295" s="7">
        <v>0.85</v>
      </c>
      <c r="H295" s="9" t="s">
        <v>20</v>
      </c>
      <c r="I295">
        <v>0.31</v>
      </c>
      <c r="J295">
        <v>0.84</v>
      </c>
      <c r="K295">
        <v>0.61</v>
      </c>
      <c r="L295">
        <v>0.57999999999999996</v>
      </c>
      <c r="M295">
        <v>0.25</v>
      </c>
      <c r="N295">
        <v>0.76</v>
      </c>
      <c r="O295">
        <v>0.08</v>
      </c>
      <c r="P295">
        <v>0.92</v>
      </c>
      <c r="Q295">
        <v>0.33</v>
      </c>
      <c r="R295" s="2">
        <v>0.13</v>
      </c>
      <c r="S295" t="str">
        <f>IF(Table1[[#This Row],[Years_Experience]]&lt;=5,"Early Career",
IF(Table1[[#This Row],[Years_Experience]]&lt;=15,"Mid Career","Senior Level"))</f>
        <v>Mid Career</v>
      </c>
      <c r="T295" t="str">
        <f>IF(Table1[[#This Row],[AI_Exposure_Index]]&gt;=0.7,"High Exposure", IF(Table1[[#This Row],[AI_Exposure_Index]]&gt;=0.3,"Medium Exposure","Low Exposure"))</f>
        <v>High Exposure</v>
      </c>
    </row>
    <row r="296" spans="1:20" x14ac:dyDescent="0.25">
      <c r="A296" t="s">
        <v>30</v>
      </c>
      <c r="B296">
        <v>91158</v>
      </c>
      <c r="C296" s="1">
        <v>13</v>
      </c>
      <c r="D296" t="s">
        <v>25</v>
      </c>
      <c r="E296" s="7">
        <v>0.82</v>
      </c>
      <c r="F296" s="2">
        <v>0.73</v>
      </c>
      <c r="G296" s="7">
        <v>0.56999999999999995</v>
      </c>
      <c r="H296" s="9" t="s">
        <v>27</v>
      </c>
      <c r="I296">
        <v>0.56000000000000005</v>
      </c>
      <c r="J296">
        <v>0.34</v>
      </c>
      <c r="K296">
        <v>0.13</v>
      </c>
      <c r="L296">
        <v>0.09</v>
      </c>
      <c r="M296">
        <v>0.83</v>
      </c>
      <c r="N296">
        <v>0.92</v>
      </c>
      <c r="O296">
        <v>0.65</v>
      </c>
      <c r="P296">
        <v>0.1</v>
      </c>
      <c r="Q296">
        <v>0.4</v>
      </c>
      <c r="R296" s="2">
        <v>0.73</v>
      </c>
      <c r="S296" t="str">
        <f>IF(Table1[[#This Row],[Years_Experience]]&lt;=5,"Early Career",
IF(Table1[[#This Row],[Years_Experience]]&lt;=15,"Mid Career","Senior Level"))</f>
        <v>Mid Career</v>
      </c>
      <c r="T296" t="str">
        <f>IF(Table1[[#This Row],[AI_Exposure_Index]]&gt;=0.7,"High Exposure", IF(Table1[[#This Row],[AI_Exposure_Index]]&gt;=0.3,"Medium Exposure","Low Exposure"))</f>
        <v>High Exposure</v>
      </c>
    </row>
    <row r="297" spans="1:20" x14ac:dyDescent="0.25">
      <c r="A297" t="s">
        <v>24</v>
      </c>
      <c r="B297">
        <v>52394</v>
      </c>
      <c r="C297" s="1">
        <v>13</v>
      </c>
      <c r="D297" t="s">
        <v>22</v>
      </c>
      <c r="E297" s="7">
        <v>0.5</v>
      </c>
      <c r="F297" s="2">
        <v>0.12</v>
      </c>
      <c r="G297" s="7">
        <v>0.88</v>
      </c>
      <c r="H297" s="9" t="s">
        <v>20</v>
      </c>
      <c r="I297">
        <v>0.36</v>
      </c>
      <c r="J297">
        <v>0.25</v>
      </c>
      <c r="K297">
        <v>0.01</v>
      </c>
      <c r="L297">
        <v>0.54</v>
      </c>
      <c r="M297">
        <v>0.85</v>
      </c>
      <c r="N297">
        <v>0.96</v>
      </c>
      <c r="O297">
        <v>0.56999999999999995</v>
      </c>
      <c r="P297">
        <v>0.51</v>
      </c>
      <c r="Q297">
        <v>0.09</v>
      </c>
      <c r="R297" s="2">
        <v>0.55000000000000004</v>
      </c>
      <c r="S297" t="str">
        <f>IF(Table1[[#This Row],[Years_Experience]]&lt;=5,"Early Career",
IF(Table1[[#This Row],[Years_Experience]]&lt;=15,"Mid Career","Senior Level"))</f>
        <v>Mid Career</v>
      </c>
      <c r="T297" t="str">
        <f>IF(Table1[[#This Row],[AI_Exposure_Index]]&gt;=0.7,"High Exposure", IF(Table1[[#This Row],[AI_Exposure_Index]]&gt;=0.3,"Medium Exposure","Low Exposure"))</f>
        <v>Low Exposure</v>
      </c>
    </row>
    <row r="298" spans="1:20" x14ac:dyDescent="0.25">
      <c r="A298" t="s">
        <v>43</v>
      </c>
      <c r="B298">
        <v>50245</v>
      </c>
      <c r="C298" s="1">
        <v>1</v>
      </c>
      <c r="D298" t="s">
        <v>38</v>
      </c>
      <c r="E298" s="7">
        <v>0.89</v>
      </c>
      <c r="F298" s="2">
        <v>0.61</v>
      </c>
      <c r="G298" s="7">
        <v>0.11</v>
      </c>
      <c r="H298" s="9" t="s">
        <v>23</v>
      </c>
      <c r="I298">
        <v>0.09</v>
      </c>
      <c r="J298">
        <v>0.31</v>
      </c>
      <c r="K298">
        <v>0.1</v>
      </c>
      <c r="L298">
        <v>0.18</v>
      </c>
      <c r="M298">
        <v>0.99</v>
      </c>
      <c r="N298">
        <v>0.44</v>
      </c>
      <c r="O298">
        <v>0.53</v>
      </c>
      <c r="P298">
        <v>0.87</v>
      </c>
      <c r="Q298">
        <v>1</v>
      </c>
      <c r="R298" s="2">
        <v>0.57999999999999996</v>
      </c>
      <c r="S298" t="str">
        <f>IF(Table1[[#This Row],[Years_Experience]]&lt;=5,"Early Career",
IF(Table1[[#This Row],[Years_Experience]]&lt;=15,"Mid Career","Senior Level"))</f>
        <v>Early Career</v>
      </c>
      <c r="T298" t="str">
        <f>IF(Table1[[#This Row],[AI_Exposure_Index]]&gt;=0.7,"High Exposure", IF(Table1[[#This Row],[AI_Exposure_Index]]&gt;=0.3,"Medium Exposure","Low Exposure"))</f>
        <v>Medium Exposure</v>
      </c>
    </row>
    <row r="299" spans="1:20" x14ac:dyDescent="0.25">
      <c r="A299" t="s">
        <v>37</v>
      </c>
      <c r="B299">
        <v>48624</v>
      </c>
      <c r="C299" s="1">
        <v>25</v>
      </c>
      <c r="D299" t="s">
        <v>25</v>
      </c>
      <c r="E299" s="7">
        <v>0.82</v>
      </c>
      <c r="F299" s="2">
        <v>0.48</v>
      </c>
      <c r="G299" s="7">
        <v>0.5</v>
      </c>
      <c r="H299" s="9" t="s">
        <v>27</v>
      </c>
      <c r="I299">
        <v>0.86</v>
      </c>
      <c r="J299">
        <v>0.59</v>
      </c>
      <c r="K299">
        <v>0.69</v>
      </c>
      <c r="L299">
        <v>0.36</v>
      </c>
      <c r="M299">
        <v>0.74</v>
      </c>
      <c r="N299">
        <v>0.67</v>
      </c>
      <c r="O299">
        <v>0.12</v>
      </c>
      <c r="P299">
        <v>0.56999999999999995</v>
      </c>
      <c r="Q299">
        <v>0.26</v>
      </c>
      <c r="R299" s="2">
        <v>0.8</v>
      </c>
      <c r="S299" t="str">
        <f>IF(Table1[[#This Row],[Years_Experience]]&lt;=5,"Early Career",
IF(Table1[[#This Row],[Years_Experience]]&lt;=15,"Mid Career","Senior Level"))</f>
        <v>Senior Level</v>
      </c>
      <c r="T299" t="str">
        <f>IF(Table1[[#This Row],[AI_Exposure_Index]]&gt;=0.7,"High Exposure", IF(Table1[[#This Row],[AI_Exposure_Index]]&gt;=0.3,"Medium Exposure","Low Exposure"))</f>
        <v>Medium Exposure</v>
      </c>
    </row>
    <row r="300" spans="1:20" x14ac:dyDescent="0.25">
      <c r="A300" t="s">
        <v>29</v>
      </c>
      <c r="B300">
        <v>46626</v>
      </c>
      <c r="C300" s="1">
        <v>21</v>
      </c>
      <c r="D300" t="s">
        <v>22</v>
      </c>
      <c r="E300" s="7">
        <v>0.59</v>
      </c>
      <c r="F300" s="2">
        <v>0.99</v>
      </c>
      <c r="G300" s="7">
        <v>0.25</v>
      </c>
      <c r="H300" s="9" t="s">
        <v>23</v>
      </c>
      <c r="I300">
        <v>0.67</v>
      </c>
      <c r="J300">
        <v>0.77</v>
      </c>
      <c r="K300">
        <v>0.31</v>
      </c>
      <c r="L300">
        <v>0.49</v>
      </c>
      <c r="M300">
        <v>0.8</v>
      </c>
      <c r="N300">
        <v>0.23</v>
      </c>
      <c r="O300">
        <v>0.23</v>
      </c>
      <c r="P300">
        <v>0.55000000000000004</v>
      </c>
      <c r="Q300">
        <v>0.52</v>
      </c>
      <c r="R300" s="2">
        <v>0.28000000000000003</v>
      </c>
      <c r="S300" t="str">
        <f>IF(Table1[[#This Row],[Years_Experience]]&lt;=5,"Early Career",
IF(Table1[[#This Row],[Years_Experience]]&lt;=15,"Mid Career","Senior Level"))</f>
        <v>Senior Level</v>
      </c>
      <c r="T300" t="str">
        <f>IF(Table1[[#This Row],[AI_Exposure_Index]]&gt;=0.7,"High Exposure", IF(Table1[[#This Row],[AI_Exposure_Index]]&gt;=0.3,"Medium Exposure","Low Exposure"))</f>
        <v>High Exposure</v>
      </c>
    </row>
    <row r="301" spans="1:20" x14ac:dyDescent="0.25">
      <c r="A301" t="s">
        <v>31</v>
      </c>
      <c r="B301">
        <v>74950</v>
      </c>
      <c r="C301" s="1">
        <v>10</v>
      </c>
      <c r="D301" t="s">
        <v>38</v>
      </c>
      <c r="E301" s="7">
        <v>1.27</v>
      </c>
      <c r="F301" s="2">
        <v>0.28000000000000003</v>
      </c>
      <c r="G301" s="7">
        <v>0.21</v>
      </c>
      <c r="H301" s="9" t="s">
        <v>23</v>
      </c>
      <c r="I301">
        <v>0.83</v>
      </c>
      <c r="J301">
        <v>0.98</v>
      </c>
      <c r="K301">
        <v>0.47</v>
      </c>
      <c r="L301">
        <v>7.0000000000000007E-2</v>
      </c>
      <c r="M301">
        <v>0.05</v>
      </c>
      <c r="N301">
        <v>0.3</v>
      </c>
      <c r="O301">
        <v>0.93</v>
      </c>
      <c r="P301">
        <v>0.52</v>
      </c>
      <c r="Q301">
        <v>0.27</v>
      </c>
      <c r="R301" s="2">
        <v>0.4</v>
      </c>
      <c r="S301" t="str">
        <f>IF(Table1[[#This Row],[Years_Experience]]&lt;=5,"Early Career",
IF(Table1[[#This Row],[Years_Experience]]&lt;=15,"Mid Career","Senior Level"))</f>
        <v>Mid Career</v>
      </c>
      <c r="T301" t="str">
        <f>IF(Table1[[#This Row],[AI_Exposure_Index]]&gt;=0.7,"High Exposure", IF(Table1[[#This Row],[AI_Exposure_Index]]&gt;=0.3,"Medium Exposure","Low Exposure"))</f>
        <v>Low Exposure</v>
      </c>
    </row>
    <row r="302" spans="1:20" x14ac:dyDescent="0.25">
      <c r="A302" t="s">
        <v>24</v>
      </c>
      <c r="B302">
        <v>130211</v>
      </c>
      <c r="C302" s="1">
        <v>5</v>
      </c>
      <c r="D302" t="s">
        <v>38</v>
      </c>
      <c r="E302" s="7">
        <v>0.65</v>
      </c>
      <c r="F302" s="2">
        <v>0.65</v>
      </c>
      <c r="G302" s="7">
        <v>0.94</v>
      </c>
      <c r="H302" s="9" t="s">
        <v>20</v>
      </c>
      <c r="I302">
        <v>0.54</v>
      </c>
      <c r="J302">
        <v>0.14000000000000001</v>
      </c>
      <c r="K302">
        <v>0.89</v>
      </c>
      <c r="L302">
        <v>7.0000000000000007E-2</v>
      </c>
      <c r="M302">
        <v>0.91</v>
      </c>
      <c r="N302">
        <v>1</v>
      </c>
      <c r="O302">
        <v>0.7</v>
      </c>
      <c r="P302">
        <v>0.77</v>
      </c>
      <c r="Q302">
        <v>0.34</v>
      </c>
      <c r="R302" s="2">
        <v>0.94</v>
      </c>
      <c r="S302" t="str">
        <f>IF(Table1[[#This Row],[Years_Experience]]&lt;=5,"Early Career",
IF(Table1[[#This Row],[Years_Experience]]&lt;=15,"Mid Career","Senior Level"))</f>
        <v>Early Career</v>
      </c>
      <c r="T302" t="str">
        <f>IF(Table1[[#This Row],[AI_Exposure_Index]]&gt;=0.7,"High Exposure", IF(Table1[[#This Row],[AI_Exposure_Index]]&gt;=0.3,"Medium Exposure","Low Exposure"))</f>
        <v>Medium Exposure</v>
      </c>
    </row>
    <row r="303" spans="1:20" x14ac:dyDescent="0.25">
      <c r="A303" t="s">
        <v>42</v>
      </c>
      <c r="B303">
        <v>117460</v>
      </c>
      <c r="C303" s="1">
        <v>13</v>
      </c>
      <c r="D303" t="s">
        <v>25</v>
      </c>
      <c r="E303" s="7">
        <v>1.42</v>
      </c>
      <c r="F303" s="2">
        <v>0.73</v>
      </c>
      <c r="G303" s="7">
        <v>0.69</v>
      </c>
      <c r="H303" s="9" t="s">
        <v>27</v>
      </c>
      <c r="I303">
        <v>0.83</v>
      </c>
      <c r="J303">
        <v>0.3</v>
      </c>
      <c r="K303">
        <v>0.97</v>
      </c>
      <c r="L303">
        <v>0.63</v>
      </c>
      <c r="M303">
        <v>0.93</v>
      </c>
      <c r="N303">
        <v>0.68</v>
      </c>
      <c r="O303">
        <v>0.31</v>
      </c>
      <c r="P303">
        <v>0.37</v>
      </c>
      <c r="Q303">
        <v>0.55000000000000004</v>
      </c>
      <c r="R303" s="2">
        <v>0.79</v>
      </c>
      <c r="S303" t="str">
        <f>IF(Table1[[#This Row],[Years_Experience]]&lt;=5,"Early Career",
IF(Table1[[#This Row],[Years_Experience]]&lt;=15,"Mid Career","Senior Level"))</f>
        <v>Mid Career</v>
      </c>
      <c r="T303" t="str">
        <f>IF(Table1[[#This Row],[AI_Exposure_Index]]&gt;=0.7,"High Exposure", IF(Table1[[#This Row],[AI_Exposure_Index]]&gt;=0.3,"Medium Exposure","Low Exposure"))</f>
        <v>High Exposure</v>
      </c>
    </row>
    <row r="304" spans="1:20" x14ac:dyDescent="0.25">
      <c r="A304" t="s">
        <v>41</v>
      </c>
      <c r="B304">
        <v>115489</v>
      </c>
      <c r="C304" s="1">
        <v>27</v>
      </c>
      <c r="D304" t="s">
        <v>19</v>
      </c>
      <c r="E304" s="7">
        <v>0.85</v>
      </c>
      <c r="F304" s="2">
        <v>0.57999999999999996</v>
      </c>
      <c r="G304" s="7">
        <v>0.9</v>
      </c>
      <c r="H304" s="9" t="s">
        <v>20</v>
      </c>
      <c r="I304">
        <v>0.47</v>
      </c>
      <c r="J304">
        <v>0.08</v>
      </c>
      <c r="K304">
        <v>0.17</v>
      </c>
      <c r="L304">
        <v>0.06</v>
      </c>
      <c r="M304">
        <v>0.5</v>
      </c>
      <c r="N304">
        <v>0.11</v>
      </c>
      <c r="O304">
        <v>0.11</v>
      </c>
      <c r="P304">
        <v>0.94</v>
      </c>
      <c r="Q304">
        <v>0.87</v>
      </c>
      <c r="R304" s="2">
        <v>0.45</v>
      </c>
      <c r="S304" t="str">
        <f>IF(Table1[[#This Row],[Years_Experience]]&lt;=5,"Early Career",
IF(Table1[[#This Row],[Years_Experience]]&lt;=15,"Mid Career","Senior Level"))</f>
        <v>Senior Level</v>
      </c>
      <c r="T304" t="str">
        <f>IF(Table1[[#This Row],[AI_Exposure_Index]]&gt;=0.7,"High Exposure", IF(Table1[[#This Row],[AI_Exposure_Index]]&gt;=0.3,"Medium Exposure","Low Exposure"))</f>
        <v>Medium Exposure</v>
      </c>
    </row>
    <row r="305" spans="1:20" x14ac:dyDescent="0.25">
      <c r="A305" t="s">
        <v>26</v>
      </c>
      <c r="B305">
        <v>143880</v>
      </c>
      <c r="C305" s="1">
        <v>18</v>
      </c>
      <c r="D305" t="s">
        <v>19</v>
      </c>
      <c r="E305" s="7">
        <v>1.1100000000000001</v>
      </c>
      <c r="F305" s="2">
        <v>0</v>
      </c>
      <c r="G305" s="7">
        <v>0.55000000000000004</v>
      </c>
      <c r="H305" s="9" t="s">
        <v>27</v>
      </c>
      <c r="I305">
        <v>0.46</v>
      </c>
      <c r="J305">
        <v>0.4</v>
      </c>
      <c r="K305">
        <v>0.46</v>
      </c>
      <c r="L305">
        <v>0.41</v>
      </c>
      <c r="M305">
        <v>0.73</v>
      </c>
      <c r="N305">
        <v>0.14000000000000001</v>
      </c>
      <c r="O305">
        <v>0.2</v>
      </c>
      <c r="P305">
        <v>0.18</v>
      </c>
      <c r="Q305">
        <v>0.26</v>
      </c>
      <c r="R305" s="2">
        <v>0.53</v>
      </c>
      <c r="S305" t="str">
        <f>IF(Table1[[#This Row],[Years_Experience]]&lt;=5,"Early Career",
IF(Table1[[#This Row],[Years_Experience]]&lt;=15,"Mid Career","Senior Level"))</f>
        <v>Senior Level</v>
      </c>
      <c r="T305" t="str">
        <f>IF(Table1[[#This Row],[AI_Exposure_Index]]&gt;=0.7,"High Exposure", IF(Table1[[#This Row],[AI_Exposure_Index]]&gt;=0.3,"Medium Exposure","Low Exposure"))</f>
        <v>Low Exposure</v>
      </c>
    </row>
    <row r="306" spans="1:20" x14ac:dyDescent="0.25">
      <c r="A306" t="s">
        <v>18</v>
      </c>
      <c r="B306">
        <v>41569</v>
      </c>
      <c r="C306" s="1">
        <v>5</v>
      </c>
      <c r="D306" t="s">
        <v>25</v>
      </c>
      <c r="E306" s="7">
        <v>0.8</v>
      </c>
      <c r="F306" s="2">
        <v>0.87</v>
      </c>
      <c r="G306" s="7">
        <v>0.74</v>
      </c>
      <c r="H306" s="9" t="s">
        <v>20</v>
      </c>
      <c r="I306">
        <v>0.68</v>
      </c>
      <c r="J306">
        <v>0.04</v>
      </c>
      <c r="K306">
        <v>0.62</v>
      </c>
      <c r="L306">
        <v>0.7</v>
      </c>
      <c r="M306">
        <v>0.21</v>
      </c>
      <c r="N306">
        <v>0.04</v>
      </c>
      <c r="O306">
        <v>0.36</v>
      </c>
      <c r="P306">
        <v>0.1</v>
      </c>
      <c r="Q306">
        <v>0.12</v>
      </c>
      <c r="R306" s="2">
        <v>0.25</v>
      </c>
      <c r="S306" t="str">
        <f>IF(Table1[[#This Row],[Years_Experience]]&lt;=5,"Early Career",
IF(Table1[[#This Row],[Years_Experience]]&lt;=15,"Mid Career","Senior Level"))</f>
        <v>Early Career</v>
      </c>
      <c r="T306" t="str">
        <f>IF(Table1[[#This Row],[AI_Exposure_Index]]&gt;=0.7,"High Exposure", IF(Table1[[#This Row],[AI_Exposure_Index]]&gt;=0.3,"Medium Exposure","Low Exposure"))</f>
        <v>High Exposure</v>
      </c>
    </row>
    <row r="307" spans="1:20" x14ac:dyDescent="0.25">
      <c r="A307" t="s">
        <v>34</v>
      </c>
      <c r="B307">
        <v>147027</v>
      </c>
      <c r="C307" s="1">
        <v>17</v>
      </c>
      <c r="D307" t="s">
        <v>38</v>
      </c>
      <c r="E307" s="7">
        <v>1.18</v>
      </c>
      <c r="F307" s="2">
        <v>0.53</v>
      </c>
      <c r="G307" s="7">
        <v>0.54</v>
      </c>
      <c r="H307" s="9" t="s">
        <v>27</v>
      </c>
      <c r="I307">
        <v>0.15</v>
      </c>
      <c r="J307">
        <v>0.17</v>
      </c>
      <c r="K307">
        <v>0.88</v>
      </c>
      <c r="L307">
        <v>0.56000000000000005</v>
      </c>
      <c r="M307">
        <v>0.87</v>
      </c>
      <c r="N307">
        <v>0.37</v>
      </c>
      <c r="O307">
        <v>0.61</v>
      </c>
      <c r="P307">
        <v>0.52</v>
      </c>
      <c r="Q307">
        <v>0.32</v>
      </c>
      <c r="R307" s="2">
        <v>0.47</v>
      </c>
      <c r="S307" t="str">
        <f>IF(Table1[[#This Row],[Years_Experience]]&lt;=5,"Early Career",
IF(Table1[[#This Row],[Years_Experience]]&lt;=15,"Mid Career","Senior Level"))</f>
        <v>Senior Level</v>
      </c>
      <c r="T307" t="str">
        <f>IF(Table1[[#This Row],[AI_Exposure_Index]]&gt;=0.7,"High Exposure", IF(Table1[[#This Row],[AI_Exposure_Index]]&gt;=0.3,"Medium Exposure","Low Exposure"))</f>
        <v>Medium Exposure</v>
      </c>
    </row>
    <row r="308" spans="1:20" x14ac:dyDescent="0.25">
      <c r="A308" t="s">
        <v>33</v>
      </c>
      <c r="B308">
        <v>111384</v>
      </c>
      <c r="C308" s="1">
        <v>3</v>
      </c>
      <c r="D308" t="s">
        <v>19</v>
      </c>
      <c r="E308" s="7">
        <v>0.82</v>
      </c>
      <c r="F308" s="2">
        <v>0.2</v>
      </c>
      <c r="G308" s="7">
        <v>0.9</v>
      </c>
      <c r="H308" s="9" t="s">
        <v>20</v>
      </c>
      <c r="I308">
        <v>0.92</v>
      </c>
      <c r="J308">
        <v>0.36</v>
      </c>
      <c r="K308">
        <v>0.31</v>
      </c>
      <c r="L308">
        <v>0.2</v>
      </c>
      <c r="M308">
        <v>0.68</v>
      </c>
      <c r="N308">
        <v>0.32</v>
      </c>
      <c r="O308">
        <v>0.99</v>
      </c>
      <c r="P308">
        <v>0.33</v>
      </c>
      <c r="Q308">
        <v>0.39</v>
      </c>
      <c r="R308" s="2">
        <v>0.6</v>
      </c>
      <c r="S308" t="str">
        <f>IF(Table1[[#This Row],[Years_Experience]]&lt;=5,"Early Career",
IF(Table1[[#This Row],[Years_Experience]]&lt;=15,"Mid Career","Senior Level"))</f>
        <v>Early Career</v>
      </c>
      <c r="T308" t="str">
        <f>IF(Table1[[#This Row],[AI_Exposure_Index]]&gt;=0.7,"High Exposure", IF(Table1[[#This Row],[AI_Exposure_Index]]&gt;=0.3,"Medium Exposure","Low Exposure"))</f>
        <v>Low Exposure</v>
      </c>
    </row>
    <row r="309" spans="1:20" x14ac:dyDescent="0.25">
      <c r="A309" t="s">
        <v>37</v>
      </c>
      <c r="B309">
        <v>107463</v>
      </c>
      <c r="C309" s="1">
        <v>21</v>
      </c>
      <c r="D309" t="s">
        <v>22</v>
      </c>
      <c r="E309" s="7">
        <v>0.92</v>
      </c>
      <c r="F309" s="2">
        <v>0.47</v>
      </c>
      <c r="G309" s="7">
        <v>0.7</v>
      </c>
      <c r="H309" s="9" t="s">
        <v>27</v>
      </c>
      <c r="I309">
        <v>0.01</v>
      </c>
      <c r="J309">
        <v>0.9</v>
      </c>
      <c r="K309">
        <v>0.15</v>
      </c>
      <c r="L309">
        <v>0.79</v>
      </c>
      <c r="M309">
        <v>0.62</v>
      </c>
      <c r="N309">
        <v>0.34</v>
      </c>
      <c r="O309">
        <v>0.87</v>
      </c>
      <c r="P309">
        <v>0.01</v>
      </c>
      <c r="Q309">
        <v>0.23</v>
      </c>
      <c r="R309" s="2">
        <v>0.56999999999999995</v>
      </c>
      <c r="S309" t="str">
        <f>IF(Table1[[#This Row],[Years_Experience]]&lt;=5,"Early Career",
IF(Table1[[#This Row],[Years_Experience]]&lt;=15,"Mid Career","Senior Level"))</f>
        <v>Senior Level</v>
      </c>
      <c r="T309" t="str">
        <f>IF(Table1[[#This Row],[AI_Exposure_Index]]&gt;=0.7,"High Exposure", IF(Table1[[#This Row],[AI_Exposure_Index]]&gt;=0.3,"Medium Exposure","Low Exposure"))</f>
        <v>Medium Exposure</v>
      </c>
    </row>
    <row r="310" spans="1:20" x14ac:dyDescent="0.25">
      <c r="A310" t="s">
        <v>30</v>
      </c>
      <c r="B310">
        <v>74148</v>
      </c>
      <c r="C310" s="1">
        <v>14</v>
      </c>
      <c r="D310" t="s">
        <v>22</v>
      </c>
      <c r="E310" s="7">
        <v>0.52</v>
      </c>
      <c r="F310" s="2">
        <v>0.61</v>
      </c>
      <c r="G310" s="7">
        <v>0.35</v>
      </c>
      <c r="H310" s="9" t="s">
        <v>27</v>
      </c>
      <c r="I310">
        <v>0.13</v>
      </c>
      <c r="J310">
        <v>0.19</v>
      </c>
      <c r="K310">
        <v>0.46</v>
      </c>
      <c r="L310">
        <v>0.75</v>
      </c>
      <c r="M310">
        <v>0.91</v>
      </c>
      <c r="N310">
        <v>0.84</v>
      </c>
      <c r="O310">
        <v>0.2</v>
      </c>
      <c r="P310">
        <v>0.44</v>
      </c>
      <c r="Q310">
        <v>0.2</v>
      </c>
      <c r="R310" s="2">
        <v>0.26</v>
      </c>
      <c r="S310" t="str">
        <f>IF(Table1[[#This Row],[Years_Experience]]&lt;=5,"Early Career",
IF(Table1[[#This Row],[Years_Experience]]&lt;=15,"Mid Career","Senior Level"))</f>
        <v>Mid Career</v>
      </c>
      <c r="T310" t="str">
        <f>IF(Table1[[#This Row],[AI_Exposure_Index]]&gt;=0.7,"High Exposure", IF(Table1[[#This Row],[AI_Exposure_Index]]&gt;=0.3,"Medium Exposure","Low Exposure"))</f>
        <v>Medium Exposure</v>
      </c>
    </row>
    <row r="311" spans="1:20" x14ac:dyDescent="0.25">
      <c r="A311" t="s">
        <v>39</v>
      </c>
      <c r="B311">
        <v>59793</v>
      </c>
      <c r="C311" s="1">
        <v>28</v>
      </c>
      <c r="D311" t="s">
        <v>22</v>
      </c>
      <c r="E311" s="7">
        <v>0.72</v>
      </c>
      <c r="F311" s="2">
        <v>7.0000000000000007E-2</v>
      </c>
      <c r="G311" s="7">
        <v>0.93</v>
      </c>
      <c r="H311" s="9" t="s">
        <v>20</v>
      </c>
      <c r="I311">
        <v>0.47</v>
      </c>
      <c r="J311">
        <v>0.45</v>
      </c>
      <c r="K311">
        <v>0.01</v>
      </c>
      <c r="L311">
        <v>0.25</v>
      </c>
      <c r="M311">
        <v>0.87</v>
      </c>
      <c r="N311">
        <v>0.16</v>
      </c>
      <c r="O311">
        <v>0.42</v>
      </c>
      <c r="P311">
        <v>0.01</v>
      </c>
      <c r="Q311">
        <v>0.48</v>
      </c>
      <c r="R311" s="2">
        <v>0.02</v>
      </c>
      <c r="S311" t="str">
        <f>IF(Table1[[#This Row],[Years_Experience]]&lt;=5,"Early Career",
IF(Table1[[#This Row],[Years_Experience]]&lt;=15,"Mid Career","Senior Level"))</f>
        <v>Senior Level</v>
      </c>
      <c r="T311" t="str">
        <f>IF(Table1[[#This Row],[AI_Exposure_Index]]&gt;=0.7,"High Exposure", IF(Table1[[#This Row],[AI_Exposure_Index]]&gt;=0.3,"Medium Exposure","Low Exposure"))</f>
        <v>Low Exposure</v>
      </c>
    </row>
    <row r="312" spans="1:20" x14ac:dyDescent="0.25">
      <c r="A312" t="s">
        <v>44</v>
      </c>
      <c r="B312">
        <v>102095</v>
      </c>
      <c r="C312" s="1">
        <v>4</v>
      </c>
      <c r="D312" t="s">
        <v>19</v>
      </c>
      <c r="E312" s="7">
        <v>1.26</v>
      </c>
      <c r="F312" s="2">
        <v>0.6</v>
      </c>
      <c r="G312" s="7">
        <v>0.51</v>
      </c>
      <c r="H312" s="9" t="s">
        <v>27</v>
      </c>
      <c r="I312">
        <v>0.23</v>
      </c>
      <c r="J312">
        <v>0.67</v>
      </c>
      <c r="K312">
        <v>0.08</v>
      </c>
      <c r="L312">
        <v>0.44</v>
      </c>
      <c r="M312">
        <v>0.16</v>
      </c>
      <c r="N312">
        <v>0.18</v>
      </c>
      <c r="O312">
        <v>0.2</v>
      </c>
      <c r="P312">
        <v>0.39</v>
      </c>
      <c r="Q312">
        <v>0.05</v>
      </c>
      <c r="R312" s="2">
        <v>0.4</v>
      </c>
      <c r="S312" t="str">
        <f>IF(Table1[[#This Row],[Years_Experience]]&lt;=5,"Early Career",
IF(Table1[[#This Row],[Years_Experience]]&lt;=15,"Mid Career","Senior Level"))</f>
        <v>Early Career</v>
      </c>
      <c r="T312" t="str">
        <f>IF(Table1[[#This Row],[AI_Exposure_Index]]&gt;=0.7,"High Exposure", IF(Table1[[#This Row],[AI_Exposure_Index]]&gt;=0.3,"Medium Exposure","Low Exposure"))</f>
        <v>Medium Exposure</v>
      </c>
    </row>
    <row r="313" spans="1:20" x14ac:dyDescent="0.25">
      <c r="A313" t="s">
        <v>40</v>
      </c>
      <c r="B313">
        <v>112508</v>
      </c>
      <c r="C313" s="1">
        <v>28</v>
      </c>
      <c r="D313" t="s">
        <v>19</v>
      </c>
      <c r="E313" s="7">
        <v>0.88</v>
      </c>
      <c r="F313" s="2">
        <v>0.48</v>
      </c>
      <c r="G313" s="7">
        <v>0.26</v>
      </c>
      <c r="H313" s="9" t="s">
        <v>23</v>
      </c>
      <c r="I313">
        <v>0.15</v>
      </c>
      <c r="J313">
        <v>0.51</v>
      </c>
      <c r="K313">
        <v>0.06</v>
      </c>
      <c r="L313">
        <v>7.0000000000000007E-2</v>
      </c>
      <c r="M313">
        <v>0.56999999999999995</v>
      </c>
      <c r="N313">
        <v>0.56999999999999995</v>
      </c>
      <c r="O313">
        <v>0.88</v>
      </c>
      <c r="P313">
        <v>0.56000000000000005</v>
      </c>
      <c r="Q313">
        <v>0.96</v>
      </c>
      <c r="R313" s="2">
        <v>0.05</v>
      </c>
      <c r="S313" t="str">
        <f>IF(Table1[[#This Row],[Years_Experience]]&lt;=5,"Early Career",
IF(Table1[[#This Row],[Years_Experience]]&lt;=15,"Mid Career","Senior Level"))</f>
        <v>Senior Level</v>
      </c>
      <c r="T313" t="str">
        <f>IF(Table1[[#This Row],[AI_Exposure_Index]]&gt;=0.7,"High Exposure", IF(Table1[[#This Row],[AI_Exposure_Index]]&gt;=0.3,"Medium Exposure","Low Exposure"))</f>
        <v>Medium Exposure</v>
      </c>
    </row>
    <row r="314" spans="1:20" x14ac:dyDescent="0.25">
      <c r="A314" t="s">
        <v>26</v>
      </c>
      <c r="B314">
        <v>97598</v>
      </c>
      <c r="C314" s="1">
        <v>6</v>
      </c>
      <c r="D314" t="s">
        <v>25</v>
      </c>
      <c r="E314" s="7">
        <v>0.69</v>
      </c>
      <c r="F314" s="2">
        <v>0.04</v>
      </c>
      <c r="G314" s="7">
        <v>0.52</v>
      </c>
      <c r="H314" s="9" t="s">
        <v>27</v>
      </c>
      <c r="I314">
        <v>0.65</v>
      </c>
      <c r="J314">
        <v>0.05</v>
      </c>
      <c r="K314">
        <v>0.95</v>
      </c>
      <c r="L314">
        <v>0.84</v>
      </c>
      <c r="M314">
        <v>0.3</v>
      </c>
      <c r="N314">
        <v>0.08</v>
      </c>
      <c r="O314">
        <v>0.17</v>
      </c>
      <c r="P314">
        <v>0.13</v>
      </c>
      <c r="Q314">
        <v>0.12</v>
      </c>
      <c r="R314" s="2">
        <v>0.52</v>
      </c>
      <c r="S314" t="str">
        <f>IF(Table1[[#This Row],[Years_Experience]]&lt;=5,"Early Career",
IF(Table1[[#This Row],[Years_Experience]]&lt;=15,"Mid Career","Senior Level"))</f>
        <v>Mid Career</v>
      </c>
      <c r="T314" t="str">
        <f>IF(Table1[[#This Row],[AI_Exposure_Index]]&gt;=0.7,"High Exposure", IF(Table1[[#This Row],[AI_Exposure_Index]]&gt;=0.3,"Medium Exposure","Low Exposure"))</f>
        <v>Low Exposure</v>
      </c>
    </row>
    <row r="315" spans="1:20" x14ac:dyDescent="0.25">
      <c r="A315" t="s">
        <v>32</v>
      </c>
      <c r="B315">
        <v>98472</v>
      </c>
      <c r="C315" s="1">
        <v>22</v>
      </c>
      <c r="D315" t="s">
        <v>38</v>
      </c>
      <c r="E315" s="7">
        <v>1.18</v>
      </c>
      <c r="F315" s="2">
        <v>0.99</v>
      </c>
      <c r="G315" s="7">
        <v>0.68</v>
      </c>
      <c r="H315" s="9" t="s">
        <v>27</v>
      </c>
      <c r="I315">
        <v>0.14000000000000001</v>
      </c>
      <c r="J315">
        <v>0.38</v>
      </c>
      <c r="K315">
        <v>0.55000000000000004</v>
      </c>
      <c r="L315">
        <v>0.08</v>
      </c>
      <c r="M315">
        <v>0</v>
      </c>
      <c r="N315">
        <v>0.67</v>
      </c>
      <c r="O315">
        <v>0.64</v>
      </c>
      <c r="P315">
        <v>0.41</v>
      </c>
      <c r="Q315">
        <v>0.49</v>
      </c>
      <c r="R315" s="2">
        <v>0.42</v>
      </c>
      <c r="S315" t="str">
        <f>IF(Table1[[#This Row],[Years_Experience]]&lt;=5,"Early Career",
IF(Table1[[#This Row],[Years_Experience]]&lt;=15,"Mid Career","Senior Level"))</f>
        <v>Senior Level</v>
      </c>
      <c r="T315" t="str">
        <f>IF(Table1[[#This Row],[AI_Exposure_Index]]&gt;=0.7,"High Exposure", IF(Table1[[#This Row],[AI_Exposure_Index]]&gt;=0.3,"Medium Exposure","Low Exposure"))</f>
        <v>High Exposure</v>
      </c>
    </row>
    <row r="316" spans="1:20" x14ac:dyDescent="0.25">
      <c r="A316" t="s">
        <v>28</v>
      </c>
      <c r="B316">
        <v>108291</v>
      </c>
      <c r="C316" s="1">
        <v>27</v>
      </c>
      <c r="D316" t="s">
        <v>22</v>
      </c>
      <c r="E316" s="7">
        <v>0.68</v>
      </c>
      <c r="F316" s="2">
        <v>0.34</v>
      </c>
      <c r="G316" s="7">
        <v>0.34</v>
      </c>
      <c r="H316" s="9" t="s">
        <v>27</v>
      </c>
      <c r="I316">
        <v>0.96</v>
      </c>
      <c r="J316">
        <v>0.6</v>
      </c>
      <c r="K316">
        <v>0.73</v>
      </c>
      <c r="L316">
        <v>0.32</v>
      </c>
      <c r="M316">
        <v>0.39</v>
      </c>
      <c r="N316">
        <v>0.24</v>
      </c>
      <c r="O316">
        <v>0.1</v>
      </c>
      <c r="P316">
        <v>0.18</v>
      </c>
      <c r="Q316">
        <v>0.8</v>
      </c>
      <c r="R316" s="2">
        <v>0.68</v>
      </c>
      <c r="S316" t="str">
        <f>IF(Table1[[#This Row],[Years_Experience]]&lt;=5,"Early Career",
IF(Table1[[#This Row],[Years_Experience]]&lt;=15,"Mid Career","Senior Level"))</f>
        <v>Senior Level</v>
      </c>
      <c r="T316" t="str">
        <f>IF(Table1[[#This Row],[AI_Exposure_Index]]&gt;=0.7,"High Exposure", IF(Table1[[#This Row],[AI_Exposure_Index]]&gt;=0.3,"Medium Exposure","Low Exposure"))</f>
        <v>Medium Exposure</v>
      </c>
    </row>
    <row r="317" spans="1:20" x14ac:dyDescent="0.25">
      <c r="A317" t="s">
        <v>32</v>
      </c>
      <c r="B317">
        <v>130342</v>
      </c>
      <c r="C317" s="1">
        <v>12</v>
      </c>
      <c r="D317" t="s">
        <v>38</v>
      </c>
      <c r="E317" s="7">
        <v>1.42</v>
      </c>
      <c r="F317" s="2">
        <v>0.48</v>
      </c>
      <c r="G317" s="7">
        <v>0.33</v>
      </c>
      <c r="H317" s="9" t="s">
        <v>27</v>
      </c>
      <c r="I317">
        <v>0.28000000000000003</v>
      </c>
      <c r="J317">
        <v>0.35</v>
      </c>
      <c r="K317">
        <v>0.78</v>
      </c>
      <c r="L317">
        <v>0.99</v>
      </c>
      <c r="M317">
        <v>0.24</v>
      </c>
      <c r="N317">
        <v>0.87</v>
      </c>
      <c r="O317">
        <v>0.83</v>
      </c>
      <c r="P317">
        <v>0.22</v>
      </c>
      <c r="Q317">
        <v>0.4</v>
      </c>
      <c r="R317" s="2">
        <v>0.41</v>
      </c>
      <c r="S317" t="str">
        <f>IF(Table1[[#This Row],[Years_Experience]]&lt;=5,"Early Career",
IF(Table1[[#This Row],[Years_Experience]]&lt;=15,"Mid Career","Senior Level"))</f>
        <v>Mid Career</v>
      </c>
      <c r="T317" t="str">
        <f>IF(Table1[[#This Row],[AI_Exposure_Index]]&gt;=0.7,"High Exposure", IF(Table1[[#This Row],[AI_Exposure_Index]]&gt;=0.3,"Medium Exposure","Low Exposure"))</f>
        <v>Medium Exposure</v>
      </c>
    </row>
    <row r="318" spans="1:20" x14ac:dyDescent="0.25">
      <c r="A318" t="s">
        <v>31</v>
      </c>
      <c r="B318">
        <v>73894</v>
      </c>
      <c r="C318" s="1">
        <v>21</v>
      </c>
      <c r="D318" t="s">
        <v>38</v>
      </c>
      <c r="E318" s="7">
        <v>1.3</v>
      </c>
      <c r="F318" s="2">
        <v>0.18</v>
      </c>
      <c r="G318" s="7">
        <v>0.13</v>
      </c>
      <c r="H318" s="9" t="s">
        <v>23</v>
      </c>
      <c r="I318">
        <v>0.73</v>
      </c>
      <c r="J318">
        <v>0.42</v>
      </c>
      <c r="K318">
        <v>0.57999999999999996</v>
      </c>
      <c r="L318">
        <v>0.83</v>
      </c>
      <c r="M318">
        <v>0.8</v>
      </c>
      <c r="N318">
        <v>0.87</v>
      </c>
      <c r="O318">
        <v>0.06</v>
      </c>
      <c r="P318">
        <v>0.69</v>
      </c>
      <c r="Q318">
        <v>0.14000000000000001</v>
      </c>
      <c r="R318" s="2">
        <v>0.42</v>
      </c>
      <c r="S318" t="str">
        <f>IF(Table1[[#This Row],[Years_Experience]]&lt;=5,"Early Career",
IF(Table1[[#This Row],[Years_Experience]]&lt;=15,"Mid Career","Senior Level"))</f>
        <v>Senior Level</v>
      </c>
      <c r="T318" t="str">
        <f>IF(Table1[[#This Row],[AI_Exposure_Index]]&gt;=0.7,"High Exposure", IF(Table1[[#This Row],[AI_Exposure_Index]]&gt;=0.3,"Medium Exposure","Low Exposure"))</f>
        <v>Low Exposure</v>
      </c>
    </row>
    <row r="319" spans="1:20" x14ac:dyDescent="0.25">
      <c r="A319" t="s">
        <v>42</v>
      </c>
      <c r="B319">
        <v>49023</v>
      </c>
      <c r="C319" s="1">
        <v>5</v>
      </c>
      <c r="D319" t="s">
        <v>19</v>
      </c>
      <c r="E319" s="7">
        <v>1.02</v>
      </c>
      <c r="F319" s="2">
        <v>0.4</v>
      </c>
      <c r="G319" s="7">
        <v>0.7</v>
      </c>
      <c r="H319" s="9" t="s">
        <v>27</v>
      </c>
      <c r="I319">
        <v>0.14000000000000001</v>
      </c>
      <c r="J319">
        <v>0.68</v>
      </c>
      <c r="K319">
        <v>0.4</v>
      </c>
      <c r="L319">
        <v>0.13</v>
      </c>
      <c r="M319">
        <v>0.16</v>
      </c>
      <c r="N319">
        <v>0.95</v>
      </c>
      <c r="O319">
        <v>0.88</v>
      </c>
      <c r="P319">
        <v>0.91</v>
      </c>
      <c r="Q319">
        <v>0.99</v>
      </c>
      <c r="R319" s="2">
        <v>0.21</v>
      </c>
      <c r="S319" t="str">
        <f>IF(Table1[[#This Row],[Years_Experience]]&lt;=5,"Early Career",
IF(Table1[[#This Row],[Years_Experience]]&lt;=15,"Mid Career","Senior Level"))</f>
        <v>Early Career</v>
      </c>
      <c r="T319" t="str">
        <f>IF(Table1[[#This Row],[AI_Exposure_Index]]&gt;=0.7,"High Exposure", IF(Table1[[#This Row],[AI_Exposure_Index]]&gt;=0.3,"Medium Exposure","Low Exposure"))</f>
        <v>Medium Exposure</v>
      </c>
    </row>
    <row r="320" spans="1:20" x14ac:dyDescent="0.25">
      <c r="A320" t="s">
        <v>29</v>
      </c>
      <c r="B320">
        <v>34758</v>
      </c>
      <c r="C320" s="1">
        <v>18</v>
      </c>
      <c r="D320" t="s">
        <v>22</v>
      </c>
      <c r="E320" s="7">
        <v>0.98</v>
      </c>
      <c r="F320" s="2">
        <v>0.67</v>
      </c>
      <c r="G320" s="7">
        <v>0.15</v>
      </c>
      <c r="H320" s="9" t="s">
        <v>23</v>
      </c>
      <c r="I320">
        <v>0.36</v>
      </c>
      <c r="J320">
        <v>0.59</v>
      </c>
      <c r="K320">
        <v>0.57999999999999996</v>
      </c>
      <c r="L320">
        <v>0.16</v>
      </c>
      <c r="M320">
        <v>0.47</v>
      </c>
      <c r="N320">
        <v>0.55000000000000004</v>
      </c>
      <c r="O320">
        <v>0.56999999999999995</v>
      </c>
      <c r="P320">
        <v>0.21</v>
      </c>
      <c r="Q320">
        <v>0.74</v>
      </c>
      <c r="R320" s="2">
        <v>0.03</v>
      </c>
      <c r="S320" t="str">
        <f>IF(Table1[[#This Row],[Years_Experience]]&lt;=5,"Early Career",
IF(Table1[[#This Row],[Years_Experience]]&lt;=15,"Mid Career","Senior Level"))</f>
        <v>Senior Level</v>
      </c>
      <c r="T320" t="str">
        <f>IF(Table1[[#This Row],[AI_Exposure_Index]]&gt;=0.7,"High Exposure", IF(Table1[[#This Row],[AI_Exposure_Index]]&gt;=0.3,"Medium Exposure","Low Exposure"))</f>
        <v>Medium Exposure</v>
      </c>
    </row>
    <row r="321" spans="1:20" x14ac:dyDescent="0.25">
      <c r="A321" t="s">
        <v>33</v>
      </c>
      <c r="B321">
        <v>47065</v>
      </c>
      <c r="C321" s="1">
        <v>6</v>
      </c>
      <c r="D321" t="s">
        <v>38</v>
      </c>
      <c r="E321" s="7">
        <v>1.06</v>
      </c>
      <c r="F321" s="2">
        <v>0.78</v>
      </c>
      <c r="G321" s="7">
        <v>0.77</v>
      </c>
      <c r="H321" s="9" t="s">
        <v>20</v>
      </c>
      <c r="I321">
        <v>0.69</v>
      </c>
      <c r="J321">
        <v>0.56999999999999995</v>
      </c>
      <c r="K321">
        <v>0.8</v>
      </c>
      <c r="L321">
        <v>0.74</v>
      </c>
      <c r="M321">
        <v>0.61</v>
      </c>
      <c r="N321">
        <v>0.49</v>
      </c>
      <c r="O321">
        <v>0.13</v>
      </c>
      <c r="P321">
        <v>0.26</v>
      </c>
      <c r="Q321">
        <v>0.42</v>
      </c>
      <c r="R321" s="2">
        <v>0.6</v>
      </c>
      <c r="S321" t="str">
        <f>IF(Table1[[#This Row],[Years_Experience]]&lt;=5,"Early Career",
IF(Table1[[#This Row],[Years_Experience]]&lt;=15,"Mid Career","Senior Level"))</f>
        <v>Mid Career</v>
      </c>
      <c r="T321" t="str">
        <f>IF(Table1[[#This Row],[AI_Exposure_Index]]&gt;=0.7,"High Exposure", IF(Table1[[#This Row],[AI_Exposure_Index]]&gt;=0.3,"Medium Exposure","Low Exposure"))</f>
        <v>High Exposure</v>
      </c>
    </row>
    <row r="322" spans="1:20" x14ac:dyDescent="0.25">
      <c r="A322" t="s">
        <v>21</v>
      </c>
      <c r="B322">
        <v>53464</v>
      </c>
      <c r="C322" s="1">
        <v>1</v>
      </c>
      <c r="D322" t="s">
        <v>22</v>
      </c>
      <c r="E322" s="7">
        <v>0.51</v>
      </c>
      <c r="F322" s="2">
        <v>0.28999999999999998</v>
      </c>
      <c r="G322" s="7">
        <v>0.17</v>
      </c>
      <c r="H322" s="9" t="s">
        <v>23</v>
      </c>
      <c r="I322">
        <v>0.28999999999999998</v>
      </c>
      <c r="J322">
        <v>0.73</v>
      </c>
      <c r="K322">
        <v>0.02</v>
      </c>
      <c r="L322">
        <v>0.57999999999999996</v>
      </c>
      <c r="M322">
        <v>0.94</v>
      </c>
      <c r="N322">
        <v>0.17</v>
      </c>
      <c r="O322">
        <v>0.47</v>
      </c>
      <c r="P322">
        <v>0.09</v>
      </c>
      <c r="Q322">
        <v>0.63</v>
      </c>
      <c r="R322" s="2">
        <v>0.55000000000000004</v>
      </c>
      <c r="S322" t="str">
        <f>IF(Table1[[#This Row],[Years_Experience]]&lt;=5,"Early Career",
IF(Table1[[#This Row],[Years_Experience]]&lt;=15,"Mid Career","Senior Level"))</f>
        <v>Early Career</v>
      </c>
      <c r="T322" t="str">
        <f>IF(Table1[[#This Row],[AI_Exposure_Index]]&gt;=0.7,"High Exposure", IF(Table1[[#This Row],[AI_Exposure_Index]]&gt;=0.3,"Medium Exposure","Low Exposure"))</f>
        <v>Low Exposure</v>
      </c>
    </row>
    <row r="323" spans="1:20" x14ac:dyDescent="0.25">
      <c r="A323" t="s">
        <v>34</v>
      </c>
      <c r="B323">
        <v>102572</v>
      </c>
      <c r="C323" s="1">
        <v>23</v>
      </c>
      <c r="D323" t="s">
        <v>25</v>
      </c>
      <c r="E323" s="7">
        <v>1.4</v>
      </c>
      <c r="F323" s="2">
        <v>0.52</v>
      </c>
      <c r="G323" s="7">
        <v>0.38</v>
      </c>
      <c r="H323" s="9" t="s">
        <v>27</v>
      </c>
      <c r="I323">
        <v>0.02</v>
      </c>
      <c r="J323">
        <v>0.86</v>
      </c>
      <c r="K323">
        <v>0.57999999999999996</v>
      </c>
      <c r="L323">
        <v>0.89</v>
      </c>
      <c r="M323">
        <v>0.6</v>
      </c>
      <c r="N323">
        <v>0.81</v>
      </c>
      <c r="O323">
        <v>0.43</v>
      </c>
      <c r="P323">
        <v>0.75</v>
      </c>
      <c r="Q323">
        <v>0.91</v>
      </c>
      <c r="R323" s="2">
        <v>0.56999999999999995</v>
      </c>
      <c r="S323" t="str">
        <f>IF(Table1[[#This Row],[Years_Experience]]&lt;=5,"Early Career",
IF(Table1[[#This Row],[Years_Experience]]&lt;=15,"Mid Career","Senior Level"))</f>
        <v>Senior Level</v>
      </c>
      <c r="T323" t="str">
        <f>IF(Table1[[#This Row],[AI_Exposure_Index]]&gt;=0.7,"High Exposure", IF(Table1[[#This Row],[AI_Exposure_Index]]&gt;=0.3,"Medium Exposure","Low Exposure"))</f>
        <v>Medium Exposure</v>
      </c>
    </row>
    <row r="324" spans="1:20" x14ac:dyDescent="0.25">
      <c r="A324" t="s">
        <v>24</v>
      </c>
      <c r="B324">
        <v>67344</v>
      </c>
      <c r="C324" s="1">
        <v>1</v>
      </c>
      <c r="D324" t="s">
        <v>25</v>
      </c>
      <c r="E324" s="7">
        <v>1.29</v>
      </c>
      <c r="F324" s="2">
        <v>0.18</v>
      </c>
      <c r="G324" s="7">
        <v>0.8</v>
      </c>
      <c r="H324" s="9" t="s">
        <v>20</v>
      </c>
      <c r="I324">
        <v>0.44</v>
      </c>
      <c r="J324">
        <v>0.59</v>
      </c>
      <c r="K324">
        <v>0.59</v>
      </c>
      <c r="L324">
        <v>7.0000000000000007E-2</v>
      </c>
      <c r="M324">
        <v>0.83</v>
      </c>
      <c r="N324">
        <v>0.18</v>
      </c>
      <c r="O324">
        <v>0.72</v>
      </c>
      <c r="P324">
        <v>0.77</v>
      </c>
      <c r="Q324">
        <v>0.71</v>
      </c>
      <c r="R324" s="2">
        <v>0.57999999999999996</v>
      </c>
      <c r="S324" t="str">
        <f>IF(Table1[[#This Row],[Years_Experience]]&lt;=5,"Early Career",
IF(Table1[[#This Row],[Years_Experience]]&lt;=15,"Mid Career","Senior Level"))</f>
        <v>Early Career</v>
      </c>
      <c r="T324" t="str">
        <f>IF(Table1[[#This Row],[AI_Exposure_Index]]&gt;=0.7,"High Exposure", IF(Table1[[#This Row],[AI_Exposure_Index]]&gt;=0.3,"Medium Exposure","Low Exposure"))</f>
        <v>Low Exposure</v>
      </c>
    </row>
    <row r="325" spans="1:20" x14ac:dyDescent="0.25">
      <c r="A325" t="s">
        <v>41</v>
      </c>
      <c r="B325">
        <v>122759</v>
      </c>
      <c r="C325" s="1">
        <v>19</v>
      </c>
      <c r="D325" t="s">
        <v>22</v>
      </c>
      <c r="E325" s="7">
        <v>1.1000000000000001</v>
      </c>
      <c r="F325" s="2">
        <v>0.36</v>
      </c>
      <c r="G325" s="7">
        <v>0.8</v>
      </c>
      <c r="H325" s="9" t="s">
        <v>20</v>
      </c>
      <c r="I325">
        <v>0.86</v>
      </c>
      <c r="J325">
        <v>0.31</v>
      </c>
      <c r="K325">
        <v>0.28999999999999998</v>
      </c>
      <c r="L325">
        <v>0.27</v>
      </c>
      <c r="M325">
        <v>0.33</v>
      </c>
      <c r="N325">
        <v>0.56000000000000005</v>
      </c>
      <c r="O325">
        <v>0.71</v>
      </c>
      <c r="P325">
        <v>0.66</v>
      </c>
      <c r="Q325">
        <v>0.81</v>
      </c>
      <c r="R325" s="2">
        <v>0.89</v>
      </c>
      <c r="S325" t="str">
        <f>IF(Table1[[#This Row],[Years_Experience]]&lt;=5,"Early Career",
IF(Table1[[#This Row],[Years_Experience]]&lt;=15,"Mid Career","Senior Level"))</f>
        <v>Senior Level</v>
      </c>
      <c r="T325" t="str">
        <f>IF(Table1[[#This Row],[AI_Exposure_Index]]&gt;=0.7,"High Exposure", IF(Table1[[#This Row],[AI_Exposure_Index]]&gt;=0.3,"Medium Exposure","Low Exposure"))</f>
        <v>Medium Exposure</v>
      </c>
    </row>
    <row r="326" spans="1:20" x14ac:dyDescent="0.25">
      <c r="A326" t="s">
        <v>33</v>
      </c>
      <c r="B326">
        <v>66444</v>
      </c>
      <c r="C326" s="1">
        <v>12</v>
      </c>
      <c r="D326" t="s">
        <v>19</v>
      </c>
      <c r="E326" s="7">
        <v>1.24</v>
      </c>
      <c r="F326" s="2">
        <v>0.02</v>
      </c>
      <c r="G326" s="7">
        <v>0.75</v>
      </c>
      <c r="H326" s="9" t="s">
        <v>20</v>
      </c>
      <c r="I326">
        <v>0.13</v>
      </c>
      <c r="J326">
        <v>0.64</v>
      </c>
      <c r="K326">
        <v>0.32</v>
      </c>
      <c r="L326">
        <v>0.06</v>
      </c>
      <c r="M326">
        <v>0.14000000000000001</v>
      </c>
      <c r="N326">
        <v>0</v>
      </c>
      <c r="O326">
        <v>0.9</v>
      </c>
      <c r="P326">
        <v>0.02</v>
      </c>
      <c r="Q326">
        <v>0.21</v>
      </c>
      <c r="R326" s="2">
        <v>0.42</v>
      </c>
      <c r="S326" t="str">
        <f>IF(Table1[[#This Row],[Years_Experience]]&lt;=5,"Early Career",
IF(Table1[[#This Row],[Years_Experience]]&lt;=15,"Mid Career","Senior Level"))</f>
        <v>Mid Career</v>
      </c>
      <c r="T326" t="str">
        <f>IF(Table1[[#This Row],[AI_Exposure_Index]]&gt;=0.7,"High Exposure", IF(Table1[[#This Row],[AI_Exposure_Index]]&gt;=0.3,"Medium Exposure","Low Exposure"))</f>
        <v>Low Exposure</v>
      </c>
    </row>
    <row r="327" spans="1:20" x14ac:dyDescent="0.25">
      <c r="A327" t="s">
        <v>26</v>
      </c>
      <c r="B327">
        <v>46932</v>
      </c>
      <c r="C327" s="1">
        <v>9</v>
      </c>
      <c r="D327" t="s">
        <v>22</v>
      </c>
      <c r="E327" s="7">
        <v>0.54</v>
      </c>
      <c r="F327" s="2">
        <v>0.91</v>
      </c>
      <c r="G327" s="7">
        <v>0.5</v>
      </c>
      <c r="H327" s="9" t="s">
        <v>27</v>
      </c>
      <c r="I327">
        <v>0.68</v>
      </c>
      <c r="J327">
        <v>0.93</v>
      </c>
      <c r="K327">
        <v>0.62</v>
      </c>
      <c r="L327">
        <v>0.8</v>
      </c>
      <c r="M327">
        <v>0.08</v>
      </c>
      <c r="N327">
        <v>0.39</v>
      </c>
      <c r="O327">
        <v>0.37</v>
      </c>
      <c r="P327">
        <v>0.89</v>
      </c>
      <c r="Q327">
        <v>0.15</v>
      </c>
      <c r="R327" s="2">
        <v>0.15</v>
      </c>
      <c r="S327" t="str">
        <f>IF(Table1[[#This Row],[Years_Experience]]&lt;=5,"Early Career",
IF(Table1[[#This Row],[Years_Experience]]&lt;=15,"Mid Career","Senior Level"))</f>
        <v>Mid Career</v>
      </c>
      <c r="T327" t="str">
        <f>IF(Table1[[#This Row],[AI_Exposure_Index]]&gt;=0.7,"High Exposure", IF(Table1[[#This Row],[AI_Exposure_Index]]&gt;=0.3,"Medium Exposure","Low Exposure"))</f>
        <v>High Exposure</v>
      </c>
    </row>
    <row r="328" spans="1:20" x14ac:dyDescent="0.25">
      <c r="A328" t="s">
        <v>21</v>
      </c>
      <c r="B328">
        <v>55363</v>
      </c>
      <c r="C328" s="1">
        <v>11</v>
      </c>
      <c r="D328" t="s">
        <v>38</v>
      </c>
      <c r="E328" s="7">
        <v>0.68</v>
      </c>
      <c r="F328" s="2">
        <v>0.05</v>
      </c>
      <c r="G328" s="7">
        <v>0.28999999999999998</v>
      </c>
      <c r="H328" s="9" t="s">
        <v>23</v>
      </c>
      <c r="I328">
        <v>0.43</v>
      </c>
      <c r="J328">
        <v>0.63</v>
      </c>
      <c r="K328">
        <v>0.73</v>
      </c>
      <c r="L328">
        <v>0.37</v>
      </c>
      <c r="M328">
        <v>0.15</v>
      </c>
      <c r="N328">
        <v>0.21</v>
      </c>
      <c r="O328">
        <v>0.31</v>
      </c>
      <c r="P328">
        <v>0.64</v>
      </c>
      <c r="Q328">
        <v>0.4</v>
      </c>
      <c r="R328" s="2">
        <v>0.01</v>
      </c>
      <c r="S328" t="str">
        <f>IF(Table1[[#This Row],[Years_Experience]]&lt;=5,"Early Career",
IF(Table1[[#This Row],[Years_Experience]]&lt;=15,"Mid Career","Senior Level"))</f>
        <v>Mid Career</v>
      </c>
      <c r="T328" t="str">
        <f>IF(Table1[[#This Row],[AI_Exposure_Index]]&gt;=0.7,"High Exposure", IF(Table1[[#This Row],[AI_Exposure_Index]]&gt;=0.3,"Medium Exposure","Low Exposure"))</f>
        <v>Low Exposure</v>
      </c>
    </row>
    <row r="329" spans="1:20" x14ac:dyDescent="0.25">
      <c r="A329" t="s">
        <v>40</v>
      </c>
      <c r="B329">
        <v>30893</v>
      </c>
      <c r="C329" s="1">
        <v>14</v>
      </c>
      <c r="D329" t="s">
        <v>22</v>
      </c>
      <c r="E329" s="7">
        <v>1.31</v>
      </c>
      <c r="F329" s="2">
        <v>0.92</v>
      </c>
      <c r="G329" s="7">
        <v>0.26</v>
      </c>
      <c r="H329" s="9" t="s">
        <v>23</v>
      </c>
      <c r="I329">
        <v>0.8</v>
      </c>
      <c r="J329">
        <v>0.32</v>
      </c>
      <c r="K329">
        <v>0.77</v>
      </c>
      <c r="L329">
        <v>0.14000000000000001</v>
      </c>
      <c r="M329">
        <v>0.66</v>
      </c>
      <c r="N329">
        <v>0.64</v>
      </c>
      <c r="O329">
        <v>0.03</v>
      </c>
      <c r="P329">
        <v>0.79</v>
      </c>
      <c r="Q329">
        <v>0.9</v>
      </c>
      <c r="R329" s="2">
        <v>0.27</v>
      </c>
      <c r="S329" t="str">
        <f>IF(Table1[[#This Row],[Years_Experience]]&lt;=5,"Early Career",
IF(Table1[[#This Row],[Years_Experience]]&lt;=15,"Mid Career","Senior Level"))</f>
        <v>Mid Career</v>
      </c>
      <c r="T329" t="str">
        <f>IF(Table1[[#This Row],[AI_Exposure_Index]]&gt;=0.7,"High Exposure", IF(Table1[[#This Row],[AI_Exposure_Index]]&gt;=0.3,"Medium Exposure","Low Exposure"))</f>
        <v>High Exposure</v>
      </c>
    </row>
    <row r="330" spans="1:20" x14ac:dyDescent="0.25">
      <c r="A330" t="s">
        <v>37</v>
      </c>
      <c r="B330">
        <v>84962</v>
      </c>
      <c r="C330" s="1">
        <v>7</v>
      </c>
      <c r="D330" t="s">
        <v>25</v>
      </c>
      <c r="E330" s="7">
        <v>1.1000000000000001</v>
      </c>
      <c r="F330" s="2">
        <v>0.08</v>
      </c>
      <c r="G330" s="7">
        <v>0.49</v>
      </c>
      <c r="H330" s="9" t="s">
        <v>27</v>
      </c>
      <c r="I330">
        <v>0.55000000000000004</v>
      </c>
      <c r="J330">
        <v>0.93</v>
      </c>
      <c r="K330">
        <v>0.87</v>
      </c>
      <c r="L330">
        <v>0.79</v>
      </c>
      <c r="M330">
        <v>0.27</v>
      </c>
      <c r="N330">
        <v>0.91</v>
      </c>
      <c r="O330">
        <v>0.1</v>
      </c>
      <c r="P330">
        <v>0.85</v>
      </c>
      <c r="Q330">
        <v>0.33</v>
      </c>
      <c r="R330" s="2">
        <v>0.05</v>
      </c>
      <c r="S330" t="str">
        <f>IF(Table1[[#This Row],[Years_Experience]]&lt;=5,"Early Career",
IF(Table1[[#This Row],[Years_Experience]]&lt;=15,"Mid Career","Senior Level"))</f>
        <v>Mid Career</v>
      </c>
      <c r="T330" t="str">
        <f>IF(Table1[[#This Row],[AI_Exposure_Index]]&gt;=0.7,"High Exposure", IF(Table1[[#This Row],[AI_Exposure_Index]]&gt;=0.3,"Medium Exposure","Low Exposure"))</f>
        <v>Low Exposure</v>
      </c>
    </row>
    <row r="331" spans="1:20" x14ac:dyDescent="0.25">
      <c r="A331" t="s">
        <v>30</v>
      </c>
      <c r="B331">
        <v>94173</v>
      </c>
      <c r="C331" s="1">
        <v>23</v>
      </c>
      <c r="D331" t="s">
        <v>38</v>
      </c>
      <c r="E331" s="7">
        <v>0.74</v>
      </c>
      <c r="F331" s="2">
        <v>0.23</v>
      </c>
      <c r="G331" s="7">
        <v>0.42</v>
      </c>
      <c r="H331" s="9" t="s">
        <v>27</v>
      </c>
      <c r="I331">
        <v>0.06</v>
      </c>
      <c r="J331">
        <v>0.18</v>
      </c>
      <c r="K331">
        <v>0.01</v>
      </c>
      <c r="L331">
        <v>0.45</v>
      </c>
      <c r="M331">
        <v>0.08</v>
      </c>
      <c r="N331">
        <v>0.68</v>
      </c>
      <c r="O331">
        <v>0.24</v>
      </c>
      <c r="P331">
        <v>0.94</v>
      </c>
      <c r="Q331">
        <v>0.87</v>
      </c>
      <c r="R331" s="2">
        <v>0.28999999999999998</v>
      </c>
      <c r="S331" t="str">
        <f>IF(Table1[[#This Row],[Years_Experience]]&lt;=5,"Early Career",
IF(Table1[[#This Row],[Years_Experience]]&lt;=15,"Mid Career","Senior Level"))</f>
        <v>Senior Level</v>
      </c>
      <c r="T331" t="str">
        <f>IF(Table1[[#This Row],[AI_Exposure_Index]]&gt;=0.7,"High Exposure", IF(Table1[[#This Row],[AI_Exposure_Index]]&gt;=0.3,"Medium Exposure","Low Exposure"))</f>
        <v>Low Exposure</v>
      </c>
    </row>
    <row r="332" spans="1:20" x14ac:dyDescent="0.25">
      <c r="A332" t="s">
        <v>21</v>
      </c>
      <c r="B332">
        <v>82949</v>
      </c>
      <c r="C332" s="1">
        <v>26</v>
      </c>
      <c r="D332" t="s">
        <v>38</v>
      </c>
      <c r="E332" s="7">
        <v>1.49</v>
      </c>
      <c r="F332" s="2">
        <v>0.8</v>
      </c>
      <c r="G332" s="7">
        <v>0.2</v>
      </c>
      <c r="H332" s="9" t="s">
        <v>23</v>
      </c>
      <c r="I332">
        <v>0.08</v>
      </c>
      <c r="J332">
        <v>0.65</v>
      </c>
      <c r="K332">
        <v>0.62</v>
      </c>
      <c r="L332">
        <v>0.64</v>
      </c>
      <c r="M332">
        <v>0.31</v>
      </c>
      <c r="N332">
        <v>0.86</v>
      </c>
      <c r="O332">
        <v>0.96</v>
      </c>
      <c r="P332">
        <v>0.22</v>
      </c>
      <c r="Q332">
        <v>0.09</v>
      </c>
      <c r="R332" s="2">
        <v>0.19</v>
      </c>
      <c r="S332" t="str">
        <f>IF(Table1[[#This Row],[Years_Experience]]&lt;=5,"Early Career",
IF(Table1[[#This Row],[Years_Experience]]&lt;=15,"Mid Career","Senior Level"))</f>
        <v>Senior Level</v>
      </c>
      <c r="T332" t="str">
        <f>IF(Table1[[#This Row],[AI_Exposure_Index]]&gt;=0.7,"High Exposure", IF(Table1[[#This Row],[AI_Exposure_Index]]&gt;=0.3,"Medium Exposure","Low Exposure"))</f>
        <v>High Exposure</v>
      </c>
    </row>
    <row r="333" spans="1:20" x14ac:dyDescent="0.25">
      <c r="A333" t="s">
        <v>24</v>
      </c>
      <c r="B333">
        <v>141738</v>
      </c>
      <c r="C333" s="1">
        <v>10</v>
      </c>
      <c r="D333" t="s">
        <v>19</v>
      </c>
      <c r="E333" s="7">
        <v>1.1399999999999999</v>
      </c>
      <c r="F333" s="2">
        <v>0.68</v>
      </c>
      <c r="G333" s="7">
        <v>0.8</v>
      </c>
      <c r="H333" s="9" t="s">
        <v>20</v>
      </c>
      <c r="I333">
        <v>0.57999999999999996</v>
      </c>
      <c r="J333">
        <v>0.31</v>
      </c>
      <c r="K333">
        <v>0.48</v>
      </c>
      <c r="L333">
        <v>0.79</v>
      </c>
      <c r="M333">
        <v>0.98</v>
      </c>
      <c r="N333">
        <v>0.93</v>
      </c>
      <c r="O333">
        <v>0.93</v>
      </c>
      <c r="P333">
        <v>0.4</v>
      </c>
      <c r="Q333">
        <v>0.47</v>
      </c>
      <c r="R333" s="2">
        <v>0.71</v>
      </c>
      <c r="S333" t="str">
        <f>IF(Table1[[#This Row],[Years_Experience]]&lt;=5,"Early Career",
IF(Table1[[#This Row],[Years_Experience]]&lt;=15,"Mid Career","Senior Level"))</f>
        <v>Mid Career</v>
      </c>
      <c r="T333" t="str">
        <f>IF(Table1[[#This Row],[AI_Exposure_Index]]&gt;=0.7,"High Exposure", IF(Table1[[#This Row],[AI_Exposure_Index]]&gt;=0.3,"Medium Exposure","Low Exposure"))</f>
        <v>Medium Exposure</v>
      </c>
    </row>
    <row r="334" spans="1:20" x14ac:dyDescent="0.25">
      <c r="A334" t="s">
        <v>21</v>
      </c>
      <c r="B334">
        <v>80492</v>
      </c>
      <c r="C334" s="1">
        <v>16</v>
      </c>
      <c r="D334" t="s">
        <v>25</v>
      </c>
      <c r="E334" s="7">
        <v>0.64</v>
      </c>
      <c r="F334" s="2">
        <v>0.3</v>
      </c>
      <c r="G334" s="7">
        <v>0.2</v>
      </c>
      <c r="H334" s="9" t="s">
        <v>23</v>
      </c>
      <c r="I334">
        <v>0.31</v>
      </c>
      <c r="J334">
        <v>0.33</v>
      </c>
      <c r="K334">
        <v>7.0000000000000007E-2</v>
      </c>
      <c r="L334">
        <v>0.35</v>
      </c>
      <c r="M334">
        <v>0.86</v>
      </c>
      <c r="N334">
        <v>0.23</v>
      </c>
      <c r="O334">
        <v>0.7</v>
      </c>
      <c r="P334">
        <v>0.63</v>
      </c>
      <c r="Q334">
        <v>0.86</v>
      </c>
      <c r="R334" s="2">
        <v>0.13</v>
      </c>
      <c r="S334" t="str">
        <f>IF(Table1[[#This Row],[Years_Experience]]&lt;=5,"Early Career",
IF(Table1[[#This Row],[Years_Experience]]&lt;=15,"Mid Career","Senior Level"))</f>
        <v>Senior Level</v>
      </c>
      <c r="T334" t="str">
        <f>IF(Table1[[#This Row],[AI_Exposure_Index]]&gt;=0.7,"High Exposure", IF(Table1[[#This Row],[AI_Exposure_Index]]&gt;=0.3,"Medium Exposure","Low Exposure"))</f>
        <v>Medium Exposure</v>
      </c>
    </row>
    <row r="335" spans="1:20" x14ac:dyDescent="0.25">
      <c r="A335" t="s">
        <v>30</v>
      </c>
      <c r="B335">
        <v>117527</v>
      </c>
      <c r="C335" s="1">
        <v>28</v>
      </c>
      <c r="D335" t="s">
        <v>22</v>
      </c>
      <c r="E335" s="7">
        <v>0.51</v>
      </c>
      <c r="F335" s="2">
        <v>0.14000000000000001</v>
      </c>
      <c r="G335" s="7">
        <v>0.52</v>
      </c>
      <c r="H335" s="9" t="s">
        <v>27</v>
      </c>
      <c r="I335">
        <v>0.98</v>
      </c>
      <c r="J335">
        <v>0.37</v>
      </c>
      <c r="K335">
        <v>0.36</v>
      </c>
      <c r="L335">
        <v>0.34</v>
      </c>
      <c r="M335">
        <v>0.52</v>
      </c>
      <c r="N335">
        <v>0.44</v>
      </c>
      <c r="O335">
        <v>0.88</v>
      </c>
      <c r="P335">
        <v>0.51</v>
      </c>
      <c r="Q335">
        <v>0.51</v>
      </c>
      <c r="R335" s="2">
        <v>0.14000000000000001</v>
      </c>
      <c r="S335" t="str">
        <f>IF(Table1[[#This Row],[Years_Experience]]&lt;=5,"Early Career",
IF(Table1[[#This Row],[Years_Experience]]&lt;=15,"Mid Career","Senior Level"))</f>
        <v>Senior Level</v>
      </c>
      <c r="T335" t="str">
        <f>IF(Table1[[#This Row],[AI_Exposure_Index]]&gt;=0.7,"High Exposure", IF(Table1[[#This Row],[AI_Exposure_Index]]&gt;=0.3,"Medium Exposure","Low Exposure"))</f>
        <v>Low Exposure</v>
      </c>
    </row>
    <row r="336" spans="1:20" x14ac:dyDescent="0.25">
      <c r="A336" t="s">
        <v>31</v>
      </c>
      <c r="B336">
        <v>83639</v>
      </c>
      <c r="C336" s="1">
        <v>26</v>
      </c>
      <c r="D336" t="s">
        <v>38</v>
      </c>
      <c r="E336" s="7">
        <v>0.56999999999999995</v>
      </c>
      <c r="F336" s="2">
        <v>0.25</v>
      </c>
      <c r="G336" s="7">
        <v>0.22</v>
      </c>
      <c r="H336" s="9" t="s">
        <v>23</v>
      </c>
      <c r="I336">
        <v>0.6</v>
      </c>
      <c r="J336">
        <v>0.42</v>
      </c>
      <c r="K336">
        <v>0.42</v>
      </c>
      <c r="L336">
        <v>0.79</v>
      </c>
      <c r="M336">
        <v>0.2</v>
      </c>
      <c r="N336">
        <v>0.82</v>
      </c>
      <c r="O336">
        <v>0.65</v>
      </c>
      <c r="P336">
        <v>0.42</v>
      </c>
      <c r="Q336">
        <v>0.46</v>
      </c>
      <c r="R336" s="2">
        <v>0.26</v>
      </c>
      <c r="S336" t="str">
        <f>IF(Table1[[#This Row],[Years_Experience]]&lt;=5,"Early Career",
IF(Table1[[#This Row],[Years_Experience]]&lt;=15,"Mid Career","Senior Level"))</f>
        <v>Senior Level</v>
      </c>
      <c r="T336" t="str">
        <f>IF(Table1[[#This Row],[AI_Exposure_Index]]&gt;=0.7,"High Exposure", IF(Table1[[#This Row],[AI_Exposure_Index]]&gt;=0.3,"Medium Exposure","Low Exposure"))</f>
        <v>Low Exposure</v>
      </c>
    </row>
    <row r="337" spans="1:20" x14ac:dyDescent="0.25">
      <c r="A337" t="s">
        <v>36</v>
      </c>
      <c r="B337">
        <v>66993</v>
      </c>
      <c r="C337" s="1">
        <v>3</v>
      </c>
      <c r="D337" t="s">
        <v>25</v>
      </c>
      <c r="E337" s="7">
        <v>0.82</v>
      </c>
      <c r="F337" s="2">
        <v>0.51</v>
      </c>
      <c r="G337" s="7">
        <v>0.54</v>
      </c>
      <c r="H337" s="9" t="s">
        <v>27</v>
      </c>
      <c r="I337">
        <v>1</v>
      </c>
      <c r="J337">
        <v>0.44</v>
      </c>
      <c r="K337">
        <v>0.92</v>
      </c>
      <c r="L337">
        <v>0.35</v>
      </c>
      <c r="M337">
        <v>0.05</v>
      </c>
      <c r="N337">
        <v>0.2</v>
      </c>
      <c r="O337">
        <v>0.42</v>
      </c>
      <c r="P337">
        <v>0.22</v>
      </c>
      <c r="Q337">
        <v>0</v>
      </c>
      <c r="R337" s="2">
        <v>0.92</v>
      </c>
      <c r="S337" t="str">
        <f>IF(Table1[[#This Row],[Years_Experience]]&lt;=5,"Early Career",
IF(Table1[[#This Row],[Years_Experience]]&lt;=15,"Mid Career","Senior Level"))</f>
        <v>Early Career</v>
      </c>
      <c r="T337" t="str">
        <f>IF(Table1[[#This Row],[AI_Exposure_Index]]&gt;=0.7,"High Exposure", IF(Table1[[#This Row],[AI_Exposure_Index]]&gt;=0.3,"Medium Exposure","Low Exposure"))</f>
        <v>Medium Exposure</v>
      </c>
    </row>
    <row r="338" spans="1:20" x14ac:dyDescent="0.25">
      <c r="A338" t="s">
        <v>18</v>
      </c>
      <c r="B338">
        <v>61551</v>
      </c>
      <c r="C338" s="1">
        <v>21</v>
      </c>
      <c r="D338" t="s">
        <v>38</v>
      </c>
      <c r="E338" s="7">
        <v>0.67</v>
      </c>
      <c r="F338" s="2">
        <v>0.74</v>
      </c>
      <c r="G338" s="7">
        <v>0.73</v>
      </c>
      <c r="H338" s="9" t="s">
        <v>20</v>
      </c>
      <c r="I338">
        <v>7.0000000000000007E-2</v>
      </c>
      <c r="J338">
        <v>0.72</v>
      </c>
      <c r="K338">
        <v>0.93</v>
      </c>
      <c r="L338">
        <v>0.43</v>
      </c>
      <c r="M338">
        <v>0.12</v>
      </c>
      <c r="N338">
        <v>0.51</v>
      </c>
      <c r="O338">
        <v>0.35</v>
      </c>
      <c r="P338">
        <v>0.37</v>
      </c>
      <c r="Q338">
        <v>0.62</v>
      </c>
      <c r="R338" s="2">
        <v>0.72</v>
      </c>
      <c r="S338" t="str">
        <f>IF(Table1[[#This Row],[Years_Experience]]&lt;=5,"Early Career",
IF(Table1[[#This Row],[Years_Experience]]&lt;=15,"Mid Career","Senior Level"))</f>
        <v>Senior Level</v>
      </c>
      <c r="T338" t="str">
        <f>IF(Table1[[#This Row],[AI_Exposure_Index]]&gt;=0.7,"High Exposure", IF(Table1[[#This Row],[AI_Exposure_Index]]&gt;=0.3,"Medium Exposure","Low Exposure"))</f>
        <v>High Exposure</v>
      </c>
    </row>
    <row r="339" spans="1:20" x14ac:dyDescent="0.25">
      <c r="A339" t="s">
        <v>21</v>
      </c>
      <c r="B339">
        <v>63896</v>
      </c>
      <c r="C339" s="1">
        <v>22</v>
      </c>
      <c r="D339" t="s">
        <v>38</v>
      </c>
      <c r="E339" s="7">
        <v>1.49</v>
      </c>
      <c r="F339" s="2">
        <v>0.04</v>
      </c>
      <c r="G339" s="7">
        <v>0.11</v>
      </c>
      <c r="H339" s="9" t="s">
        <v>23</v>
      </c>
      <c r="I339">
        <v>0.05</v>
      </c>
      <c r="J339">
        <v>0.19</v>
      </c>
      <c r="K339">
        <v>0.04</v>
      </c>
      <c r="L339">
        <v>0.39</v>
      </c>
      <c r="M339">
        <v>0.8</v>
      </c>
      <c r="N339">
        <v>0.34</v>
      </c>
      <c r="O339">
        <v>0.44</v>
      </c>
      <c r="P339">
        <v>0.68</v>
      </c>
      <c r="Q339">
        <v>0.51</v>
      </c>
      <c r="R339" s="2">
        <v>0.86</v>
      </c>
      <c r="S339" t="str">
        <f>IF(Table1[[#This Row],[Years_Experience]]&lt;=5,"Early Career",
IF(Table1[[#This Row],[Years_Experience]]&lt;=15,"Mid Career","Senior Level"))</f>
        <v>Senior Level</v>
      </c>
      <c r="T339" t="str">
        <f>IF(Table1[[#This Row],[AI_Exposure_Index]]&gt;=0.7,"High Exposure", IF(Table1[[#This Row],[AI_Exposure_Index]]&gt;=0.3,"Medium Exposure","Low Exposure"))</f>
        <v>Low Exposure</v>
      </c>
    </row>
    <row r="340" spans="1:20" x14ac:dyDescent="0.25">
      <c r="A340" t="s">
        <v>33</v>
      </c>
      <c r="B340">
        <v>63686</v>
      </c>
      <c r="C340" s="1">
        <v>21</v>
      </c>
      <c r="D340" t="s">
        <v>25</v>
      </c>
      <c r="E340" s="7">
        <v>1.28</v>
      </c>
      <c r="F340" s="2">
        <v>0.01</v>
      </c>
      <c r="G340" s="7">
        <v>0.82</v>
      </c>
      <c r="H340" s="9" t="s">
        <v>20</v>
      </c>
      <c r="I340">
        <v>0.99</v>
      </c>
      <c r="J340">
        <v>0.48</v>
      </c>
      <c r="K340">
        <v>0.99</v>
      </c>
      <c r="L340">
        <v>0.75</v>
      </c>
      <c r="M340">
        <v>0.25</v>
      </c>
      <c r="N340">
        <v>0.54</v>
      </c>
      <c r="O340">
        <v>0.99</v>
      </c>
      <c r="P340">
        <v>0.86</v>
      </c>
      <c r="Q340">
        <v>0.1</v>
      </c>
      <c r="R340" s="2">
        <v>0.71</v>
      </c>
      <c r="S340" t="str">
        <f>IF(Table1[[#This Row],[Years_Experience]]&lt;=5,"Early Career",
IF(Table1[[#This Row],[Years_Experience]]&lt;=15,"Mid Career","Senior Level"))</f>
        <v>Senior Level</v>
      </c>
      <c r="T340" t="str">
        <f>IF(Table1[[#This Row],[AI_Exposure_Index]]&gt;=0.7,"High Exposure", IF(Table1[[#This Row],[AI_Exposure_Index]]&gt;=0.3,"Medium Exposure","Low Exposure"))</f>
        <v>Low Exposure</v>
      </c>
    </row>
    <row r="341" spans="1:20" x14ac:dyDescent="0.25">
      <c r="A341" t="s">
        <v>42</v>
      </c>
      <c r="B341">
        <v>147256</v>
      </c>
      <c r="C341" s="1">
        <v>26</v>
      </c>
      <c r="D341" t="s">
        <v>38</v>
      </c>
      <c r="E341" s="7">
        <v>1.45</v>
      </c>
      <c r="F341" s="2">
        <v>0.33</v>
      </c>
      <c r="G341" s="7">
        <v>0.35</v>
      </c>
      <c r="H341" s="9" t="s">
        <v>27</v>
      </c>
      <c r="I341">
        <v>0.02</v>
      </c>
      <c r="J341">
        <v>0.9</v>
      </c>
      <c r="K341">
        <v>7.0000000000000007E-2</v>
      </c>
      <c r="L341">
        <v>0.99</v>
      </c>
      <c r="M341">
        <v>0.95</v>
      </c>
      <c r="N341">
        <v>0.14000000000000001</v>
      </c>
      <c r="O341">
        <v>0.54</v>
      </c>
      <c r="P341">
        <v>0.18</v>
      </c>
      <c r="Q341">
        <v>0.43</v>
      </c>
      <c r="R341" s="2">
        <v>0.06</v>
      </c>
      <c r="S341" t="str">
        <f>IF(Table1[[#This Row],[Years_Experience]]&lt;=5,"Early Career",
IF(Table1[[#This Row],[Years_Experience]]&lt;=15,"Mid Career","Senior Level"))</f>
        <v>Senior Level</v>
      </c>
      <c r="T341" t="str">
        <f>IF(Table1[[#This Row],[AI_Exposure_Index]]&gt;=0.7,"High Exposure", IF(Table1[[#This Row],[AI_Exposure_Index]]&gt;=0.3,"Medium Exposure","Low Exposure"))</f>
        <v>Medium Exposure</v>
      </c>
    </row>
    <row r="342" spans="1:20" x14ac:dyDescent="0.25">
      <c r="A342" t="s">
        <v>24</v>
      </c>
      <c r="B342">
        <v>103531</v>
      </c>
      <c r="C342" s="1">
        <v>2</v>
      </c>
      <c r="D342" t="s">
        <v>19</v>
      </c>
      <c r="E342" s="7">
        <v>0.94</v>
      </c>
      <c r="F342" s="2">
        <v>0.36</v>
      </c>
      <c r="G342" s="7">
        <v>0.94</v>
      </c>
      <c r="H342" s="9" t="s">
        <v>20</v>
      </c>
      <c r="I342">
        <v>0.81</v>
      </c>
      <c r="J342">
        <v>0.74</v>
      </c>
      <c r="K342">
        <v>0.54</v>
      </c>
      <c r="L342">
        <v>0.84</v>
      </c>
      <c r="M342">
        <v>0.34</v>
      </c>
      <c r="N342">
        <v>0.71</v>
      </c>
      <c r="O342">
        <v>0.99</v>
      </c>
      <c r="P342">
        <v>0.31</v>
      </c>
      <c r="Q342">
        <v>0.67</v>
      </c>
      <c r="R342" s="2">
        <v>0.84</v>
      </c>
      <c r="S342" t="str">
        <f>IF(Table1[[#This Row],[Years_Experience]]&lt;=5,"Early Career",
IF(Table1[[#This Row],[Years_Experience]]&lt;=15,"Mid Career","Senior Level"))</f>
        <v>Early Career</v>
      </c>
      <c r="T342" t="str">
        <f>IF(Table1[[#This Row],[AI_Exposure_Index]]&gt;=0.7,"High Exposure", IF(Table1[[#This Row],[AI_Exposure_Index]]&gt;=0.3,"Medium Exposure","Low Exposure"))</f>
        <v>Medium Exposure</v>
      </c>
    </row>
    <row r="343" spans="1:20" x14ac:dyDescent="0.25">
      <c r="A343" t="s">
        <v>35</v>
      </c>
      <c r="B343">
        <v>53991</v>
      </c>
      <c r="C343" s="1">
        <v>21</v>
      </c>
      <c r="D343" t="s">
        <v>22</v>
      </c>
      <c r="E343" s="7">
        <v>0.78</v>
      </c>
      <c r="F343" s="2">
        <v>0.72</v>
      </c>
      <c r="G343" s="7">
        <v>0.43</v>
      </c>
      <c r="H343" s="9" t="s">
        <v>27</v>
      </c>
      <c r="I343">
        <v>0.02</v>
      </c>
      <c r="J343">
        <v>0.76</v>
      </c>
      <c r="K343">
        <v>0.04</v>
      </c>
      <c r="L343">
        <v>0.86</v>
      </c>
      <c r="M343">
        <v>0.12</v>
      </c>
      <c r="N343">
        <v>0.17</v>
      </c>
      <c r="O343">
        <v>0.48</v>
      </c>
      <c r="P343">
        <v>0.74</v>
      </c>
      <c r="Q343">
        <v>0.14000000000000001</v>
      </c>
      <c r="R343" s="2">
        <v>0.44</v>
      </c>
      <c r="S343" t="str">
        <f>IF(Table1[[#This Row],[Years_Experience]]&lt;=5,"Early Career",
IF(Table1[[#This Row],[Years_Experience]]&lt;=15,"Mid Career","Senior Level"))</f>
        <v>Senior Level</v>
      </c>
      <c r="T343" t="str">
        <f>IF(Table1[[#This Row],[AI_Exposure_Index]]&gt;=0.7,"High Exposure", IF(Table1[[#This Row],[AI_Exposure_Index]]&gt;=0.3,"Medium Exposure","Low Exposure"))</f>
        <v>High Exposure</v>
      </c>
    </row>
    <row r="344" spans="1:20" x14ac:dyDescent="0.25">
      <c r="A344" t="s">
        <v>35</v>
      </c>
      <c r="B344">
        <v>39269</v>
      </c>
      <c r="C344" s="1">
        <v>7</v>
      </c>
      <c r="D344" t="s">
        <v>25</v>
      </c>
      <c r="E344" s="7">
        <v>0.62</v>
      </c>
      <c r="F344" s="2">
        <v>0.21</v>
      </c>
      <c r="G344" s="7">
        <v>0.63</v>
      </c>
      <c r="H344" s="9" t="s">
        <v>27</v>
      </c>
      <c r="I344">
        <v>0.5</v>
      </c>
      <c r="J344">
        <v>0.01</v>
      </c>
      <c r="K344">
        <v>0.8</v>
      </c>
      <c r="L344">
        <v>0.98</v>
      </c>
      <c r="M344">
        <v>0.61</v>
      </c>
      <c r="N344">
        <v>0.5</v>
      </c>
      <c r="O344">
        <v>0.88</v>
      </c>
      <c r="P344">
        <v>0.95</v>
      </c>
      <c r="Q344">
        <v>0.75</v>
      </c>
      <c r="R344" s="2">
        <v>0.45</v>
      </c>
      <c r="S344" t="str">
        <f>IF(Table1[[#This Row],[Years_Experience]]&lt;=5,"Early Career",
IF(Table1[[#This Row],[Years_Experience]]&lt;=15,"Mid Career","Senior Level"))</f>
        <v>Mid Career</v>
      </c>
      <c r="T344" t="str">
        <f>IF(Table1[[#This Row],[AI_Exposure_Index]]&gt;=0.7,"High Exposure", IF(Table1[[#This Row],[AI_Exposure_Index]]&gt;=0.3,"Medium Exposure","Low Exposure"))</f>
        <v>Low Exposure</v>
      </c>
    </row>
    <row r="345" spans="1:20" x14ac:dyDescent="0.25">
      <c r="A345" t="s">
        <v>28</v>
      </c>
      <c r="B345">
        <v>149391</v>
      </c>
      <c r="C345" s="1">
        <v>18</v>
      </c>
      <c r="D345" t="s">
        <v>38</v>
      </c>
      <c r="E345" s="7">
        <v>0.69</v>
      </c>
      <c r="F345" s="2">
        <v>0.7</v>
      </c>
      <c r="G345" s="7">
        <v>0.48</v>
      </c>
      <c r="H345" s="9" t="s">
        <v>27</v>
      </c>
      <c r="I345">
        <v>0.83</v>
      </c>
      <c r="J345">
        <v>0.65</v>
      </c>
      <c r="K345">
        <v>0.41</v>
      </c>
      <c r="L345">
        <v>0.66</v>
      </c>
      <c r="M345">
        <v>0.12</v>
      </c>
      <c r="N345">
        <v>0.4</v>
      </c>
      <c r="O345">
        <v>0.79</v>
      </c>
      <c r="P345">
        <v>0.22</v>
      </c>
      <c r="Q345">
        <v>0.19</v>
      </c>
      <c r="R345" s="2">
        <v>0.95</v>
      </c>
      <c r="S345" t="str">
        <f>IF(Table1[[#This Row],[Years_Experience]]&lt;=5,"Early Career",
IF(Table1[[#This Row],[Years_Experience]]&lt;=15,"Mid Career","Senior Level"))</f>
        <v>Senior Level</v>
      </c>
      <c r="T345" t="str">
        <f>IF(Table1[[#This Row],[AI_Exposure_Index]]&gt;=0.7,"High Exposure", IF(Table1[[#This Row],[AI_Exposure_Index]]&gt;=0.3,"Medium Exposure","Low Exposure"))</f>
        <v>High Exposure</v>
      </c>
    </row>
    <row r="346" spans="1:20" x14ac:dyDescent="0.25">
      <c r="A346" t="s">
        <v>29</v>
      </c>
      <c r="B346">
        <v>124598</v>
      </c>
      <c r="C346" s="1">
        <v>14</v>
      </c>
      <c r="D346" t="s">
        <v>19</v>
      </c>
      <c r="E346" s="7">
        <v>0.85</v>
      </c>
      <c r="F346" s="2">
        <v>0.95</v>
      </c>
      <c r="G346" s="7">
        <v>0.06</v>
      </c>
      <c r="H346" s="9" t="s">
        <v>23</v>
      </c>
      <c r="I346">
        <v>0.18</v>
      </c>
      <c r="J346">
        <v>0.39</v>
      </c>
      <c r="K346">
        <v>0.95</v>
      </c>
      <c r="L346">
        <v>0.14000000000000001</v>
      </c>
      <c r="M346">
        <v>0.76</v>
      </c>
      <c r="N346">
        <v>0.11</v>
      </c>
      <c r="O346">
        <v>0.98</v>
      </c>
      <c r="P346">
        <v>0.38</v>
      </c>
      <c r="Q346">
        <v>0.78</v>
      </c>
      <c r="R346" s="2">
        <v>0.34</v>
      </c>
      <c r="S346" t="str">
        <f>IF(Table1[[#This Row],[Years_Experience]]&lt;=5,"Early Career",
IF(Table1[[#This Row],[Years_Experience]]&lt;=15,"Mid Career","Senior Level"))</f>
        <v>Mid Career</v>
      </c>
      <c r="T346" t="str">
        <f>IF(Table1[[#This Row],[AI_Exposure_Index]]&gt;=0.7,"High Exposure", IF(Table1[[#This Row],[AI_Exposure_Index]]&gt;=0.3,"Medium Exposure","Low Exposure"))</f>
        <v>High Exposure</v>
      </c>
    </row>
    <row r="347" spans="1:20" x14ac:dyDescent="0.25">
      <c r="A347" t="s">
        <v>39</v>
      </c>
      <c r="B347">
        <v>89470</v>
      </c>
      <c r="C347" s="1">
        <v>2</v>
      </c>
      <c r="D347" t="s">
        <v>22</v>
      </c>
      <c r="E347" s="7">
        <v>0.65</v>
      </c>
      <c r="F347" s="2">
        <v>0.19</v>
      </c>
      <c r="G347" s="7">
        <v>0.93</v>
      </c>
      <c r="H347" s="9" t="s">
        <v>20</v>
      </c>
      <c r="I347">
        <v>0.92</v>
      </c>
      <c r="J347">
        <v>0.89</v>
      </c>
      <c r="K347">
        <v>0.63</v>
      </c>
      <c r="L347">
        <v>0.81</v>
      </c>
      <c r="M347">
        <v>7.0000000000000007E-2</v>
      </c>
      <c r="N347">
        <v>0.33</v>
      </c>
      <c r="O347">
        <v>0.31</v>
      </c>
      <c r="P347">
        <v>0.64</v>
      </c>
      <c r="Q347">
        <v>0.36</v>
      </c>
      <c r="R347" s="2">
        <v>0.15</v>
      </c>
      <c r="S347" t="str">
        <f>IF(Table1[[#This Row],[Years_Experience]]&lt;=5,"Early Career",
IF(Table1[[#This Row],[Years_Experience]]&lt;=15,"Mid Career","Senior Level"))</f>
        <v>Early Career</v>
      </c>
      <c r="T347" t="str">
        <f>IF(Table1[[#This Row],[AI_Exposure_Index]]&gt;=0.7,"High Exposure", IF(Table1[[#This Row],[AI_Exposure_Index]]&gt;=0.3,"Medium Exposure","Low Exposure"))</f>
        <v>Low Exposure</v>
      </c>
    </row>
    <row r="348" spans="1:20" x14ac:dyDescent="0.25">
      <c r="A348" t="s">
        <v>39</v>
      </c>
      <c r="B348">
        <v>34321</v>
      </c>
      <c r="C348" s="1">
        <v>29</v>
      </c>
      <c r="D348" t="s">
        <v>38</v>
      </c>
      <c r="E348" s="7">
        <v>0.88</v>
      </c>
      <c r="F348" s="2">
        <v>0.81</v>
      </c>
      <c r="G348" s="7">
        <v>0.73</v>
      </c>
      <c r="H348" s="9" t="s">
        <v>20</v>
      </c>
      <c r="I348">
        <v>0.2</v>
      </c>
      <c r="J348">
        <v>0.24</v>
      </c>
      <c r="K348">
        <v>0.3</v>
      </c>
      <c r="L348">
        <v>0.64</v>
      </c>
      <c r="M348">
        <v>0.6</v>
      </c>
      <c r="N348">
        <v>0.7</v>
      </c>
      <c r="O348">
        <v>0.36</v>
      </c>
      <c r="P348">
        <v>0.82</v>
      </c>
      <c r="Q348">
        <v>0.2</v>
      </c>
      <c r="R348" s="2">
        <v>0.47</v>
      </c>
      <c r="S348" t="str">
        <f>IF(Table1[[#This Row],[Years_Experience]]&lt;=5,"Early Career",
IF(Table1[[#This Row],[Years_Experience]]&lt;=15,"Mid Career","Senior Level"))</f>
        <v>Senior Level</v>
      </c>
      <c r="T348" t="str">
        <f>IF(Table1[[#This Row],[AI_Exposure_Index]]&gt;=0.7,"High Exposure", IF(Table1[[#This Row],[AI_Exposure_Index]]&gt;=0.3,"Medium Exposure","Low Exposure"))</f>
        <v>High Exposure</v>
      </c>
    </row>
    <row r="349" spans="1:20" x14ac:dyDescent="0.25">
      <c r="A349" t="s">
        <v>37</v>
      </c>
      <c r="B349">
        <v>50977</v>
      </c>
      <c r="C349" s="1">
        <v>25</v>
      </c>
      <c r="D349" t="s">
        <v>22</v>
      </c>
      <c r="E349" s="7">
        <v>0.61</v>
      </c>
      <c r="F349" s="2">
        <v>0.18</v>
      </c>
      <c r="G349" s="7">
        <v>0.65</v>
      </c>
      <c r="H349" s="9" t="s">
        <v>27</v>
      </c>
      <c r="I349">
        <v>0.34</v>
      </c>
      <c r="J349">
        <v>0.68</v>
      </c>
      <c r="K349">
        <v>0.03</v>
      </c>
      <c r="L349">
        <v>0.69</v>
      </c>
      <c r="M349">
        <v>0.32</v>
      </c>
      <c r="N349">
        <v>0.06</v>
      </c>
      <c r="O349">
        <v>0.61</v>
      </c>
      <c r="P349">
        <v>0.24</v>
      </c>
      <c r="Q349">
        <v>0.39</v>
      </c>
      <c r="R349" s="2">
        <v>0.08</v>
      </c>
      <c r="S349" t="str">
        <f>IF(Table1[[#This Row],[Years_Experience]]&lt;=5,"Early Career",
IF(Table1[[#This Row],[Years_Experience]]&lt;=15,"Mid Career","Senior Level"))</f>
        <v>Senior Level</v>
      </c>
      <c r="T349" t="str">
        <f>IF(Table1[[#This Row],[AI_Exposure_Index]]&gt;=0.7,"High Exposure", IF(Table1[[#This Row],[AI_Exposure_Index]]&gt;=0.3,"Medium Exposure","Low Exposure"))</f>
        <v>Low Exposure</v>
      </c>
    </row>
    <row r="350" spans="1:20" x14ac:dyDescent="0.25">
      <c r="A350" t="s">
        <v>41</v>
      </c>
      <c r="B350">
        <v>62167</v>
      </c>
      <c r="C350" s="1">
        <v>13</v>
      </c>
      <c r="D350" t="s">
        <v>25</v>
      </c>
      <c r="E350" s="7">
        <v>0.59</v>
      </c>
      <c r="F350" s="2">
        <v>0.3</v>
      </c>
      <c r="G350" s="7">
        <v>0.93</v>
      </c>
      <c r="H350" s="9" t="s">
        <v>20</v>
      </c>
      <c r="I350">
        <v>0.01</v>
      </c>
      <c r="J350">
        <v>0.48</v>
      </c>
      <c r="K350">
        <v>0.12</v>
      </c>
      <c r="L350">
        <v>0.31</v>
      </c>
      <c r="M350">
        <v>0.93</v>
      </c>
      <c r="N350">
        <v>0.16</v>
      </c>
      <c r="O350">
        <v>0.97</v>
      </c>
      <c r="P350">
        <v>0.21</v>
      </c>
      <c r="Q350">
        <v>0.74</v>
      </c>
      <c r="R350" s="2">
        <v>0.55000000000000004</v>
      </c>
      <c r="S350" t="str">
        <f>IF(Table1[[#This Row],[Years_Experience]]&lt;=5,"Early Career",
IF(Table1[[#This Row],[Years_Experience]]&lt;=15,"Mid Career","Senior Level"))</f>
        <v>Mid Career</v>
      </c>
      <c r="T350" t="str">
        <f>IF(Table1[[#This Row],[AI_Exposure_Index]]&gt;=0.7,"High Exposure", IF(Table1[[#This Row],[AI_Exposure_Index]]&gt;=0.3,"Medium Exposure","Low Exposure"))</f>
        <v>Medium Exposure</v>
      </c>
    </row>
    <row r="351" spans="1:20" x14ac:dyDescent="0.25">
      <c r="A351" t="s">
        <v>33</v>
      </c>
      <c r="B351">
        <v>108518</v>
      </c>
      <c r="C351" s="1">
        <v>28</v>
      </c>
      <c r="D351" t="s">
        <v>22</v>
      </c>
      <c r="E351" s="7">
        <v>1.03</v>
      </c>
      <c r="F351" s="2">
        <v>0.55000000000000004</v>
      </c>
      <c r="G351" s="7">
        <v>0.75</v>
      </c>
      <c r="H351" s="9" t="s">
        <v>20</v>
      </c>
      <c r="I351">
        <v>0.17</v>
      </c>
      <c r="J351">
        <v>0.92</v>
      </c>
      <c r="K351">
        <v>0.33</v>
      </c>
      <c r="L351">
        <v>0.37</v>
      </c>
      <c r="M351">
        <v>0.76</v>
      </c>
      <c r="N351">
        <v>0.34</v>
      </c>
      <c r="O351">
        <v>0.95</v>
      </c>
      <c r="P351">
        <v>0.74</v>
      </c>
      <c r="Q351">
        <v>0.6</v>
      </c>
      <c r="R351" s="2">
        <v>0.88</v>
      </c>
      <c r="S351" t="str">
        <f>IF(Table1[[#This Row],[Years_Experience]]&lt;=5,"Early Career",
IF(Table1[[#This Row],[Years_Experience]]&lt;=15,"Mid Career","Senior Level"))</f>
        <v>Senior Level</v>
      </c>
      <c r="T351" t="str">
        <f>IF(Table1[[#This Row],[AI_Exposure_Index]]&gt;=0.7,"High Exposure", IF(Table1[[#This Row],[AI_Exposure_Index]]&gt;=0.3,"Medium Exposure","Low Exposure"))</f>
        <v>Medium Exposure</v>
      </c>
    </row>
    <row r="352" spans="1:20" x14ac:dyDescent="0.25">
      <c r="A352" t="s">
        <v>34</v>
      </c>
      <c r="B352">
        <v>93752</v>
      </c>
      <c r="C352" s="1">
        <v>12</v>
      </c>
      <c r="D352" t="s">
        <v>38</v>
      </c>
      <c r="E352" s="7">
        <v>0.97</v>
      </c>
      <c r="F352" s="2">
        <v>0.26</v>
      </c>
      <c r="G352" s="7">
        <v>0.39</v>
      </c>
      <c r="H352" s="9" t="s">
        <v>27</v>
      </c>
      <c r="I352">
        <v>0.74</v>
      </c>
      <c r="J352">
        <v>0.92</v>
      </c>
      <c r="K352">
        <v>0.42</v>
      </c>
      <c r="L352">
        <v>0.34</v>
      </c>
      <c r="M352">
        <v>0.96</v>
      </c>
      <c r="N352">
        <v>0.44</v>
      </c>
      <c r="O352">
        <v>0.49</v>
      </c>
      <c r="P352">
        <v>0.35</v>
      </c>
      <c r="Q352">
        <v>0.91</v>
      </c>
      <c r="R352" s="2">
        <v>0.56999999999999995</v>
      </c>
      <c r="S352" t="str">
        <f>IF(Table1[[#This Row],[Years_Experience]]&lt;=5,"Early Career",
IF(Table1[[#This Row],[Years_Experience]]&lt;=15,"Mid Career","Senior Level"))</f>
        <v>Mid Career</v>
      </c>
      <c r="T352" t="str">
        <f>IF(Table1[[#This Row],[AI_Exposure_Index]]&gt;=0.7,"High Exposure", IF(Table1[[#This Row],[AI_Exposure_Index]]&gt;=0.3,"Medium Exposure","Low Exposure"))</f>
        <v>Low Exposure</v>
      </c>
    </row>
    <row r="353" spans="1:20" x14ac:dyDescent="0.25">
      <c r="A353" t="s">
        <v>18</v>
      </c>
      <c r="B353">
        <v>77691</v>
      </c>
      <c r="C353" s="1">
        <v>16</v>
      </c>
      <c r="D353" t="s">
        <v>38</v>
      </c>
      <c r="E353" s="7">
        <v>1.23</v>
      </c>
      <c r="F353" s="2">
        <v>0.31</v>
      </c>
      <c r="G353" s="7">
        <v>0.9</v>
      </c>
      <c r="H353" s="9" t="s">
        <v>20</v>
      </c>
      <c r="I353">
        <v>0.83</v>
      </c>
      <c r="J353">
        <v>0.99</v>
      </c>
      <c r="K353">
        <v>0.79</v>
      </c>
      <c r="L353">
        <v>0.6</v>
      </c>
      <c r="M353">
        <v>0.34</v>
      </c>
      <c r="N353">
        <v>0.54</v>
      </c>
      <c r="O353">
        <v>0.04</v>
      </c>
      <c r="P353">
        <v>0.74</v>
      </c>
      <c r="Q353">
        <v>0.45</v>
      </c>
      <c r="R353" s="2">
        <v>0.02</v>
      </c>
      <c r="S353" t="str">
        <f>IF(Table1[[#This Row],[Years_Experience]]&lt;=5,"Early Career",
IF(Table1[[#This Row],[Years_Experience]]&lt;=15,"Mid Career","Senior Level"))</f>
        <v>Senior Level</v>
      </c>
      <c r="T353" t="str">
        <f>IF(Table1[[#This Row],[AI_Exposure_Index]]&gt;=0.7,"High Exposure", IF(Table1[[#This Row],[AI_Exposure_Index]]&gt;=0.3,"Medium Exposure","Low Exposure"))</f>
        <v>Medium Exposure</v>
      </c>
    </row>
    <row r="354" spans="1:20" x14ac:dyDescent="0.25">
      <c r="A354" t="s">
        <v>40</v>
      </c>
      <c r="B354">
        <v>59813</v>
      </c>
      <c r="C354" s="1">
        <v>15</v>
      </c>
      <c r="D354" t="s">
        <v>38</v>
      </c>
      <c r="E354" s="7">
        <v>1.08</v>
      </c>
      <c r="F354" s="2">
        <v>0.39</v>
      </c>
      <c r="G354" s="7">
        <v>0.17</v>
      </c>
      <c r="H354" s="9" t="s">
        <v>23</v>
      </c>
      <c r="I354">
        <v>0.62</v>
      </c>
      <c r="J354">
        <v>0.48</v>
      </c>
      <c r="K354">
        <v>0.66</v>
      </c>
      <c r="L354">
        <v>0.22</v>
      </c>
      <c r="M354">
        <v>0.11</v>
      </c>
      <c r="N354">
        <v>0.6</v>
      </c>
      <c r="O354">
        <v>0.48</v>
      </c>
      <c r="P354">
        <v>0.03</v>
      </c>
      <c r="Q354">
        <v>0.38</v>
      </c>
      <c r="R354" s="2">
        <v>0.11</v>
      </c>
      <c r="S354" t="str">
        <f>IF(Table1[[#This Row],[Years_Experience]]&lt;=5,"Early Career",
IF(Table1[[#This Row],[Years_Experience]]&lt;=15,"Mid Career","Senior Level"))</f>
        <v>Mid Career</v>
      </c>
      <c r="T354" t="str">
        <f>IF(Table1[[#This Row],[AI_Exposure_Index]]&gt;=0.7,"High Exposure", IF(Table1[[#This Row],[AI_Exposure_Index]]&gt;=0.3,"Medium Exposure","Low Exposure"))</f>
        <v>Medium Exposure</v>
      </c>
    </row>
    <row r="355" spans="1:20" x14ac:dyDescent="0.25">
      <c r="A355" t="s">
        <v>37</v>
      </c>
      <c r="B355">
        <v>95603</v>
      </c>
      <c r="C355" s="1">
        <v>28</v>
      </c>
      <c r="D355" t="s">
        <v>19</v>
      </c>
      <c r="E355" s="7">
        <v>1.1100000000000001</v>
      </c>
      <c r="F355" s="2">
        <v>0.4</v>
      </c>
      <c r="G355" s="7">
        <v>0.62</v>
      </c>
      <c r="H355" s="9" t="s">
        <v>27</v>
      </c>
      <c r="I355">
        <v>0.3</v>
      </c>
      <c r="J355">
        <v>0.96</v>
      </c>
      <c r="K355">
        <v>0.54</v>
      </c>
      <c r="L355">
        <v>0.62</v>
      </c>
      <c r="M355">
        <v>0.68</v>
      </c>
      <c r="N355">
        <v>0.67</v>
      </c>
      <c r="O355">
        <v>0.51</v>
      </c>
      <c r="P355">
        <v>0.43</v>
      </c>
      <c r="Q355">
        <v>0.05</v>
      </c>
      <c r="R355" s="2">
        <v>0.02</v>
      </c>
      <c r="S355" t="str">
        <f>IF(Table1[[#This Row],[Years_Experience]]&lt;=5,"Early Career",
IF(Table1[[#This Row],[Years_Experience]]&lt;=15,"Mid Career","Senior Level"))</f>
        <v>Senior Level</v>
      </c>
      <c r="T355" t="str">
        <f>IF(Table1[[#This Row],[AI_Exposure_Index]]&gt;=0.7,"High Exposure", IF(Table1[[#This Row],[AI_Exposure_Index]]&gt;=0.3,"Medium Exposure","Low Exposure"))</f>
        <v>Medium Exposure</v>
      </c>
    </row>
    <row r="356" spans="1:20" x14ac:dyDescent="0.25">
      <c r="A356" t="s">
        <v>37</v>
      </c>
      <c r="B356">
        <v>118150</v>
      </c>
      <c r="C356" s="1">
        <v>14</v>
      </c>
      <c r="D356" t="s">
        <v>19</v>
      </c>
      <c r="E356" s="7">
        <v>0.89</v>
      </c>
      <c r="F356" s="2">
        <v>0.33</v>
      </c>
      <c r="G356" s="7">
        <v>0.36</v>
      </c>
      <c r="H356" s="9" t="s">
        <v>27</v>
      </c>
      <c r="I356">
        <v>0.74</v>
      </c>
      <c r="J356">
        <v>0.86</v>
      </c>
      <c r="K356">
        <v>0.94</v>
      </c>
      <c r="L356">
        <v>0.49</v>
      </c>
      <c r="M356">
        <v>0.7</v>
      </c>
      <c r="N356">
        <v>0.86</v>
      </c>
      <c r="O356">
        <v>0.42</v>
      </c>
      <c r="P356">
        <v>0.31</v>
      </c>
      <c r="Q356">
        <v>0.94</v>
      </c>
      <c r="R356" s="2">
        <v>0.52</v>
      </c>
      <c r="S356" t="str">
        <f>IF(Table1[[#This Row],[Years_Experience]]&lt;=5,"Early Career",
IF(Table1[[#This Row],[Years_Experience]]&lt;=15,"Mid Career","Senior Level"))</f>
        <v>Mid Career</v>
      </c>
      <c r="T356" t="str">
        <f>IF(Table1[[#This Row],[AI_Exposure_Index]]&gt;=0.7,"High Exposure", IF(Table1[[#This Row],[AI_Exposure_Index]]&gt;=0.3,"Medium Exposure","Low Exposure"))</f>
        <v>Medium Exposure</v>
      </c>
    </row>
    <row r="357" spans="1:20" x14ac:dyDescent="0.25">
      <c r="A357" t="s">
        <v>41</v>
      </c>
      <c r="B357">
        <v>31996</v>
      </c>
      <c r="C357" s="1">
        <v>3</v>
      </c>
      <c r="D357" t="s">
        <v>38</v>
      </c>
      <c r="E357" s="7">
        <v>0.83</v>
      </c>
      <c r="F357" s="2">
        <v>0.12</v>
      </c>
      <c r="G357" s="7">
        <v>0.9</v>
      </c>
      <c r="H357" s="9" t="s">
        <v>20</v>
      </c>
      <c r="I357">
        <v>0.6</v>
      </c>
      <c r="J357">
        <v>0.39</v>
      </c>
      <c r="K357">
        <v>0.47</v>
      </c>
      <c r="L357">
        <v>0.85</v>
      </c>
      <c r="M357">
        <v>0.34</v>
      </c>
      <c r="N357">
        <v>0.87</v>
      </c>
      <c r="O357">
        <v>0.09</v>
      </c>
      <c r="P357">
        <v>0.78</v>
      </c>
      <c r="Q357">
        <v>0.85</v>
      </c>
      <c r="R357" s="2">
        <v>0.18</v>
      </c>
      <c r="S357" t="str">
        <f>IF(Table1[[#This Row],[Years_Experience]]&lt;=5,"Early Career",
IF(Table1[[#This Row],[Years_Experience]]&lt;=15,"Mid Career","Senior Level"))</f>
        <v>Early Career</v>
      </c>
      <c r="T357" t="str">
        <f>IF(Table1[[#This Row],[AI_Exposure_Index]]&gt;=0.7,"High Exposure", IF(Table1[[#This Row],[AI_Exposure_Index]]&gt;=0.3,"Medium Exposure","Low Exposure"))</f>
        <v>Low Exposure</v>
      </c>
    </row>
    <row r="358" spans="1:20" x14ac:dyDescent="0.25">
      <c r="A358" t="s">
        <v>24</v>
      </c>
      <c r="B358">
        <v>108015</v>
      </c>
      <c r="C358" s="1">
        <v>2</v>
      </c>
      <c r="D358" t="s">
        <v>38</v>
      </c>
      <c r="E358" s="7">
        <v>1.21</v>
      </c>
      <c r="F358" s="2">
        <v>0.17</v>
      </c>
      <c r="G358" s="7">
        <v>0.83</v>
      </c>
      <c r="H358" s="9" t="s">
        <v>20</v>
      </c>
      <c r="I358">
        <v>0.64</v>
      </c>
      <c r="J358">
        <v>0.2</v>
      </c>
      <c r="K358">
        <v>0.21</v>
      </c>
      <c r="L358">
        <v>0.04</v>
      </c>
      <c r="M358">
        <v>0.32</v>
      </c>
      <c r="N358">
        <v>0.56000000000000005</v>
      </c>
      <c r="O358">
        <v>0.86</v>
      </c>
      <c r="P358">
        <v>0.67</v>
      </c>
      <c r="Q358">
        <v>0.44</v>
      </c>
      <c r="R358" s="2">
        <v>0.95</v>
      </c>
      <c r="S358" t="str">
        <f>IF(Table1[[#This Row],[Years_Experience]]&lt;=5,"Early Career",
IF(Table1[[#This Row],[Years_Experience]]&lt;=15,"Mid Career","Senior Level"))</f>
        <v>Early Career</v>
      </c>
      <c r="T358" t="str">
        <f>IF(Table1[[#This Row],[AI_Exposure_Index]]&gt;=0.7,"High Exposure", IF(Table1[[#This Row],[AI_Exposure_Index]]&gt;=0.3,"Medium Exposure","Low Exposure"))</f>
        <v>Low Exposure</v>
      </c>
    </row>
    <row r="359" spans="1:20" x14ac:dyDescent="0.25">
      <c r="A359" t="s">
        <v>42</v>
      </c>
      <c r="B359">
        <v>59709</v>
      </c>
      <c r="C359" s="1">
        <v>9</v>
      </c>
      <c r="D359" t="s">
        <v>38</v>
      </c>
      <c r="E359" s="7">
        <v>1.03</v>
      </c>
      <c r="F359" s="2">
        <v>0.93</v>
      </c>
      <c r="G359" s="7">
        <v>0.4</v>
      </c>
      <c r="H359" s="9" t="s">
        <v>27</v>
      </c>
      <c r="I359">
        <v>0.05</v>
      </c>
      <c r="J359">
        <v>0.73</v>
      </c>
      <c r="K359">
        <v>0.12</v>
      </c>
      <c r="L359">
        <v>0.3</v>
      </c>
      <c r="M359">
        <v>0.53</v>
      </c>
      <c r="N359">
        <v>0.56000000000000005</v>
      </c>
      <c r="O359">
        <v>0.6</v>
      </c>
      <c r="P359">
        <v>0.17</v>
      </c>
      <c r="Q359">
        <v>0.38</v>
      </c>
      <c r="R359" s="2">
        <v>0.62</v>
      </c>
      <c r="S359" t="str">
        <f>IF(Table1[[#This Row],[Years_Experience]]&lt;=5,"Early Career",
IF(Table1[[#This Row],[Years_Experience]]&lt;=15,"Mid Career","Senior Level"))</f>
        <v>Mid Career</v>
      </c>
      <c r="T359" t="str">
        <f>IF(Table1[[#This Row],[AI_Exposure_Index]]&gt;=0.7,"High Exposure", IF(Table1[[#This Row],[AI_Exposure_Index]]&gt;=0.3,"Medium Exposure","Low Exposure"))</f>
        <v>High Exposure</v>
      </c>
    </row>
    <row r="360" spans="1:20" x14ac:dyDescent="0.25">
      <c r="A360" t="s">
        <v>26</v>
      </c>
      <c r="B360">
        <v>33203</v>
      </c>
      <c r="C360" s="1">
        <v>17</v>
      </c>
      <c r="D360" t="s">
        <v>25</v>
      </c>
      <c r="E360" s="7">
        <v>1.42</v>
      </c>
      <c r="F360" s="2">
        <v>0.73</v>
      </c>
      <c r="G360" s="7">
        <v>0.6</v>
      </c>
      <c r="H360" s="9" t="s">
        <v>27</v>
      </c>
      <c r="I360">
        <v>0.59</v>
      </c>
      <c r="J360">
        <v>0.19</v>
      </c>
      <c r="K360">
        <v>0.67</v>
      </c>
      <c r="L360">
        <v>0.62</v>
      </c>
      <c r="M360">
        <v>0.6</v>
      </c>
      <c r="N360">
        <v>0.49</v>
      </c>
      <c r="O360">
        <v>0.53</v>
      </c>
      <c r="P360">
        <v>0.33</v>
      </c>
      <c r="Q360">
        <v>0.52</v>
      </c>
      <c r="R360" s="2">
        <v>0.2</v>
      </c>
      <c r="S360" t="str">
        <f>IF(Table1[[#This Row],[Years_Experience]]&lt;=5,"Early Career",
IF(Table1[[#This Row],[Years_Experience]]&lt;=15,"Mid Career","Senior Level"))</f>
        <v>Senior Level</v>
      </c>
      <c r="T360" t="str">
        <f>IF(Table1[[#This Row],[AI_Exposure_Index]]&gt;=0.7,"High Exposure", IF(Table1[[#This Row],[AI_Exposure_Index]]&gt;=0.3,"Medium Exposure","Low Exposure"))</f>
        <v>High Exposure</v>
      </c>
    </row>
    <row r="361" spans="1:20" x14ac:dyDescent="0.25">
      <c r="A361" t="s">
        <v>44</v>
      </c>
      <c r="B361">
        <v>39327</v>
      </c>
      <c r="C361" s="1">
        <v>7</v>
      </c>
      <c r="D361" t="s">
        <v>22</v>
      </c>
      <c r="E361" s="7">
        <v>0.89</v>
      </c>
      <c r="F361" s="2">
        <v>0.77</v>
      </c>
      <c r="G361" s="7">
        <v>0.5</v>
      </c>
      <c r="H361" s="9" t="s">
        <v>27</v>
      </c>
      <c r="I361">
        <v>0.86</v>
      </c>
      <c r="J361">
        <v>0.75</v>
      </c>
      <c r="K361">
        <v>0.81</v>
      </c>
      <c r="L361">
        <v>0.14000000000000001</v>
      </c>
      <c r="M361">
        <v>7.0000000000000007E-2</v>
      </c>
      <c r="N361">
        <v>0.89</v>
      </c>
      <c r="O361">
        <v>0.39</v>
      </c>
      <c r="P361">
        <v>0.28999999999999998</v>
      </c>
      <c r="Q361">
        <v>0.72</v>
      </c>
      <c r="R361" s="2">
        <v>0.84</v>
      </c>
      <c r="S361" t="str">
        <f>IF(Table1[[#This Row],[Years_Experience]]&lt;=5,"Early Career",
IF(Table1[[#This Row],[Years_Experience]]&lt;=15,"Mid Career","Senior Level"))</f>
        <v>Mid Career</v>
      </c>
      <c r="T361" t="str">
        <f>IF(Table1[[#This Row],[AI_Exposure_Index]]&gt;=0.7,"High Exposure", IF(Table1[[#This Row],[AI_Exposure_Index]]&gt;=0.3,"Medium Exposure","Low Exposure"))</f>
        <v>High Exposure</v>
      </c>
    </row>
    <row r="362" spans="1:20" x14ac:dyDescent="0.25">
      <c r="A362" t="s">
        <v>24</v>
      </c>
      <c r="B362">
        <v>37868</v>
      </c>
      <c r="C362" s="1">
        <v>11</v>
      </c>
      <c r="D362" t="s">
        <v>25</v>
      </c>
      <c r="E362" s="7">
        <v>1.35</v>
      </c>
      <c r="F362" s="2">
        <v>0.32</v>
      </c>
      <c r="G362" s="7">
        <v>0.71</v>
      </c>
      <c r="H362" s="9" t="s">
        <v>20</v>
      </c>
      <c r="I362">
        <v>0.05</v>
      </c>
      <c r="J362">
        <v>0.62</v>
      </c>
      <c r="K362">
        <v>0.06</v>
      </c>
      <c r="L362">
        <v>0.32</v>
      </c>
      <c r="M362">
        <v>0.67</v>
      </c>
      <c r="N362">
        <v>0.34</v>
      </c>
      <c r="O362">
        <v>0.18</v>
      </c>
      <c r="P362">
        <v>0.28000000000000003</v>
      </c>
      <c r="Q362">
        <v>0.46</v>
      </c>
      <c r="R362" s="2">
        <v>0.48</v>
      </c>
      <c r="S362" t="str">
        <f>IF(Table1[[#This Row],[Years_Experience]]&lt;=5,"Early Career",
IF(Table1[[#This Row],[Years_Experience]]&lt;=15,"Mid Career","Senior Level"))</f>
        <v>Mid Career</v>
      </c>
      <c r="T362" t="str">
        <f>IF(Table1[[#This Row],[AI_Exposure_Index]]&gt;=0.7,"High Exposure", IF(Table1[[#This Row],[AI_Exposure_Index]]&gt;=0.3,"Medium Exposure","Low Exposure"))</f>
        <v>Medium Exposure</v>
      </c>
    </row>
    <row r="363" spans="1:20" x14ac:dyDescent="0.25">
      <c r="A363" t="s">
        <v>34</v>
      </c>
      <c r="B363">
        <v>76097</v>
      </c>
      <c r="C363" s="1">
        <v>23</v>
      </c>
      <c r="D363" t="s">
        <v>25</v>
      </c>
      <c r="E363" s="7">
        <v>0.96</v>
      </c>
      <c r="F363" s="2">
        <v>0.75</v>
      </c>
      <c r="G363" s="7">
        <v>0.64</v>
      </c>
      <c r="H363" s="9" t="s">
        <v>27</v>
      </c>
      <c r="I363">
        <v>0.11</v>
      </c>
      <c r="J363">
        <v>0.26</v>
      </c>
      <c r="K363">
        <v>0.83</v>
      </c>
      <c r="L363">
        <v>0.38</v>
      </c>
      <c r="M363">
        <v>0.98</v>
      </c>
      <c r="N363">
        <v>0.47</v>
      </c>
      <c r="O363">
        <v>0.79</v>
      </c>
      <c r="P363">
        <v>0.4</v>
      </c>
      <c r="Q363">
        <v>0.42</v>
      </c>
      <c r="R363" s="2">
        <v>0.38</v>
      </c>
      <c r="S363" t="str">
        <f>IF(Table1[[#This Row],[Years_Experience]]&lt;=5,"Early Career",
IF(Table1[[#This Row],[Years_Experience]]&lt;=15,"Mid Career","Senior Level"))</f>
        <v>Senior Level</v>
      </c>
      <c r="T363" t="str">
        <f>IF(Table1[[#This Row],[AI_Exposure_Index]]&gt;=0.7,"High Exposure", IF(Table1[[#This Row],[AI_Exposure_Index]]&gt;=0.3,"Medium Exposure","Low Exposure"))</f>
        <v>High Exposure</v>
      </c>
    </row>
    <row r="364" spans="1:20" x14ac:dyDescent="0.25">
      <c r="A364" t="s">
        <v>35</v>
      </c>
      <c r="B364">
        <v>117838</v>
      </c>
      <c r="C364" s="1">
        <v>6</v>
      </c>
      <c r="D364" t="s">
        <v>25</v>
      </c>
      <c r="E364" s="7">
        <v>1.34</v>
      </c>
      <c r="F364" s="2">
        <v>0.44</v>
      </c>
      <c r="G364" s="7">
        <v>0.4</v>
      </c>
      <c r="H364" s="9" t="s">
        <v>27</v>
      </c>
      <c r="I364">
        <v>0.42</v>
      </c>
      <c r="J364">
        <v>0.04</v>
      </c>
      <c r="K364">
        <v>0.45</v>
      </c>
      <c r="L364">
        <v>0.57999999999999996</v>
      </c>
      <c r="M364">
        <v>0.56999999999999995</v>
      </c>
      <c r="N364">
        <v>0.33</v>
      </c>
      <c r="O364">
        <v>0.32</v>
      </c>
      <c r="P364">
        <v>0.11</v>
      </c>
      <c r="Q364">
        <v>0.37</v>
      </c>
      <c r="R364" s="2">
        <v>0.1</v>
      </c>
      <c r="S364" t="str">
        <f>IF(Table1[[#This Row],[Years_Experience]]&lt;=5,"Early Career",
IF(Table1[[#This Row],[Years_Experience]]&lt;=15,"Mid Career","Senior Level"))</f>
        <v>Mid Career</v>
      </c>
      <c r="T364" t="str">
        <f>IF(Table1[[#This Row],[AI_Exposure_Index]]&gt;=0.7,"High Exposure", IF(Table1[[#This Row],[AI_Exposure_Index]]&gt;=0.3,"Medium Exposure","Low Exposure"))</f>
        <v>Medium Exposure</v>
      </c>
    </row>
    <row r="365" spans="1:20" x14ac:dyDescent="0.25">
      <c r="A365" t="s">
        <v>35</v>
      </c>
      <c r="B365">
        <v>136931</v>
      </c>
      <c r="C365" s="1">
        <v>16</v>
      </c>
      <c r="D365" t="s">
        <v>19</v>
      </c>
      <c r="E365" s="7">
        <v>1.47</v>
      </c>
      <c r="F365" s="2">
        <v>0.97</v>
      </c>
      <c r="G365" s="7">
        <v>0.65</v>
      </c>
      <c r="H365" s="9" t="s">
        <v>27</v>
      </c>
      <c r="I365">
        <v>0.6</v>
      </c>
      <c r="J365">
        <v>0.7</v>
      </c>
      <c r="K365">
        <v>0.28999999999999998</v>
      </c>
      <c r="L365">
        <v>0.63</v>
      </c>
      <c r="M365">
        <v>0.46</v>
      </c>
      <c r="N365">
        <v>0.48</v>
      </c>
      <c r="O365">
        <v>0.76</v>
      </c>
      <c r="P365">
        <v>0.28000000000000003</v>
      </c>
      <c r="Q365">
        <v>0.32</v>
      </c>
      <c r="R365" s="2">
        <v>0.92</v>
      </c>
      <c r="S365" t="str">
        <f>IF(Table1[[#This Row],[Years_Experience]]&lt;=5,"Early Career",
IF(Table1[[#This Row],[Years_Experience]]&lt;=15,"Mid Career","Senior Level"))</f>
        <v>Senior Level</v>
      </c>
      <c r="T365" t="str">
        <f>IF(Table1[[#This Row],[AI_Exposure_Index]]&gt;=0.7,"High Exposure", IF(Table1[[#This Row],[AI_Exposure_Index]]&gt;=0.3,"Medium Exposure","Low Exposure"))</f>
        <v>High Exposure</v>
      </c>
    </row>
    <row r="366" spans="1:20" x14ac:dyDescent="0.25">
      <c r="A366" t="s">
        <v>32</v>
      </c>
      <c r="B366">
        <v>76900</v>
      </c>
      <c r="C366" s="1">
        <v>24</v>
      </c>
      <c r="D366" t="s">
        <v>38</v>
      </c>
      <c r="E366" s="7">
        <v>1.41</v>
      </c>
      <c r="F366" s="2">
        <v>0.49</v>
      </c>
      <c r="G366" s="7">
        <v>0.54</v>
      </c>
      <c r="H366" s="9" t="s">
        <v>27</v>
      </c>
      <c r="I366">
        <v>0.55000000000000004</v>
      </c>
      <c r="J366">
        <v>0.25</v>
      </c>
      <c r="K366">
        <v>0.34</v>
      </c>
      <c r="L366">
        <v>0.85</v>
      </c>
      <c r="M366">
        <v>0.56000000000000005</v>
      </c>
      <c r="N366">
        <v>0.51</v>
      </c>
      <c r="O366">
        <v>0.1</v>
      </c>
      <c r="P366">
        <v>0.02</v>
      </c>
      <c r="Q366">
        <v>0.96</v>
      </c>
      <c r="R366" s="2">
        <v>0.38</v>
      </c>
      <c r="S366" t="str">
        <f>IF(Table1[[#This Row],[Years_Experience]]&lt;=5,"Early Career",
IF(Table1[[#This Row],[Years_Experience]]&lt;=15,"Mid Career","Senior Level"))</f>
        <v>Senior Level</v>
      </c>
      <c r="T366" t="str">
        <f>IF(Table1[[#This Row],[AI_Exposure_Index]]&gt;=0.7,"High Exposure", IF(Table1[[#This Row],[AI_Exposure_Index]]&gt;=0.3,"Medium Exposure","Low Exposure"))</f>
        <v>Medium Exposure</v>
      </c>
    </row>
    <row r="367" spans="1:20" x14ac:dyDescent="0.25">
      <c r="A367" t="s">
        <v>30</v>
      </c>
      <c r="B367">
        <v>41221</v>
      </c>
      <c r="C367" s="1">
        <v>11</v>
      </c>
      <c r="D367" t="s">
        <v>22</v>
      </c>
      <c r="E367" s="7">
        <v>1.18</v>
      </c>
      <c r="F367" s="2">
        <v>0.08</v>
      </c>
      <c r="G367" s="7">
        <v>0.67</v>
      </c>
      <c r="H367" s="9" t="s">
        <v>27</v>
      </c>
      <c r="I367">
        <v>0.57999999999999996</v>
      </c>
      <c r="J367">
        <v>0.13</v>
      </c>
      <c r="K367">
        <v>0.57999999999999996</v>
      </c>
      <c r="L367">
        <v>0.77</v>
      </c>
      <c r="M367">
        <v>0.41</v>
      </c>
      <c r="N367">
        <v>0.88</v>
      </c>
      <c r="O367">
        <v>0.65</v>
      </c>
      <c r="P367">
        <v>0.9</v>
      </c>
      <c r="Q367">
        <v>0.62</v>
      </c>
      <c r="R367" s="2">
        <v>0.13</v>
      </c>
      <c r="S367" t="str">
        <f>IF(Table1[[#This Row],[Years_Experience]]&lt;=5,"Early Career",
IF(Table1[[#This Row],[Years_Experience]]&lt;=15,"Mid Career","Senior Level"))</f>
        <v>Mid Career</v>
      </c>
      <c r="T367" t="str">
        <f>IF(Table1[[#This Row],[AI_Exposure_Index]]&gt;=0.7,"High Exposure", IF(Table1[[#This Row],[AI_Exposure_Index]]&gt;=0.3,"Medium Exposure","Low Exposure"))</f>
        <v>Low Exposure</v>
      </c>
    </row>
    <row r="368" spans="1:20" x14ac:dyDescent="0.25">
      <c r="A368" t="s">
        <v>18</v>
      </c>
      <c r="B368">
        <v>30654</v>
      </c>
      <c r="C368" s="1">
        <v>9</v>
      </c>
      <c r="D368" t="s">
        <v>25</v>
      </c>
      <c r="E368" s="7">
        <v>1.17</v>
      </c>
      <c r="F368" s="2">
        <v>0.48</v>
      </c>
      <c r="G368" s="7">
        <v>0.8</v>
      </c>
      <c r="H368" s="9" t="s">
        <v>20</v>
      </c>
      <c r="I368">
        <v>0.3</v>
      </c>
      <c r="J368">
        <v>0.63</v>
      </c>
      <c r="K368">
        <v>0.15</v>
      </c>
      <c r="L368">
        <v>0.37</v>
      </c>
      <c r="M368">
        <v>0.21</v>
      </c>
      <c r="N368">
        <v>0.7</v>
      </c>
      <c r="O368">
        <v>0.94</v>
      </c>
      <c r="P368">
        <v>1</v>
      </c>
      <c r="Q368">
        <v>0.45</v>
      </c>
      <c r="R368" s="2">
        <v>0.25</v>
      </c>
      <c r="S368" t="str">
        <f>IF(Table1[[#This Row],[Years_Experience]]&lt;=5,"Early Career",
IF(Table1[[#This Row],[Years_Experience]]&lt;=15,"Mid Career","Senior Level"))</f>
        <v>Mid Career</v>
      </c>
      <c r="T368" t="str">
        <f>IF(Table1[[#This Row],[AI_Exposure_Index]]&gt;=0.7,"High Exposure", IF(Table1[[#This Row],[AI_Exposure_Index]]&gt;=0.3,"Medium Exposure","Low Exposure"))</f>
        <v>Medium Exposure</v>
      </c>
    </row>
    <row r="369" spans="1:20" x14ac:dyDescent="0.25">
      <c r="A369" t="s">
        <v>37</v>
      </c>
      <c r="B369">
        <v>112928</v>
      </c>
      <c r="C369" s="1">
        <v>26</v>
      </c>
      <c r="D369" t="s">
        <v>25</v>
      </c>
      <c r="E369" s="7">
        <v>0.71</v>
      </c>
      <c r="F369" s="2">
        <v>0.85</v>
      </c>
      <c r="G369" s="7">
        <v>0.68</v>
      </c>
      <c r="H369" s="9" t="s">
        <v>27</v>
      </c>
      <c r="I369">
        <v>0.34</v>
      </c>
      <c r="J369">
        <v>0.99</v>
      </c>
      <c r="K369">
        <v>0.84</v>
      </c>
      <c r="L369">
        <v>0.81</v>
      </c>
      <c r="M369">
        <v>0.32</v>
      </c>
      <c r="N369">
        <v>0.01</v>
      </c>
      <c r="O369">
        <v>0.38</v>
      </c>
      <c r="P369">
        <v>0.3</v>
      </c>
      <c r="Q369">
        <v>0.04</v>
      </c>
      <c r="R369" s="2">
        <v>0.51</v>
      </c>
      <c r="S369" t="str">
        <f>IF(Table1[[#This Row],[Years_Experience]]&lt;=5,"Early Career",
IF(Table1[[#This Row],[Years_Experience]]&lt;=15,"Mid Career","Senior Level"))</f>
        <v>Senior Level</v>
      </c>
      <c r="T369" t="str">
        <f>IF(Table1[[#This Row],[AI_Exposure_Index]]&gt;=0.7,"High Exposure", IF(Table1[[#This Row],[AI_Exposure_Index]]&gt;=0.3,"Medium Exposure","Low Exposure"))</f>
        <v>High Exposure</v>
      </c>
    </row>
    <row r="370" spans="1:20" x14ac:dyDescent="0.25">
      <c r="A370" t="s">
        <v>31</v>
      </c>
      <c r="B370">
        <v>99444</v>
      </c>
      <c r="C370" s="1">
        <v>21</v>
      </c>
      <c r="D370" t="s">
        <v>25</v>
      </c>
      <c r="E370" s="7">
        <v>1.1200000000000001</v>
      </c>
      <c r="F370" s="2">
        <v>0.63</v>
      </c>
      <c r="G370" s="7">
        <v>0.08</v>
      </c>
      <c r="H370" s="9" t="s">
        <v>23</v>
      </c>
      <c r="I370">
        <v>0.98</v>
      </c>
      <c r="J370">
        <v>0.19</v>
      </c>
      <c r="K370">
        <v>0.45</v>
      </c>
      <c r="L370">
        <v>0.49</v>
      </c>
      <c r="M370">
        <v>0.81</v>
      </c>
      <c r="N370">
        <v>0.1</v>
      </c>
      <c r="O370">
        <v>0.43</v>
      </c>
      <c r="P370">
        <v>0.63</v>
      </c>
      <c r="Q370">
        <v>0.22</v>
      </c>
      <c r="R370" s="2">
        <v>0.63</v>
      </c>
      <c r="S370" t="str">
        <f>IF(Table1[[#This Row],[Years_Experience]]&lt;=5,"Early Career",
IF(Table1[[#This Row],[Years_Experience]]&lt;=15,"Mid Career","Senior Level"))</f>
        <v>Senior Level</v>
      </c>
      <c r="T370" t="str">
        <f>IF(Table1[[#This Row],[AI_Exposure_Index]]&gt;=0.7,"High Exposure", IF(Table1[[#This Row],[AI_Exposure_Index]]&gt;=0.3,"Medium Exposure","Low Exposure"))</f>
        <v>Medium Exposure</v>
      </c>
    </row>
    <row r="371" spans="1:20" x14ac:dyDescent="0.25">
      <c r="A371" t="s">
        <v>21</v>
      </c>
      <c r="B371">
        <v>115092</v>
      </c>
      <c r="C371" s="1">
        <v>18</v>
      </c>
      <c r="D371" t="s">
        <v>38</v>
      </c>
      <c r="E371" s="7">
        <v>1.3</v>
      </c>
      <c r="F371" s="2">
        <v>0.2</v>
      </c>
      <c r="G371" s="7">
        <v>0.23</v>
      </c>
      <c r="H371" s="9" t="s">
        <v>23</v>
      </c>
      <c r="I371">
        <v>0.06</v>
      </c>
      <c r="J371">
        <v>0.39</v>
      </c>
      <c r="K371">
        <v>0.28000000000000003</v>
      </c>
      <c r="L371">
        <v>0.3</v>
      </c>
      <c r="M371">
        <v>0.98</v>
      </c>
      <c r="N371">
        <v>0.64</v>
      </c>
      <c r="O371">
        <v>0.72</v>
      </c>
      <c r="P371">
        <v>0.98</v>
      </c>
      <c r="Q371">
        <v>0.38</v>
      </c>
      <c r="R371" s="2">
        <v>0.8</v>
      </c>
      <c r="S371" t="str">
        <f>IF(Table1[[#This Row],[Years_Experience]]&lt;=5,"Early Career",
IF(Table1[[#This Row],[Years_Experience]]&lt;=15,"Mid Career","Senior Level"))</f>
        <v>Senior Level</v>
      </c>
      <c r="T371" t="str">
        <f>IF(Table1[[#This Row],[AI_Exposure_Index]]&gt;=0.7,"High Exposure", IF(Table1[[#This Row],[AI_Exposure_Index]]&gt;=0.3,"Medium Exposure","Low Exposure"))</f>
        <v>Low Exposure</v>
      </c>
    </row>
    <row r="372" spans="1:20" x14ac:dyDescent="0.25">
      <c r="A372" t="s">
        <v>28</v>
      </c>
      <c r="B372">
        <v>123122</v>
      </c>
      <c r="C372" s="1">
        <v>8</v>
      </c>
      <c r="D372" t="s">
        <v>38</v>
      </c>
      <c r="E372" s="7">
        <v>0.68</v>
      </c>
      <c r="F372" s="2">
        <v>0.87</v>
      </c>
      <c r="G372" s="7">
        <v>0.68</v>
      </c>
      <c r="H372" s="9" t="s">
        <v>27</v>
      </c>
      <c r="I372">
        <v>0.22</v>
      </c>
      <c r="J372">
        <v>0.33</v>
      </c>
      <c r="K372">
        <v>0.76</v>
      </c>
      <c r="L372">
        <v>0.39</v>
      </c>
      <c r="M372">
        <v>0.61</v>
      </c>
      <c r="N372">
        <v>0.44</v>
      </c>
      <c r="O372">
        <v>0.74</v>
      </c>
      <c r="P372">
        <v>0.23</v>
      </c>
      <c r="Q372">
        <v>0.06</v>
      </c>
      <c r="R372" s="2">
        <v>0.3</v>
      </c>
      <c r="S372" t="str">
        <f>IF(Table1[[#This Row],[Years_Experience]]&lt;=5,"Early Career",
IF(Table1[[#This Row],[Years_Experience]]&lt;=15,"Mid Career","Senior Level"))</f>
        <v>Mid Career</v>
      </c>
      <c r="T372" t="str">
        <f>IF(Table1[[#This Row],[AI_Exposure_Index]]&gt;=0.7,"High Exposure", IF(Table1[[#This Row],[AI_Exposure_Index]]&gt;=0.3,"Medium Exposure","Low Exposure"))</f>
        <v>High Exposure</v>
      </c>
    </row>
    <row r="373" spans="1:20" x14ac:dyDescent="0.25">
      <c r="A373" t="s">
        <v>29</v>
      </c>
      <c r="B373">
        <v>49177</v>
      </c>
      <c r="C373" s="1">
        <v>0</v>
      </c>
      <c r="D373" t="s">
        <v>19</v>
      </c>
      <c r="E373" s="7">
        <v>0.85</v>
      </c>
      <c r="F373" s="2">
        <v>0.17</v>
      </c>
      <c r="G373" s="7">
        <v>0.15</v>
      </c>
      <c r="H373" s="9" t="s">
        <v>23</v>
      </c>
      <c r="I373">
        <v>0.06</v>
      </c>
      <c r="J373">
        <v>0.57999999999999996</v>
      </c>
      <c r="K373">
        <v>0.88</v>
      </c>
      <c r="L373">
        <v>0.15</v>
      </c>
      <c r="M373">
        <v>0.6</v>
      </c>
      <c r="N373">
        <v>0.66</v>
      </c>
      <c r="O373">
        <v>0.42</v>
      </c>
      <c r="P373">
        <v>0.7</v>
      </c>
      <c r="Q373">
        <v>0.41</v>
      </c>
      <c r="R373" s="2">
        <v>0.5</v>
      </c>
      <c r="S373" t="str">
        <f>IF(Table1[[#This Row],[Years_Experience]]&lt;=5,"Early Career",
IF(Table1[[#This Row],[Years_Experience]]&lt;=15,"Mid Career","Senior Level"))</f>
        <v>Early Career</v>
      </c>
      <c r="T373" t="str">
        <f>IF(Table1[[#This Row],[AI_Exposure_Index]]&gt;=0.7,"High Exposure", IF(Table1[[#This Row],[AI_Exposure_Index]]&gt;=0.3,"Medium Exposure","Low Exposure"))</f>
        <v>Low Exposure</v>
      </c>
    </row>
    <row r="374" spans="1:20" x14ac:dyDescent="0.25">
      <c r="A374" t="s">
        <v>21</v>
      </c>
      <c r="B374">
        <v>107360</v>
      </c>
      <c r="C374" s="1">
        <v>23</v>
      </c>
      <c r="D374" t="s">
        <v>19</v>
      </c>
      <c r="E374" s="7">
        <v>1.3</v>
      </c>
      <c r="F374" s="2">
        <v>0.13</v>
      </c>
      <c r="G374" s="7">
        <v>0.18</v>
      </c>
      <c r="H374" s="9" t="s">
        <v>23</v>
      </c>
      <c r="I374">
        <v>0.75</v>
      </c>
      <c r="J374">
        <v>0.31</v>
      </c>
      <c r="K374">
        <v>0.51</v>
      </c>
      <c r="L374">
        <v>0.86</v>
      </c>
      <c r="M374">
        <v>0.47</v>
      </c>
      <c r="N374">
        <v>0.36</v>
      </c>
      <c r="O374">
        <v>0.54</v>
      </c>
      <c r="P374">
        <v>0.72</v>
      </c>
      <c r="Q374">
        <v>0.44</v>
      </c>
      <c r="R374" s="2">
        <v>0.94</v>
      </c>
      <c r="S374" t="str">
        <f>IF(Table1[[#This Row],[Years_Experience]]&lt;=5,"Early Career",
IF(Table1[[#This Row],[Years_Experience]]&lt;=15,"Mid Career","Senior Level"))</f>
        <v>Senior Level</v>
      </c>
      <c r="T374" t="str">
        <f>IF(Table1[[#This Row],[AI_Exposure_Index]]&gt;=0.7,"High Exposure", IF(Table1[[#This Row],[AI_Exposure_Index]]&gt;=0.3,"Medium Exposure","Low Exposure"))</f>
        <v>Low Exposure</v>
      </c>
    </row>
    <row r="375" spans="1:20" x14ac:dyDescent="0.25">
      <c r="A375" t="s">
        <v>30</v>
      </c>
      <c r="B375">
        <v>132877</v>
      </c>
      <c r="C375" s="1">
        <v>11</v>
      </c>
      <c r="D375" t="s">
        <v>19</v>
      </c>
      <c r="E375" s="7">
        <v>1.26</v>
      </c>
      <c r="F375" s="2">
        <v>0.48</v>
      </c>
      <c r="G375" s="7">
        <v>0.57999999999999996</v>
      </c>
      <c r="H375" s="9" t="s">
        <v>27</v>
      </c>
      <c r="I375">
        <v>0.86</v>
      </c>
      <c r="J375">
        <v>1</v>
      </c>
      <c r="K375">
        <v>0.43</v>
      </c>
      <c r="L375">
        <v>0.11</v>
      </c>
      <c r="M375">
        <v>0.03</v>
      </c>
      <c r="N375">
        <v>0.73</v>
      </c>
      <c r="O375">
        <v>0.87</v>
      </c>
      <c r="P375">
        <v>0.22</v>
      </c>
      <c r="Q375">
        <v>0.16</v>
      </c>
      <c r="R375" s="2">
        <v>0.06</v>
      </c>
      <c r="S375" t="str">
        <f>IF(Table1[[#This Row],[Years_Experience]]&lt;=5,"Early Career",
IF(Table1[[#This Row],[Years_Experience]]&lt;=15,"Mid Career","Senior Level"))</f>
        <v>Mid Career</v>
      </c>
      <c r="T375" t="str">
        <f>IF(Table1[[#This Row],[AI_Exposure_Index]]&gt;=0.7,"High Exposure", IF(Table1[[#This Row],[AI_Exposure_Index]]&gt;=0.3,"Medium Exposure","Low Exposure"))</f>
        <v>Medium Exposure</v>
      </c>
    </row>
    <row r="376" spans="1:20" x14ac:dyDescent="0.25">
      <c r="A376" t="s">
        <v>32</v>
      </c>
      <c r="B376">
        <v>73158</v>
      </c>
      <c r="C376" s="1">
        <v>27</v>
      </c>
      <c r="D376" t="s">
        <v>25</v>
      </c>
      <c r="E376" s="7">
        <v>0.9</v>
      </c>
      <c r="F376" s="2">
        <v>0.31</v>
      </c>
      <c r="G376" s="7">
        <v>0.5</v>
      </c>
      <c r="H376" s="9" t="s">
        <v>27</v>
      </c>
      <c r="I376">
        <v>0.84</v>
      </c>
      <c r="J376">
        <v>0.65</v>
      </c>
      <c r="K376">
        <v>0.62</v>
      </c>
      <c r="L376">
        <v>0.18</v>
      </c>
      <c r="M376">
        <v>0.51</v>
      </c>
      <c r="N376">
        <v>0.72</v>
      </c>
      <c r="O376">
        <v>0.97</v>
      </c>
      <c r="P376">
        <v>0.2</v>
      </c>
      <c r="Q376">
        <v>0.01</v>
      </c>
      <c r="R376" s="2">
        <v>0.08</v>
      </c>
      <c r="S376" t="str">
        <f>IF(Table1[[#This Row],[Years_Experience]]&lt;=5,"Early Career",
IF(Table1[[#This Row],[Years_Experience]]&lt;=15,"Mid Career","Senior Level"))</f>
        <v>Senior Level</v>
      </c>
      <c r="T376" t="str">
        <f>IF(Table1[[#This Row],[AI_Exposure_Index]]&gt;=0.7,"High Exposure", IF(Table1[[#This Row],[AI_Exposure_Index]]&gt;=0.3,"Medium Exposure","Low Exposure"))</f>
        <v>Medium Exposure</v>
      </c>
    </row>
    <row r="377" spans="1:20" x14ac:dyDescent="0.25">
      <c r="A377" t="s">
        <v>21</v>
      </c>
      <c r="B377">
        <v>87889</v>
      </c>
      <c r="C377" s="1">
        <v>1</v>
      </c>
      <c r="D377" t="s">
        <v>22</v>
      </c>
      <c r="E377" s="7">
        <v>1.49</v>
      </c>
      <c r="F377" s="2">
        <v>0.34</v>
      </c>
      <c r="G377" s="7">
        <v>0.17</v>
      </c>
      <c r="H377" s="9" t="s">
        <v>23</v>
      </c>
      <c r="I377">
        <v>0.18</v>
      </c>
      <c r="J377">
        <v>0.89</v>
      </c>
      <c r="K377">
        <v>0.46</v>
      </c>
      <c r="L377">
        <v>0.71</v>
      </c>
      <c r="M377">
        <v>0.98</v>
      </c>
      <c r="N377">
        <v>0.05</v>
      </c>
      <c r="O377">
        <v>0.1</v>
      </c>
      <c r="P377">
        <v>0.72</v>
      </c>
      <c r="Q377">
        <v>0.28000000000000003</v>
      </c>
      <c r="R377" s="2">
        <v>0.18</v>
      </c>
      <c r="S377" t="str">
        <f>IF(Table1[[#This Row],[Years_Experience]]&lt;=5,"Early Career",
IF(Table1[[#This Row],[Years_Experience]]&lt;=15,"Mid Career","Senior Level"))</f>
        <v>Early Career</v>
      </c>
      <c r="T377" t="str">
        <f>IF(Table1[[#This Row],[AI_Exposure_Index]]&gt;=0.7,"High Exposure", IF(Table1[[#This Row],[AI_Exposure_Index]]&gt;=0.3,"Medium Exposure","Low Exposure"))</f>
        <v>Medium Exposure</v>
      </c>
    </row>
    <row r="378" spans="1:20" x14ac:dyDescent="0.25">
      <c r="A378" t="s">
        <v>39</v>
      </c>
      <c r="B378">
        <v>136196</v>
      </c>
      <c r="C378" s="1">
        <v>16</v>
      </c>
      <c r="D378" t="s">
        <v>19</v>
      </c>
      <c r="E378" s="7">
        <v>1.27</v>
      </c>
      <c r="F378" s="2">
        <v>0.02</v>
      </c>
      <c r="G378" s="7">
        <v>0.73</v>
      </c>
      <c r="H378" s="9" t="s">
        <v>20</v>
      </c>
      <c r="I378">
        <v>0.47</v>
      </c>
      <c r="J378">
        <v>0.61</v>
      </c>
      <c r="K378">
        <v>0.43</v>
      </c>
      <c r="L378">
        <v>0.03</v>
      </c>
      <c r="M378">
        <v>0.78</v>
      </c>
      <c r="N378">
        <v>0.01</v>
      </c>
      <c r="O378">
        <v>0.76</v>
      </c>
      <c r="P378">
        <v>0.89</v>
      </c>
      <c r="Q378">
        <v>0.43</v>
      </c>
      <c r="R378" s="2">
        <v>0.54</v>
      </c>
      <c r="S378" t="str">
        <f>IF(Table1[[#This Row],[Years_Experience]]&lt;=5,"Early Career",
IF(Table1[[#This Row],[Years_Experience]]&lt;=15,"Mid Career","Senior Level"))</f>
        <v>Senior Level</v>
      </c>
      <c r="T378" t="str">
        <f>IF(Table1[[#This Row],[AI_Exposure_Index]]&gt;=0.7,"High Exposure", IF(Table1[[#This Row],[AI_Exposure_Index]]&gt;=0.3,"Medium Exposure","Low Exposure"))</f>
        <v>Low Exposure</v>
      </c>
    </row>
    <row r="379" spans="1:20" x14ac:dyDescent="0.25">
      <c r="A379" t="s">
        <v>28</v>
      </c>
      <c r="B379">
        <v>133801</v>
      </c>
      <c r="C379" s="1">
        <v>11</v>
      </c>
      <c r="D379" t="s">
        <v>38</v>
      </c>
      <c r="E379" s="7">
        <v>1.39</v>
      </c>
      <c r="F379" s="2">
        <v>0.39</v>
      </c>
      <c r="G379" s="7">
        <v>0.66</v>
      </c>
      <c r="H379" s="9" t="s">
        <v>27</v>
      </c>
      <c r="I379">
        <v>0.34</v>
      </c>
      <c r="J379">
        <v>0.62</v>
      </c>
      <c r="K379">
        <v>0.93</v>
      </c>
      <c r="L379">
        <v>0.96</v>
      </c>
      <c r="M379">
        <v>0.51</v>
      </c>
      <c r="N379">
        <v>0.45</v>
      </c>
      <c r="O379">
        <v>0.28000000000000003</v>
      </c>
      <c r="P379">
        <v>0.96</v>
      </c>
      <c r="Q379">
        <v>0.14000000000000001</v>
      </c>
      <c r="R379" s="2">
        <v>0.57999999999999996</v>
      </c>
      <c r="S379" t="str">
        <f>IF(Table1[[#This Row],[Years_Experience]]&lt;=5,"Early Career",
IF(Table1[[#This Row],[Years_Experience]]&lt;=15,"Mid Career","Senior Level"))</f>
        <v>Mid Career</v>
      </c>
      <c r="T379" t="str">
        <f>IF(Table1[[#This Row],[AI_Exposure_Index]]&gt;=0.7,"High Exposure", IF(Table1[[#This Row],[AI_Exposure_Index]]&gt;=0.3,"Medium Exposure","Low Exposure"))</f>
        <v>Medium Exposure</v>
      </c>
    </row>
    <row r="380" spans="1:20" x14ac:dyDescent="0.25">
      <c r="A380" t="s">
        <v>18</v>
      </c>
      <c r="B380">
        <v>109557</v>
      </c>
      <c r="C380" s="1">
        <v>24</v>
      </c>
      <c r="D380" t="s">
        <v>38</v>
      </c>
      <c r="E380" s="7">
        <v>0.9</v>
      </c>
      <c r="F380" s="2">
        <v>0.28000000000000003</v>
      </c>
      <c r="G380" s="7">
        <v>0.95</v>
      </c>
      <c r="H380" s="9" t="s">
        <v>20</v>
      </c>
      <c r="I380">
        <v>0.05</v>
      </c>
      <c r="J380">
        <v>0.57999999999999996</v>
      </c>
      <c r="K380">
        <v>0.08</v>
      </c>
      <c r="L380">
        <v>0.15</v>
      </c>
      <c r="M380">
        <v>0.44</v>
      </c>
      <c r="N380">
        <v>0.51</v>
      </c>
      <c r="O380">
        <v>0.26</v>
      </c>
      <c r="P380">
        <v>0.32</v>
      </c>
      <c r="Q380">
        <v>0.09</v>
      </c>
      <c r="R380" s="2">
        <v>0.3</v>
      </c>
      <c r="S380" t="str">
        <f>IF(Table1[[#This Row],[Years_Experience]]&lt;=5,"Early Career",
IF(Table1[[#This Row],[Years_Experience]]&lt;=15,"Mid Career","Senior Level"))</f>
        <v>Senior Level</v>
      </c>
      <c r="T380" t="str">
        <f>IF(Table1[[#This Row],[AI_Exposure_Index]]&gt;=0.7,"High Exposure", IF(Table1[[#This Row],[AI_Exposure_Index]]&gt;=0.3,"Medium Exposure","Low Exposure"))</f>
        <v>Low Exposure</v>
      </c>
    </row>
    <row r="381" spans="1:20" x14ac:dyDescent="0.25">
      <c r="A381" t="s">
        <v>31</v>
      </c>
      <c r="B381">
        <v>54502</v>
      </c>
      <c r="C381" s="1">
        <v>15</v>
      </c>
      <c r="D381" t="s">
        <v>22</v>
      </c>
      <c r="E381" s="7">
        <v>0.83</v>
      </c>
      <c r="F381" s="2">
        <v>0.94</v>
      </c>
      <c r="G381" s="7">
        <v>0.19</v>
      </c>
      <c r="H381" s="9" t="s">
        <v>23</v>
      </c>
      <c r="I381">
        <v>0.91</v>
      </c>
      <c r="J381">
        <v>0.01</v>
      </c>
      <c r="K381">
        <v>0.81</v>
      </c>
      <c r="L381">
        <v>0.95</v>
      </c>
      <c r="M381">
        <v>0.09</v>
      </c>
      <c r="N381">
        <v>0.16</v>
      </c>
      <c r="O381">
        <v>0.96</v>
      </c>
      <c r="P381">
        <v>0.54</v>
      </c>
      <c r="Q381">
        <v>0.01</v>
      </c>
      <c r="R381" s="2">
        <v>0.26</v>
      </c>
      <c r="S381" t="str">
        <f>IF(Table1[[#This Row],[Years_Experience]]&lt;=5,"Early Career",
IF(Table1[[#This Row],[Years_Experience]]&lt;=15,"Mid Career","Senior Level"))</f>
        <v>Mid Career</v>
      </c>
      <c r="T381" t="str">
        <f>IF(Table1[[#This Row],[AI_Exposure_Index]]&gt;=0.7,"High Exposure", IF(Table1[[#This Row],[AI_Exposure_Index]]&gt;=0.3,"Medium Exposure","Low Exposure"))</f>
        <v>High Exposure</v>
      </c>
    </row>
    <row r="382" spans="1:20" x14ac:dyDescent="0.25">
      <c r="A382" t="s">
        <v>37</v>
      </c>
      <c r="B382">
        <v>128878</v>
      </c>
      <c r="C382" s="1">
        <v>29</v>
      </c>
      <c r="D382" t="s">
        <v>22</v>
      </c>
      <c r="E382" s="7">
        <v>1.23</v>
      </c>
      <c r="F382" s="2">
        <v>0.69</v>
      </c>
      <c r="G382" s="7">
        <v>0.7</v>
      </c>
      <c r="H382" s="9" t="s">
        <v>27</v>
      </c>
      <c r="I382">
        <v>0.28999999999999998</v>
      </c>
      <c r="J382">
        <v>0.54</v>
      </c>
      <c r="K382">
        <v>0.53</v>
      </c>
      <c r="L382">
        <v>0.41</v>
      </c>
      <c r="M382">
        <v>0.17</v>
      </c>
      <c r="N382">
        <v>0.98</v>
      </c>
      <c r="O382">
        <v>0.85</v>
      </c>
      <c r="P382">
        <v>0.5</v>
      </c>
      <c r="Q382">
        <v>0.6</v>
      </c>
      <c r="R382" s="2">
        <v>0.23</v>
      </c>
      <c r="S382" t="str">
        <f>IF(Table1[[#This Row],[Years_Experience]]&lt;=5,"Early Career",
IF(Table1[[#This Row],[Years_Experience]]&lt;=15,"Mid Career","Senior Level"))</f>
        <v>Senior Level</v>
      </c>
      <c r="T382" t="str">
        <f>IF(Table1[[#This Row],[AI_Exposure_Index]]&gt;=0.7,"High Exposure", IF(Table1[[#This Row],[AI_Exposure_Index]]&gt;=0.3,"Medium Exposure","Low Exposure"))</f>
        <v>Medium Exposure</v>
      </c>
    </row>
    <row r="383" spans="1:20" x14ac:dyDescent="0.25">
      <c r="A383" t="s">
        <v>29</v>
      </c>
      <c r="B383">
        <v>136802</v>
      </c>
      <c r="C383" s="1">
        <v>23</v>
      </c>
      <c r="D383" t="s">
        <v>38</v>
      </c>
      <c r="E383" s="7">
        <v>1.02</v>
      </c>
      <c r="F383" s="2">
        <v>0.69</v>
      </c>
      <c r="G383" s="7">
        <v>0.3</v>
      </c>
      <c r="H383" s="9" t="s">
        <v>23</v>
      </c>
      <c r="I383">
        <v>0.61</v>
      </c>
      <c r="J383">
        <v>0.37</v>
      </c>
      <c r="K383">
        <v>0.77</v>
      </c>
      <c r="L383">
        <v>0.17</v>
      </c>
      <c r="M383">
        <v>0.38</v>
      </c>
      <c r="N383">
        <v>0.35</v>
      </c>
      <c r="O383">
        <v>0.43</v>
      </c>
      <c r="P383">
        <v>0.78</v>
      </c>
      <c r="Q383">
        <v>0.48</v>
      </c>
      <c r="R383" s="2">
        <v>0.79</v>
      </c>
      <c r="S383" t="str">
        <f>IF(Table1[[#This Row],[Years_Experience]]&lt;=5,"Early Career",
IF(Table1[[#This Row],[Years_Experience]]&lt;=15,"Mid Career","Senior Level"))</f>
        <v>Senior Level</v>
      </c>
      <c r="T383" t="str">
        <f>IF(Table1[[#This Row],[AI_Exposure_Index]]&gt;=0.7,"High Exposure", IF(Table1[[#This Row],[AI_Exposure_Index]]&gt;=0.3,"Medium Exposure","Low Exposure"))</f>
        <v>Medium Exposure</v>
      </c>
    </row>
    <row r="384" spans="1:20" x14ac:dyDescent="0.25">
      <c r="A384" t="s">
        <v>29</v>
      </c>
      <c r="B384">
        <v>80901</v>
      </c>
      <c r="C384" s="1">
        <v>26</v>
      </c>
      <c r="D384" t="s">
        <v>19</v>
      </c>
      <c r="E384" s="7">
        <v>1.31</v>
      </c>
      <c r="F384" s="2">
        <v>0.34</v>
      </c>
      <c r="G384" s="7">
        <v>0.11</v>
      </c>
      <c r="H384" s="9" t="s">
        <v>23</v>
      </c>
      <c r="I384">
        <v>0.22</v>
      </c>
      <c r="J384">
        <v>0.5</v>
      </c>
      <c r="K384">
        <v>0.26</v>
      </c>
      <c r="L384">
        <v>0.01</v>
      </c>
      <c r="M384">
        <v>0.65</v>
      </c>
      <c r="N384">
        <v>0.51</v>
      </c>
      <c r="O384">
        <v>0.45</v>
      </c>
      <c r="P384">
        <v>0.97</v>
      </c>
      <c r="Q384">
        <v>0.56999999999999995</v>
      </c>
      <c r="R384" s="2">
        <v>0.86</v>
      </c>
      <c r="S384" t="str">
        <f>IF(Table1[[#This Row],[Years_Experience]]&lt;=5,"Early Career",
IF(Table1[[#This Row],[Years_Experience]]&lt;=15,"Mid Career","Senior Level"))</f>
        <v>Senior Level</v>
      </c>
      <c r="T384" t="str">
        <f>IF(Table1[[#This Row],[AI_Exposure_Index]]&gt;=0.7,"High Exposure", IF(Table1[[#This Row],[AI_Exposure_Index]]&gt;=0.3,"Medium Exposure","Low Exposure"))</f>
        <v>Medium Exposure</v>
      </c>
    </row>
    <row r="385" spans="1:20" x14ac:dyDescent="0.25">
      <c r="A385" t="s">
        <v>44</v>
      </c>
      <c r="B385">
        <v>96214</v>
      </c>
      <c r="C385" s="1">
        <v>16</v>
      </c>
      <c r="D385" t="s">
        <v>22</v>
      </c>
      <c r="E385" s="7">
        <v>1.37</v>
      </c>
      <c r="F385" s="2">
        <v>0.56999999999999995</v>
      </c>
      <c r="G385" s="7">
        <v>0.53</v>
      </c>
      <c r="H385" s="9" t="s">
        <v>27</v>
      </c>
      <c r="I385">
        <v>0.72</v>
      </c>
      <c r="J385">
        <v>0.37</v>
      </c>
      <c r="K385">
        <v>0.09</v>
      </c>
      <c r="L385">
        <v>0.46</v>
      </c>
      <c r="M385">
        <v>0.39</v>
      </c>
      <c r="N385">
        <v>0.87</v>
      </c>
      <c r="O385">
        <v>0.24</v>
      </c>
      <c r="P385">
        <v>0.97</v>
      </c>
      <c r="Q385">
        <v>0.96</v>
      </c>
      <c r="R385" s="2">
        <v>0.25</v>
      </c>
      <c r="S385" t="str">
        <f>IF(Table1[[#This Row],[Years_Experience]]&lt;=5,"Early Career",
IF(Table1[[#This Row],[Years_Experience]]&lt;=15,"Mid Career","Senior Level"))</f>
        <v>Senior Level</v>
      </c>
      <c r="T385" t="str">
        <f>IF(Table1[[#This Row],[AI_Exposure_Index]]&gt;=0.7,"High Exposure", IF(Table1[[#This Row],[AI_Exposure_Index]]&gt;=0.3,"Medium Exposure","Low Exposure"))</f>
        <v>Medium Exposure</v>
      </c>
    </row>
    <row r="386" spans="1:20" x14ac:dyDescent="0.25">
      <c r="A386" t="s">
        <v>28</v>
      </c>
      <c r="B386">
        <v>104755</v>
      </c>
      <c r="C386" s="1">
        <v>6</v>
      </c>
      <c r="D386" t="s">
        <v>22</v>
      </c>
      <c r="E386" s="7">
        <v>0.94</v>
      </c>
      <c r="F386" s="2">
        <v>0.97</v>
      </c>
      <c r="G386" s="7">
        <v>0.43</v>
      </c>
      <c r="H386" s="9" t="s">
        <v>27</v>
      </c>
      <c r="I386">
        <v>0.53</v>
      </c>
      <c r="J386">
        <v>0.69</v>
      </c>
      <c r="K386">
        <v>0.27</v>
      </c>
      <c r="L386">
        <v>0.74</v>
      </c>
      <c r="M386">
        <v>0.05</v>
      </c>
      <c r="N386">
        <v>0.05</v>
      </c>
      <c r="O386">
        <v>0.39</v>
      </c>
      <c r="P386">
        <v>0.35</v>
      </c>
      <c r="Q386">
        <v>0.32</v>
      </c>
      <c r="R386" s="2">
        <v>0.49</v>
      </c>
      <c r="S386" t="str">
        <f>IF(Table1[[#This Row],[Years_Experience]]&lt;=5,"Early Career",
IF(Table1[[#This Row],[Years_Experience]]&lt;=15,"Mid Career","Senior Level"))</f>
        <v>Mid Career</v>
      </c>
      <c r="T386" t="str">
        <f>IF(Table1[[#This Row],[AI_Exposure_Index]]&gt;=0.7,"High Exposure", IF(Table1[[#This Row],[AI_Exposure_Index]]&gt;=0.3,"Medium Exposure","Low Exposure"))</f>
        <v>High Exposure</v>
      </c>
    </row>
    <row r="387" spans="1:20" x14ac:dyDescent="0.25">
      <c r="A387" t="s">
        <v>30</v>
      </c>
      <c r="B387">
        <v>134580</v>
      </c>
      <c r="C387" s="1">
        <v>11</v>
      </c>
      <c r="D387" t="s">
        <v>19</v>
      </c>
      <c r="E387" s="7">
        <v>0.81</v>
      </c>
      <c r="F387" s="2">
        <v>0.19</v>
      </c>
      <c r="G387" s="7">
        <v>0.69</v>
      </c>
      <c r="H387" s="9" t="s">
        <v>27</v>
      </c>
      <c r="I387">
        <v>0.41</v>
      </c>
      <c r="J387">
        <v>0.44</v>
      </c>
      <c r="K387">
        <v>0.57999999999999996</v>
      </c>
      <c r="L387">
        <v>0.98</v>
      </c>
      <c r="M387">
        <v>0.24</v>
      </c>
      <c r="N387">
        <v>0.68</v>
      </c>
      <c r="O387">
        <v>0.72</v>
      </c>
      <c r="P387">
        <v>0.61</v>
      </c>
      <c r="Q387">
        <v>0.09</v>
      </c>
      <c r="R387" s="2">
        <v>0.68</v>
      </c>
      <c r="S387" t="str">
        <f>IF(Table1[[#This Row],[Years_Experience]]&lt;=5,"Early Career",
IF(Table1[[#This Row],[Years_Experience]]&lt;=15,"Mid Career","Senior Level"))</f>
        <v>Mid Career</v>
      </c>
      <c r="T387" t="str">
        <f>IF(Table1[[#This Row],[AI_Exposure_Index]]&gt;=0.7,"High Exposure", IF(Table1[[#This Row],[AI_Exposure_Index]]&gt;=0.3,"Medium Exposure","Low Exposure"))</f>
        <v>Low Exposure</v>
      </c>
    </row>
    <row r="388" spans="1:20" x14ac:dyDescent="0.25">
      <c r="A388" t="s">
        <v>30</v>
      </c>
      <c r="B388">
        <v>63477</v>
      </c>
      <c r="C388" s="1">
        <v>17</v>
      </c>
      <c r="D388" t="s">
        <v>22</v>
      </c>
      <c r="E388" s="7">
        <v>1.24</v>
      </c>
      <c r="F388" s="2">
        <v>0.6</v>
      </c>
      <c r="G388" s="7">
        <v>0.38</v>
      </c>
      <c r="H388" s="9" t="s">
        <v>27</v>
      </c>
      <c r="I388">
        <v>0.84</v>
      </c>
      <c r="J388">
        <v>0.03</v>
      </c>
      <c r="K388">
        <v>0.84</v>
      </c>
      <c r="L388">
        <v>0.46</v>
      </c>
      <c r="M388">
        <v>0.22</v>
      </c>
      <c r="N388">
        <v>0.13</v>
      </c>
      <c r="O388">
        <v>0.95</v>
      </c>
      <c r="P388">
        <v>7.0000000000000007E-2</v>
      </c>
      <c r="Q388">
        <v>0.2</v>
      </c>
      <c r="R388" s="2">
        <v>0.35</v>
      </c>
      <c r="S388" t="str">
        <f>IF(Table1[[#This Row],[Years_Experience]]&lt;=5,"Early Career",
IF(Table1[[#This Row],[Years_Experience]]&lt;=15,"Mid Career","Senior Level"))</f>
        <v>Senior Level</v>
      </c>
      <c r="T388" t="str">
        <f>IF(Table1[[#This Row],[AI_Exposure_Index]]&gt;=0.7,"High Exposure", IF(Table1[[#This Row],[AI_Exposure_Index]]&gt;=0.3,"Medium Exposure","Low Exposure"))</f>
        <v>Medium Exposure</v>
      </c>
    </row>
    <row r="389" spans="1:20" x14ac:dyDescent="0.25">
      <c r="A389" t="s">
        <v>26</v>
      </c>
      <c r="B389">
        <v>142134</v>
      </c>
      <c r="C389" s="1">
        <v>12</v>
      </c>
      <c r="D389" t="s">
        <v>22</v>
      </c>
      <c r="E389" s="7">
        <v>0.63</v>
      </c>
      <c r="F389" s="2">
        <v>0.54</v>
      </c>
      <c r="G389" s="7">
        <v>0.42</v>
      </c>
      <c r="H389" s="9" t="s">
        <v>27</v>
      </c>
      <c r="I389">
        <v>0.24</v>
      </c>
      <c r="J389">
        <v>0.21</v>
      </c>
      <c r="K389">
        <v>0.41</v>
      </c>
      <c r="L389">
        <v>0.7</v>
      </c>
      <c r="M389">
        <v>0.22</v>
      </c>
      <c r="N389">
        <v>0.37</v>
      </c>
      <c r="O389">
        <v>0.39</v>
      </c>
      <c r="P389">
        <v>0.98</v>
      </c>
      <c r="Q389">
        <v>0.95</v>
      </c>
      <c r="R389" s="2">
        <v>0.8</v>
      </c>
      <c r="S389" t="str">
        <f>IF(Table1[[#This Row],[Years_Experience]]&lt;=5,"Early Career",
IF(Table1[[#This Row],[Years_Experience]]&lt;=15,"Mid Career","Senior Level"))</f>
        <v>Mid Career</v>
      </c>
      <c r="T389" t="str">
        <f>IF(Table1[[#This Row],[AI_Exposure_Index]]&gt;=0.7,"High Exposure", IF(Table1[[#This Row],[AI_Exposure_Index]]&gt;=0.3,"Medium Exposure","Low Exposure"))</f>
        <v>Medium Exposure</v>
      </c>
    </row>
    <row r="390" spans="1:20" x14ac:dyDescent="0.25">
      <c r="A390" t="s">
        <v>40</v>
      </c>
      <c r="B390">
        <v>119080</v>
      </c>
      <c r="C390" s="1">
        <v>4</v>
      </c>
      <c r="D390" t="s">
        <v>19</v>
      </c>
      <c r="E390" s="7">
        <v>0.82</v>
      </c>
      <c r="F390" s="2">
        <v>7.0000000000000007E-2</v>
      </c>
      <c r="G390" s="7">
        <v>0.12</v>
      </c>
      <c r="H390" s="9" t="s">
        <v>23</v>
      </c>
      <c r="I390">
        <v>0.51</v>
      </c>
      <c r="J390">
        <v>0.78</v>
      </c>
      <c r="K390">
        <v>0.86</v>
      </c>
      <c r="L390">
        <v>0.84</v>
      </c>
      <c r="M390">
        <v>0.36</v>
      </c>
      <c r="N390">
        <v>0.69</v>
      </c>
      <c r="O390">
        <v>0.31</v>
      </c>
      <c r="P390">
        <v>0.06</v>
      </c>
      <c r="Q390">
        <v>0.7</v>
      </c>
      <c r="R390" s="2">
        <v>0.01</v>
      </c>
      <c r="S390" t="str">
        <f>IF(Table1[[#This Row],[Years_Experience]]&lt;=5,"Early Career",
IF(Table1[[#This Row],[Years_Experience]]&lt;=15,"Mid Career","Senior Level"))</f>
        <v>Early Career</v>
      </c>
      <c r="T390" t="str">
        <f>IF(Table1[[#This Row],[AI_Exposure_Index]]&gt;=0.7,"High Exposure", IF(Table1[[#This Row],[AI_Exposure_Index]]&gt;=0.3,"Medium Exposure","Low Exposure"))</f>
        <v>Low Exposure</v>
      </c>
    </row>
    <row r="391" spans="1:20" x14ac:dyDescent="0.25">
      <c r="A391" t="s">
        <v>33</v>
      </c>
      <c r="B391">
        <v>42467</v>
      </c>
      <c r="C391" s="1">
        <v>1</v>
      </c>
      <c r="D391" t="s">
        <v>19</v>
      </c>
      <c r="E391" s="7">
        <v>1.19</v>
      </c>
      <c r="F391" s="2">
        <v>0.33</v>
      </c>
      <c r="G391" s="7">
        <v>0.89</v>
      </c>
      <c r="H391" s="9" t="s">
        <v>20</v>
      </c>
      <c r="I391">
        <v>0.3</v>
      </c>
      <c r="J391">
        <v>0.81</v>
      </c>
      <c r="K391">
        <v>0.28999999999999998</v>
      </c>
      <c r="L391">
        <v>0.45</v>
      </c>
      <c r="M391">
        <v>0.73</v>
      </c>
      <c r="N391">
        <v>0.69</v>
      </c>
      <c r="O391">
        <v>0.99</v>
      </c>
      <c r="P391">
        <v>0.23</v>
      </c>
      <c r="Q391">
        <v>0.66</v>
      </c>
      <c r="R391" s="2">
        <v>0.61</v>
      </c>
      <c r="S391" t="str">
        <f>IF(Table1[[#This Row],[Years_Experience]]&lt;=5,"Early Career",
IF(Table1[[#This Row],[Years_Experience]]&lt;=15,"Mid Career","Senior Level"))</f>
        <v>Early Career</v>
      </c>
      <c r="T391" t="str">
        <f>IF(Table1[[#This Row],[AI_Exposure_Index]]&gt;=0.7,"High Exposure", IF(Table1[[#This Row],[AI_Exposure_Index]]&gt;=0.3,"Medium Exposure","Low Exposure"))</f>
        <v>Medium Exposure</v>
      </c>
    </row>
    <row r="392" spans="1:20" x14ac:dyDescent="0.25">
      <c r="A392" t="s">
        <v>36</v>
      </c>
      <c r="B392">
        <v>100601</v>
      </c>
      <c r="C392" s="1">
        <v>0</v>
      </c>
      <c r="D392" t="s">
        <v>38</v>
      </c>
      <c r="E392" s="7">
        <v>0.93</v>
      </c>
      <c r="F392" s="2">
        <v>0.4</v>
      </c>
      <c r="G392" s="7">
        <v>0.53</v>
      </c>
      <c r="H392" s="9" t="s">
        <v>27</v>
      </c>
      <c r="I392">
        <v>0</v>
      </c>
      <c r="J392">
        <v>0.26</v>
      </c>
      <c r="K392">
        <v>0.52</v>
      </c>
      <c r="L392">
        <v>0.72</v>
      </c>
      <c r="M392">
        <v>0.17</v>
      </c>
      <c r="N392">
        <v>0.55000000000000004</v>
      </c>
      <c r="O392">
        <v>0.71</v>
      </c>
      <c r="P392">
        <v>0.44</v>
      </c>
      <c r="Q392">
        <v>0.03</v>
      </c>
      <c r="R392" s="2">
        <v>0.45</v>
      </c>
      <c r="S392" t="str">
        <f>IF(Table1[[#This Row],[Years_Experience]]&lt;=5,"Early Career",
IF(Table1[[#This Row],[Years_Experience]]&lt;=15,"Mid Career","Senior Level"))</f>
        <v>Early Career</v>
      </c>
      <c r="T392" t="str">
        <f>IF(Table1[[#This Row],[AI_Exposure_Index]]&gt;=0.7,"High Exposure", IF(Table1[[#This Row],[AI_Exposure_Index]]&gt;=0.3,"Medium Exposure","Low Exposure"))</f>
        <v>Medium Exposure</v>
      </c>
    </row>
    <row r="393" spans="1:20" x14ac:dyDescent="0.25">
      <c r="A393" t="s">
        <v>33</v>
      </c>
      <c r="B393">
        <v>148764</v>
      </c>
      <c r="C393" s="1">
        <v>1</v>
      </c>
      <c r="D393" t="s">
        <v>25</v>
      </c>
      <c r="E393" s="7">
        <v>0.62</v>
      </c>
      <c r="F393" s="2">
        <v>0.93</v>
      </c>
      <c r="G393" s="7">
        <v>0.86</v>
      </c>
      <c r="H393" s="9" t="s">
        <v>20</v>
      </c>
      <c r="I393">
        <v>0.05</v>
      </c>
      <c r="J393">
        <v>0.45</v>
      </c>
      <c r="K393">
        <v>0.55000000000000004</v>
      </c>
      <c r="L393">
        <v>0.3</v>
      </c>
      <c r="M393">
        <v>0.46</v>
      </c>
      <c r="N393">
        <v>0.16</v>
      </c>
      <c r="O393">
        <v>0.3</v>
      </c>
      <c r="P393">
        <v>0.62</v>
      </c>
      <c r="Q393">
        <v>0.3</v>
      </c>
      <c r="R393" s="2">
        <v>0.9</v>
      </c>
      <c r="S393" t="str">
        <f>IF(Table1[[#This Row],[Years_Experience]]&lt;=5,"Early Career",
IF(Table1[[#This Row],[Years_Experience]]&lt;=15,"Mid Career","Senior Level"))</f>
        <v>Early Career</v>
      </c>
      <c r="T393" t="str">
        <f>IF(Table1[[#This Row],[AI_Exposure_Index]]&gt;=0.7,"High Exposure", IF(Table1[[#This Row],[AI_Exposure_Index]]&gt;=0.3,"Medium Exposure","Low Exposure"))</f>
        <v>High Exposure</v>
      </c>
    </row>
    <row r="394" spans="1:20" x14ac:dyDescent="0.25">
      <c r="A394" t="s">
        <v>43</v>
      </c>
      <c r="B394">
        <v>113795</v>
      </c>
      <c r="C394" s="1">
        <v>24</v>
      </c>
      <c r="D394" t="s">
        <v>22</v>
      </c>
      <c r="E394" s="7">
        <v>0.54</v>
      </c>
      <c r="F394" s="2">
        <v>0.44</v>
      </c>
      <c r="G394" s="7">
        <v>0.17</v>
      </c>
      <c r="H394" s="9" t="s">
        <v>23</v>
      </c>
      <c r="I394">
        <v>0.76</v>
      </c>
      <c r="J394">
        <v>0.27</v>
      </c>
      <c r="K394">
        <v>0.81</v>
      </c>
      <c r="L394">
        <v>0.25</v>
      </c>
      <c r="M394">
        <v>0.82</v>
      </c>
      <c r="N394">
        <v>0.09</v>
      </c>
      <c r="O394">
        <v>0.87</v>
      </c>
      <c r="P394">
        <v>0.5</v>
      </c>
      <c r="Q394">
        <v>0.3</v>
      </c>
      <c r="R394" s="2">
        <v>0.27</v>
      </c>
      <c r="S394" t="str">
        <f>IF(Table1[[#This Row],[Years_Experience]]&lt;=5,"Early Career",
IF(Table1[[#This Row],[Years_Experience]]&lt;=15,"Mid Career","Senior Level"))</f>
        <v>Senior Level</v>
      </c>
      <c r="T394" t="str">
        <f>IF(Table1[[#This Row],[AI_Exposure_Index]]&gt;=0.7,"High Exposure", IF(Table1[[#This Row],[AI_Exposure_Index]]&gt;=0.3,"Medium Exposure","Low Exposure"))</f>
        <v>Medium Exposure</v>
      </c>
    </row>
    <row r="395" spans="1:20" x14ac:dyDescent="0.25">
      <c r="A395" t="s">
        <v>42</v>
      </c>
      <c r="B395">
        <v>45994</v>
      </c>
      <c r="C395" s="1">
        <v>15</v>
      </c>
      <c r="D395" t="s">
        <v>19</v>
      </c>
      <c r="E395" s="7">
        <v>0.72</v>
      </c>
      <c r="F395" s="2">
        <v>1</v>
      </c>
      <c r="G395" s="7">
        <v>0.34</v>
      </c>
      <c r="H395" s="9" t="s">
        <v>27</v>
      </c>
      <c r="I395">
        <v>0.59</v>
      </c>
      <c r="J395">
        <v>0.49</v>
      </c>
      <c r="K395">
        <v>0.52</v>
      </c>
      <c r="L395">
        <v>0.67</v>
      </c>
      <c r="M395">
        <v>0.27</v>
      </c>
      <c r="N395">
        <v>0.91</v>
      </c>
      <c r="O395">
        <v>0.44</v>
      </c>
      <c r="P395">
        <v>0.13</v>
      </c>
      <c r="Q395">
        <v>0.74</v>
      </c>
      <c r="R395" s="2">
        <v>0.64</v>
      </c>
      <c r="S395" t="str">
        <f>IF(Table1[[#This Row],[Years_Experience]]&lt;=5,"Early Career",
IF(Table1[[#This Row],[Years_Experience]]&lt;=15,"Mid Career","Senior Level"))</f>
        <v>Mid Career</v>
      </c>
      <c r="T395" t="str">
        <f>IF(Table1[[#This Row],[AI_Exposure_Index]]&gt;=0.7,"High Exposure", IF(Table1[[#This Row],[AI_Exposure_Index]]&gt;=0.3,"Medium Exposure","Low Exposure"))</f>
        <v>High Exposure</v>
      </c>
    </row>
    <row r="396" spans="1:20" x14ac:dyDescent="0.25">
      <c r="A396" t="s">
        <v>29</v>
      </c>
      <c r="B396">
        <v>66701</v>
      </c>
      <c r="C396" s="1">
        <v>25</v>
      </c>
      <c r="D396" t="s">
        <v>25</v>
      </c>
      <c r="E396" s="7">
        <v>0.72</v>
      </c>
      <c r="F396" s="2">
        <v>0.62</v>
      </c>
      <c r="G396" s="7">
        <v>0.16</v>
      </c>
      <c r="H396" s="9" t="s">
        <v>23</v>
      </c>
      <c r="I396">
        <v>0.9</v>
      </c>
      <c r="J396">
        <v>0.13</v>
      </c>
      <c r="K396">
        <v>0.39</v>
      </c>
      <c r="L396">
        <v>0.82</v>
      </c>
      <c r="M396">
        <v>0.97</v>
      </c>
      <c r="N396">
        <v>0.45</v>
      </c>
      <c r="O396">
        <v>0.51</v>
      </c>
      <c r="P396">
        <v>0.56999999999999995</v>
      </c>
      <c r="Q396">
        <v>0.93</v>
      </c>
      <c r="R396" s="2">
        <v>0.86</v>
      </c>
      <c r="S396" t="str">
        <f>IF(Table1[[#This Row],[Years_Experience]]&lt;=5,"Early Career",
IF(Table1[[#This Row],[Years_Experience]]&lt;=15,"Mid Career","Senior Level"))</f>
        <v>Senior Level</v>
      </c>
      <c r="T396" t="str">
        <f>IF(Table1[[#This Row],[AI_Exposure_Index]]&gt;=0.7,"High Exposure", IF(Table1[[#This Row],[AI_Exposure_Index]]&gt;=0.3,"Medium Exposure","Low Exposure"))</f>
        <v>Medium Exposure</v>
      </c>
    </row>
    <row r="397" spans="1:20" x14ac:dyDescent="0.25">
      <c r="A397" t="s">
        <v>31</v>
      </c>
      <c r="B397">
        <v>63785</v>
      </c>
      <c r="C397" s="1">
        <v>18</v>
      </c>
      <c r="D397" t="s">
        <v>22</v>
      </c>
      <c r="E397" s="7">
        <v>0.96</v>
      </c>
      <c r="F397" s="2">
        <v>0.44</v>
      </c>
      <c r="G397" s="7">
        <v>0.25</v>
      </c>
      <c r="H397" s="9" t="s">
        <v>23</v>
      </c>
      <c r="I397">
        <v>0.6</v>
      </c>
      <c r="J397">
        <v>0.65</v>
      </c>
      <c r="K397">
        <v>1</v>
      </c>
      <c r="L397">
        <v>7.0000000000000007E-2</v>
      </c>
      <c r="M397">
        <v>0.22</v>
      </c>
      <c r="N397">
        <v>0.41</v>
      </c>
      <c r="O397">
        <v>0.35</v>
      </c>
      <c r="P397">
        <v>0.02</v>
      </c>
      <c r="Q397">
        <v>0.09</v>
      </c>
      <c r="R397" s="2">
        <v>0.68</v>
      </c>
      <c r="S397" t="str">
        <f>IF(Table1[[#This Row],[Years_Experience]]&lt;=5,"Early Career",
IF(Table1[[#This Row],[Years_Experience]]&lt;=15,"Mid Career","Senior Level"))</f>
        <v>Senior Level</v>
      </c>
      <c r="T397" t="str">
        <f>IF(Table1[[#This Row],[AI_Exposure_Index]]&gt;=0.7,"High Exposure", IF(Table1[[#This Row],[AI_Exposure_Index]]&gt;=0.3,"Medium Exposure","Low Exposure"))</f>
        <v>Medium Exposure</v>
      </c>
    </row>
    <row r="398" spans="1:20" x14ac:dyDescent="0.25">
      <c r="A398" t="s">
        <v>35</v>
      </c>
      <c r="B398">
        <v>122282</v>
      </c>
      <c r="C398" s="1">
        <v>0</v>
      </c>
      <c r="D398" t="s">
        <v>25</v>
      </c>
      <c r="E398" s="7">
        <v>1.04</v>
      </c>
      <c r="F398" s="2">
        <v>0.51</v>
      </c>
      <c r="G398" s="7">
        <v>0.4</v>
      </c>
      <c r="H398" s="9" t="s">
        <v>27</v>
      </c>
      <c r="I398">
        <v>0.77</v>
      </c>
      <c r="J398">
        <v>0.75</v>
      </c>
      <c r="K398">
        <v>0.59</v>
      </c>
      <c r="L398">
        <v>0.21</v>
      </c>
      <c r="M398">
        <v>0.1</v>
      </c>
      <c r="N398">
        <v>0.06</v>
      </c>
      <c r="O398">
        <v>0.59</v>
      </c>
      <c r="P398">
        <v>0.83</v>
      </c>
      <c r="Q398">
        <v>0.86</v>
      </c>
      <c r="R398" s="2">
        <v>0.46</v>
      </c>
      <c r="S398" t="str">
        <f>IF(Table1[[#This Row],[Years_Experience]]&lt;=5,"Early Career",
IF(Table1[[#This Row],[Years_Experience]]&lt;=15,"Mid Career","Senior Level"))</f>
        <v>Early Career</v>
      </c>
      <c r="T398" t="str">
        <f>IF(Table1[[#This Row],[AI_Exposure_Index]]&gt;=0.7,"High Exposure", IF(Table1[[#This Row],[AI_Exposure_Index]]&gt;=0.3,"Medium Exposure","Low Exposure"))</f>
        <v>Medium Exposure</v>
      </c>
    </row>
    <row r="399" spans="1:20" x14ac:dyDescent="0.25">
      <c r="A399" t="s">
        <v>32</v>
      </c>
      <c r="B399">
        <v>30229</v>
      </c>
      <c r="C399" s="1">
        <v>28</v>
      </c>
      <c r="D399" t="s">
        <v>19</v>
      </c>
      <c r="E399" s="7">
        <v>0.78</v>
      </c>
      <c r="F399" s="2">
        <v>0.95</v>
      </c>
      <c r="G399" s="7">
        <v>0.46</v>
      </c>
      <c r="H399" s="9" t="s">
        <v>27</v>
      </c>
      <c r="I399">
        <v>0.93</v>
      </c>
      <c r="J399">
        <v>0.34</v>
      </c>
      <c r="K399">
        <v>0.91</v>
      </c>
      <c r="L399">
        <v>0.98</v>
      </c>
      <c r="M399">
        <v>0.66</v>
      </c>
      <c r="N399">
        <v>0.82</v>
      </c>
      <c r="O399">
        <v>0.75</v>
      </c>
      <c r="P399">
        <v>0.7</v>
      </c>
      <c r="Q399">
        <v>0.31</v>
      </c>
      <c r="R399" s="2">
        <v>0.06</v>
      </c>
      <c r="S399" t="str">
        <f>IF(Table1[[#This Row],[Years_Experience]]&lt;=5,"Early Career",
IF(Table1[[#This Row],[Years_Experience]]&lt;=15,"Mid Career","Senior Level"))</f>
        <v>Senior Level</v>
      </c>
      <c r="T399" t="str">
        <f>IF(Table1[[#This Row],[AI_Exposure_Index]]&gt;=0.7,"High Exposure", IF(Table1[[#This Row],[AI_Exposure_Index]]&gt;=0.3,"Medium Exposure","Low Exposure"))</f>
        <v>High Exposure</v>
      </c>
    </row>
    <row r="400" spans="1:20" x14ac:dyDescent="0.25">
      <c r="A400" t="s">
        <v>43</v>
      </c>
      <c r="B400">
        <v>45620</v>
      </c>
      <c r="C400" s="1">
        <v>29</v>
      </c>
      <c r="D400" t="s">
        <v>25</v>
      </c>
      <c r="E400" s="7">
        <v>0.6</v>
      </c>
      <c r="F400" s="2">
        <v>0.67</v>
      </c>
      <c r="G400" s="7">
        <v>0.05</v>
      </c>
      <c r="H400" s="9" t="s">
        <v>23</v>
      </c>
      <c r="I400">
        <v>0.14000000000000001</v>
      </c>
      <c r="J400">
        <v>0.72</v>
      </c>
      <c r="K400">
        <v>0.97</v>
      </c>
      <c r="L400">
        <v>0.98</v>
      </c>
      <c r="M400">
        <v>0.49</v>
      </c>
      <c r="N400">
        <v>0.87</v>
      </c>
      <c r="O400">
        <v>0.74</v>
      </c>
      <c r="P400">
        <v>0.5</v>
      </c>
      <c r="Q400">
        <v>0.56999999999999995</v>
      </c>
      <c r="R400" s="2">
        <v>0.14000000000000001</v>
      </c>
      <c r="S400" t="str">
        <f>IF(Table1[[#This Row],[Years_Experience]]&lt;=5,"Early Career",
IF(Table1[[#This Row],[Years_Experience]]&lt;=15,"Mid Career","Senior Level"))</f>
        <v>Senior Level</v>
      </c>
      <c r="T400" t="str">
        <f>IF(Table1[[#This Row],[AI_Exposure_Index]]&gt;=0.7,"High Exposure", IF(Table1[[#This Row],[AI_Exposure_Index]]&gt;=0.3,"Medium Exposure","Low Exposure"))</f>
        <v>Medium Exposure</v>
      </c>
    </row>
    <row r="401" spans="1:20" x14ac:dyDescent="0.25">
      <c r="A401" t="s">
        <v>40</v>
      </c>
      <c r="B401">
        <v>68104</v>
      </c>
      <c r="C401" s="1">
        <v>10</v>
      </c>
      <c r="D401" t="s">
        <v>25</v>
      </c>
      <c r="E401" s="7">
        <v>0.95</v>
      </c>
      <c r="F401" s="2">
        <v>0.35</v>
      </c>
      <c r="G401" s="7">
        <v>0.22</v>
      </c>
      <c r="H401" s="9" t="s">
        <v>23</v>
      </c>
      <c r="I401">
        <v>0.33</v>
      </c>
      <c r="J401">
        <v>0.25</v>
      </c>
      <c r="K401">
        <v>0.63</v>
      </c>
      <c r="L401">
        <v>0.02</v>
      </c>
      <c r="M401">
        <v>0.72</v>
      </c>
      <c r="N401">
        <v>0.51</v>
      </c>
      <c r="O401">
        <v>0.61</v>
      </c>
      <c r="P401">
        <v>0.63</v>
      </c>
      <c r="Q401">
        <v>0.53</v>
      </c>
      <c r="R401" s="2">
        <v>0.57999999999999996</v>
      </c>
      <c r="S401" t="str">
        <f>IF(Table1[[#This Row],[Years_Experience]]&lt;=5,"Early Career",
IF(Table1[[#This Row],[Years_Experience]]&lt;=15,"Mid Career","Senior Level"))</f>
        <v>Mid Career</v>
      </c>
      <c r="T401" t="str">
        <f>IF(Table1[[#This Row],[AI_Exposure_Index]]&gt;=0.7,"High Exposure", IF(Table1[[#This Row],[AI_Exposure_Index]]&gt;=0.3,"Medium Exposure","Low Exposure"))</f>
        <v>Medium Exposure</v>
      </c>
    </row>
    <row r="402" spans="1:20" x14ac:dyDescent="0.25">
      <c r="A402" t="s">
        <v>36</v>
      </c>
      <c r="B402">
        <v>78733</v>
      </c>
      <c r="C402" s="1">
        <v>25</v>
      </c>
      <c r="D402" t="s">
        <v>38</v>
      </c>
      <c r="E402" s="7">
        <v>1.23</v>
      </c>
      <c r="F402" s="2">
        <v>0.75</v>
      </c>
      <c r="G402" s="7">
        <v>0.65</v>
      </c>
      <c r="H402" s="9" t="s">
        <v>27</v>
      </c>
      <c r="I402">
        <v>0.19</v>
      </c>
      <c r="J402">
        <v>0.4</v>
      </c>
      <c r="K402">
        <v>0.95</v>
      </c>
      <c r="L402">
        <v>0.4</v>
      </c>
      <c r="M402">
        <v>0.12</v>
      </c>
      <c r="N402">
        <v>0.53</v>
      </c>
      <c r="O402">
        <v>0.11</v>
      </c>
      <c r="P402">
        <v>0.2</v>
      </c>
      <c r="Q402">
        <v>1</v>
      </c>
      <c r="R402" s="2">
        <v>0.54</v>
      </c>
      <c r="S402" t="str">
        <f>IF(Table1[[#This Row],[Years_Experience]]&lt;=5,"Early Career",
IF(Table1[[#This Row],[Years_Experience]]&lt;=15,"Mid Career","Senior Level"))</f>
        <v>Senior Level</v>
      </c>
      <c r="T402" t="str">
        <f>IF(Table1[[#This Row],[AI_Exposure_Index]]&gt;=0.7,"High Exposure", IF(Table1[[#This Row],[AI_Exposure_Index]]&gt;=0.3,"Medium Exposure","Low Exposure"))</f>
        <v>High Exposure</v>
      </c>
    </row>
    <row r="403" spans="1:20" x14ac:dyDescent="0.25">
      <c r="A403" t="s">
        <v>36</v>
      </c>
      <c r="B403">
        <v>33320</v>
      </c>
      <c r="C403" s="1">
        <v>26</v>
      </c>
      <c r="D403" t="s">
        <v>22</v>
      </c>
      <c r="E403" s="7">
        <v>0.53</v>
      </c>
      <c r="F403" s="2">
        <v>0.27</v>
      </c>
      <c r="G403" s="7">
        <v>0.59</v>
      </c>
      <c r="H403" s="9" t="s">
        <v>27</v>
      </c>
      <c r="I403">
        <v>0.63</v>
      </c>
      <c r="J403">
        <v>0.57999999999999996</v>
      </c>
      <c r="K403">
        <v>0.74</v>
      </c>
      <c r="L403">
        <v>0.68</v>
      </c>
      <c r="M403">
        <v>0.21</v>
      </c>
      <c r="N403">
        <v>0.35</v>
      </c>
      <c r="O403">
        <v>0.13</v>
      </c>
      <c r="P403">
        <v>0.13</v>
      </c>
      <c r="Q403">
        <v>0.68</v>
      </c>
      <c r="R403" s="2">
        <v>0.86</v>
      </c>
      <c r="S403" t="str">
        <f>IF(Table1[[#This Row],[Years_Experience]]&lt;=5,"Early Career",
IF(Table1[[#This Row],[Years_Experience]]&lt;=15,"Mid Career","Senior Level"))</f>
        <v>Senior Level</v>
      </c>
      <c r="T403" t="str">
        <f>IF(Table1[[#This Row],[AI_Exposure_Index]]&gt;=0.7,"High Exposure", IF(Table1[[#This Row],[AI_Exposure_Index]]&gt;=0.3,"Medium Exposure","Low Exposure"))</f>
        <v>Low Exposure</v>
      </c>
    </row>
    <row r="404" spans="1:20" x14ac:dyDescent="0.25">
      <c r="A404" t="s">
        <v>36</v>
      </c>
      <c r="B404">
        <v>137648</v>
      </c>
      <c r="C404" s="1">
        <v>22</v>
      </c>
      <c r="D404" t="s">
        <v>22</v>
      </c>
      <c r="E404" s="7">
        <v>0.68</v>
      </c>
      <c r="F404" s="2">
        <v>0.63</v>
      </c>
      <c r="G404" s="7">
        <v>0.34</v>
      </c>
      <c r="H404" s="9" t="s">
        <v>27</v>
      </c>
      <c r="I404">
        <v>0.81</v>
      </c>
      <c r="J404">
        <v>0.57999999999999996</v>
      </c>
      <c r="K404">
        <v>0.62</v>
      </c>
      <c r="L404">
        <v>0.78</v>
      </c>
      <c r="M404">
        <v>0.7</v>
      </c>
      <c r="N404">
        <v>0.83</v>
      </c>
      <c r="O404">
        <v>0.06</v>
      </c>
      <c r="P404">
        <v>0.75</v>
      </c>
      <c r="Q404">
        <v>0.85</v>
      </c>
      <c r="R404" s="2">
        <v>0.28999999999999998</v>
      </c>
      <c r="S404" t="str">
        <f>IF(Table1[[#This Row],[Years_Experience]]&lt;=5,"Early Career",
IF(Table1[[#This Row],[Years_Experience]]&lt;=15,"Mid Career","Senior Level"))</f>
        <v>Senior Level</v>
      </c>
      <c r="T404" t="str">
        <f>IF(Table1[[#This Row],[AI_Exposure_Index]]&gt;=0.7,"High Exposure", IF(Table1[[#This Row],[AI_Exposure_Index]]&gt;=0.3,"Medium Exposure","Low Exposure"))</f>
        <v>Medium Exposure</v>
      </c>
    </row>
    <row r="405" spans="1:20" x14ac:dyDescent="0.25">
      <c r="A405" t="s">
        <v>42</v>
      </c>
      <c r="B405">
        <v>53104</v>
      </c>
      <c r="C405" s="1">
        <v>0</v>
      </c>
      <c r="D405" t="s">
        <v>19</v>
      </c>
      <c r="E405" s="7">
        <v>1.46</v>
      </c>
      <c r="F405" s="2">
        <v>0.31</v>
      </c>
      <c r="G405" s="7">
        <v>0.31</v>
      </c>
      <c r="H405" s="9" t="s">
        <v>27</v>
      </c>
      <c r="I405">
        <v>0.57999999999999996</v>
      </c>
      <c r="J405">
        <v>0.17</v>
      </c>
      <c r="K405">
        <v>0.71</v>
      </c>
      <c r="L405">
        <v>0.18</v>
      </c>
      <c r="M405">
        <v>0.24</v>
      </c>
      <c r="N405">
        <v>0.49</v>
      </c>
      <c r="O405">
        <v>0.91</v>
      </c>
      <c r="P405">
        <v>0.21</v>
      </c>
      <c r="Q405">
        <v>0.14000000000000001</v>
      </c>
      <c r="R405" s="2">
        <v>0.76</v>
      </c>
      <c r="S405" t="str">
        <f>IF(Table1[[#This Row],[Years_Experience]]&lt;=5,"Early Career",
IF(Table1[[#This Row],[Years_Experience]]&lt;=15,"Mid Career","Senior Level"))</f>
        <v>Early Career</v>
      </c>
      <c r="T405" t="str">
        <f>IF(Table1[[#This Row],[AI_Exposure_Index]]&gt;=0.7,"High Exposure", IF(Table1[[#This Row],[AI_Exposure_Index]]&gt;=0.3,"Medium Exposure","Low Exposure"))</f>
        <v>Medium Exposure</v>
      </c>
    </row>
    <row r="406" spans="1:20" x14ac:dyDescent="0.25">
      <c r="A406" t="s">
        <v>39</v>
      </c>
      <c r="B406">
        <v>69451</v>
      </c>
      <c r="C406" s="1">
        <v>3</v>
      </c>
      <c r="D406" t="s">
        <v>38</v>
      </c>
      <c r="E406" s="7">
        <v>0.65</v>
      </c>
      <c r="F406" s="2">
        <v>0.91</v>
      </c>
      <c r="G406" s="7">
        <v>0.86</v>
      </c>
      <c r="H406" s="9" t="s">
        <v>20</v>
      </c>
      <c r="I406">
        <v>0.23</v>
      </c>
      <c r="J406">
        <v>0.16</v>
      </c>
      <c r="K406">
        <v>0.68</v>
      </c>
      <c r="L406">
        <v>0.59</v>
      </c>
      <c r="M406">
        <v>0.75</v>
      </c>
      <c r="N406">
        <v>0.31</v>
      </c>
      <c r="O406">
        <v>0.45</v>
      </c>
      <c r="P406">
        <v>0.41</v>
      </c>
      <c r="Q406">
        <v>0.98</v>
      </c>
      <c r="R406" s="2">
        <v>0.28999999999999998</v>
      </c>
      <c r="S406" t="str">
        <f>IF(Table1[[#This Row],[Years_Experience]]&lt;=5,"Early Career",
IF(Table1[[#This Row],[Years_Experience]]&lt;=15,"Mid Career","Senior Level"))</f>
        <v>Early Career</v>
      </c>
      <c r="T406" t="str">
        <f>IF(Table1[[#This Row],[AI_Exposure_Index]]&gt;=0.7,"High Exposure", IF(Table1[[#This Row],[AI_Exposure_Index]]&gt;=0.3,"Medium Exposure","Low Exposure"))</f>
        <v>High Exposure</v>
      </c>
    </row>
    <row r="407" spans="1:20" x14ac:dyDescent="0.25">
      <c r="A407" t="s">
        <v>28</v>
      </c>
      <c r="B407">
        <v>104854</v>
      </c>
      <c r="C407" s="1">
        <v>8</v>
      </c>
      <c r="D407" t="s">
        <v>19</v>
      </c>
      <c r="E407" s="7">
        <v>1.06</v>
      </c>
      <c r="F407" s="2">
        <v>0.35</v>
      </c>
      <c r="G407" s="7">
        <v>0.4</v>
      </c>
      <c r="H407" s="9" t="s">
        <v>27</v>
      </c>
      <c r="I407">
        <v>0.92</v>
      </c>
      <c r="J407">
        <v>0.27</v>
      </c>
      <c r="K407">
        <v>0.9</v>
      </c>
      <c r="L407">
        <v>0.1</v>
      </c>
      <c r="M407">
        <v>0.66</v>
      </c>
      <c r="N407">
        <v>0.91</v>
      </c>
      <c r="O407">
        <v>0.17</v>
      </c>
      <c r="P407">
        <v>0.97</v>
      </c>
      <c r="Q407">
        <v>0.45</v>
      </c>
      <c r="R407" s="2">
        <v>0.95</v>
      </c>
      <c r="S407" t="str">
        <f>IF(Table1[[#This Row],[Years_Experience]]&lt;=5,"Early Career",
IF(Table1[[#This Row],[Years_Experience]]&lt;=15,"Mid Career","Senior Level"))</f>
        <v>Mid Career</v>
      </c>
      <c r="T407" t="str">
        <f>IF(Table1[[#This Row],[AI_Exposure_Index]]&gt;=0.7,"High Exposure", IF(Table1[[#This Row],[AI_Exposure_Index]]&gt;=0.3,"Medium Exposure","Low Exposure"))</f>
        <v>Medium Exposure</v>
      </c>
    </row>
    <row r="408" spans="1:20" x14ac:dyDescent="0.25">
      <c r="A408" t="s">
        <v>44</v>
      </c>
      <c r="B408">
        <v>35147</v>
      </c>
      <c r="C408" s="1">
        <v>12</v>
      </c>
      <c r="D408" t="s">
        <v>25</v>
      </c>
      <c r="E408" s="7">
        <v>0.69</v>
      </c>
      <c r="F408" s="2">
        <v>0.3</v>
      </c>
      <c r="G408" s="7">
        <v>0.42</v>
      </c>
      <c r="H408" s="9" t="s">
        <v>27</v>
      </c>
      <c r="I408">
        <v>0.09</v>
      </c>
      <c r="J408">
        <v>0.14000000000000001</v>
      </c>
      <c r="K408">
        <v>0.1</v>
      </c>
      <c r="L408">
        <v>0.42</v>
      </c>
      <c r="M408">
        <v>0.8</v>
      </c>
      <c r="N408">
        <v>0.14000000000000001</v>
      </c>
      <c r="O408">
        <v>0.13</v>
      </c>
      <c r="P408">
        <v>0.64</v>
      </c>
      <c r="Q408">
        <v>0.2</v>
      </c>
      <c r="R408" s="2">
        <v>0.1</v>
      </c>
      <c r="S408" t="str">
        <f>IF(Table1[[#This Row],[Years_Experience]]&lt;=5,"Early Career",
IF(Table1[[#This Row],[Years_Experience]]&lt;=15,"Mid Career","Senior Level"))</f>
        <v>Mid Career</v>
      </c>
      <c r="T408" t="str">
        <f>IF(Table1[[#This Row],[AI_Exposure_Index]]&gt;=0.7,"High Exposure", IF(Table1[[#This Row],[AI_Exposure_Index]]&gt;=0.3,"Medium Exposure","Low Exposure"))</f>
        <v>Medium Exposure</v>
      </c>
    </row>
    <row r="409" spans="1:20" x14ac:dyDescent="0.25">
      <c r="A409" t="s">
        <v>37</v>
      </c>
      <c r="B409">
        <v>68563</v>
      </c>
      <c r="C409" s="1">
        <v>3</v>
      </c>
      <c r="D409" t="s">
        <v>19</v>
      </c>
      <c r="E409" s="7">
        <v>1.32</v>
      </c>
      <c r="F409" s="2">
        <v>0.92</v>
      </c>
      <c r="G409" s="7">
        <v>0.44</v>
      </c>
      <c r="H409" s="9" t="s">
        <v>27</v>
      </c>
      <c r="I409">
        <v>0.66</v>
      </c>
      <c r="J409">
        <v>0.54</v>
      </c>
      <c r="K409">
        <v>0.68</v>
      </c>
      <c r="L409">
        <v>0.68</v>
      </c>
      <c r="M409">
        <v>0.63</v>
      </c>
      <c r="N409">
        <v>0.27</v>
      </c>
      <c r="O409">
        <v>0.04</v>
      </c>
      <c r="P409">
        <v>0.46</v>
      </c>
      <c r="Q409">
        <v>0.89</v>
      </c>
      <c r="R409" s="2">
        <v>0.56999999999999995</v>
      </c>
      <c r="S409" t="str">
        <f>IF(Table1[[#This Row],[Years_Experience]]&lt;=5,"Early Career",
IF(Table1[[#This Row],[Years_Experience]]&lt;=15,"Mid Career","Senior Level"))</f>
        <v>Early Career</v>
      </c>
      <c r="T409" t="str">
        <f>IF(Table1[[#This Row],[AI_Exposure_Index]]&gt;=0.7,"High Exposure", IF(Table1[[#This Row],[AI_Exposure_Index]]&gt;=0.3,"Medium Exposure","Low Exposure"))</f>
        <v>High Exposure</v>
      </c>
    </row>
    <row r="410" spans="1:20" x14ac:dyDescent="0.25">
      <c r="A410" t="s">
        <v>29</v>
      </c>
      <c r="B410">
        <v>133496</v>
      </c>
      <c r="C410" s="1">
        <v>13</v>
      </c>
      <c r="D410" t="s">
        <v>25</v>
      </c>
      <c r="E410" s="7">
        <v>0.68</v>
      </c>
      <c r="F410" s="2">
        <v>0.34</v>
      </c>
      <c r="G410" s="7">
        <v>0.05</v>
      </c>
      <c r="H410" s="9" t="s">
        <v>23</v>
      </c>
      <c r="I410">
        <v>0.47</v>
      </c>
      <c r="J410">
        <v>0.69</v>
      </c>
      <c r="K410">
        <v>0.23</v>
      </c>
      <c r="L410">
        <v>0.13</v>
      </c>
      <c r="M410">
        <v>0.89</v>
      </c>
      <c r="N410">
        <v>0.28000000000000003</v>
      </c>
      <c r="O410">
        <v>0.22</v>
      </c>
      <c r="P410">
        <v>0.86</v>
      </c>
      <c r="Q410">
        <v>0.82</v>
      </c>
      <c r="R410" s="2">
        <v>0.45</v>
      </c>
      <c r="S410" t="str">
        <f>IF(Table1[[#This Row],[Years_Experience]]&lt;=5,"Early Career",
IF(Table1[[#This Row],[Years_Experience]]&lt;=15,"Mid Career","Senior Level"))</f>
        <v>Mid Career</v>
      </c>
      <c r="T410" t="str">
        <f>IF(Table1[[#This Row],[AI_Exposure_Index]]&gt;=0.7,"High Exposure", IF(Table1[[#This Row],[AI_Exposure_Index]]&gt;=0.3,"Medium Exposure","Low Exposure"))</f>
        <v>Medium Exposure</v>
      </c>
    </row>
    <row r="411" spans="1:20" x14ac:dyDescent="0.25">
      <c r="A411" t="s">
        <v>18</v>
      </c>
      <c r="B411">
        <v>79692</v>
      </c>
      <c r="C411" s="1">
        <v>6</v>
      </c>
      <c r="D411" t="s">
        <v>38</v>
      </c>
      <c r="E411" s="7">
        <v>0.57999999999999996</v>
      </c>
      <c r="F411" s="2">
        <v>0.22</v>
      </c>
      <c r="G411" s="7">
        <v>0.84</v>
      </c>
      <c r="H411" s="9" t="s">
        <v>20</v>
      </c>
      <c r="I411">
        <v>0.1</v>
      </c>
      <c r="J411">
        <v>0.45</v>
      </c>
      <c r="K411">
        <v>0.94</v>
      </c>
      <c r="L411">
        <v>0.95</v>
      </c>
      <c r="M411">
        <v>0.24</v>
      </c>
      <c r="N411">
        <v>0.62</v>
      </c>
      <c r="O411">
        <v>0.47</v>
      </c>
      <c r="P411">
        <v>0.88</v>
      </c>
      <c r="Q411">
        <v>0.27</v>
      </c>
      <c r="R411" s="2">
        <v>0</v>
      </c>
      <c r="S411" t="str">
        <f>IF(Table1[[#This Row],[Years_Experience]]&lt;=5,"Early Career",
IF(Table1[[#This Row],[Years_Experience]]&lt;=15,"Mid Career","Senior Level"))</f>
        <v>Mid Career</v>
      </c>
      <c r="T411" t="str">
        <f>IF(Table1[[#This Row],[AI_Exposure_Index]]&gt;=0.7,"High Exposure", IF(Table1[[#This Row],[AI_Exposure_Index]]&gt;=0.3,"Medium Exposure","Low Exposure"))</f>
        <v>Low Exposure</v>
      </c>
    </row>
    <row r="412" spans="1:20" x14ac:dyDescent="0.25">
      <c r="A412" t="s">
        <v>43</v>
      </c>
      <c r="B412">
        <v>135585</v>
      </c>
      <c r="C412" s="1">
        <v>13</v>
      </c>
      <c r="D412" t="s">
        <v>25</v>
      </c>
      <c r="E412" s="7">
        <v>0.82</v>
      </c>
      <c r="F412" s="2">
        <v>0.35</v>
      </c>
      <c r="G412" s="7">
        <v>0.25</v>
      </c>
      <c r="H412" s="9" t="s">
        <v>23</v>
      </c>
      <c r="I412">
        <v>0.68</v>
      </c>
      <c r="J412">
        <v>0.3</v>
      </c>
      <c r="K412">
        <v>0.46</v>
      </c>
      <c r="L412">
        <v>0.1</v>
      </c>
      <c r="M412">
        <v>0.9</v>
      </c>
      <c r="N412">
        <v>0.94</v>
      </c>
      <c r="O412">
        <v>0.98</v>
      </c>
      <c r="P412">
        <v>0.87</v>
      </c>
      <c r="Q412">
        <v>0.17</v>
      </c>
      <c r="R412" s="2">
        <v>0.05</v>
      </c>
      <c r="S412" t="str">
        <f>IF(Table1[[#This Row],[Years_Experience]]&lt;=5,"Early Career",
IF(Table1[[#This Row],[Years_Experience]]&lt;=15,"Mid Career","Senior Level"))</f>
        <v>Mid Career</v>
      </c>
      <c r="T412" t="str">
        <f>IF(Table1[[#This Row],[AI_Exposure_Index]]&gt;=0.7,"High Exposure", IF(Table1[[#This Row],[AI_Exposure_Index]]&gt;=0.3,"Medium Exposure","Low Exposure"))</f>
        <v>Medium Exposure</v>
      </c>
    </row>
    <row r="413" spans="1:20" x14ac:dyDescent="0.25">
      <c r="A413" t="s">
        <v>44</v>
      </c>
      <c r="B413">
        <v>59545</v>
      </c>
      <c r="C413" s="1">
        <v>17</v>
      </c>
      <c r="D413" t="s">
        <v>38</v>
      </c>
      <c r="E413" s="7">
        <v>0.68</v>
      </c>
      <c r="F413" s="2">
        <v>0.91</v>
      </c>
      <c r="G413" s="7">
        <v>0.3</v>
      </c>
      <c r="H413" s="9" t="s">
        <v>23</v>
      </c>
      <c r="I413">
        <v>0.81</v>
      </c>
      <c r="J413">
        <v>0.08</v>
      </c>
      <c r="K413">
        <v>0.41</v>
      </c>
      <c r="L413">
        <v>0.68</v>
      </c>
      <c r="M413">
        <v>0.24</v>
      </c>
      <c r="N413">
        <v>0.08</v>
      </c>
      <c r="O413">
        <v>0.77</v>
      </c>
      <c r="P413">
        <v>0.63</v>
      </c>
      <c r="Q413">
        <v>0.99</v>
      </c>
      <c r="R413" s="2">
        <v>0.34</v>
      </c>
      <c r="S413" t="str">
        <f>IF(Table1[[#This Row],[Years_Experience]]&lt;=5,"Early Career",
IF(Table1[[#This Row],[Years_Experience]]&lt;=15,"Mid Career","Senior Level"))</f>
        <v>Senior Level</v>
      </c>
      <c r="T413" t="str">
        <f>IF(Table1[[#This Row],[AI_Exposure_Index]]&gt;=0.7,"High Exposure", IF(Table1[[#This Row],[AI_Exposure_Index]]&gt;=0.3,"Medium Exposure","Low Exposure"))</f>
        <v>High Exposure</v>
      </c>
    </row>
    <row r="414" spans="1:20" x14ac:dyDescent="0.25">
      <c r="A414" t="s">
        <v>36</v>
      </c>
      <c r="B414">
        <v>138777</v>
      </c>
      <c r="C414" s="1">
        <v>0</v>
      </c>
      <c r="D414" t="s">
        <v>22</v>
      </c>
      <c r="E414" s="7">
        <v>0.6</v>
      </c>
      <c r="F414" s="2">
        <v>0.3</v>
      </c>
      <c r="G414" s="7">
        <v>0.41</v>
      </c>
      <c r="H414" s="9" t="s">
        <v>27</v>
      </c>
      <c r="I414">
        <v>0.82</v>
      </c>
      <c r="J414">
        <v>0.38</v>
      </c>
      <c r="K414">
        <v>0.09</v>
      </c>
      <c r="L414">
        <v>0.34</v>
      </c>
      <c r="M414">
        <v>0.98</v>
      </c>
      <c r="N414">
        <v>0.63</v>
      </c>
      <c r="O414">
        <v>0.42</v>
      </c>
      <c r="P414">
        <v>0.17</v>
      </c>
      <c r="Q414">
        <v>0.99</v>
      </c>
      <c r="R414" s="2">
        <v>0.82</v>
      </c>
      <c r="S414" t="str">
        <f>IF(Table1[[#This Row],[Years_Experience]]&lt;=5,"Early Career",
IF(Table1[[#This Row],[Years_Experience]]&lt;=15,"Mid Career","Senior Level"))</f>
        <v>Early Career</v>
      </c>
      <c r="T414" t="str">
        <f>IF(Table1[[#This Row],[AI_Exposure_Index]]&gt;=0.7,"High Exposure", IF(Table1[[#This Row],[AI_Exposure_Index]]&gt;=0.3,"Medium Exposure","Low Exposure"))</f>
        <v>Medium Exposure</v>
      </c>
    </row>
    <row r="415" spans="1:20" x14ac:dyDescent="0.25">
      <c r="A415" t="s">
        <v>42</v>
      </c>
      <c r="B415">
        <v>88760</v>
      </c>
      <c r="C415" s="1">
        <v>1</v>
      </c>
      <c r="D415" t="s">
        <v>25</v>
      </c>
      <c r="E415" s="7">
        <v>0.56000000000000005</v>
      </c>
      <c r="F415" s="2">
        <v>7.0000000000000007E-2</v>
      </c>
      <c r="G415" s="7">
        <v>0.35</v>
      </c>
      <c r="H415" s="9" t="s">
        <v>27</v>
      </c>
      <c r="I415">
        <v>0.57999999999999996</v>
      </c>
      <c r="J415">
        <v>0.93</v>
      </c>
      <c r="K415">
        <v>0.5</v>
      </c>
      <c r="L415">
        <v>0.84</v>
      </c>
      <c r="M415">
        <v>0.45</v>
      </c>
      <c r="N415">
        <v>0.71</v>
      </c>
      <c r="O415">
        <v>0.73</v>
      </c>
      <c r="P415">
        <v>0.17</v>
      </c>
      <c r="Q415">
        <v>0.36</v>
      </c>
      <c r="R415" s="2">
        <v>0.64</v>
      </c>
      <c r="S415" t="str">
        <f>IF(Table1[[#This Row],[Years_Experience]]&lt;=5,"Early Career",
IF(Table1[[#This Row],[Years_Experience]]&lt;=15,"Mid Career","Senior Level"))</f>
        <v>Early Career</v>
      </c>
      <c r="T415" t="str">
        <f>IF(Table1[[#This Row],[AI_Exposure_Index]]&gt;=0.7,"High Exposure", IF(Table1[[#This Row],[AI_Exposure_Index]]&gt;=0.3,"Medium Exposure","Low Exposure"))</f>
        <v>Low Exposure</v>
      </c>
    </row>
    <row r="416" spans="1:20" x14ac:dyDescent="0.25">
      <c r="A416" t="s">
        <v>42</v>
      </c>
      <c r="B416">
        <v>106870</v>
      </c>
      <c r="C416" s="1">
        <v>5</v>
      </c>
      <c r="D416" t="s">
        <v>38</v>
      </c>
      <c r="E416" s="7">
        <v>0.8</v>
      </c>
      <c r="F416" s="2">
        <v>0.57999999999999996</v>
      </c>
      <c r="G416" s="7">
        <v>0.31</v>
      </c>
      <c r="H416" s="9" t="s">
        <v>27</v>
      </c>
      <c r="I416">
        <v>0.63</v>
      </c>
      <c r="J416">
        <v>0.86</v>
      </c>
      <c r="K416">
        <v>0.34</v>
      </c>
      <c r="L416">
        <v>0.39</v>
      </c>
      <c r="M416">
        <v>0.89</v>
      </c>
      <c r="N416">
        <v>0.81</v>
      </c>
      <c r="O416">
        <v>0.71</v>
      </c>
      <c r="P416">
        <v>0.25</v>
      </c>
      <c r="Q416">
        <v>0.91</v>
      </c>
      <c r="R416" s="2">
        <v>0.15</v>
      </c>
      <c r="S416" t="str">
        <f>IF(Table1[[#This Row],[Years_Experience]]&lt;=5,"Early Career",
IF(Table1[[#This Row],[Years_Experience]]&lt;=15,"Mid Career","Senior Level"))</f>
        <v>Early Career</v>
      </c>
      <c r="T416" t="str">
        <f>IF(Table1[[#This Row],[AI_Exposure_Index]]&gt;=0.7,"High Exposure", IF(Table1[[#This Row],[AI_Exposure_Index]]&gt;=0.3,"Medium Exposure","Low Exposure"))</f>
        <v>Medium Exposure</v>
      </c>
    </row>
    <row r="417" spans="1:20" x14ac:dyDescent="0.25">
      <c r="A417" t="s">
        <v>21</v>
      </c>
      <c r="B417">
        <v>32147</v>
      </c>
      <c r="C417" s="1">
        <v>7</v>
      </c>
      <c r="D417" t="s">
        <v>38</v>
      </c>
      <c r="E417" s="7">
        <v>1.1399999999999999</v>
      </c>
      <c r="F417" s="2">
        <v>0.03</v>
      </c>
      <c r="G417" s="7">
        <v>0.12</v>
      </c>
      <c r="H417" s="9" t="s">
        <v>23</v>
      </c>
      <c r="I417">
        <v>0.45</v>
      </c>
      <c r="J417">
        <v>0.35</v>
      </c>
      <c r="K417">
        <v>0.17</v>
      </c>
      <c r="L417">
        <v>0.62</v>
      </c>
      <c r="M417">
        <v>0.88</v>
      </c>
      <c r="N417">
        <v>0.96</v>
      </c>
      <c r="O417">
        <v>0.19</v>
      </c>
      <c r="P417">
        <v>0.72</v>
      </c>
      <c r="Q417">
        <v>0.66</v>
      </c>
      <c r="R417" s="2">
        <v>0.34</v>
      </c>
      <c r="S417" t="str">
        <f>IF(Table1[[#This Row],[Years_Experience]]&lt;=5,"Early Career",
IF(Table1[[#This Row],[Years_Experience]]&lt;=15,"Mid Career","Senior Level"))</f>
        <v>Mid Career</v>
      </c>
      <c r="T417" t="str">
        <f>IF(Table1[[#This Row],[AI_Exposure_Index]]&gt;=0.7,"High Exposure", IF(Table1[[#This Row],[AI_Exposure_Index]]&gt;=0.3,"Medium Exposure","Low Exposure"))</f>
        <v>Low Exposure</v>
      </c>
    </row>
    <row r="418" spans="1:20" x14ac:dyDescent="0.25">
      <c r="A418" t="s">
        <v>26</v>
      </c>
      <c r="B418">
        <v>140463</v>
      </c>
      <c r="C418" s="1">
        <v>7</v>
      </c>
      <c r="D418" t="s">
        <v>19</v>
      </c>
      <c r="E418" s="7">
        <v>1.45</v>
      </c>
      <c r="F418" s="2">
        <v>0.69</v>
      </c>
      <c r="G418" s="7">
        <v>0.55000000000000004</v>
      </c>
      <c r="H418" s="9" t="s">
        <v>27</v>
      </c>
      <c r="I418">
        <v>0.44</v>
      </c>
      <c r="J418">
        <v>0.53</v>
      </c>
      <c r="K418">
        <v>0.2</v>
      </c>
      <c r="L418">
        <v>0.75</v>
      </c>
      <c r="M418">
        <v>0.75</v>
      </c>
      <c r="N418">
        <v>0.15</v>
      </c>
      <c r="O418">
        <v>0.88</v>
      </c>
      <c r="P418">
        <v>0.27</v>
      </c>
      <c r="Q418">
        <v>0.98</v>
      </c>
      <c r="R418" s="2">
        <v>0.38</v>
      </c>
      <c r="S418" t="str">
        <f>IF(Table1[[#This Row],[Years_Experience]]&lt;=5,"Early Career",
IF(Table1[[#This Row],[Years_Experience]]&lt;=15,"Mid Career","Senior Level"))</f>
        <v>Mid Career</v>
      </c>
      <c r="T418" t="str">
        <f>IF(Table1[[#This Row],[AI_Exposure_Index]]&gt;=0.7,"High Exposure", IF(Table1[[#This Row],[AI_Exposure_Index]]&gt;=0.3,"Medium Exposure","Low Exposure"))</f>
        <v>Medium Exposure</v>
      </c>
    </row>
    <row r="419" spans="1:20" x14ac:dyDescent="0.25">
      <c r="A419" t="s">
        <v>41</v>
      </c>
      <c r="B419">
        <v>148623</v>
      </c>
      <c r="C419" s="1">
        <v>11</v>
      </c>
      <c r="D419" t="s">
        <v>38</v>
      </c>
      <c r="E419" s="7">
        <v>0.94</v>
      </c>
      <c r="F419" s="2">
        <v>0.35</v>
      </c>
      <c r="G419" s="7">
        <v>0.72</v>
      </c>
      <c r="H419" s="9" t="s">
        <v>20</v>
      </c>
      <c r="I419">
        <v>0.57999999999999996</v>
      </c>
      <c r="J419">
        <v>0.6</v>
      </c>
      <c r="K419">
        <v>0.74</v>
      </c>
      <c r="L419">
        <v>0.03</v>
      </c>
      <c r="M419">
        <v>0.54</v>
      </c>
      <c r="N419">
        <v>0.05</v>
      </c>
      <c r="O419">
        <v>0.7</v>
      </c>
      <c r="P419">
        <v>0.06</v>
      </c>
      <c r="Q419">
        <v>0.91</v>
      </c>
      <c r="R419" s="2">
        <v>0.7</v>
      </c>
      <c r="S419" t="str">
        <f>IF(Table1[[#This Row],[Years_Experience]]&lt;=5,"Early Career",
IF(Table1[[#This Row],[Years_Experience]]&lt;=15,"Mid Career","Senior Level"))</f>
        <v>Mid Career</v>
      </c>
      <c r="T419" t="str">
        <f>IF(Table1[[#This Row],[AI_Exposure_Index]]&gt;=0.7,"High Exposure", IF(Table1[[#This Row],[AI_Exposure_Index]]&gt;=0.3,"Medium Exposure","Low Exposure"))</f>
        <v>Medium Exposure</v>
      </c>
    </row>
    <row r="420" spans="1:20" x14ac:dyDescent="0.25">
      <c r="A420" t="s">
        <v>21</v>
      </c>
      <c r="B420">
        <v>49360</v>
      </c>
      <c r="C420" s="1">
        <v>25</v>
      </c>
      <c r="D420" t="s">
        <v>38</v>
      </c>
      <c r="E420" s="7">
        <v>0.63</v>
      </c>
      <c r="F420" s="2">
        <v>0.44</v>
      </c>
      <c r="G420" s="7">
        <v>0.12</v>
      </c>
      <c r="H420" s="9" t="s">
        <v>23</v>
      </c>
      <c r="I420">
        <v>0.87</v>
      </c>
      <c r="J420">
        <v>0.9</v>
      </c>
      <c r="K420">
        <v>0</v>
      </c>
      <c r="L420">
        <v>0.59</v>
      </c>
      <c r="M420">
        <v>0.72</v>
      </c>
      <c r="N420">
        <v>0.62</v>
      </c>
      <c r="O420">
        <v>0.08</v>
      </c>
      <c r="P420">
        <v>0.22</v>
      </c>
      <c r="Q420">
        <v>0.25</v>
      </c>
      <c r="R420" s="2">
        <v>0.83</v>
      </c>
      <c r="S420" t="str">
        <f>IF(Table1[[#This Row],[Years_Experience]]&lt;=5,"Early Career",
IF(Table1[[#This Row],[Years_Experience]]&lt;=15,"Mid Career","Senior Level"))</f>
        <v>Senior Level</v>
      </c>
      <c r="T420" t="str">
        <f>IF(Table1[[#This Row],[AI_Exposure_Index]]&gt;=0.7,"High Exposure", IF(Table1[[#This Row],[AI_Exposure_Index]]&gt;=0.3,"Medium Exposure","Low Exposure"))</f>
        <v>Medium Exposure</v>
      </c>
    </row>
    <row r="421" spans="1:20" x14ac:dyDescent="0.25">
      <c r="A421" t="s">
        <v>34</v>
      </c>
      <c r="B421">
        <v>45605</v>
      </c>
      <c r="C421" s="1">
        <v>5</v>
      </c>
      <c r="D421" t="s">
        <v>19</v>
      </c>
      <c r="E421" s="7">
        <v>1.43</v>
      </c>
      <c r="F421" s="2">
        <v>0.49</v>
      </c>
      <c r="G421" s="7">
        <v>0.55000000000000004</v>
      </c>
      <c r="H421" s="9" t="s">
        <v>27</v>
      </c>
      <c r="I421">
        <v>0.9</v>
      </c>
      <c r="J421">
        <v>0.46</v>
      </c>
      <c r="K421">
        <v>0.15</v>
      </c>
      <c r="L421">
        <v>0.93</v>
      </c>
      <c r="M421">
        <v>0.46</v>
      </c>
      <c r="N421">
        <v>0.18</v>
      </c>
      <c r="O421">
        <v>0.3</v>
      </c>
      <c r="P421">
        <v>0.05</v>
      </c>
      <c r="Q421">
        <v>0.47</v>
      </c>
      <c r="R421" s="2">
        <v>0.85</v>
      </c>
      <c r="S421" t="str">
        <f>IF(Table1[[#This Row],[Years_Experience]]&lt;=5,"Early Career",
IF(Table1[[#This Row],[Years_Experience]]&lt;=15,"Mid Career","Senior Level"))</f>
        <v>Early Career</v>
      </c>
      <c r="T421" t="str">
        <f>IF(Table1[[#This Row],[AI_Exposure_Index]]&gt;=0.7,"High Exposure", IF(Table1[[#This Row],[AI_Exposure_Index]]&gt;=0.3,"Medium Exposure","Low Exposure"))</f>
        <v>Medium Exposure</v>
      </c>
    </row>
    <row r="422" spans="1:20" x14ac:dyDescent="0.25">
      <c r="A422" t="s">
        <v>34</v>
      </c>
      <c r="B422">
        <v>103953</v>
      </c>
      <c r="C422" s="1">
        <v>18</v>
      </c>
      <c r="D422" t="s">
        <v>19</v>
      </c>
      <c r="E422" s="7">
        <v>0.63</v>
      </c>
      <c r="F422" s="2">
        <v>0.93</v>
      </c>
      <c r="G422" s="7">
        <v>0.45</v>
      </c>
      <c r="H422" s="9" t="s">
        <v>27</v>
      </c>
      <c r="I422">
        <v>0.03</v>
      </c>
      <c r="J422">
        <v>0.86</v>
      </c>
      <c r="K422">
        <v>0.36</v>
      </c>
      <c r="L422">
        <v>0.63</v>
      </c>
      <c r="M422">
        <v>0.71</v>
      </c>
      <c r="N422">
        <v>0.43</v>
      </c>
      <c r="O422">
        <v>0.31</v>
      </c>
      <c r="P422">
        <v>0.96</v>
      </c>
      <c r="Q422">
        <v>0.96</v>
      </c>
      <c r="R422" s="2">
        <v>0.28999999999999998</v>
      </c>
      <c r="S422" t="str">
        <f>IF(Table1[[#This Row],[Years_Experience]]&lt;=5,"Early Career",
IF(Table1[[#This Row],[Years_Experience]]&lt;=15,"Mid Career","Senior Level"))</f>
        <v>Senior Level</v>
      </c>
      <c r="T422" t="str">
        <f>IF(Table1[[#This Row],[AI_Exposure_Index]]&gt;=0.7,"High Exposure", IF(Table1[[#This Row],[AI_Exposure_Index]]&gt;=0.3,"Medium Exposure","Low Exposure"))</f>
        <v>High Exposure</v>
      </c>
    </row>
    <row r="423" spans="1:20" x14ac:dyDescent="0.25">
      <c r="A423" t="s">
        <v>44</v>
      </c>
      <c r="B423">
        <v>76531</v>
      </c>
      <c r="C423" s="1">
        <v>4</v>
      </c>
      <c r="D423" t="s">
        <v>25</v>
      </c>
      <c r="E423" s="7">
        <v>0.5</v>
      </c>
      <c r="F423" s="2">
        <v>0.97</v>
      </c>
      <c r="G423" s="7">
        <v>0.47</v>
      </c>
      <c r="H423" s="9" t="s">
        <v>27</v>
      </c>
      <c r="I423">
        <v>0.1</v>
      </c>
      <c r="J423">
        <v>0.51</v>
      </c>
      <c r="K423">
        <v>0.02</v>
      </c>
      <c r="L423">
        <v>0.41</v>
      </c>
      <c r="M423">
        <v>0.22</v>
      </c>
      <c r="N423">
        <v>0.53</v>
      </c>
      <c r="O423">
        <v>1</v>
      </c>
      <c r="P423">
        <v>0.8</v>
      </c>
      <c r="Q423">
        <v>0.85</v>
      </c>
      <c r="R423" s="2">
        <v>0.64</v>
      </c>
      <c r="S423" t="str">
        <f>IF(Table1[[#This Row],[Years_Experience]]&lt;=5,"Early Career",
IF(Table1[[#This Row],[Years_Experience]]&lt;=15,"Mid Career","Senior Level"))</f>
        <v>Early Career</v>
      </c>
      <c r="T423" t="str">
        <f>IF(Table1[[#This Row],[AI_Exposure_Index]]&gt;=0.7,"High Exposure", IF(Table1[[#This Row],[AI_Exposure_Index]]&gt;=0.3,"Medium Exposure","Low Exposure"))</f>
        <v>High Exposure</v>
      </c>
    </row>
    <row r="424" spans="1:20" x14ac:dyDescent="0.25">
      <c r="A424" t="s">
        <v>24</v>
      </c>
      <c r="B424">
        <v>139198</v>
      </c>
      <c r="C424" s="1">
        <v>27</v>
      </c>
      <c r="D424" t="s">
        <v>22</v>
      </c>
      <c r="E424" s="7">
        <v>1.43</v>
      </c>
      <c r="F424" s="2">
        <v>0.21</v>
      </c>
      <c r="G424" s="7">
        <v>0.79</v>
      </c>
      <c r="H424" s="9" t="s">
        <v>20</v>
      </c>
      <c r="I424">
        <v>0.1</v>
      </c>
      <c r="J424">
        <v>0.7</v>
      </c>
      <c r="K424">
        <v>0.3</v>
      </c>
      <c r="L424">
        <v>0.27</v>
      </c>
      <c r="M424">
        <v>1</v>
      </c>
      <c r="N424">
        <v>0.86</v>
      </c>
      <c r="O424">
        <v>0.41</v>
      </c>
      <c r="P424">
        <v>0.98</v>
      </c>
      <c r="Q424">
        <v>0.65</v>
      </c>
      <c r="R424" s="2">
        <v>0.74</v>
      </c>
      <c r="S424" t="str">
        <f>IF(Table1[[#This Row],[Years_Experience]]&lt;=5,"Early Career",
IF(Table1[[#This Row],[Years_Experience]]&lt;=15,"Mid Career","Senior Level"))</f>
        <v>Senior Level</v>
      </c>
      <c r="T424" t="str">
        <f>IF(Table1[[#This Row],[AI_Exposure_Index]]&gt;=0.7,"High Exposure", IF(Table1[[#This Row],[AI_Exposure_Index]]&gt;=0.3,"Medium Exposure","Low Exposure"))</f>
        <v>Low Exposure</v>
      </c>
    </row>
    <row r="425" spans="1:20" x14ac:dyDescent="0.25">
      <c r="A425" t="s">
        <v>28</v>
      </c>
      <c r="B425">
        <v>111199</v>
      </c>
      <c r="C425" s="1">
        <v>0</v>
      </c>
      <c r="D425" t="s">
        <v>38</v>
      </c>
      <c r="E425" s="7">
        <v>1.1299999999999999</v>
      </c>
      <c r="F425" s="2">
        <v>0.12</v>
      </c>
      <c r="G425" s="7">
        <v>0.66</v>
      </c>
      <c r="H425" s="9" t="s">
        <v>27</v>
      </c>
      <c r="I425">
        <v>0.62</v>
      </c>
      <c r="J425">
        <v>0.13</v>
      </c>
      <c r="K425">
        <v>0.12</v>
      </c>
      <c r="L425">
        <v>0.84</v>
      </c>
      <c r="M425">
        <v>0.14000000000000001</v>
      </c>
      <c r="N425">
        <v>0.52</v>
      </c>
      <c r="O425">
        <v>0.04</v>
      </c>
      <c r="P425">
        <v>0.08</v>
      </c>
      <c r="Q425">
        <v>0.67</v>
      </c>
      <c r="R425" s="2">
        <v>0.69</v>
      </c>
      <c r="S425" t="str">
        <f>IF(Table1[[#This Row],[Years_Experience]]&lt;=5,"Early Career",
IF(Table1[[#This Row],[Years_Experience]]&lt;=15,"Mid Career","Senior Level"))</f>
        <v>Early Career</v>
      </c>
      <c r="T425" t="str">
        <f>IF(Table1[[#This Row],[AI_Exposure_Index]]&gt;=0.7,"High Exposure", IF(Table1[[#This Row],[AI_Exposure_Index]]&gt;=0.3,"Medium Exposure","Low Exposure"))</f>
        <v>Low Exposure</v>
      </c>
    </row>
    <row r="426" spans="1:20" x14ac:dyDescent="0.25">
      <c r="A426" t="s">
        <v>34</v>
      </c>
      <c r="B426">
        <v>65321</v>
      </c>
      <c r="C426" s="1">
        <v>19</v>
      </c>
      <c r="D426" t="s">
        <v>22</v>
      </c>
      <c r="E426" s="7">
        <v>1.31</v>
      </c>
      <c r="F426" s="2">
        <v>0.22</v>
      </c>
      <c r="G426" s="7">
        <v>0.39</v>
      </c>
      <c r="H426" s="9" t="s">
        <v>27</v>
      </c>
      <c r="I426">
        <v>0.54</v>
      </c>
      <c r="J426">
        <v>0.97</v>
      </c>
      <c r="K426">
        <v>0.15</v>
      </c>
      <c r="L426">
        <v>0.94</v>
      </c>
      <c r="M426">
        <v>0.18</v>
      </c>
      <c r="N426">
        <v>0.56999999999999995</v>
      </c>
      <c r="O426">
        <v>0.38</v>
      </c>
      <c r="P426">
        <v>0.96</v>
      </c>
      <c r="Q426">
        <v>0.27</v>
      </c>
      <c r="R426" s="2">
        <v>0.4</v>
      </c>
      <c r="S426" t="str">
        <f>IF(Table1[[#This Row],[Years_Experience]]&lt;=5,"Early Career",
IF(Table1[[#This Row],[Years_Experience]]&lt;=15,"Mid Career","Senior Level"))</f>
        <v>Senior Level</v>
      </c>
      <c r="T426" t="str">
        <f>IF(Table1[[#This Row],[AI_Exposure_Index]]&gt;=0.7,"High Exposure", IF(Table1[[#This Row],[AI_Exposure_Index]]&gt;=0.3,"Medium Exposure","Low Exposure"))</f>
        <v>Low Exposure</v>
      </c>
    </row>
    <row r="427" spans="1:20" x14ac:dyDescent="0.25">
      <c r="A427" t="s">
        <v>35</v>
      </c>
      <c r="B427">
        <v>77218</v>
      </c>
      <c r="C427" s="1">
        <v>27</v>
      </c>
      <c r="D427" t="s">
        <v>25</v>
      </c>
      <c r="E427" s="7">
        <v>1</v>
      </c>
      <c r="F427" s="2">
        <v>0.54</v>
      </c>
      <c r="G427" s="7">
        <v>0.4</v>
      </c>
      <c r="H427" s="9" t="s">
        <v>27</v>
      </c>
      <c r="I427">
        <v>0.7</v>
      </c>
      <c r="J427">
        <v>0.01</v>
      </c>
      <c r="K427">
        <v>0.05</v>
      </c>
      <c r="L427">
        <v>0.6</v>
      </c>
      <c r="M427">
        <v>0.34</v>
      </c>
      <c r="N427">
        <v>0.95</v>
      </c>
      <c r="O427">
        <v>0.9</v>
      </c>
      <c r="P427">
        <v>0.71</v>
      </c>
      <c r="Q427">
        <v>0.82</v>
      </c>
      <c r="R427" s="2">
        <v>0.67</v>
      </c>
      <c r="S427" t="str">
        <f>IF(Table1[[#This Row],[Years_Experience]]&lt;=5,"Early Career",
IF(Table1[[#This Row],[Years_Experience]]&lt;=15,"Mid Career","Senior Level"))</f>
        <v>Senior Level</v>
      </c>
      <c r="T427" t="str">
        <f>IF(Table1[[#This Row],[AI_Exposure_Index]]&gt;=0.7,"High Exposure", IF(Table1[[#This Row],[AI_Exposure_Index]]&gt;=0.3,"Medium Exposure","Low Exposure"))</f>
        <v>Medium Exposure</v>
      </c>
    </row>
    <row r="428" spans="1:20" x14ac:dyDescent="0.25">
      <c r="A428" t="s">
        <v>36</v>
      </c>
      <c r="B428">
        <v>39752</v>
      </c>
      <c r="C428" s="1">
        <v>1</v>
      </c>
      <c r="D428" t="s">
        <v>25</v>
      </c>
      <c r="E428" s="7">
        <v>0.71</v>
      </c>
      <c r="F428" s="2">
        <v>0.77</v>
      </c>
      <c r="G428" s="7">
        <v>0.43</v>
      </c>
      <c r="H428" s="9" t="s">
        <v>27</v>
      </c>
      <c r="I428">
        <v>0.82</v>
      </c>
      <c r="J428">
        <v>0.54</v>
      </c>
      <c r="K428">
        <v>0.86</v>
      </c>
      <c r="L428">
        <v>0.21</v>
      </c>
      <c r="M428">
        <v>0.61</v>
      </c>
      <c r="N428">
        <v>0.08</v>
      </c>
      <c r="O428">
        <v>0.64</v>
      </c>
      <c r="P428">
        <v>0.76</v>
      </c>
      <c r="Q428">
        <v>0.57999999999999996</v>
      </c>
      <c r="R428" s="2">
        <v>0.27</v>
      </c>
      <c r="S428" t="str">
        <f>IF(Table1[[#This Row],[Years_Experience]]&lt;=5,"Early Career",
IF(Table1[[#This Row],[Years_Experience]]&lt;=15,"Mid Career","Senior Level"))</f>
        <v>Early Career</v>
      </c>
      <c r="T428" t="str">
        <f>IF(Table1[[#This Row],[AI_Exposure_Index]]&gt;=0.7,"High Exposure", IF(Table1[[#This Row],[AI_Exposure_Index]]&gt;=0.3,"Medium Exposure","Low Exposure"))</f>
        <v>High Exposure</v>
      </c>
    </row>
    <row r="429" spans="1:20" x14ac:dyDescent="0.25">
      <c r="A429" t="s">
        <v>29</v>
      </c>
      <c r="B429">
        <v>34792</v>
      </c>
      <c r="C429" s="1">
        <v>14</v>
      </c>
      <c r="D429" t="s">
        <v>38</v>
      </c>
      <c r="E429" s="7">
        <v>1.1200000000000001</v>
      </c>
      <c r="F429" s="2">
        <v>0.12</v>
      </c>
      <c r="G429" s="7">
        <v>0.28000000000000003</v>
      </c>
      <c r="H429" s="9" t="s">
        <v>23</v>
      </c>
      <c r="I429">
        <v>0.21</v>
      </c>
      <c r="J429">
        <v>0.74</v>
      </c>
      <c r="K429">
        <v>0.87</v>
      </c>
      <c r="L429">
        <v>0.52</v>
      </c>
      <c r="M429">
        <v>0.67</v>
      </c>
      <c r="N429">
        <v>0.82</v>
      </c>
      <c r="O429">
        <v>0.26</v>
      </c>
      <c r="P429">
        <v>0.3</v>
      </c>
      <c r="Q429">
        <v>0</v>
      </c>
      <c r="R429" s="2">
        <v>0.96</v>
      </c>
      <c r="S429" t="str">
        <f>IF(Table1[[#This Row],[Years_Experience]]&lt;=5,"Early Career",
IF(Table1[[#This Row],[Years_Experience]]&lt;=15,"Mid Career","Senior Level"))</f>
        <v>Mid Career</v>
      </c>
      <c r="T429" t="str">
        <f>IF(Table1[[#This Row],[AI_Exposure_Index]]&gt;=0.7,"High Exposure", IF(Table1[[#This Row],[AI_Exposure_Index]]&gt;=0.3,"Medium Exposure","Low Exposure"))</f>
        <v>Low Exposure</v>
      </c>
    </row>
    <row r="430" spans="1:20" x14ac:dyDescent="0.25">
      <c r="A430" t="s">
        <v>36</v>
      </c>
      <c r="B430">
        <v>44591</v>
      </c>
      <c r="C430" s="1">
        <v>29</v>
      </c>
      <c r="D430" t="s">
        <v>19</v>
      </c>
      <c r="E430" s="7">
        <v>1.37</v>
      </c>
      <c r="F430" s="2">
        <v>0.26</v>
      </c>
      <c r="G430" s="7">
        <v>0.35</v>
      </c>
      <c r="H430" s="9" t="s">
        <v>27</v>
      </c>
      <c r="I430">
        <v>0.72</v>
      </c>
      <c r="J430">
        <v>0.1</v>
      </c>
      <c r="K430">
        <v>0.62</v>
      </c>
      <c r="L430">
        <v>0.36</v>
      </c>
      <c r="M430">
        <v>0.79</v>
      </c>
      <c r="N430">
        <v>0.23</v>
      </c>
      <c r="O430">
        <v>0.64</v>
      </c>
      <c r="P430">
        <v>0.24</v>
      </c>
      <c r="Q430">
        <v>0.71</v>
      </c>
      <c r="R430" s="2">
        <v>0.87</v>
      </c>
      <c r="S430" t="str">
        <f>IF(Table1[[#This Row],[Years_Experience]]&lt;=5,"Early Career",
IF(Table1[[#This Row],[Years_Experience]]&lt;=15,"Mid Career","Senior Level"))</f>
        <v>Senior Level</v>
      </c>
      <c r="T430" t="str">
        <f>IF(Table1[[#This Row],[AI_Exposure_Index]]&gt;=0.7,"High Exposure", IF(Table1[[#This Row],[AI_Exposure_Index]]&gt;=0.3,"Medium Exposure","Low Exposure"))</f>
        <v>Low Exposure</v>
      </c>
    </row>
    <row r="431" spans="1:20" x14ac:dyDescent="0.25">
      <c r="A431" t="s">
        <v>36</v>
      </c>
      <c r="B431">
        <v>35424</v>
      </c>
      <c r="C431" s="1">
        <v>17</v>
      </c>
      <c r="D431" t="s">
        <v>25</v>
      </c>
      <c r="E431" s="7">
        <v>1.0900000000000001</v>
      </c>
      <c r="F431" s="2">
        <v>0.87</v>
      </c>
      <c r="G431" s="7">
        <v>0.35</v>
      </c>
      <c r="H431" s="9" t="s">
        <v>27</v>
      </c>
      <c r="I431">
        <v>0.43</v>
      </c>
      <c r="J431">
        <v>0.16</v>
      </c>
      <c r="K431">
        <v>0.7</v>
      </c>
      <c r="L431">
        <v>0.76</v>
      </c>
      <c r="M431">
        <v>0.11</v>
      </c>
      <c r="N431">
        <v>0.51</v>
      </c>
      <c r="O431">
        <v>0.81</v>
      </c>
      <c r="P431">
        <v>0.94</v>
      </c>
      <c r="Q431">
        <v>0.51</v>
      </c>
      <c r="R431" s="2">
        <v>0.95</v>
      </c>
      <c r="S431" t="str">
        <f>IF(Table1[[#This Row],[Years_Experience]]&lt;=5,"Early Career",
IF(Table1[[#This Row],[Years_Experience]]&lt;=15,"Mid Career","Senior Level"))</f>
        <v>Senior Level</v>
      </c>
      <c r="T431" t="str">
        <f>IF(Table1[[#This Row],[AI_Exposure_Index]]&gt;=0.7,"High Exposure", IF(Table1[[#This Row],[AI_Exposure_Index]]&gt;=0.3,"Medium Exposure","Low Exposure"))</f>
        <v>High Exposure</v>
      </c>
    </row>
    <row r="432" spans="1:20" x14ac:dyDescent="0.25">
      <c r="A432" t="s">
        <v>36</v>
      </c>
      <c r="B432">
        <v>89789</v>
      </c>
      <c r="C432" s="1">
        <v>28</v>
      </c>
      <c r="D432" t="s">
        <v>38</v>
      </c>
      <c r="E432" s="7">
        <v>1.35</v>
      </c>
      <c r="F432" s="2">
        <v>0.39</v>
      </c>
      <c r="G432" s="7">
        <v>0.5</v>
      </c>
      <c r="H432" s="9" t="s">
        <v>27</v>
      </c>
      <c r="I432">
        <v>0.47</v>
      </c>
      <c r="J432">
        <v>0.49</v>
      </c>
      <c r="K432">
        <v>0.85</v>
      </c>
      <c r="L432">
        <v>0.83</v>
      </c>
      <c r="M432">
        <v>0.4</v>
      </c>
      <c r="N432">
        <v>0.33</v>
      </c>
      <c r="O432">
        <v>0.49</v>
      </c>
      <c r="P432">
        <v>0.56999999999999995</v>
      </c>
      <c r="Q432">
        <v>0.24</v>
      </c>
      <c r="R432" s="2">
        <v>0.79</v>
      </c>
      <c r="S432" t="str">
        <f>IF(Table1[[#This Row],[Years_Experience]]&lt;=5,"Early Career",
IF(Table1[[#This Row],[Years_Experience]]&lt;=15,"Mid Career","Senior Level"))</f>
        <v>Senior Level</v>
      </c>
      <c r="T432" t="str">
        <f>IF(Table1[[#This Row],[AI_Exposure_Index]]&gt;=0.7,"High Exposure", IF(Table1[[#This Row],[AI_Exposure_Index]]&gt;=0.3,"Medium Exposure","Low Exposure"))</f>
        <v>Medium Exposure</v>
      </c>
    </row>
    <row r="433" spans="1:20" x14ac:dyDescent="0.25">
      <c r="A433" t="s">
        <v>18</v>
      </c>
      <c r="B433">
        <v>38804</v>
      </c>
      <c r="C433" s="1">
        <v>1</v>
      </c>
      <c r="D433" t="s">
        <v>25</v>
      </c>
      <c r="E433" s="7">
        <v>0.61</v>
      </c>
      <c r="F433" s="2">
        <v>0.33</v>
      </c>
      <c r="G433" s="7">
        <v>0.76</v>
      </c>
      <c r="H433" s="9" t="s">
        <v>20</v>
      </c>
      <c r="I433">
        <v>0.95</v>
      </c>
      <c r="J433">
        <v>0.31</v>
      </c>
      <c r="K433">
        <v>0.17</v>
      </c>
      <c r="L433">
        <v>0.46</v>
      </c>
      <c r="M433">
        <v>0.31</v>
      </c>
      <c r="N433">
        <v>0.04</v>
      </c>
      <c r="O433">
        <v>0.32</v>
      </c>
      <c r="P433">
        <v>0.54</v>
      </c>
      <c r="Q433">
        <v>0.55000000000000004</v>
      </c>
      <c r="R433" s="2">
        <v>0.36</v>
      </c>
      <c r="S433" t="str">
        <f>IF(Table1[[#This Row],[Years_Experience]]&lt;=5,"Early Career",
IF(Table1[[#This Row],[Years_Experience]]&lt;=15,"Mid Career","Senior Level"))</f>
        <v>Early Career</v>
      </c>
      <c r="T433" t="str">
        <f>IF(Table1[[#This Row],[AI_Exposure_Index]]&gt;=0.7,"High Exposure", IF(Table1[[#This Row],[AI_Exposure_Index]]&gt;=0.3,"Medium Exposure","Low Exposure"))</f>
        <v>Medium Exposure</v>
      </c>
    </row>
    <row r="434" spans="1:20" x14ac:dyDescent="0.25">
      <c r="A434" t="s">
        <v>44</v>
      </c>
      <c r="B434">
        <v>58400</v>
      </c>
      <c r="C434" s="1">
        <v>20</v>
      </c>
      <c r="D434" t="s">
        <v>22</v>
      </c>
      <c r="E434" s="7">
        <v>0.88</v>
      </c>
      <c r="F434" s="2">
        <v>0.97</v>
      </c>
      <c r="G434" s="7">
        <v>0.4</v>
      </c>
      <c r="H434" s="9" t="s">
        <v>27</v>
      </c>
      <c r="I434">
        <v>0.24</v>
      </c>
      <c r="J434">
        <v>0.46</v>
      </c>
      <c r="K434">
        <v>0.76</v>
      </c>
      <c r="L434">
        <v>0.21</v>
      </c>
      <c r="M434">
        <v>0.71</v>
      </c>
      <c r="N434">
        <v>0.02</v>
      </c>
      <c r="O434">
        <v>0.42</v>
      </c>
      <c r="P434">
        <v>0.78</v>
      </c>
      <c r="Q434">
        <v>0.34</v>
      </c>
      <c r="R434" s="2">
        <v>0.56000000000000005</v>
      </c>
      <c r="S434" t="str">
        <f>IF(Table1[[#This Row],[Years_Experience]]&lt;=5,"Early Career",
IF(Table1[[#This Row],[Years_Experience]]&lt;=15,"Mid Career","Senior Level"))</f>
        <v>Senior Level</v>
      </c>
      <c r="T434" t="str">
        <f>IF(Table1[[#This Row],[AI_Exposure_Index]]&gt;=0.7,"High Exposure", IF(Table1[[#This Row],[AI_Exposure_Index]]&gt;=0.3,"Medium Exposure","Low Exposure"))</f>
        <v>High Exposure</v>
      </c>
    </row>
    <row r="435" spans="1:20" x14ac:dyDescent="0.25">
      <c r="A435" t="s">
        <v>37</v>
      </c>
      <c r="B435">
        <v>129525</v>
      </c>
      <c r="C435" s="1">
        <v>12</v>
      </c>
      <c r="D435" t="s">
        <v>22</v>
      </c>
      <c r="E435" s="7">
        <v>0.55000000000000004</v>
      </c>
      <c r="F435" s="2">
        <v>0.74</v>
      </c>
      <c r="G435" s="7">
        <v>0.64</v>
      </c>
      <c r="H435" s="9" t="s">
        <v>27</v>
      </c>
      <c r="I435">
        <v>0.2</v>
      </c>
      <c r="J435">
        <v>0.87</v>
      </c>
      <c r="K435">
        <v>0.35</v>
      </c>
      <c r="L435">
        <v>0.72</v>
      </c>
      <c r="M435">
        <v>0.32</v>
      </c>
      <c r="N435">
        <v>0.91</v>
      </c>
      <c r="O435">
        <v>0.13</v>
      </c>
      <c r="P435">
        <v>0.18</v>
      </c>
      <c r="Q435">
        <v>0.49</v>
      </c>
      <c r="R435" s="2">
        <v>0.08</v>
      </c>
      <c r="S435" t="str">
        <f>IF(Table1[[#This Row],[Years_Experience]]&lt;=5,"Early Career",
IF(Table1[[#This Row],[Years_Experience]]&lt;=15,"Mid Career","Senior Level"))</f>
        <v>Mid Career</v>
      </c>
      <c r="T435" t="str">
        <f>IF(Table1[[#This Row],[AI_Exposure_Index]]&gt;=0.7,"High Exposure", IF(Table1[[#This Row],[AI_Exposure_Index]]&gt;=0.3,"Medium Exposure","Low Exposure"))</f>
        <v>High Exposure</v>
      </c>
    </row>
    <row r="436" spans="1:20" x14ac:dyDescent="0.25">
      <c r="A436" t="s">
        <v>31</v>
      </c>
      <c r="B436">
        <v>145183</v>
      </c>
      <c r="C436" s="1">
        <v>23</v>
      </c>
      <c r="D436" t="s">
        <v>19</v>
      </c>
      <c r="E436" s="7">
        <v>1.48</v>
      </c>
      <c r="F436" s="2">
        <v>0.94</v>
      </c>
      <c r="G436" s="7">
        <v>0.14000000000000001</v>
      </c>
      <c r="H436" s="9" t="s">
        <v>23</v>
      </c>
      <c r="I436">
        <v>0.92</v>
      </c>
      <c r="J436">
        <v>0.54</v>
      </c>
      <c r="K436">
        <v>0.27</v>
      </c>
      <c r="L436">
        <v>0.7</v>
      </c>
      <c r="M436">
        <v>0.66</v>
      </c>
      <c r="N436">
        <v>0.99</v>
      </c>
      <c r="O436">
        <v>0.27</v>
      </c>
      <c r="P436">
        <v>0.67</v>
      </c>
      <c r="Q436">
        <v>0.05</v>
      </c>
      <c r="R436" s="2">
        <v>0.11</v>
      </c>
      <c r="S436" t="str">
        <f>IF(Table1[[#This Row],[Years_Experience]]&lt;=5,"Early Career",
IF(Table1[[#This Row],[Years_Experience]]&lt;=15,"Mid Career","Senior Level"))</f>
        <v>Senior Level</v>
      </c>
      <c r="T436" t="str">
        <f>IF(Table1[[#This Row],[AI_Exposure_Index]]&gt;=0.7,"High Exposure", IF(Table1[[#This Row],[AI_Exposure_Index]]&gt;=0.3,"Medium Exposure","Low Exposure"))</f>
        <v>High Exposure</v>
      </c>
    </row>
    <row r="437" spans="1:20" x14ac:dyDescent="0.25">
      <c r="A437" t="s">
        <v>42</v>
      </c>
      <c r="B437">
        <v>82066</v>
      </c>
      <c r="C437" s="1">
        <v>10</v>
      </c>
      <c r="D437" t="s">
        <v>38</v>
      </c>
      <c r="E437" s="7">
        <v>1.3</v>
      </c>
      <c r="F437" s="2">
        <v>1</v>
      </c>
      <c r="G437" s="7">
        <v>0.61</v>
      </c>
      <c r="H437" s="9" t="s">
        <v>27</v>
      </c>
      <c r="I437">
        <v>0.51</v>
      </c>
      <c r="J437">
        <v>0.3</v>
      </c>
      <c r="K437">
        <v>0.15</v>
      </c>
      <c r="L437">
        <v>0.28000000000000003</v>
      </c>
      <c r="M437">
        <v>0.38</v>
      </c>
      <c r="N437">
        <v>0.76</v>
      </c>
      <c r="O437">
        <v>0.54</v>
      </c>
      <c r="P437">
        <v>0.08</v>
      </c>
      <c r="Q437">
        <v>0.02</v>
      </c>
      <c r="R437" s="2">
        <v>0.1</v>
      </c>
      <c r="S437" t="str">
        <f>IF(Table1[[#This Row],[Years_Experience]]&lt;=5,"Early Career",
IF(Table1[[#This Row],[Years_Experience]]&lt;=15,"Mid Career","Senior Level"))</f>
        <v>Mid Career</v>
      </c>
      <c r="T437" t="str">
        <f>IF(Table1[[#This Row],[AI_Exposure_Index]]&gt;=0.7,"High Exposure", IF(Table1[[#This Row],[AI_Exposure_Index]]&gt;=0.3,"Medium Exposure","Low Exposure"))</f>
        <v>High Exposure</v>
      </c>
    </row>
    <row r="438" spans="1:20" x14ac:dyDescent="0.25">
      <c r="A438" t="s">
        <v>37</v>
      </c>
      <c r="B438">
        <v>59059</v>
      </c>
      <c r="C438" s="1">
        <v>21</v>
      </c>
      <c r="D438" t="s">
        <v>19</v>
      </c>
      <c r="E438" s="7">
        <v>1.1399999999999999</v>
      </c>
      <c r="F438" s="2">
        <v>0.93</v>
      </c>
      <c r="G438" s="7">
        <v>0.62</v>
      </c>
      <c r="H438" s="9" t="s">
        <v>27</v>
      </c>
      <c r="I438">
        <v>0.47</v>
      </c>
      <c r="J438">
        <v>0.36</v>
      </c>
      <c r="K438">
        <v>0.11</v>
      </c>
      <c r="L438">
        <v>0.88</v>
      </c>
      <c r="M438">
        <v>0.78</v>
      </c>
      <c r="N438">
        <v>0.17</v>
      </c>
      <c r="O438">
        <v>0.51</v>
      </c>
      <c r="P438">
        <v>0.49</v>
      </c>
      <c r="Q438">
        <v>0.63</v>
      </c>
      <c r="R438" s="2">
        <v>0.95</v>
      </c>
      <c r="S438" t="str">
        <f>IF(Table1[[#This Row],[Years_Experience]]&lt;=5,"Early Career",
IF(Table1[[#This Row],[Years_Experience]]&lt;=15,"Mid Career","Senior Level"))</f>
        <v>Senior Level</v>
      </c>
      <c r="T438" t="str">
        <f>IF(Table1[[#This Row],[AI_Exposure_Index]]&gt;=0.7,"High Exposure", IF(Table1[[#This Row],[AI_Exposure_Index]]&gt;=0.3,"Medium Exposure","Low Exposure"))</f>
        <v>High Exposure</v>
      </c>
    </row>
    <row r="439" spans="1:20" x14ac:dyDescent="0.25">
      <c r="A439" t="s">
        <v>21</v>
      </c>
      <c r="B439">
        <v>57499</v>
      </c>
      <c r="C439" s="1">
        <v>11</v>
      </c>
      <c r="D439" t="s">
        <v>38</v>
      </c>
      <c r="E439" s="7">
        <v>1.22</v>
      </c>
      <c r="F439" s="2">
        <v>0.17</v>
      </c>
      <c r="G439" s="7">
        <v>0.18</v>
      </c>
      <c r="H439" s="9" t="s">
        <v>23</v>
      </c>
      <c r="I439">
        <v>0.68</v>
      </c>
      <c r="J439">
        <v>0.2</v>
      </c>
      <c r="K439">
        <v>0.75</v>
      </c>
      <c r="L439">
        <v>1</v>
      </c>
      <c r="M439">
        <v>0.67</v>
      </c>
      <c r="N439">
        <v>0.49</v>
      </c>
      <c r="O439">
        <v>0.92</v>
      </c>
      <c r="P439">
        <v>0.02</v>
      </c>
      <c r="Q439">
        <v>0.73</v>
      </c>
      <c r="R439" s="2">
        <v>0.89</v>
      </c>
      <c r="S439" t="str">
        <f>IF(Table1[[#This Row],[Years_Experience]]&lt;=5,"Early Career",
IF(Table1[[#This Row],[Years_Experience]]&lt;=15,"Mid Career","Senior Level"))</f>
        <v>Mid Career</v>
      </c>
      <c r="T439" t="str">
        <f>IF(Table1[[#This Row],[AI_Exposure_Index]]&gt;=0.7,"High Exposure", IF(Table1[[#This Row],[AI_Exposure_Index]]&gt;=0.3,"Medium Exposure","Low Exposure"))</f>
        <v>Low Exposure</v>
      </c>
    </row>
    <row r="440" spans="1:20" x14ac:dyDescent="0.25">
      <c r="A440" t="s">
        <v>28</v>
      </c>
      <c r="B440">
        <v>122103</v>
      </c>
      <c r="C440" s="1">
        <v>8</v>
      </c>
      <c r="D440" t="s">
        <v>19</v>
      </c>
      <c r="E440" s="7">
        <v>1.07</v>
      </c>
      <c r="F440" s="2">
        <v>0.2</v>
      </c>
      <c r="G440" s="7">
        <v>0.56000000000000005</v>
      </c>
      <c r="H440" s="9" t="s">
        <v>27</v>
      </c>
      <c r="I440">
        <v>0.3</v>
      </c>
      <c r="J440">
        <v>0.46</v>
      </c>
      <c r="K440">
        <v>0.28000000000000003</v>
      </c>
      <c r="L440">
        <v>0.37</v>
      </c>
      <c r="M440">
        <v>0.16</v>
      </c>
      <c r="N440">
        <v>0.89</v>
      </c>
      <c r="O440">
        <v>0.01</v>
      </c>
      <c r="P440">
        <v>0.88</v>
      </c>
      <c r="Q440">
        <v>0.56999999999999995</v>
      </c>
      <c r="R440" s="2">
        <v>0.33</v>
      </c>
      <c r="S440" t="str">
        <f>IF(Table1[[#This Row],[Years_Experience]]&lt;=5,"Early Career",
IF(Table1[[#This Row],[Years_Experience]]&lt;=15,"Mid Career","Senior Level"))</f>
        <v>Mid Career</v>
      </c>
      <c r="T440" t="str">
        <f>IF(Table1[[#This Row],[AI_Exposure_Index]]&gt;=0.7,"High Exposure", IF(Table1[[#This Row],[AI_Exposure_Index]]&gt;=0.3,"Medium Exposure","Low Exposure"))</f>
        <v>Low Exposure</v>
      </c>
    </row>
    <row r="441" spans="1:20" x14ac:dyDescent="0.25">
      <c r="A441" t="s">
        <v>31</v>
      </c>
      <c r="B441">
        <v>47806</v>
      </c>
      <c r="C441" s="1">
        <v>22</v>
      </c>
      <c r="D441" t="s">
        <v>19</v>
      </c>
      <c r="E441" s="7">
        <v>1</v>
      </c>
      <c r="F441" s="2">
        <v>0.51</v>
      </c>
      <c r="G441" s="7">
        <v>0.08</v>
      </c>
      <c r="H441" s="9" t="s">
        <v>23</v>
      </c>
      <c r="I441">
        <v>0.39</v>
      </c>
      <c r="J441">
        <v>0.24</v>
      </c>
      <c r="K441">
        <v>0.02</v>
      </c>
      <c r="L441">
        <v>0.36</v>
      </c>
      <c r="M441">
        <v>0.09</v>
      </c>
      <c r="N441">
        <v>0.26</v>
      </c>
      <c r="O441">
        <v>0.09</v>
      </c>
      <c r="P441">
        <v>0.1</v>
      </c>
      <c r="Q441">
        <v>0.2</v>
      </c>
      <c r="R441" s="2">
        <v>1</v>
      </c>
      <c r="S441" t="str">
        <f>IF(Table1[[#This Row],[Years_Experience]]&lt;=5,"Early Career",
IF(Table1[[#This Row],[Years_Experience]]&lt;=15,"Mid Career","Senior Level"))</f>
        <v>Senior Level</v>
      </c>
      <c r="T441" t="str">
        <f>IF(Table1[[#This Row],[AI_Exposure_Index]]&gt;=0.7,"High Exposure", IF(Table1[[#This Row],[AI_Exposure_Index]]&gt;=0.3,"Medium Exposure","Low Exposure"))</f>
        <v>Medium Exposure</v>
      </c>
    </row>
    <row r="442" spans="1:20" x14ac:dyDescent="0.25">
      <c r="A442" t="s">
        <v>34</v>
      </c>
      <c r="B442">
        <v>104702</v>
      </c>
      <c r="C442" s="1">
        <v>10</v>
      </c>
      <c r="D442" t="s">
        <v>22</v>
      </c>
      <c r="E442" s="7">
        <v>0.64</v>
      </c>
      <c r="F442" s="2">
        <v>0.64</v>
      </c>
      <c r="G442" s="7">
        <v>0.67</v>
      </c>
      <c r="H442" s="9" t="s">
        <v>27</v>
      </c>
      <c r="I442">
        <v>0.09</v>
      </c>
      <c r="J442">
        <v>0.96</v>
      </c>
      <c r="K442">
        <v>0.61</v>
      </c>
      <c r="L442">
        <v>0</v>
      </c>
      <c r="M442">
        <v>0.89</v>
      </c>
      <c r="N442">
        <v>0.52</v>
      </c>
      <c r="O442">
        <v>0.26</v>
      </c>
      <c r="P442">
        <v>0.77</v>
      </c>
      <c r="Q442">
        <v>0.93</v>
      </c>
      <c r="R442" s="2">
        <v>0.48</v>
      </c>
      <c r="S442" t="str">
        <f>IF(Table1[[#This Row],[Years_Experience]]&lt;=5,"Early Career",
IF(Table1[[#This Row],[Years_Experience]]&lt;=15,"Mid Career","Senior Level"))</f>
        <v>Mid Career</v>
      </c>
      <c r="T442" t="str">
        <f>IF(Table1[[#This Row],[AI_Exposure_Index]]&gt;=0.7,"High Exposure", IF(Table1[[#This Row],[AI_Exposure_Index]]&gt;=0.3,"Medium Exposure","Low Exposure"))</f>
        <v>Medium Exposure</v>
      </c>
    </row>
    <row r="443" spans="1:20" x14ac:dyDescent="0.25">
      <c r="A443" t="s">
        <v>31</v>
      </c>
      <c r="B443">
        <v>37373</v>
      </c>
      <c r="C443" s="1">
        <v>17</v>
      </c>
      <c r="D443" t="s">
        <v>38</v>
      </c>
      <c r="E443" s="7">
        <v>1.18</v>
      </c>
      <c r="F443" s="2">
        <v>0.79</v>
      </c>
      <c r="G443" s="7">
        <v>0.27</v>
      </c>
      <c r="H443" s="9" t="s">
        <v>23</v>
      </c>
      <c r="I443">
        <v>0.69</v>
      </c>
      <c r="J443">
        <v>0.24</v>
      </c>
      <c r="K443">
        <v>0.93</v>
      </c>
      <c r="L443">
        <v>0.1</v>
      </c>
      <c r="M443">
        <v>0.27</v>
      </c>
      <c r="N443">
        <v>0.52</v>
      </c>
      <c r="O443">
        <v>0.56999999999999995</v>
      </c>
      <c r="P443">
        <v>0.02</v>
      </c>
      <c r="Q443">
        <v>0.78</v>
      </c>
      <c r="R443" s="2">
        <v>0.36</v>
      </c>
      <c r="S443" t="str">
        <f>IF(Table1[[#This Row],[Years_Experience]]&lt;=5,"Early Career",
IF(Table1[[#This Row],[Years_Experience]]&lt;=15,"Mid Career","Senior Level"))</f>
        <v>Senior Level</v>
      </c>
      <c r="T443" t="str">
        <f>IF(Table1[[#This Row],[AI_Exposure_Index]]&gt;=0.7,"High Exposure", IF(Table1[[#This Row],[AI_Exposure_Index]]&gt;=0.3,"Medium Exposure","Low Exposure"))</f>
        <v>High Exposure</v>
      </c>
    </row>
    <row r="444" spans="1:20" x14ac:dyDescent="0.25">
      <c r="A444" t="s">
        <v>37</v>
      </c>
      <c r="B444">
        <v>98519</v>
      </c>
      <c r="C444" s="1">
        <v>27</v>
      </c>
      <c r="D444" t="s">
        <v>22</v>
      </c>
      <c r="E444" s="7">
        <v>0.88</v>
      </c>
      <c r="F444" s="2">
        <v>0.81</v>
      </c>
      <c r="G444" s="7">
        <v>0.32</v>
      </c>
      <c r="H444" s="9" t="s">
        <v>27</v>
      </c>
      <c r="I444">
        <v>0.18</v>
      </c>
      <c r="J444">
        <v>0.96</v>
      </c>
      <c r="K444">
        <v>7.0000000000000007E-2</v>
      </c>
      <c r="L444">
        <v>0.35</v>
      </c>
      <c r="M444">
        <v>0.5</v>
      </c>
      <c r="N444">
        <v>0.49</v>
      </c>
      <c r="O444">
        <v>0</v>
      </c>
      <c r="P444">
        <v>0.5</v>
      </c>
      <c r="Q444">
        <v>0.38</v>
      </c>
      <c r="R444" s="2">
        <v>0.97</v>
      </c>
      <c r="S444" t="str">
        <f>IF(Table1[[#This Row],[Years_Experience]]&lt;=5,"Early Career",
IF(Table1[[#This Row],[Years_Experience]]&lt;=15,"Mid Career","Senior Level"))</f>
        <v>Senior Level</v>
      </c>
      <c r="T444" t="str">
        <f>IF(Table1[[#This Row],[AI_Exposure_Index]]&gt;=0.7,"High Exposure", IF(Table1[[#This Row],[AI_Exposure_Index]]&gt;=0.3,"Medium Exposure","Low Exposure"))</f>
        <v>High Exposure</v>
      </c>
    </row>
    <row r="445" spans="1:20" x14ac:dyDescent="0.25">
      <c r="A445" t="s">
        <v>39</v>
      </c>
      <c r="B445">
        <v>72578</v>
      </c>
      <c r="C445" s="1">
        <v>15</v>
      </c>
      <c r="D445" t="s">
        <v>22</v>
      </c>
      <c r="E445" s="7">
        <v>0.92</v>
      </c>
      <c r="F445" s="2">
        <v>0.35</v>
      </c>
      <c r="G445" s="7">
        <v>0.8</v>
      </c>
      <c r="H445" s="9" t="s">
        <v>20</v>
      </c>
      <c r="I445">
        <v>0.67</v>
      </c>
      <c r="J445">
        <v>0.22</v>
      </c>
      <c r="K445">
        <v>0.22</v>
      </c>
      <c r="L445">
        <v>0.73</v>
      </c>
      <c r="M445">
        <v>0.5</v>
      </c>
      <c r="N445">
        <v>0.42</v>
      </c>
      <c r="O445">
        <v>0.17</v>
      </c>
      <c r="P445">
        <v>0.19</v>
      </c>
      <c r="Q445">
        <v>0.01</v>
      </c>
      <c r="R445" s="2">
        <v>0.09</v>
      </c>
      <c r="S445" t="str">
        <f>IF(Table1[[#This Row],[Years_Experience]]&lt;=5,"Early Career",
IF(Table1[[#This Row],[Years_Experience]]&lt;=15,"Mid Career","Senior Level"))</f>
        <v>Mid Career</v>
      </c>
      <c r="T445" t="str">
        <f>IF(Table1[[#This Row],[AI_Exposure_Index]]&gt;=0.7,"High Exposure", IF(Table1[[#This Row],[AI_Exposure_Index]]&gt;=0.3,"Medium Exposure","Low Exposure"))</f>
        <v>Medium Exposure</v>
      </c>
    </row>
    <row r="446" spans="1:20" x14ac:dyDescent="0.25">
      <c r="A446" t="s">
        <v>18</v>
      </c>
      <c r="B446">
        <v>94280</v>
      </c>
      <c r="C446" s="1">
        <v>18</v>
      </c>
      <c r="D446" t="s">
        <v>38</v>
      </c>
      <c r="E446" s="7">
        <v>0.79</v>
      </c>
      <c r="F446" s="2">
        <v>0.89</v>
      </c>
      <c r="G446" s="7">
        <v>0.78</v>
      </c>
      <c r="H446" s="9" t="s">
        <v>20</v>
      </c>
      <c r="I446">
        <v>0.12</v>
      </c>
      <c r="J446">
        <v>0.39</v>
      </c>
      <c r="K446">
        <v>0.04</v>
      </c>
      <c r="L446">
        <v>0.92</v>
      </c>
      <c r="M446">
        <v>0.67</v>
      </c>
      <c r="N446">
        <v>0.99</v>
      </c>
      <c r="O446">
        <v>0.88</v>
      </c>
      <c r="P446">
        <v>0.47</v>
      </c>
      <c r="Q446">
        <v>0.52</v>
      </c>
      <c r="R446" s="2">
        <v>0.19</v>
      </c>
      <c r="S446" t="str">
        <f>IF(Table1[[#This Row],[Years_Experience]]&lt;=5,"Early Career",
IF(Table1[[#This Row],[Years_Experience]]&lt;=15,"Mid Career","Senior Level"))</f>
        <v>Senior Level</v>
      </c>
      <c r="T446" t="str">
        <f>IF(Table1[[#This Row],[AI_Exposure_Index]]&gt;=0.7,"High Exposure", IF(Table1[[#This Row],[AI_Exposure_Index]]&gt;=0.3,"Medium Exposure","Low Exposure"))</f>
        <v>High Exposure</v>
      </c>
    </row>
    <row r="447" spans="1:20" x14ac:dyDescent="0.25">
      <c r="A447" t="s">
        <v>35</v>
      </c>
      <c r="B447">
        <v>43777</v>
      </c>
      <c r="C447" s="1">
        <v>10</v>
      </c>
      <c r="D447" t="s">
        <v>25</v>
      </c>
      <c r="E447" s="7">
        <v>0.55000000000000004</v>
      </c>
      <c r="F447" s="2">
        <v>0.9</v>
      </c>
      <c r="G447" s="7">
        <v>0.65</v>
      </c>
      <c r="H447" s="9" t="s">
        <v>27</v>
      </c>
      <c r="I447">
        <v>0.34</v>
      </c>
      <c r="J447">
        <v>0.9</v>
      </c>
      <c r="K447">
        <v>0.94</v>
      </c>
      <c r="L447">
        <v>0.67</v>
      </c>
      <c r="M447">
        <v>0.66</v>
      </c>
      <c r="N447">
        <v>0.45</v>
      </c>
      <c r="O447">
        <v>0.84</v>
      </c>
      <c r="P447">
        <v>0.96</v>
      </c>
      <c r="Q447">
        <v>0.78</v>
      </c>
      <c r="R447" s="2">
        <v>0.62</v>
      </c>
      <c r="S447" t="str">
        <f>IF(Table1[[#This Row],[Years_Experience]]&lt;=5,"Early Career",
IF(Table1[[#This Row],[Years_Experience]]&lt;=15,"Mid Career","Senior Level"))</f>
        <v>Mid Career</v>
      </c>
      <c r="T447" t="str">
        <f>IF(Table1[[#This Row],[AI_Exposure_Index]]&gt;=0.7,"High Exposure", IF(Table1[[#This Row],[AI_Exposure_Index]]&gt;=0.3,"Medium Exposure","Low Exposure"))</f>
        <v>High Exposure</v>
      </c>
    </row>
    <row r="448" spans="1:20" x14ac:dyDescent="0.25">
      <c r="A448" t="s">
        <v>43</v>
      </c>
      <c r="B448">
        <v>81040</v>
      </c>
      <c r="C448" s="1">
        <v>14</v>
      </c>
      <c r="D448" t="s">
        <v>19</v>
      </c>
      <c r="E448" s="7">
        <v>1.04</v>
      </c>
      <c r="F448" s="2">
        <v>0.85</v>
      </c>
      <c r="G448" s="7">
        <v>0.25</v>
      </c>
      <c r="H448" s="9" t="s">
        <v>23</v>
      </c>
      <c r="I448">
        <v>0.51</v>
      </c>
      <c r="J448">
        <v>0.06</v>
      </c>
      <c r="K448">
        <v>0.38</v>
      </c>
      <c r="L448">
        <v>0.44</v>
      </c>
      <c r="M448">
        <v>0.14000000000000001</v>
      </c>
      <c r="N448">
        <v>0.1</v>
      </c>
      <c r="O448">
        <v>0.54</v>
      </c>
      <c r="P448">
        <v>0.09</v>
      </c>
      <c r="Q448">
        <v>0.3</v>
      </c>
      <c r="R448" s="2">
        <v>0.74</v>
      </c>
      <c r="S448" t="str">
        <f>IF(Table1[[#This Row],[Years_Experience]]&lt;=5,"Early Career",
IF(Table1[[#This Row],[Years_Experience]]&lt;=15,"Mid Career","Senior Level"))</f>
        <v>Mid Career</v>
      </c>
      <c r="T448" t="str">
        <f>IF(Table1[[#This Row],[AI_Exposure_Index]]&gt;=0.7,"High Exposure", IF(Table1[[#This Row],[AI_Exposure_Index]]&gt;=0.3,"Medium Exposure","Low Exposure"))</f>
        <v>High Exposure</v>
      </c>
    </row>
    <row r="449" spans="1:20" x14ac:dyDescent="0.25">
      <c r="A449" t="s">
        <v>42</v>
      </c>
      <c r="B449">
        <v>97313</v>
      </c>
      <c r="C449" s="1">
        <v>6</v>
      </c>
      <c r="D449" t="s">
        <v>22</v>
      </c>
      <c r="E449" s="7">
        <v>1.49</v>
      </c>
      <c r="F449" s="2">
        <v>0.72</v>
      </c>
      <c r="G449" s="7">
        <v>0.57999999999999996</v>
      </c>
      <c r="H449" s="9" t="s">
        <v>27</v>
      </c>
      <c r="I449">
        <v>0.28999999999999998</v>
      </c>
      <c r="J449">
        <v>0.67</v>
      </c>
      <c r="K449">
        <v>0.7</v>
      </c>
      <c r="L449">
        <v>0.37</v>
      </c>
      <c r="M449">
        <v>0.02</v>
      </c>
      <c r="N449">
        <v>0.7</v>
      </c>
      <c r="O449">
        <v>0.02</v>
      </c>
      <c r="P449">
        <v>0.63</v>
      </c>
      <c r="Q449">
        <v>0.16</v>
      </c>
      <c r="R449" s="2">
        <v>0.56999999999999995</v>
      </c>
      <c r="S449" t="str">
        <f>IF(Table1[[#This Row],[Years_Experience]]&lt;=5,"Early Career",
IF(Table1[[#This Row],[Years_Experience]]&lt;=15,"Mid Career","Senior Level"))</f>
        <v>Mid Career</v>
      </c>
      <c r="T449" t="str">
        <f>IF(Table1[[#This Row],[AI_Exposure_Index]]&gt;=0.7,"High Exposure", IF(Table1[[#This Row],[AI_Exposure_Index]]&gt;=0.3,"Medium Exposure","Low Exposure"))</f>
        <v>High Exposure</v>
      </c>
    </row>
    <row r="450" spans="1:20" x14ac:dyDescent="0.25">
      <c r="A450" t="s">
        <v>30</v>
      </c>
      <c r="B450">
        <v>59092</v>
      </c>
      <c r="C450" s="1">
        <v>26</v>
      </c>
      <c r="D450" t="s">
        <v>38</v>
      </c>
      <c r="E450" s="7">
        <v>0.86</v>
      </c>
      <c r="F450" s="2">
        <v>0.01</v>
      </c>
      <c r="G450" s="7">
        <v>0.54</v>
      </c>
      <c r="H450" s="9" t="s">
        <v>27</v>
      </c>
      <c r="I450">
        <v>0.85</v>
      </c>
      <c r="J450">
        <v>0.89</v>
      </c>
      <c r="K450">
        <v>0.48</v>
      </c>
      <c r="L450">
        <v>0.73</v>
      </c>
      <c r="M450">
        <v>0.32</v>
      </c>
      <c r="N450">
        <v>0.34</v>
      </c>
      <c r="O450">
        <v>0.19</v>
      </c>
      <c r="P450">
        <v>0.56000000000000005</v>
      </c>
      <c r="Q450">
        <v>0.31</v>
      </c>
      <c r="R450" s="2">
        <v>0.08</v>
      </c>
      <c r="S450" t="str">
        <f>IF(Table1[[#This Row],[Years_Experience]]&lt;=5,"Early Career",
IF(Table1[[#This Row],[Years_Experience]]&lt;=15,"Mid Career","Senior Level"))</f>
        <v>Senior Level</v>
      </c>
      <c r="T450" t="str">
        <f>IF(Table1[[#This Row],[AI_Exposure_Index]]&gt;=0.7,"High Exposure", IF(Table1[[#This Row],[AI_Exposure_Index]]&gt;=0.3,"Medium Exposure","Low Exposure"))</f>
        <v>Low Exposure</v>
      </c>
    </row>
    <row r="451" spans="1:20" x14ac:dyDescent="0.25">
      <c r="A451" t="s">
        <v>34</v>
      </c>
      <c r="B451">
        <v>66613</v>
      </c>
      <c r="C451" s="1">
        <v>23</v>
      </c>
      <c r="D451" t="s">
        <v>19</v>
      </c>
      <c r="E451" s="7">
        <v>0.86</v>
      </c>
      <c r="F451" s="2">
        <v>0.71</v>
      </c>
      <c r="G451" s="7">
        <v>0.33</v>
      </c>
      <c r="H451" s="9" t="s">
        <v>27</v>
      </c>
      <c r="I451">
        <v>0.43</v>
      </c>
      <c r="J451">
        <v>0.44</v>
      </c>
      <c r="K451">
        <v>0.67</v>
      </c>
      <c r="L451">
        <v>0.32</v>
      </c>
      <c r="M451">
        <v>0.68</v>
      </c>
      <c r="N451">
        <v>0.87</v>
      </c>
      <c r="O451">
        <v>0.24</v>
      </c>
      <c r="P451">
        <v>0.98</v>
      </c>
      <c r="Q451">
        <v>0.39</v>
      </c>
      <c r="R451" s="2">
        <v>0.27</v>
      </c>
      <c r="S451" t="str">
        <f>IF(Table1[[#This Row],[Years_Experience]]&lt;=5,"Early Career",
IF(Table1[[#This Row],[Years_Experience]]&lt;=15,"Mid Career","Senior Level"))</f>
        <v>Senior Level</v>
      </c>
      <c r="T451" t="str">
        <f>IF(Table1[[#This Row],[AI_Exposure_Index]]&gt;=0.7,"High Exposure", IF(Table1[[#This Row],[AI_Exposure_Index]]&gt;=0.3,"Medium Exposure","Low Exposure"))</f>
        <v>High Exposure</v>
      </c>
    </row>
    <row r="452" spans="1:20" x14ac:dyDescent="0.25">
      <c r="A452" t="s">
        <v>21</v>
      </c>
      <c r="B452">
        <v>40292</v>
      </c>
      <c r="C452" s="1">
        <v>25</v>
      </c>
      <c r="D452" t="s">
        <v>22</v>
      </c>
      <c r="E452" s="7">
        <v>0.63</v>
      </c>
      <c r="F452" s="2">
        <v>0.09</v>
      </c>
      <c r="G452" s="7">
        <v>0.15</v>
      </c>
      <c r="H452" s="9" t="s">
        <v>23</v>
      </c>
      <c r="I452">
        <v>0.76</v>
      </c>
      <c r="J452">
        <v>0.9</v>
      </c>
      <c r="K452">
        <v>0.66</v>
      </c>
      <c r="L452">
        <v>0.11</v>
      </c>
      <c r="M452">
        <v>0.67</v>
      </c>
      <c r="N452">
        <v>0.64</v>
      </c>
      <c r="O452">
        <v>0.81</v>
      </c>
      <c r="P452">
        <v>0.83</v>
      </c>
      <c r="Q452">
        <v>0.87</v>
      </c>
      <c r="R452" s="2">
        <v>0.41</v>
      </c>
      <c r="S452" t="str">
        <f>IF(Table1[[#This Row],[Years_Experience]]&lt;=5,"Early Career",
IF(Table1[[#This Row],[Years_Experience]]&lt;=15,"Mid Career","Senior Level"))</f>
        <v>Senior Level</v>
      </c>
      <c r="T452" t="str">
        <f>IF(Table1[[#This Row],[AI_Exposure_Index]]&gt;=0.7,"High Exposure", IF(Table1[[#This Row],[AI_Exposure_Index]]&gt;=0.3,"Medium Exposure","Low Exposure"))</f>
        <v>Low Exposure</v>
      </c>
    </row>
    <row r="453" spans="1:20" x14ac:dyDescent="0.25">
      <c r="A453" t="s">
        <v>43</v>
      </c>
      <c r="B453">
        <v>111335</v>
      </c>
      <c r="C453" s="1">
        <v>0</v>
      </c>
      <c r="D453" t="s">
        <v>19</v>
      </c>
      <c r="E453" s="7">
        <v>1.5</v>
      </c>
      <c r="F453" s="2">
        <v>0.27</v>
      </c>
      <c r="G453" s="7">
        <v>0.09</v>
      </c>
      <c r="H453" s="9" t="s">
        <v>23</v>
      </c>
      <c r="I453">
        <v>0.01</v>
      </c>
      <c r="J453">
        <v>0.15</v>
      </c>
      <c r="K453">
        <v>0.78</v>
      </c>
      <c r="L453">
        <v>0.45</v>
      </c>
      <c r="M453">
        <v>0.45</v>
      </c>
      <c r="N453">
        <v>0.96</v>
      </c>
      <c r="O453">
        <v>0.92</v>
      </c>
      <c r="P453">
        <v>0.31</v>
      </c>
      <c r="Q453">
        <v>0.21</v>
      </c>
      <c r="R453" s="2">
        <v>0.85</v>
      </c>
      <c r="S453" t="str">
        <f>IF(Table1[[#This Row],[Years_Experience]]&lt;=5,"Early Career",
IF(Table1[[#This Row],[Years_Experience]]&lt;=15,"Mid Career","Senior Level"))</f>
        <v>Early Career</v>
      </c>
      <c r="T453" t="str">
        <f>IF(Table1[[#This Row],[AI_Exposure_Index]]&gt;=0.7,"High Exposure", IF(Table1[[#This Row],[AI_Exposure_Index]]&gt;=0.3,"Medium Exposure","Low Exposure"))</f>
        <v>Low Exposure</v>
      </c>
    </row>
    <row r="454" spans="1:20" x14ac:dyDescent="0.25">
      <c r="A454" t="s">
        <v>21</v>
      </c>
      <c r="B454">
        <v>86747</v>
      </c>
      <c r="C454" s="1">
        <v>16</v>
      </c>
      <c r="D454" t="s">
        <v>19</v>
      </c>
      <c r="E454" s="7">
        <v>1.1299999999999999</v>
      </c>
      <c r="F454" s="2">
        <v>0.54</v>
      </c>
      <c r="G454" s="7">
        <v>0.11</v>
      </c>
      <c r="H454" s="9" t="s">
        <v>23</v>
      </c>
      <c r="I454">
        <v>0.8</v>
      </c>
      <c r="J454">
        <v>0.63</v>
      </c>
      <c r="K454">
        <v>0.5</v>
      </c>
      <c r="L454">
        <v>0.06</v>
      </c>
      <c r="M454">
        <v>0.92</v>
      </c>
      <c r="N454">
        <v>0.62</v>
      </c>
      <c r="O454">
        <v>0.19</v>
      </c>
      <c r="P454">
        <v>0.61</v>
      </c>
      <c r="Q454">
        <v>0.68</v>
      </c>
      <c r="R454" s="2">
        <v>0.53</v>
      </c>
      <c r="S454" t="str">
        <f>IF(Table1[[#This Row],[Years_Experience]]&lt;=5,"Early Career",
IF(Table1[[#This Row],[Years_Experience]]&lt;=15,"Mid Career","Senior Level"))</f>
        <v>Senior Level</v>
      </c>
      <c r="T454" t="str">
        <f>IF(Table1[[#This Row],[AI_Exposure_Index]]&gt;=0.7,"High Exposure", IF(Table1[[#This Row],[AI_Exposure_Index]]&gt;=0.3,"Medium Exposure","Low Exposure"))</f>
        <v>Medium Exposure</v>
      </c>
    </row>
    <row r="455" spans="1:20" x14ac:dyDescent="0.25">
      <c r="A455" t="s">
        <v>42</v>
      </c>
      <c r="B455">
        <v>129318</v>
      </c>
      <c r="C455" s="1">
        <v>20</v>
      </c>
      <c r="D455" t="s">
        <v>19</v>
      </c>
      <c r="E455" s="7">
        <v>1.45</v>
      </c>
      <c r="F455" s="2">
        <v>0.57999999999999996</v>
      </c>
      <c r="G455" s="7">
        <v>0.32</v>
      </c>
      <c r="H455" s="9" t="s">
        <v>27</v>
      </c>
      <c r="I455">
        <v>0.11</v>
      </c>
      <c r="J455">
        <v>0.17</v>
      </c>
      <c r="K455">
        <v>0.69</v>
      </c>
      <c r="L455">
        <v>0.65</v>
      </c>
      <c r="M455">
        <v>0.89</v>
      </c>
      <c r="N455">
        <v>0.73</v>
      </c>
      <c r="O455">
        <v>0.51</v>
      </c>
      <c r="P455">
        <v>0.99</v>
      </c>
      <c r="Q455">
        <v>0.27</v>
      </c>
      <c r="R455" s="2">
        <v>0.83</v>
      </c>
      <c r="S455" t="str">
        <f>IF(Table1[[#This Row],[Years_Experience]]&lt;=5,"Early Career",
IF(Table1[[#This Row],[Years_Experience]]&lt;=15,"Mid Career","Senior Level"))</f>
        <v>Senior Level</v>
      </c>
      <c r="T455" t="str">
        <f>IF(Table1[[#This Row],[AI_Exposure_Index]]&gt;=0.7,"High Exposure", IF(Table1[[#This Row],[AI_Exposure_Index]]&gt;=0.3,"Medium Exposure","Low Exposure"))</f>
        <v>Medium Exposure</v>
      </c>
    </row>
    <row r="456" spans="1:20" x14ac:dyDescent="0.25">
      <c r="A456" t="s">
        <v>43</v>
      </c>
      <c r="B456">
        <v>38789</v>
      </c>
      <c r="C456" s="1">
        <v>29</v>
      </c>
      <c r="D456" t="s">
        <v>38</v>
      </c>
      <c r="E456" s="7">
        <v>1.23</v>
      </c>
      <c r="F456" s="2">
        <v>0.65</v>
      </c>
      <c r="G456" s="7">
        <v>0.21</v>
      </c>
      <c r="H456" s="9" t="s">
        <v>23</v>
      </c>
      <c r="I456">
        <v>0.14000000000000001</v>
      </c>
      <c r="J456">
        <v>0.44</v>
      </c>
      <c r="K456">
        <v>0.56000000000000005</v>
      </c>
      <c r="L456">
        <v>0.85</v>
      </c>
      <c r="M456">
        <v>0.44</v>
      </c>
      <c r="N456">
        <v>0.92</v>
      </c>
      <c r="O456">
        <v>0.44</v>
      </c>
      <c r="P456">
        <v>0.55000000000000004</v>
      </c>
      <c r="Q456">
        <v>0.8</v>
      </c>
      <c r="R456" s="2">
        <v>0.57999999999999996</v>
      </c>
      <c r="S456" t="str">
        <f>IF(Table1[[#This Row],[Years_Experience]]&lt;=5,"Early Career",
IF(Table1[[#This Row],[Years_Experience]]&lt;=15,"Mid Career","Senior Level"))</f>
        <v>Senior Level</v>
      </c>
      <c r="T456" t="str">
        <f>IF(Table1[[#This Row],[AI_Exposure_Index]]&gt;=0.7,"High Exposure", IF(Table1[[#This Row],[AI_Exposure_Index]]&gt;=0.3,"Medium Exposure","Low Exposure"))</f>
        <v>Medium Exposure</v>
      </c>
    </row>
    <row r="457" spans="1:20" x14ac:dyDescent="0.25">
      <c r="A457" t="s">
        <v>34</v>
      </c>
      <c r="B457">
        <v>85823</v>
      </c>
      <c r="C457" s="1">
        <v>16</v>
      </c>
      <c r="D457" t="s">
        <v>25</v>
      </c>
      <c r="E457" s="7">
        <v>1.02</v>
      </c>
      <c r="F457" s="2">
        <v>0.66</v>
      </c>
      <c r="G457" s="7">
        <v>0.31</v>
      </c>
      <c r="H457" s="9" t="s">
        <v>27</v>
      </c>
      <c r="I457">
        <v>0.41</v>
      </c>
      <c r="J457">
        <v>0.3</v>
      </c>
      <c r="K457">
        <v>0.75</v>
      </c>
      <c r="L457">
        <v>0.21</v>
      </c>
      <c r="M457">
        <v>0.21</v>
      </c>
      <c r="N457">
        <v>0.19</v>
      </c>
      <c r="O457">
        <v>0.13</v>
      </c>
      <c r="P457">
        <v>0.31</v>
      </c>
      <c r="Q457">
        <v>0.89</v>
      </c>
      <c r="R457" s="2">
        <v>0.77</v>
      </c>
      <c r="S457" t="str">
        <f>IF(Table1[[#This Row],[Years_Experience]]&lt;=5,"Early Career",
IF(Table1[[#This Row],[Years_Experience]]&lt;=15,"Mid Career","Senior Level"))</f>
        <v>Senior Level</v>
      </c>
      <c r="T457" t="str">
        <f>IF(Table1[[#This Row],[AI_Exposure_Index]]&gt;=0.7,"High Exposure", IF(Table1[[#This Row],[AI_Exposure_Index]]&gt;=0.3,"Medium Exposure","Low Exposure"))</f>
        <v>Medium Exposure</v>
      </c>
    </row>
    <row r="458" spans="1:20" x14ac:dyDescent="0.25">
      <c r="A458" t="s">
        <v>29</v>
      </c>
      <c r="B458">
        <v>123286</v>
      </c>
      <c r="C458" s="1">
        <v>17</v>
      </c>
      <c r="D458" t="s">
        <v>25</v>
      </c>
      <c r="E458" s="7">
        <v>0.77</v>
      </c>
      <c r="F458" s="2">
        <v>0.8</v>
      </c>
      <c r="G458" s="7">
        <v>0.27</v>
      </c>
      <c r="H458" s="9" t="s">
        <v>23</v>
      </c>
      <c r="I458">
        <v>0.14000000000000001</v>
      </c>
      <c r="J458">
        <v>0.34</v>
      </c>
      <c r="K458">
        <v>0.59</v>
      </c>
      <c r="L458">
        <v>0.1</v>
      </c>
      <c r="M458">
        <v>0.73</v>
      </c>
      <c r="N458">
        <v>0.39</v>
      </c>
      <c r="O458">
        <v>0.78</v>
      </c>
      <c r="P458">
        <v>0.49</v>
      </c>
      <c r="Q458">
        <v>0.18</v>
      </c>
      <c r="R458" s="2">
        <v>0.73</v>
      </c>
      <c r="S458" t="str">
        <f>IF(Table1[[#This Row],[Years_Experience]]&lt;=5,"Early Career",
IF(Table1[[#This Row],[Years_Experience]]&lt;=15,"Mid Career","Senior Level"))</f>
        <v>Senior Level</v>
      </c>
      <c r="T458" t="str">
        <f>IF(Table1[[#This Row],[AI_Exposure_Index]]&gt;=0.7,"High Exposure", IF(Table1[[#This Row],[AI_Exposure_Index]]&gt;=0.3,"Medium Exposure","Low Exposure"))</f>
        <v>High Exposure</v>
      </c>
    </row>
    <row r="459" spans="1:20" x14ac:dyDescent="0.25">
      <c r="A459" t="s">
        <v>28</v>
      </c>
      <c r="B459">
        <v>63161</v>
      </c>
      <c r="C459" s="1">
        <v>23</v>
      </c>
      <c r="D459" t="s">
        <v>38</v>
      </c>
      <c r="E459" s="7">
        <v>0.57999999999999996</v>
      </c>
      <c r="F459" s="2">
        <v>0.49</v>
      </c>
      <c r="G459" s="7">
        <v>0.55000000000000004</v>
      </c>
      <c r="H459" s="9" t="s">
        <v>27</v>
      </c>
      <c r="I459">
        <v>0.67</v>
      </c>
      <c r="J459">
        <v>0.38</v>
      </c>
      <c r="K459">
        <v>0.95</v>
      </c>
      <c r="L459">
        <v>0.87</v>
      </c>
      <c r="M459">
        <v>0.71</v>
      </c>
      <c r="N459">
        <v>0.71</v>
      </c>
      <c r="O459">
        <v>0.25</v>
      </c>
      <c r="P459">
        <v>0.66</v>
      </c>
      <c r="Q459">
        <v>0.2</v>
      </c>
      <c r="R459" s="2">
        <v>0.14000000000000001</v>
      </c>
      <c r="S459" t="str">
        <f>IF(Table1[[#This Row],[Years_Experience]]&lt;=5,"Early Career",
IF(Table1[[#This Row],[Years_Experience]]&lt;=15,"Mid Career","Senior Level"))</f>
        <v>Senior Level</v>
      </c>
      <c r="T459" t="str">
        <f>IF(Table1[[#This Row],[AI_Exposure_Index]]&gt;=0.7,"High Exposure", IF(Table1[[#This Row],[AI_Exposure_Index]]&gt;=0.3,"Medium Exposure","Low Exposure"))</f>
        <v>Medium Exposure</v>
      </c>
    </row>
    <row r="460" spans="1:20" x14ac:dyDescent="0.25">
      <c r="A460" t="s">
        <v>36</v>
      </c>
      <c r="B460">
        <v>103889</v>
      </c>
      <c r="C460" s="1">
        <v>10</v>
      </c>
      <c r="D460" t="s">
        <v>38</v>
      </c>
      <c r="E460" s="7">
        <v>0.93</v>
      </c>
      <c r="F460" s="2">
        <v>0.62</v>
      </c>
      <c r="G460" s="7">
        <v>0.42</v>
      </c>
      <c r="H460" s="9" t="s">
        <v>27</v>
      </c>
      <c r="I460">
        <v>0.6</v>
      </c>
      <c r="J460">
        <v>0.05</v>
      </c>
      <c r="K460">
        <v>0.09</v>
      </c>
      <c r="L460">
        <v>0.03</v>
      </c>
      <c r="M460">
        <v>0.5</v>
      </c>
      <c r="N460">
        <v>0.6</v>
      </c>
      <c r="O460">
        <v>0.06</v>
      </c>
      <c r="P460">
        <v>0.72</v>
      </c>
      <c r="Q460">
        <v>0.23</v>
      </c>
      <c r="R460" s="2">
        <v>0.69</v>
      </c>
      <c r="S460" t="str">
        <f>IF(Table1[[#This Row],[Years_Experience]]&lt;=5,"Early Career",
IF(Table1[[#This Row],[Years_Experience]]&lt;=15,"Mid Career","Senior Level"))</f>
        <v>Mid Career</v>
      </c>
      <c r="T460" t="str">
        <f>IF(Table1[[#This Row],[AI_Exposure_Index]]&gt;=0.7,"High Exposure", IF(Table1[[#This Row],[AI_Exposure_Index]]&gt;=0.3,"Medium Exposure","Low Exposure"))</f>
        <v>Medium Exposure</v>
      </c>
    </row>
    <row r="461" spans="1:20" x14ac:dyDescent="0.25">
      <c r="A461" t="s">
        <v>43</v>
      </c>
      <c r="B461">
        <v>135584</v>
      </c>
      <c r="C461" s="1">
        <v>11</v>
      </c>
      <c r="D461" t="s">
        <v>22</v>
      </c>
      <c r="E461" s="7">
        <v>1.38</v>
      </c>
      <c r="F461" s="2">
        <v>0.69</v>
      </c>
      <c r="G461" s="7">
        <v>0.28999999999999998</v>
      </c>
      <c r="H461" s="9" t="s">
        <v>23</v>
      </c>
      <c r="I461">
        <v>0.49</v>
      </c>
      <c r="J461">
        <v>0.7</v>
      </c>
      <c r="K461">
        <v>0.85</v>
      </c>
      <c r="L461">
        <v>0.36</v>
      </c>
      <c r="M461">
        <v>0.26</v>
      </c>
      <c r="N461">
        <v>0.95</v>
      </c>
      <c r="O461">
        <v>0.73</v>
      </c>
      <c r="P461">
        <v>0.22</v>
      </c>
      <c r="Q461">
        <v>0.45</v>
      </c>
      <c r="R461" s="2">
        <v>0.8</v>
      </c>
      <c r="S461" t="str">
        <f>IF(Table1[[#This Row],[Years_Experience]]&lt;=5,"Early Career",
IF(Table1[[#This Row],[Years_Experience]]&lt;=15,"Mid Career","Senior Level"))</f>
        <v>Mid Career</v>
      </c>
      <c r="T461" t="str">
        <f>IF(Table1[[#This Row],[AI_Exposure_Index]]&gt;=0.7,"High Exposure", IF(Table1[[#This Row],[AI_Exposure_Index]]&gt;=0.3,"Medium Exposure","Low Exposure"))</f>
        <v>Medium Exposure</v>
      </c>
    </row>
    <row r="462" spans="1:20" x14ac:dyDescent="0.25">
      <c r="A462" t="s">
        <v>26</v>
      </c>
      <c r="B462">
        <v>50968</v>
      </c>
      <c r="C462" s="1">
        <v>29</v>
      </c>
      <c r="D462" t="s">
        <v>25</v>
      </c>
      <c r="E462" s="7">
        <v>1.25</v>
      </c>
      <c r="F462" s="2">
        <v>0.65</v>
      </c>
      <c r="G462" s="7">
        <v>0.55000000000000004</v>
      </c>
      <c r="H462" s="9" t="s">
        <v>27</v>
      </c>
      <c r="I462">
        <v>0.54</v>
      </c>
      <c r="J462">
        <v>0.75</v>
      </c>
      <c r="K462">
        <v>0.73</v>
      </c>
      <c r="L462">
        <v>0.63</v>
      </c>
      <c r="M462">
        <v>0.36</v>
      </c>
      <c r="N462">
        <v>0.41</v>
      </c>
      <c r="O462">
        <v>0.97</v>
      </c>
      <c r="P462">
        <v>0.11</v>
      </c>
      <c r="Q462">
        <v>0.27</v>
      </c>
      <c r="R462" s="2">
        <v>0.49</v>
      </c>
      <c r="S462" t="str">
        <f>IF(Table1[[#This Row],[Years_Experience]]&lt;=5,"Early Career",
IF(Table1[[#This Row],[Years_Experience]]&lt;=15,"Mid Career","Senior Level"))</f>
        <v>Senior Level</v>
      </c>
      <c r="T462" t="str">
        <f>IF(Table1[[#This Row],[AI_Exposure_Index]]&gt;=0.7,"High Exposure", IF(Table1[[#This Row],[AI_Exposure_Index]]&gt;=0.3,"Medium Exposure","Low Exposure"))</f>
        <v>Medium Exposure</v>
      </c>
    </row>
    <row r="463" spans="1:20" x14ac:dyDescent="0.25">
      <c r="A463" t="s">
        <v>30</v>
      </c>
      <c r="B463">
        <v>137814</v>
      </c>
      <c r="C463" s="1">
        <v>16</v>
      </c>
      <c r="D463" t="s">
        <v>19</v>
      </c>
      <c r="E463" s="7">
        <v>0.56999999999999995</v>
      </c>
      <c r="F463" s="2">
        <v>0.28000000000000003</v>
      </c>
      <c r="G463" s="7">
        <v>0.57999999999999996</v>
      </c>
      <c r="H463" s="9" t="s">
        <v>27</v>
      </c>
      <c r="I463">
        <v>0.24</v>
      </c>
      <c r="J463">
        <v>0.39</v>
      </c>
      <c r="K463">
        <v>0.44</v>
      </c>
      <c r="L463">
        <v>0.89</v>
      </c>
      <c r="M463">
        <v>0.41</v>
      </c>
      <c r="N463">
        <v>0.15</v>
      </c>
      <c r="O463">
        <v>0.52</v>
      </c>
      <c r="P463">
        <v>0.96</v>
      </c>
      <c r="Q463">
        <v>0.61</v>
      </c>
      <c r="R463" s="2">
        <v>0.98</v>
      </c>
      <c r="S463" t="str">
        <f>IF(Table1[[#This Row],[Years_Experience]]&lt;=5,"Early Career",
IF(Table1[[#This Row],[Years_Experience]]&lt;=15,"Mid Career","Senior Level"))</f>
        <v>Senior Level</v>
      </c>
      <c r="T463" t="str">
        <f>IF(Table1[[#This Row],[AI_Exposure_Index]]&gt;=0.7,"High Exposure", IF(Table1[[#This Row],[AI_Exposure_Index]]&gt;=0.3,"Medium Exposure","Low Exposure"))</f>
        <v>Low Exposure</v>
      </c>
    </row>
    <row r="464" spans="1:20" x14ac:dyDescent="0.25">
      <c r="A464" t="s">
        <v>30</v>
      </c>
      <c r="B464">
        <v>83015</v>
      </c>
      <c r="C464" s="1">
        <v>10</v>
      </c>
      <c r="D464" t="s">
        <v>25</v>
      </c>
      <c r="E464" s="7">
        <v>1.1599999999999999</v>
      </c>
      <c r="F464" s="2">
        <v>0.04</v>
      </c>
      <c r="G464" s="7">
        <v>0.41</v>
      </c>
      <c r="H464" s="9" t="s">
        <v>27</v>
      </c>
      <c r="I464">
        <v>0.56000000000000005</v>
      </c>
      <c r="J464">
        <v>0.28000000000000003</v>
      </c>
      <c r="K464">
        <v>0.35</v>
      </c>
      <c r="L464">
        <v>0.92</v>
      </c>
      <c r="M464">
        <v>0.21</v>
      </c>
      <c r="N464">
        <v>0.87</v>
      </c>
      <c r="O464">
        <v>0.03</v>
      </c>
      <c r="P464">
        <v>0.09</v>
      </c>
      <c r="Q464">
        <v>0.85</v>
      </c>
      <c r="R464" s="2">
        <v>0.63</v>
      </c>
      <c r="S464" t="str">
        <f>IF(Table1[[#This Row],[Years_Experience]]&lt;=5,"Early Career",
IF(Table1[[#This Row],[Years_Experience]]&lt;=15,"Mid Career","Senior Level"))</f>
        <v>Mid Career</v>
      </c>
      <c r="T464" t="str">
        <f>IF(Table1[[#This Row],[AI_Exposure_Index]]&gt;=0.7,"High Exposure", IF(Table1[[#This Row],[AI_Exposure_Index]]&gt;=0.3,"Medium Exposure","Low Exposure"))</f>
        <v>Low Exposure</v>
      </c>
    </row>
    <row r="465" spans="1:20" x14ac:dyDescent="0.25">
      <c r="A465" t="s">
        <v>36</v>
      </c>
      <c r="B465">
        <v>86862</v>
      </c>
      <c r="C465" s="1">
        <v>1</v>
      </c>
      <c r="D465" t="s">
        <v>38</v>
      </c>
      <c r="E465" s="7">
        <v>1.04</v>
      </c>
      <c r="F465" s="2">
        <v>0.21</v>
      </c>
      <c r="G465" s="7">
        <v>0.59</v>
      </c>
      <c r="H465" s="9" t="s">
        <v>27</v>
      </c>
      <c r="I465">
        <v>0.63</v>
      </c>
      <c r="J465">
        <v>0.47</v>
      </c>
      <c r="K465">
        <v>0.96</v>
      </c>
      <c r="L465">
        <v>0.68</v>
      </c>
      <c r="M465">
        <v>0.91</v>
      </c>
      <c r="N465">
        <v>0.73</v>
      </c>
      <c r="O465">
        <v>0.74</v>
      </c>
      <c r="P465">
        <v>0.08</v>
      </c>
      <c r="Q465">
        <v>0.36</v>
      </c>
      <c r="R465" s="2">
        <v>0.86</v>
      </c>
      <c r="S465" t="str">
        <f>IF(Table1[[#This Row],[Years_Experience]]&lt;=5,"Early Career",
IF(Table1[[#This Row],[Years_Experience]]&lt;=15,"Mid Career","Senior Level"))</f>
        <v>Early Career</v>
      </c>
      <c r="T465" t="str">
        <f>IF(Table1[[#This Row],[AI_Exposure_Index]]&gt;=0.7,"High Exposure", IF(Table1[[#This Row],[AI_Exposure_Index]]&gt;=0.3,"Medium Exposure","Low Exposure"))</f>
        <v>Low Exposure</v>
      </c>
    </row>
    <row r="466" spans="1:20" x14ac:dyDescent="0.25">
      <c r="A466" t="s">
        <v>43</v>
      </c>
      <c r="B466">
        <v>115501</v>
      </c>
      <c r="C466" s="1">
        <v>10</v>
      </c>
      <c r="D466" t="s">
        <v>19</v>
      </c>
      <c r="E466" s="7">
        <v>0.51</v>
      </c>
      <c r="F466" s="2">
        <v>0.93</v>
      </c>
      <c r="G466" s="7">
        <v>7.0000000000000007E-2</v>
      </c>
      <c r="H466" s="9" t="s">
        <v>23</v>
      </c>
      <c r="I466">
        <v>0.25</v>
      </c>
      <c r="J466">
        <v>0.67</v>
      </c>
      <c r="K466">
        <v>0.89</v>
      </c>
      <c r="L466">
        <v>0.46</v>
      </c>
      <c r="M466">
        <v>0.61</v>
      </c>
      <c r="N466">
        <v>0.19</v>
      </c>
      <c r="O466">
        <v>0.8</v>
      </c>
      <c r="P466">
        <v>0.97</v>
      </c>
      <c r="Q466">
        <v>0.27</v>
      </c>
      <c r="R466" s="2">
        <v>0.49</v>
      </c>
      <c r="S466" t="str">
        <f>IF(Table1[[#This Row],[Years_Experience]]&lt;=5,"Early Career",
IF(Table1[[#This Row],[Years_Experience]]&lt;=15,"Mid Career","Senior Level"))</f>
        <v>Mid Career</v>
      </c>
      <c r="T466" t="str">
        <f>IF(Table1[[#This Row],[AI_Exposure_Index]]&gt;=0.7,"High Exposure", IF(Table1[[#This Row],[AI_Exposure_Index]]&gt;=0.3,"Medium Exposure","Low Exposure"))</f>
        <v>High Exposure</v>
      </c>
    </row>
    <row r="467" spans="1:20" x14ac:dyDescent="0.25">
      <c r="A467" t="s">
        <v>30</v>
      </c>
      <c r="B467">
        <v>141768</v>
      </c>
      <c r="C467" s="1">
        <v>0</v>
      </c>
      <c r="D467" t="s">
        <v>19</v>
      </c>
      <c r="E467" s="7">
        <v>1</v>
      </c>
      <c r="F467" s="2">
        <v>0.56000000000000005</v>
      </c>
      <c r="G467" s="7">
        <v>0.36</v>
      </c>
      <c r="H467" s="9" t="s">
        <v>27</v>
      </c>
      <c r="I467">
        <v>0.44</v>
      </c>
      <c r="J467">
        <v>0.33</v>
      </c>
      <c r="K467">
        <v>0.52</v>
      </c>
      <c r="L467">
        <v>0.59</v>
      </c>
      <c r="M467">
        <v>0.01</v>
      </c>
      <c r="N467">
        <v>0.76</v>
      </c>
      <c r="O467">
        <v>0.71</v>
      </c>
      <c r="P467">
        <v>0.37</v>
      </c>
      <c r="Q467">
        <v>0.05</v>
      </c>
      <c r="R467" s="2">
        <v>0.75</v>
      </c>
      <c r="S467" t="str">
        <f>IF(Table1[[#This Row],[Years_Experience]]&lt;=5,"Early Career",
IF(Table1[[#This Row],[Years_Experience]]&lt;=15,"Mid Career","Senior Level"))</f>
        <v>Early Career</v>
      </c>
      <c r="T467" t="str">
        <f>IF(Table1[[#This Row],[AI_Exposure_Index]]&gt;=0.7,"High Exposure", IF(Table1[[#This Row],[AI_Exposure_Index]]&gt;=0.3,"Medium Exposure","Low Exposure"))</f>
        <v>Medium Exposure</v>
      </c>
    </row>
    <row r="468" spans="1:20" x14ac:dyDescent="0.25">
      <c r="A468" t="s">
        <v>41</v>
      </c>
      <c r="B468">
        <v>53524</v>
      </c>
      <c r="C468" s="1">
        <v>25</v>
      </c>
      <c r="D468" t="s">
        <v>22</v>
      </c>
      <c r="E468" s="7">
        <v>0.82</v>
      </c>
      <c r="F468" s="2">
        <v>0.24</v>
      </c>
      <c r="G468" s="7">
        <v>0.75</v>
      </c>
      <c r="H468" s="9" t="s">
        <v>20</v>
      </c>
      <c r="I468">
        <v>0.57999999999999996</v>
      </c>
      <c r="J468">
        <v>0.15</v>
      </c>
      <c r="K468">
        <v>0.36</v>
      </c>
      <c r="L468">
        <v>0.7</v>
      </c>
      <c r="M468">
        <v>0.56000000000000005</v>
      </c>
      <c r="N468">
        <v>0.39</v>
      </c>
      <c r="O468">
        <v>0.42</v>
      </c>
      <c r="P468">
        <v>0.56000000000000005</v>
      </c>
      <c r="Q468">
        <v>0.01</v>
      </c>
      <c r="R468" s="2">
        <v>0.08</v>
      </c>
      <c r="S468" t="str">
        <f>IF(Table1[[#This Row],[Years_Experience]]&lt;=5,"Early Career",
IF(Table1[[#This Row],[Years_Experience]]&lt;=15,"Mid Career","Senior Level"))</f>
        <v>Senior Level</v>
      </c>
      <c r="T468" t="str">
        <f>IF(Table1[[#This Row],[AI_Exposure_Index]]&gt;=0.7,"High Exposure", IF(Table1[[#This Row],[AI_Exposure_Index]]&gt;=0.3,"Medium Exposure","Low Exposure"))</f>
        <v>Low Exposure</v>
      </c>
    </row>
    <row r="469" spans="1:20" x14ac:dyDescent="0.25">
      <c r="A469" t="s">
        <v>40</v>
      </c>
      <c r="B469">
        <v>38419</v>
      </c>
      <c r="C469" s="1">
        <v>16</v>
      </c>
      <c r="D469" t="s">
        <v>25</v>
      </c>
      <c r="E469" s="7">
        <v>1.21</v>
      </c>
      <c r="F469" s="2">
        <v>0.08</v>
      </c>
      <c r="G469" s="7">
        <v>0.28000000000000003</v>
      </c>
      <c r="H469" s="9" t="s">
        <v>23</v>
      </c>
      <c r="I469">
        <v>0.27</v>
      </c>
      <c r="J469">
        <v>0.37</v>
      </c>
      <c r="K469">
        <v>0.56999999999999995</v>
      </c>
      <c r="L469">
        <v>0.88</v>
      </c>
      <c r="M469">
        <v>0.94</v>
      </c>
      <c r="N469">
        <v>0.74</v>
      </c>
      <c r="O469">
        <v>0.09</v>
      </c>
      <c r="P469">
        <v>0.67</v>
      </c>
      <c r="Q469">
        <v>0.41</v>
      </c>
      <c r="R469" s="2">
        <v>0.47</v>
      </c>
      <c r="S469" t="str">
        <f>IF(Table1[[#This Row],[Years_Experience]]&lt;=5,"Early Career",
IF(Table1[[#This Row],[Years_Experience]]&lt;=15,"Mid Career","Senior Level"))</f>
        <v>Senior Level</v>
      </c>
      <c r="T469" t="str">
        <f>IF(Table1[[#This Row],[AI_Exposure_Index]]&gt;=0.7,"High Exposure", IF(Table1[[#This Row],[AI_Exposure_Index]]&gt;=0.3,"Medium Exposure","Low Exposure"))</f>
        <v>Low Exposure</v>
      </c>
    </row>
    <row r="470" spans="1:20" x14ac:dyDescent="0.25">
      <c r="A470" t="s">
        <v>37</v>
      </c>
      <c r="B470">
        <v>94800</v>
      </c>
      <c r="C470" s="1">
        <v>4</v>
      </c>
      <c r="D470" t="s">
        <v>22</v>
      </c>
      <c r="E470" s="7">
        <v>1.29</v>
      </c>
      <c r="F470" s="2">
        <v>0.19</v>
      </c>
      <c r="G470" s="7">
        <v>0.48</v>
      </c>
      <c r="H470" s="9" t="s">
        <v>27</v>
      </c>
      <c r="I470">
        <v>0.3</v>
      </c>
      <c r="J470">
        <v>0.38</v>
      </c>
      <c r="K470">
        <v>0.85</v>
      </c>
      <c r="L470">
        <v>0.75</v>
      </c>
      <c r="M470">
        <v>0.27</v>
      </c>
      <c r="N470">
        <v>0.12</v>
      </c>
      <c r="O470">
        <v>0.25</v>
      </c>
      <c r="P470">
        <v>0.92</v>
      </c>
      <c r="Q470">
        <v>0.57999999999999996</v>
      </c>
      <c r="R470" s="2">
        <v>0.53</v>
      </c>
      <c r="S470" t="str">
        <f>IF(Table1[[#This Row],[Years_Experience]]&lt;=5,"Early Career",
IF(Table1[[#This Row],[Years_Experience]]&lt;=15,"Mid Career","Senior Level"))</f>
        <v>Early Career</v>
      </c>
      <c r="T470" t="str">
        <f>IF(Table1[[#This Row],[AI_Exposure_Index]]&gt;=0.7,"High Exposure", IF(Table1[[#This Row],[AI_Exposure_Index]]&gt;=0.3,"Medium Exposure","Low Exposure"))</f>
        <v>Low Exposure</v>
      </c>
    </row>
    <row r="471" spans="1:20" x14ac:dyDescent="0.25">
      <c r="A471" t="s">
        <v>35</v>
      </c>
      <c r="B471">
        <v>111976</v>
      </c>
      <c r="C471" s="1">
        <v>22</v>
      </c>
      <c r="D471" t="s">
        <v>25</v>
      </c>
      <c r="E471" s="7">
        <v>1.31</v>
      </c>
      <c r="F471" s="2">
        <v>0.37</v>
      </c>
      <c r="G471" s="7">
        <v>0.51</v>
      </c>
      <c r="H471" s="9" t="s">
        <v>27</v>
      </c>
      <c r="I471">
        <v>0.12</v>
      </c>
      <c r="J471">
        <v>0.13</v>
      </c>
      <c r="K471">
        <v>0.54</v>
      </c>
      <c r="L471">
        <v>0.94</v>
      </c>
      <c r="M471">
        <v>0.31</v>
      </c>
      <c r="N471">
        <v>0.87</v>
      </c>
      <c r="O471">
        <v>0.76</v>
      </c>
      <c r="P471">
        <v>0.25</v>
      </c>
      <c r="Q471">
        <v>0.04</v>
      </c>
      <c r="R471" s="2">
        <v>0.1</v>
      </c>
      <c r="S471" t="str">
        <f>IF(Table1[[#This Row],[Years_Experience]]&lt;=5,"Early Career",
IF(Table1[[#This Row],[Years_Experience]]&lt;=15,"Mid Career","Senior Level"))</f>
        <v>Senior Level</v>
      </c>
      <c r="T471" t="str">
        <f>IF(Table1[[#This Row],[AI_Exposure_Index]]&gt;=0.7,"High Exposure", IF(Table1[[#This Row],[AI_Exposure_Index]]&gt;=0.3,"Medium Exposure","Low Exposure"))</f>
        <v>Medium Exposure</v>
      </c>
    </row>
    <row r="472" spans="1:20" x14ac:dyDescent="0.25">
      <c r="A472" t="s">
        <v>24</v>
      </c>
      <c r="B472">
        <v>67909</v>
      </c>
      <c r="C472" s="1">
        <v>8</v>
      </c>
      <c r="D472" t="s">
        <v>25</v>
      </c>
      <c r="E472" s="7">
        <v>0.87</v>
      </c>
      <c r="F472" s="2">
        <v>0.2</v>
      </c>
      <c r="G472" s="7">
        <v>0.83</v>
      </c>
      <c r="H472" s="9" t="s">
        <v>20</v>
      </c>
      <c r="I472">
        <v>0.73</v>
      </c>
      <c r="J472">
        <v>0.11</v>
      </c>
      <c r="K472">
        <v>0.41</v>
      </c>
      <c r="L472">
        <v>0.49</v>
      </c>
      <c r="M472">
        <v>0.54</v>
      </c>
      <c r="N472">
        <v>0.82</v>
      </c>
      <c r="O472">
        <v>0.17</v>
      </c>
      <c r="P472">
        <v>0.81</v>
      </c>
      <c r="Q472">
        <v>0.69</v>
      </c>
      <c r="R472" s="2">
        <v>0.56000000000000005</v>
      </c>
      <c r="S472" t="str">
        <f>IF(Table1[[#This Row],[Years_Experience]]&lt;=5,"Early Career",
IF(Table1[[#This Row],[Years_Experience]]&lt;=15,"Mid Career","Senior Level"))</f>
        <v>Mid Career</v>
      </c>
      <c r="T472" t="str">
        <f>IF(Table1[[#This Row],[AI_Exposure_Index]]&gt;=0.7,"High Exposure", IF(Table1[[#This Row],[AI_Exposure_Index]]&gt;=0.3,"Medium Exposure","Low Exposure"))</f>
        <v>Low Exposure</v>
      </c>
    </row>
    <row r="473" spans="1:20" x14ac:dyDescent="0.25">
      <c r="A473" t="s">
        <v>29</v>
      </c>
      <c r="B473">
        <v>46934</v>
      </c>
      <c r="C473" s="1">
        <v>6</v>
      </c>
      <c r="D473" t="s">
        <v>38</v>
      </c>
      <c r="E473" s="7">
        <v>0.64</v>
      </c>
      <c r="F473" s="2">
        <v>0.41</v>
      </c>
      <c r="G473" s="7">
        <v>0.22</v>
      </c>
      <c r="H473" s="9" t="s">
        <v>23</v>
      </c>
      <c r="I473">
        <v>0.52</v>
      </c>
      <c r="J473">
        <v>0.64</v>
      </c>
      <c r="K473">
        <v>0.34</v>
      </c>
      <c r="L473">
        <v>0.91</v>
      </c>
      <c r="M473">
        <v>0.59</v>
      </c>
      <c r="N473">
        <v>0.09</v>
      </c>
      <c r="O473">
        <v>0.45</v>
      </c>
      <c r="P473">
        <v>0.76</v>
      </c>
      <c r="Q473">
        <v>0.79</v>
      </c>
      <c r="R473" s="2">
        <v>0.49</v>
      </c>
      <c r="S473" t="str">
        <f>IF(Table1[[#This Row],[Years_Experience]]&lt;=5,"Early Career",
IF(Table1[[#This Row],[Years_Experience]]&lt;=15,"Mid Career","Senior Level"))</f>
        <v>Mid Career</v>
      </c>
      <c r="T473" t="str">
        <f>IF(Table1[[#This Row],[AI_Exposure_Index]]&gt;=0.7,"High Exposure", IF(Table1[[#This Row],[AI_Exposure_Index]]&gt;=0.3,"Medium Exposure","Low Exposure"))</f>
        <v>Medium Exposure</v>
      </c>
    </row>
    <row r="474" spans="1:20" x14ac:dyDescent="0.25">
      <c r="A474" t="s">
        <v>28</v>
      </c>
      <c r="B474">
        <v>41586</v>
      </c>
      <c r="C474" s="1">
        <v>23</v>
      </c>
      <c r="D474" t="s">
        <v>38</v>
      </c>
      <c r="E474" s="7">
        <v>0.91</v>
      </c>
      <c r="F474" s="2">
        <v>0.27</v>
      </c>
      <c r="G474" s="7">
        <v>0.66</v>
      </c>
      <c r="H474" s="9" t="s">
        <v>27</v>
      </c>
      <c r="I474">
        <v>0.9</v>
      </c>
      <c r="J474">
        <v>0.69</v>
      </c>
      <c r="K474">
        <v>0.86</v>
      </c>
      <c r="L474">
        <v>0.09</v>
      </c>
      <c r="M474">
        <v>0.86</v>
      </c>
      <c r="N474">
        <v>0.32</v>
      </c>
      <c r="O474">
        <v>0.18</v>
      </c>
      <c r="P474">
        <v>0.24</v>
      </c>
      <c r="Q474">
        <v>0.42</v>
      </c>
      <c r="R474" s="2">
        <v>0.25</v>
      </c>
      <c r="S474" t="str">
        <f>IF(Table1[[#This Row],[Years_Experience]]&lt;=5,"Early Career",
IF(Table1[[#This Row],[Years_Experience]]&lt;=15,"Mid Career","Senior Level"))</f>
        <v>Senior Level</v>
      </c>
      <c r="T474" t="str">
        <f>IF(Table1[[#This Row],[AI_Exposure_Index]]&gt;=0.7,"High Exposure", IF(Table1[[#This Row],[AI_Exposure_Index]]&gt;=0.3,"Medium Exposure","Low Exposure"))</f>
        <v>Low Exposure</v>
      </c>
    </row>
    <row r="475" spans="1:20" x14ac:dyDescent="0.25">
      <c r="A475" t="s">
        <v>28</v>
      </c>
      <c r="B475">
        <v>77013</v>
      </c>
      <c r="C475" s="1">
        <v>29</v>
      </c>
      <c r="D475" t="s">
        <v>19</v>
      </c>
      <c r="E475" s="7">
        <v>0.8</v>
      </c>
      <c r="F475" s="2">
        <v>0.13</v>
      </c>
      <c r="G475" s="7">
        <v>0.53</v>
      </c>
      <c r="H475" s="9" t="s">
        <v>27</v>
      </c>
      <c r="I475">
        <v>0.44</v>
      </c>
      <c r="J475">
        <v>0.35</v>
      </c>
      <c r="K475">
        <v>0.75</v>
      </c>
      <c r="L475">
        <v>0.89</v>
      </c>
      <c r="M475">
        <v>0.76</v>
      </c>
      <c r="N475">
        <v>0.33</v>
      </c>
      <c r="O475">
        <v>0.74</v>
      </c>
      <c r="P475">
        <v>0.15</v>
      </c>
      <c r="Q475">
        <v>0.13</v>
      </c>
      <c r="R475" s="2">
        <v>0.35</v>
      </c>
      <c r="S475" t="str">
        <f>IF(Table1[[#This Row],[Years_Experience]]&lt;=5,"Early Career",
IF(Table1[[#This Row],[Years_Experience]]&lt;=15,"Mid Career","Senior Level"))</f>
        <v>Senior Level</v>
      </c>
      <c r="T475" t="str">
        <f>IF(Table1[[#This Row],[AI_Exposure_Index]]&gt;=0.7,"High Exposure", IF(Table1[[#This Row],[AI_Exposure_Index]]&gt;=0.3,"Medium Exposure","Low Exposure"))</f>
        <v>Low Exposure</v>
      </c>
    </row>
    <row r="476" spans="1:20" x14ac:dyDescent="0.25">
      <c r="A476" t="s">
        <v>34</v>
      </c>
      <c r="B476">
        <v>133693</v>
      </c>
      <c r="C476" s="1">
        <v>3</v>
      </c>
      <c r="D476" t="s">
        <v>25</v>
      </c>
      <c r="E476" s="7">
        <v>0.56000000000000005</v>
      </c>
      <c r="F476" s="2">
        <v>0.25</v>
      </c>
      <c r="G476" s="7">
        <v>0.35</v>
      </c>
      <c r="H476" s="9" t="s">
        <v>27</v>
      </c>
      <c r="I476">
        <v>0.86</v>
      </c>
      <c r="J476">
        <v>0.63</v>
      </c>
      <c r="K476">
        <v>0.25</v>
      </c>
      <c r="L476">
        <v>0.56000000000000005</v>
      </c>
      <c r="M476">
        <v>0.53</v>
      </c>
      <c r="N476">
        <v>0.66</v>
      </c>
      <c r="O476">
        <v>0.23</v>
      </c>
      <c r="P476">
        <v>0.86</v>
      </c>
      <c r="Q476">
        <v>0.31</v>
      </c>
      <c r="R476" s="2">
        <v>0.69</v>
      </c>
      <c r="S476" t="str">
        <f>IF(Table1[[#This Row],[Years_Experience]]&lt;=5,"Early Career",
IF(Table1[[#This Row],[Years_Experience]]&lt;=15,"Mid Career","Senior Level"))</f>
        <v>Early Career</v>
      </c>
      <c r="T476" t="str">
        <f>IF(Table1[[#This Row],[AI_Exposure_Index]]&gt;=0.7,"High Exposure", IF(Table1[[#This Row],[AI_Exposure_Index]]&gt;=0.3,"Medium Exposure","Low Exposure"))</f>
        <v>Low Exposure</v>
      </c>
    </row>
    <row r="477" spans="1:20" x14ac:dyDescent="0.25">
      <c r="A477" t="s">
        <v>21</v>
      </c>
      <c r="B477">
        <v>78825</v>
      </c>
      <c r="C477" s="1">
        <v>21</v>
      </c>
      <c r="D477" t="s">
        <v>38</v>
      </c>
      <c r="E477" s="7">
        <v>0.85</v>
      </c>
      <c r="F477" s="2">
        <v>0.37</v>
      </c>
      <c r="G477" s="7">
        <v>0.19</v>
      </c>
      <c r="H477" s="9" t="s">
        <v>23</v>
      </c>
      <c r="I477">
        <v>7.0000000000000007E-2</v>
      </c>
      <c r="J477">
        <v>0.79</v>
      </c>
      <c r="K477">
        <v>0.22</v>
      </c>
      <c r="L477">
        <v>0.68</v>
      </c>
      <c r="M477">
        <v>0.8</v>
      </c>
      <c r="N477">
        <v>0.56000000000000005</v>
      </c>
      <c r="O477">
        <v>0.74</v>
      </c>
      <c r="P477">
        <v>0.66</v>
      </c>
      <c r="Q477">
        <v>0.36</v>
      </c>
      <c r="R477" s="2">
        <v>0.81</v>
      </c>
      <c r="S477" t="str">
        <f>IF(Table1[[#This Row],[Years_Experience]]&lt;=5,"Early Career",
IF(Table1[[#This Row],[Years_Experience]]&lt;=15,"Mid Career","Senior Level"))</f>
        <v>Senior Level</v>
      </c>
      <c r="T477" t="str">
        <f>IF(Table1[[#This Row],[AI_Exposure_Index]]&gt;=0.7,"High Exposure", IF(Table1[[#This Row],[AI_Exposure_Index]]&gt;=0.3,"Medium Exposure","Low Exposure"))</f>
        <v>Medium Exposure</v>
      </c>
    </row>
    <row r="478" spans="1:20" x14ac:dyDescent="0.25">
      <c r="A478" t="s">
        <v>26</v>
      </c>
      <c r="B478">
        <v>131505</v>
      </c>
      <c r="C478" s="1">
        <v>16</v>
      </c>
      <c r="D478" t="s">
        <v>38</v>
      </c>
      <c r="E478" s="7">
        <v>1.25</v>
      </c>
      <c r="F478" s="2">
        <v>0.56999999999999995</v>
      </c>
      <c r="G478" s="7">
        <v>0.45</v>
      </c>
      <c r="H478" s="9" t="s">
        <v>27</v>
      </c>
      <c r="I478">
        <v>0.3</v>
      </c>
      <c r="J478">
        <v>0.46</v>
      </c>
      <c r="K478">
        <v>0.82</v>
      </c>
      <c r="L478">
        <v>0.93</v>
      </c>
      <c r="M478">
        <v>0.55000000000000004</v>
      </c>
      <c r="N478">
        <v>0.66</v>
      </c>
      <c r="O478">
        <v>0.9</v>
      </c>
      <c r="P478">
        <v>0.1</v>
      </c>
      <c r="Q478">
        <v>0.23</v>
      </c>
      <c r="R478" s="2">
        <v>0.71</v>
      </c>
      <c r="S478" t="str">
        <f>IF(Table1[[#This Row],[Years_Experience]]&lt;=5,"Early Career",
IF(Table1[[#This Row],[Years_Experience]]&lt;=15,"Mid Career","Senior Level"))</f>
        <v>Senior Level</v>
      </c>
      <c r="T478" t="str">
        <f>IF(Table1[[#This Row],[AI_Exposure_Index]]&gt;=0.7,"High Exposure", IF(Table1[[#This Row],[AI_Exposure_Index]]&gt;=0.3,"Medium Exposure","Low Exposure"))</f>
        <v>Medium Exposure</v>
      </c>
    </row>
    <row r="479" spans="1:20" x14ac:dyDescent="0.25">
      <c r="A479" t="s">
        <v>41</v>
      </c>
      <c r="B479">
        <v>90107</v>
      </c>
      <c r="C479" s="1">
        <v>9</v>
      </c>
      <c r="D479" t="s">
        <v>38</v>
      </c>
      <c r="E479" s="7">
        <v>0.92</v>
      </c>
      <c r="F479" s="2">
        <v>0.86</v>
      </c>
      <c r="G479" s="7">
        <v>0.72</v>
      </c>
      <c r="H479" s="9" t="s">
        <v>20</v>
      </c>
      <c r="I479">
        <v>0.44</v>
      </c>
      <c r="J479">
        <v>0.23</v>
      </c>
      <c r="K479">
        <v>0.28999999999999998</v>
      </c>
      <c r="L479">
        <v>0.77</v>
      </c>
      <c r="M479">
        <v>0.08</v>
      </c>
      <c r="N479">
        <v>0.83</v>
      </c>
      <c r="O479">
        <v>0.43</v>
      </c>
      <c r="P479">
        <v>0.6</v>
      </c>
      <c r="Q479">
        <v>0.09</v>
      </c>
      <c r="R479" s="2">
        <v>0.34</v>
      </c>
      <c r="S479" t="str">
        <f>IF(Table1[[#This Row],[Years_Experience]]&lt;=5,"Early Career",
IF(Table1[[#This Row],[Years_Experience]]&lt;=15,"Mid Career","Senior Level"))</f>
        <v>Mid Career</v>
      </c>
      <c r="T479" t="str">
        <f>IF(Table1[[#This Row],[AI_Exposure_Index]]&gt;=0.7,"High Exposure", IF(Table1[[#This Row],[AI_Exposure_Index]]&gt;=0.3,"Medium Exposure","Low Exposure"))</f>
        <v>High Exposure</v>
      </c>
    </row>
    <row r="480" spans="1:20" x14ac:dyDescent="0.25">
      <c r="A480" t="s">
        <v>32</v>
      </c>
      <c r="B480">
        <v>71916</v>
      </c>
      <c r="C480" s="1">
        <v>28</v>
      </c>
      <c r="D480" t="s">
        <v>22</v>
      </c>
      <c r="E480" s="7">
        <v>1.31</v>
      </c>
      <c r="F480" s="2">
        <v>0.96</v>
      </c>
      <c r="G480" s="7">
        <v>0.48</v>
      </c>
      <c r="H480" s="9" t="s">
        <v>27</v>
      </c>
      <c r="I480">
        <v>0.22</v>
      </c>
      <c r="J480">
        <v>0.93</v>
      </c>
      <c r="K480">
        <v>0.34</v>
      </c>
      <c r="L480">
        <v>0.16</v>
      </c>
      <c r="M480">
        <v>0.56000000000000005</v>
      </c>
      <c r="N480">
        <v>0.94</v>
      </c>
      <c r="O480">
        <v>0</v>
      </c>
      <c r="P480">
        <v>0.24</v>
      </c>
      <c r="Q480">
        <v>0.94</v>
      </c>
      <c r="R480" s="2">
        <v>0.17</v>
      </c>
      <c r="S480" t="str">
        <f>IF(Table1[[#This Row],[Years_Experience]]&lt;=5,"Early Career",
IF(Table1[[#This Row],[Years_Experience]]&lt;=15,"Mid Career","Senior Level"))</f>
        <v>Senior Level</v>
      </c>
      <c r="T480" t="str">
        <f>IF(Table1[[#This Row],[AI_Exposure_Index]]&gt;=0.7,"High Exposure", IF(Table1[[#This Row],[AI_Exposure_Index]]&gt;=0.3,"Medium Exposure","Low Exposure"))</f>
        <v>High Exposure</v>
      </c>
    </row>
    <row r="481" spans="1:20" x14ac:dyDescent="0.25">
      <c r="A481" t="s">
        <v>39</v>
      </c>
      <c r="B481">
        <v>129794</v>
      </c>
      <c r="C481" s="1">
        <v>8</v>
      </c>
      <c r="D481" t="s">
        <v>38</v>
      </c>
      <c r="E481" s="7">
        <v>1.36</v>
      </c>
      <c r="F481" s="2">
        <v>0.56999999999999995</v>
      </c>
      <c r="G481" s="7">
        <v>0.82</v>
      </c>
      <c r="H481" s="9" t="s">
        <v>20</v>
      </c>
      <c r="I481">
        <v>0.99</v>
      </c>
      <c r="J481">
        <v>0.68</v>
      </c>
      <c r="K481">
        <v>7.0000000000000007E-2</v>
      </c>
      <c r="L481">
        <v>0.99</v>
      </c>
      <c r="M481">
        <v>0.41</v>
      </c>
      <c r="N481">
        <v>0.28999999999999998</v>
      </c>
      <c r="O481">
        <v>0.56000000000000005</v>
      </c>
      <c r="P481">
        <v>0.3</v>
      </c>
      <c r="Q481">
        <v>0.09</v>
      </c>
      <c r="R481" s="2">
        <v>0</v>
      </c>
      <c r="S481" t="str">
        <f>IF(Table1[[#This Row],[Years_Experience]]&lt;=5,"Early Career",
IF(Table1[[#This Row],[Years_Experience]]&lt;=15,"Mid Career","Senior Level"))</f>
        <v>Mid Career</v>
      </c>
      <c r="T481" t="str">
        <f>IF(Table1[[#This Row],[AI_Exposure_Index]]&gt;=0.7,"High Exposure", IF(Table1[[#This Row],[AI_Exposure_Index]]&gt;=0.3,"Medium Exposure","Low Exposure"))</f>
        <v>Medium Exposure</v>
      </c>
    </row>
    <row r="482" spans="1:20" x14ac:dyDescent="0.25">
      <c r="A482" t="s">
        <v>21</v>
      </c>
      <c r="B482">
        <v>82186</v>
      </c>
      <c r="C482" s="1">
        <v>8</v>
      </c>
      <c r="D482" t="s">
        <v>22</v>
      </c>
      <c r="E482" s="7">
        <v>1.42</v>
      </c>
      <c r="F482" s="2">
        <v>0.18</v>
      </c>
      <c r="G482" s="7">
        <v>0.17</v>
      </c>
      <c r="H482" s="9" t="s">
        <v>23</v>
      </c>
      <c r="I482">
        <v>0.06</v>
      </c>
      <c r="J482">
        <v>0.6</v>
      </c>
      <c r="K482">
        <v>0.6</v>
      </c>
      <c r="L482">
        <v>0.06</v>
      </c>
      <c r="M482">
        <v>0.97</v>
      </c>
      <c r="N482">
        <v>0.54</v>
      </c>
      <c r="O482">
        <v>0.56000000000000005</v>
      </c>
      <c r="P482">
        <v>0.52</v>
      </c>
      <c r="Q482">
        <v>0.61</v>
      </c>
      <c r="R482" s="2">
        <v>0.26</v>
      </c>
      <c r="S482" t="str">
        <f>IF(Table1[[#This Row],[Years_Experience]]&lt;=5,"Early Career",
IF(Table1[[#This Row],[Years_Experience]]&lt;=15,"Mid Career","Senior Level"))</f>
        <v>Mid Career</v>
      </c>
      <c r="T482" t="str">
        <f>IF(Table1[[#This Row],[AI_Exposure_Index]]&gt;=0.7,"High Exposure", IF(Table1[[#This Row],[AI_Exposure_Index]]&gt;=0.3,"Medium Exposure","Low Exposure"))</f>
        <v>Low Exposure</v>
      </c>
    </row>
    <row r="483" spans="1:20" x14ac:dyDescent="0.25">
      <c r="A483" t="s">
        <v>42</v>
      </c>
      <c r="B483">
        <v>72531</v>
      </c>
      <c r="C483" s="1">
        <v>15</v>
      </c>
      <c r="D483" t="s">
        <v>38</v>
      </c>
      <c r="E483" s="7">
        <v>1.31</v>
      </c>
      <c r="F483" s="2">
        <v>0.51</v>
      </c>
      <c r="G483" s="7">
        <v>0.32</v>
      </c>
      <c r="H483" s="9" t="s">
        <v>27</v>
      </c>
      <c r="I483">
        <v>0.6</v>
      </c>
      <c r="J483">
        <v>0.81</v>
      </c>
      <c r="K483">
        <v>0.16</v>
      </c>
      <c r="L483">
        <v>0.02</v>
      </c>
      <c r="M483">
        <v>0.31</v>
      </c>
      <c r="N483">
        <v>0.59</v>
      </c>
      <c r="O483">
        <v>0.14000000000000001</v>
      </c>
      <c r="P483">
        <v>0.43</v>
      </c>
      <c r="Q483">
        <v>0.55000000000000004</v>
      </c>
      <c r="R483" s="2">
        <v>0.6</v>
      </c>
      <c r="S483" t="str">
        <f>IF(Table1[[#This Row],[Years_Experience]]&lt;=5,"Early Career",
IF(Table1[[#This Row],[Years_Experience]]&lt;=15,"Mid Career","Senior Level"))</f>
        <v>Mid Career</v>
      </c>
      <c r="T483" t="str">
        <f>IF(Table1[[#This Row],[AI_Exposure_Index]]&gt;=0.7,"High Exposure", IF(Table1[[#This Row],[AI_Exposure_Index]]&gt;=0.3,"Medium Exposure","Low Exposure"))</f>
        <v>Medium Exposure</v>
      </c>
    </row>
    <row r="484" spans="1:20" x14ac:dyDescent="0.25">
      <c r="A484" t="s">
        <v>24</v>
      </c>
      <c r="B484">
        <v>127596</v>
      </c>
      <c r="C484" s="1">
        <v>19</v>
      </c>
      <c r="D484" t="s">
        <v>22</v>
      </c>
      <c r="E484" s="7">
        <v>1.44</v>
      </c>
      <c r="F484" s="2">
        <v>0.87</v>
      </c>
      <c r="G484" s="7">
        <v>0.9</v>
      </c>
      <c r="H484" s="9" t="s">
        <v>20</v>
      </c>
      <c r="I484">
        <v>0.85</v>
      </c>
      <c r="J484">
        <v>0.55000000000000004</v>
      </c>
      <c r="K484">
        <v>0.83</v>
      </c>
      <c r="L484">
        <v>0.3</v>
      </c>
      <c r="M484">
        <v>0.4</v>
      </c>
      <c r="N484">
        <v>0.32</v>
      </c>
      <c r="O484">
        <v>0.47</v>
      </c>
      <c r="P484">
        <v>0.28999999999999998</v>
      </c>
      <c r="Q484">
        <v>0.96</v>
      </c>
      <c r="R484" s="2">
        <v>0.31</v>
      </c>
      <c r="S484" t="str">
        <f>IF(Table1[[#This Row],[Years_Experience]]&lt;=5,"Early Career",
IF(Table1[[#This Row],[Years_Experience]]&lt;=15,"Mid Career","Senior Level"))</f>
        <v>Senior Level</v>
      </c>
      <c r="T484" t="str">
        <f>IF(Table1[[#This Row],[AI_Exposure_Index]]&gt;=0.7,"High Exposure", IF(Table1[[#This Row],[AI_Exposure_Index]]&gt;=0.3,"Medium Exposure","Low Exposure"))</f>
        <v>High Exposure</v>
      </c>
    </row>
    <row r="485" spans="1:20" x14ac:dyDescent="0.25">
      <c r="A485" t="s">
        <v>39</v>
      </c>
      <c r="B485">
        <v>124826</v>
      </c>
      <c r="C485" s="1">
        <v>16</v>
      </c>
      <c r="D485" t="s">
        <v>25</v>
      </c>
      <c r="E485" s="7">
        <v>0.56000000000000005</v>
      </c>
      <c r="F485" s="2">
        <v>0.53</v>
      </c>
      <c r="G485" s="7">
        <v>0.73</v>
      </c>
      <c r="H485" s="9" t="s">
        <v>20</v>
      </c>
      <c r="I485">
        <v>0.22</v>
      </c>
      <c r="J485">
        <v>0.46</v>
      </c>
      <c r="K485">
        <v>0.43</v>
      </c>
      <c r="L485">
        <v>0.8</v>
      </c>
      <c r="M485">
        <v>0.74</v>
      </c>
      <c r="N485">
        <v>0.43</v>
      </c>
      <c r="O485">
        <v>0.33</v>
      </c>
      <c r="P485">
        <v>0.32</v>
      </c>
      <c r="Q485">
        <v>0.77</v>
      </c>
      <c r="R485" s="2">
        <v>0.05</v>
      </c>
      <c r="S485" t="str">
        <f>IF(Table1[[#This Row],[Years_Experience]]&lt;=5,"Early Career",
IF(Table1[[#This Row],[Years_Experience]]&lt;=15,"Mid Career","Senior Level"))</f>
        <v>Senior Level</v>
      </c>
      <c r="T485" t="str">
        <f>IF(Table1[[#This Row],[AI_Exposure_Index]]&gt;=0.7,"High Exposure", IF(Table1[[#This Row],[AI_Exposure_Index]]&gt;=0.3,"Medium Exposure","Low Exposure"))</f>
        <v>Medium Exposure</v>
      </c>
    </row>
    <row r="486" spans="1:20" x14ac:dyDescent="0.25">
      <c r="A486" t="s">
        <v>31</v>
      </c>
      <c r="B486">
        <v>48320</v>
      </c>
      <c r="C486" s="1">
        <v>10</v>
      </c>
      <c r="D486" t="s">
        <v>25</v>
      </c>
      <c r="E486" s="7">
        <v>0.98</v>
      </c>
      <c r="F486" s="2">
        <v>0.8</v>
      </c>
      <c r="G486" s="7">
        <v>0.08</v>
      </c>
      <c r="H486" s="9" t="s">
        <v>23</v>
      </c>
      <c r="I486">
        <v>0.24</v>
      </c>
      <c r="J486">
        <v>0.93</v>
      </c>
      <c r="K486">
        <v>0.86</v>
      </c>
      <c r="L486">
        <v>0.71</v>
      </c>
      <c r="M486">
        <v>0.48</v>
      </c>
      <c r="N486">
        <v>0.52</v>
      </c>
      <c r="O486">
        <v>0.98</v>
      </c>
      <c r="P486">
        <v>0.97</v>
      </c>
      <c r="Q486">
        <v>0.22</v>
      </c>
      <c r="R486" s="2">
        <v>0.81</v>
      </c>
      <c r="S486" t="str">
        <f>IF(Table1[[#This Row],[Years_Experience]]&lt;=5,"Early Career",
IF(Table1[[#This Row],[Years_Experience]]&lt;=15,"Mid Career","Senior Level"))</f>
        <v>Mid Career</v>
      </c>
      <c r="T486" t="str">
        <f>IF(Table1[[#This Row],[AI_Exposure_Index]]&gt;=0.7,"High Exposure", IF(Table1[[#This Row],[AI_Exposure_Index]]&gt;=0.3,"Medium Exposure","Low Exposure"))</f>
        <v>High Exposure</v>
      </c>
    </row>
    <row r="487" spans="1:20" x14ac:dyDescent="0.25">
      <c r="A487" t="s">
        <v>28</v>
      </c>
      <c r="B487">
        <v>62449</v>
      </c>
      <c r="C487" s="1">
        <v>9</v>
      </c>
      <c r="D487" t="s">
        <v>19</v>
      </c>
      <c r="E487" s="7">
        <v>1.46</v>
      </c>
      <c r="F487" s="2">
        <v>0.12</v>
      </c>
      <c r="G487" s="7">
        <v>0.42</v>
      </c>
      <c r="H487" s="9" t="s">
        <v>27</v>
      </c>
      <c r="I487">
        <v>0.85</v>
      </c>
      <c r="J487">
        <v>0.39</v>
      </c>
      <c r="K487">
        <v>0.32</v>
      </c>
      <c r="L487">
        <v>0.94</v>
      </c>
      <c r="M487">
        <v>0.36</v>
      </c>
      <c r="N487">
        <v>0.39</v>
      </c>
      <c r="O487">
        <v>0.11</v>
      </c>
      <c r="P487">
        <v>0.67</v>
      </c>
      <c r="Q487">
        <v>0.28999999999999998</v>
      </c>
      <c r="R487" s="2">
        <v>0.59</v>
      </c>
      <c r="S487" t="str">
        <f>IF(Table1[[#This Row],[Years_Experience]]&lt;=5,"Early Career",
IF(Table1[[#This Row],[Years_Experience]]&lt;=15,"Mid Career","Senior Level"))</f>
        <v>Mid Career</v>
      </c>
      <c r="T487" t="str">
        <f>IF(Table1[[#This Row],[AI_Exposure_Index]]&gt;=0.7,"High Exposure", IF(Table1[[#This Row],[AI_Exposure_Index]]&gt;=0.3,"Medium Exposure","Low Exposure"))</f>
        <v>Low Exposure</v>
      </c>
    </row>
    <row r="488" spans="1:20" x14ac:dyDescent="0.25">
      <c r="A488" t="s">
        <v>18</v>
      </c>
      <c r="B488">
        <v>84097</v>
      </c>
      <c r="C488" s="1">
        <v>24</v>
      </c>
      <c r="D488" t="s">
        <v>19</v>
      </c>
      <c r="E488" s="7">
        <v>1.25</v>
      </c>
      <c r="F488" s="2">
        <v>0.72</v>
      </c>
      <c r="G488" s="7">
        <v>0.83</v>
      </c>
      <c r="H488" s="9" t="s">
        <v>20</v>
      </c>
      <c r="I488">
        <v>0.33</v>
      </c>
      <c r="J488">
        <v>0.84</v>
      </c>
      <c r="K488">
        <v>0.31</v>
      </c>
      <c r="L488">
        <v>0.51</v>
      </c>
      <c r="M488">
        <v>0.4</v>
      </c>
      <c r="N488">
        <v>0.86</v>
      </c>
      <c r="O488">
        <v>0.43</v>
      </c>
      <c r="P488">
        <v>0.39</v>
      </c>
      <c r="Q488">
        <v>0.69</v>
      </c>
      <c r="R488" s="2">
        <v>0.6</v>
      </c>
      <c r="S488" t="str">
        <f>IF(Table1[[#This Row],[Years_Experience]]&lt;=5,"Early Career",
IF(Table1[[#This Row],[Years_Experience]]&lt;=15,"Mid Career","Senior Level"))</f>
        <v>Senior Level</v>
      </c>
      <c r="T488" t="str">
        <f>IF(Table1[[#This Row],[AI_Exposure_Index]]&gt;=0.7,"High Exposure", IF(Table1[[#This Row],[AI_Exposure_Index]]&gt;=0.3,"Medium Exposure","Low Exposure"))</f>
        <v>High Exposure</v>
      </c>
    </row>
    <row r="489" spans="1:20" x14ac:dyDescent="0.25">
      <c r="A489" t="s">
        <v>24</v>
      </c>
      <c r="B489">
        <v>64629</v>
      </c>
      <c r="C489" s="1">
        <v>28</v>
      </c>
      <c r="D489" t="s">
        <v>19</v>
      </c>
      <c r="E489" s="7">
        <v>0.78</v>
      </c>
      <c r="F489" s="2">
        <v>0.63</v>
      </c>
      <c r="G489" s="7">
        <v>0.93</v>
      </c>
      <c r="H489" s="9" t="s">
        <v>20</v>
      </c>
      <c r="I489">
        <v>0.63</v>
      </c>
      <c r="J489">
        <v>7.0000000000000007E-2</v>
      </c>
      <c r="K489">
        <v>0.91</v>
      </c>
      <c r="L489">
        <v>0.96</v>
      </c>
      <c r="M489">
        <v>0.08</v>
      </c>
      <c r="N489">
        <v>0.53</v>
      </c>
      <c r="O489">
        <v>0.3</v>
      </c>
      <c r="P489">
        <v>0.39</v>
      </c>
      <c r="Q489">
        <v>0.18</v>
      </c>
      <c r="R489" s="2">
        <v>0.57999999999999996</v>
      </c>
      <c r="S489" t="str">
        <f>IF(Table1[[#This Row],[Years_Experience]]&lt;=5,"Early Career",
IF(Table1[[#This Row],[Years_Experience]]&lt;=15,"Mid Career","Senior Level"))</f>
        <v>Senior Level</v>
      </c>
      <c r="T489" t="str">
        <f>IF(Table1[[#This Row],[AI_Exposure_Index]]&gt;=0.7,"High Exposure", IF(Table1[[#This Row],[AI_Exposure_Index]]&gt;=0.3,"Medium Exposure","Low Exposure"))</f>
        <v>Medium Exposure</v>
      </c>
    </row>
    <row r="490" spans="1:20" x14ac:dyDescent="0.25">
      <c r="A490" t="s">
        <v>42</v>
      </c>
      <c r="B490">
        <v>38859</v>
      </c>
      <c r="C490" s="1">
        <v>12</v>
      </c>
      <c r="D490" t="s">
        <v>25</v>
      </c>
      <c r="E490" s="7">
        <v>0.57999999999999996</v>
      </c>
      <c r="F490" s="2">
        <v>0.5</v>
      </c>
      <c r="G490" s="7">
        <v>0.55000000000000004</v>
      </c>
      <c r="H490" s="9" t="s">
        <v>27</v>
      </c>
      <c r="I490">
        <v>0.34</v>
      </c>
      <c r="J490">
        <v>0.86</v>
      </c>
      <c r="K490">
        <v>0.43</v>
      </c>
      <c r="L490">
        <v>0.19</v>
      </c>
      <c r="M490">
        <v>0.19</v>
      </c>
      <c r="N490">
        <v>0.77</v>
      </c>
      <c r="O490">
        <v>0.27</v>
      </c>
      <c r="P490">
        <v>0.77</v>
      </c>
      <c r="Q490">
        <v>0.21</v>
      </c>
      <c r="R490" s="2">
        <v>0.32</v>
      </c>
      <c r="S490" t="str">
        <f>IF(Table1[[#This Row],[Years_Experience]]&lt;=5,"Early Career",
IF(Table1[[#This Row],[Years_Experience]]&lt;=15,"Mid Career","Senior Level"))</f>
        <v>Mid Career</v>
      </c>
      <c r="T490" t="str">
        <f>IF(Table1[[#This Row],[AI_Exposure_Index]]&gt;=0.7,"High Exposure", IF(Table1[[#This Row],[AI_Exposure_Index]]&gt;=0.3,"Medium Exposure","Low Exposure"))</f>
        <v>Medium Exposure</v>
      </c>
    </row>
    <row r="491" spans="1:20" x14ac:dyDescent="0.25">
      <c r="A491" t="s">
        <v>42</v>
      </c>
      <c r="B491">
        <v>40082</v>
      </c>
      <c r="C491" s="1">
        <v>29</v>
      </c>
      <c r="D491" t="s">
        <v>19</v>
      </c>
      <c r="E491" s="7">
        <v>1.43</v>
      </c>
      <c r="F491" s="2">
        <v>0.94</v>
      </c>
      <c r="G491" s="7">
        <v>0.38</v>
      </c>
      <c r="H491" s="9" t="s">
        <v>27</v>
      </c>
      <c r="I491">
        <v>0.36</v>
      </c>
      <c r="J491">
        <v>0.15</v>
      </c>
      <c r="K491">
        <v>0.51</v>
      </c>
      <c r="L491">
        <v>0.46</v>
      </c>
      <c r="M491">
        <v>0.9</v>
      </c>
      <c r="N491">
        <v>0.93</v>
      </c>
      <c r="O491">
        <v>0.38</v>
      </c>
      <c r="P491">
        <v>0.49</v>
      </c>
      <c r="Q491">
        <v>0.9</v>
      </c>
      <c r="R491" s="2">
        <v>0.81</v>
      </c>
      <c r="S491" t="str">
        <f>IF(Table1[[#This Row],[Years_Experience]]&lt;=5,"Early Career",
IF(Table1[[#This Row],[Years_Experience]]&lt;=15,"Mid Career","Senior Level"))</f>
        <v>Senior Level</v>
      </c>
      <c r="T491" t="str">
        <f>IF(Table1[[#This Row],[AI_Exposure_Index]]&gt;=0.7,"High Exposure", IF(Table1[[#This Row],[AI_Exposure_Index]]&gt;=0.3,"Medium Exposure","Low Exposure"))</f>
        <v>High Exposure</v>
      </c>
    </row>
    <row r="492" spans="1:20" x14ac:dyDescent="0.25">
      <c r="A492" t="s">
        <v>34</v>
      </c>
      <c r="B492">
        <v>136153</v>
      </c>
      <c r="C492" s="1">
        <v>25</v>
      </c>
      <c r="D492" t="s">
        <v>19</v>
      </c>
      <c r="E492" s="7">
        <v>0.92</v>
      </c>
      <c r="F492" s="2">
        <v>0.32</v>
      </c>
      <c r="G492" s="7">
        <v>0.39</v>
      </c>
      <c r="H492" s="9" t="s">
        <v>27</v>
      </c>
      <c r="I492">
        <v>0.2</v>
      </c>
      <c r="J492">
        <v>0.04</v>
      </c>
      <c r="K492">
        <v>0.64</v>
      </c>
      <c r="L492">
        <v>0.26</v>
      </c>
      <c r="M492">
        <v>0.05</v>
      </c>
      <c r="N492">
        <v>0.23</v>
      </c>
      <c r="O492">
        <v>0.8</v>
      </c>
      <c r="P492">
        <v>0.85</v>
      </c>
      <c r="Q492">
        <v>0.48</v>
      </c>
      <c r="R492" s="2">
        <v>0.42</v>
      </c>
      <c r="S492" t="str">
        <f>IF(Table1[[#This Row],[Years_Experience]]&lt;=5,"Early Career",
IF(Table1[[#This Row],[Years_Experience]]&lt;=15,"Mid Career","Senior Level"))</f>
        <v>Senior Level</v>
      </c>
      <c r="T492" t="str">
        <f>IF(Table1[[#This Row],[AI_Exposure_Index]]&gt;=0.7,"High Exposure", IF(Table1[[#This Row],[AI_Exposure_Index]]&gt;=0.3,"Medium Exposure","Low Exposure"))</f>
        <v>Medium Exposure</v>
      </c>
    </row>
    <row r="493" spans="1:20" x14ac:dyDescent="0.25">
      <c r="A493" t="s">
        <v>24</v>
      </c>
      <c r="B493">
        <v>70612</v>
      </c>
      <c r="C493" s="1">
        <v>10</v>
      </c>
      <c r="D493" t="s">
        <v>19</v>
      </c>
      <c r="E493" s="7">
        <v>1.1499999999999999</v>
      </c>
      <c r="F493" s="2">
        <v>0.93</v>
      </c>
      <c r="G493" s="7">
        <v>0.79</v>
      </c>
      <c r="H493" s="9" t="s">
        <v>20</v>
      </c>
      <c r="I493">
        <v>0.76</v>
      </c>
      <c r="J493">
        <v>0.67</v>
      </c>
      <c r="K493">
        <v>0.53</v>
      </c>
      <c r="L493">
        <v>0.1</v>
      </c>
      <c r="M493">
        <v>0.81</v>
      </c>
      <c r="N493">
        <v>0.87</v>
      </c>
      <c r="O493">
        <v>0.17</v>
      </c>
      <c r="P493">
        <v>0.85</v>
      </c>
      <c r="Q493">
        <v>0.88</v>
      </c>
      <c r="R493" s="2">
        <v>0.55000000000000004</v>
      </c>
      <c r="S493" t="str">
        <f>IF(Table1[[#This Row],[Years_Experience]]&lt;=5,"Early Career",
IF(Table1[[#This Row],[Years_Experience]]&lt;=15,"Mid Career","Senior Level"))</f>
        <v>Mid Career</v>
      </c>
      <c r="T493" t="str">
        <f>IF(Table1[[#This Row],[AI_Exposure_Index]]&gt;=0.7,"High Exposure", IF(Table1[[#This Row],[AI_Exposure_Index]]&gt;=0.3,"Medium Exposure","Low Exposure"))</f>
        <v>High Exposure</v>
      </c>
    </row>
    <row r="494" spans="1:20" x14ac:dyDescent="0.25">
      <c r="A494" t="s">
        <v>26</v>
      </c>
      <c r="B494">
        <v>118444</v>
      </c>
      <c r="C494" s="1">
        <v>8</v>
      </c>
      <c r="D494" t="s">
        <v>19</v>
      </c>
      <c r="E494" s="7">
        <v>0.78</v>
      </c>
      <c r="F494" s="2">
        <v>0.38</v>
      </c>
      <c r="G494" s="7">
        <v>0.59</v>
      </c>
      <c r="H494" s="9" t="s">
        <v>27</v>
      </c>
      <c r="I494">
        <v>0.86</v>
      </c>
      <c r="J494">
        <v>0.65</v>
      </c>
      <c r="K494">
        <v>0.51</v>
      </c>
      <c r="L494">
        <v>0.16</v>
      </c>
      <c r="M494">
        <v>0.05</v>
      </c>
      <c r="N494">
        <v>0.45</v>
      </c>
      <c r="O494">
        <v>0.05</v>
      </c>
      <c r="P494">
        <v>0.56999999999999995</v>
      </c>
      <c r="Q494">
        <v>0.38</v>
      </c>
      <c r="R494" s="2">
        <v>0.76</v>
      </c>
      <c r="S494" t="str">
        <f>IF(Table1[[#This Row],[Years_Experience]]&lt;=5,"Early Career",
IF(Table1[[#This Row],[Years_Experience]]&lt;=15,"Mid Career","Senior Level"))</f>
        <v>Mid Career</v>
      </c>
      <c r="T494" t="str">
        <f>IF(Table1[[#This Row],[AI_Exposure_Index]]&gt;=0.7,"High Exposure", IF(Table1[[#This Row],[AI_Exposure_Index]]&gt;=0.3,"Medium Exposure","Low Exposure"))</f>
        <v>Medium Exposure</v>
      </c>
    </row>
    <row r="495" spans="1:20" x14ac:dyDescent="0.25">
      <c r="A495" t="s">
        <v>21</v>
      </c>
      <c r="B495">
        <v>94204</v>
      </c>
      <c r="C495" s="1">
        <v>25</v>
      </c>
      <c r="D495" t="s">
        <v>38</v>
      </c>
      <c r="E495" s="7">
        <v>1.04</v>
      </c>
      <c r="F495" s="2">
        <v>0.59</v>
      </c>
      <c r="G495" s="7">
        <v>0.05</v>
      </c>
      <c r="H495" s="9" t="s">
        <v>23</v>
      </c>
      <c r="I495">
        <v>7.0000000000000007E-2</v>
      </c>
      <c r="J495">
        <v>0.28999999999999998</v>
      </c>
      <c r="K495">
        <v>0.88</v>
      </c>
      <c r="L495">
        <v>0.15</v>
      </c>
      <c r="M495">
        <v>0.71</v>
      </c>
      <c r="N495">
        <v>0.97</v>
      </c>
      <c r="O495">
        <v>0.79</v>
      </c>
      <c r="P495">
        <v>0.24</v>
      </c>
      <c r="Q495">
        <v>0.91</v>
      </c>
      <c r="R495" s="2">
        <v>0.09</v>
      </c>
      <c r="S495" t="str">
        <f>IF(Table1[[#This Row],[Years_Experience]]&lt;=5,"Early Career",
IF(Table1[[#This Row],[Years_Experience]]&lt;=15,"Mid Career","Senior Level"))</f>
        <v>Senior Level</v>
      </c>
      <c r="T495" t="str">
        <f>IF(Table1[[#This Row],[AI_Exposure_Index]]&gt;=0.7,"High Exposure", IF(Table1[[#This Row],[AI_Exposure_Index]]&gt;=0.3,"Medium Exposure","Low Exposure"))</f>
        <v>Medium Exposure</v>
      </c>
    </row>
    <row r="496" spans="1:20" x14ac:dyDescent="0.25">
      <c r="A496" t="s">
        <v>40</v>
      </c>
      <c r="B496">
        <v>39852</v>
      </c>
      <c r="C496" s="1">
        <v>11</v>
      </c>
      <c r="D496" t="s">
        <v>25</v>
      </c>
      <c r="E496" s="7">
        <v>1.1399999999999999</v>
      </c>
      <c r="F496" s="2">
        <v>0.89</v>
      </c>
      <c r="G496" s="7">
        <v>0.15</v>
      </c>
      <c r="H496" s="9" t="s">
        <v>23</v>
      </c>
      <c r="I496">
        <v>0.28999999999999998</v>
      </c>
      <c r="J496">
        <v>0.38</v>
      </c>
      <c r="K496">
        <v>0.51</v>
      </c>
      <c r="L496">
        <v>0.32</v>
      </c>
      <c r="M496">
        <v>0.97</v>
      </c>
      <c r="N496">
        <v>0.93</v>
      </c>
      <c r="O496">
        <v>0.87</v>
      </c>
      <c r="P496">
        <v>0.42</v>
      </c>
      <c r="Q496">
        <v>0.69</v>
      </c>
      <c r="R496" s="2">
        <v>0.9</v>
      </c>
      <c r="S496" t="str">
        <f>IF(Table1[[#This Row],[Years_Experience]]&lt;=5,"Early Career",
IF(Table1[[#This Row],[Years_Experience]]&lt;=15,"Mid Career","Senior Level"))</f>
        <v>Mid Career</v>
      </c>
      <c r="T496" t="str">
        <f>IF(Table1[[#This Row],[AI_Exposure_Index]]&gt;=0.7,"High Exposure", IF(Table1[[#This Row],[AI_Exposure_Index]]&gt;=0.3,"Medium Exposure","Low Exposure"))</f>
        <v>High Exposure</v>
      </c>
    </row>
    <row r="497" spans="1:20" x14ac:dyDescent="0.25">
      <c r="A497" t="s">
        <v>43</v>
      </c>
      <c r="B497">
        <v>144476</v>
      </c>
      <c r="C497" s="1">
        <v>29</v>
      </c>
      <c r="D497" t="s">
        <v>25</v>
      </c>
      <c r="E497" s="7">
        <v>0.61</v>
      </c>
      <c r="F497" s="2">
        <v>0.41</v>
      </c>
      <c r="G497" s="7">
        <v>7.0000000000000007E-2</v>
      </c>
      <c r="H497" s="9" t="s">
        <v>23</v>
      </c>
      <c r="I497">
        <v>0.57999999999999996</v>
      </c>
      <c r="J497">
        <v>0.64</v>
      </c>
      <c r="K497">
        <v>0.85</v>
      </c>
      <c r="L497">
        <v>0.28999999999999998</v>
      </c>
      <c r="M497">
        <v>0.17</v>
      </c>
      <c r="N497">
        <v>0.38</v>
      </c>
      <c r="O497">
        <v>0.35</v>
      </c>
      <c r="P497">
        <v>0.13</v>
      </c>
      <c r="Q497">
        <v>0.67</v>
      </c>
      <c r="R497" s="2">
        <v>0.51</v>
      </c>
      <c r="S497" t="str">
        <f>IF(Table1[[#This Row],[Years_Experience]]&lt;=5,"Early Career",
IF(Table1[[#This Row],[Years_Experience]]&lt;=15,"Mid Career","Senior Level"))</f>
        <v>Senior Level</v>
      </c>
      <c r="T497" t="str">
        <f>IF(Table1[[#This Row],[AI_Exposure_Index]]&gt;=0.7,"High Exposure", IF(Table1[[#This Row],[AI_Exposure_Index]]&gt;=0.3,"Medium Exposure","Low Exposure"))</f>
        <v>Medium Exposure</v>
      </c>
    </row>
    <row r="498" spans="1:20" x14ac:dyDescent="0.25">
      <c r="A498" t="s">
        <v>26</v>
      </c>
      <c r="B498">
        <v>128336</v>
      </c>
      <c r="C498" s="1">
        <v>7</v>
      </c>
      <c r="D498" t="s">
        <v>25</v>
      </c>
      <c r="E498" s="7">
        <v>0.83</v>
      </c>
      <c r="F498" s="2">
        <v>0.35</v>
      </c>
      <c r="G498" s="7">
        <v>0.49</v>
      </c>
      <c r="H498" s="9" t="s">
        <v>27</v>
      </c>
      <c r="I498">
        <v>0.88</v>
      </c>
      <c r="J498">
        <v>0.04</v>
      </c>
      <c r="K498">
        <v>0.8</v>
      </c>
      <c r="L498">
        <v>0.37</v>
      </c>
      <c r="M498">
        <v>0.85</v>
      </c>
      <c r="N498">
        <v>0.8</v>
      </c>
      <c r="O498">
        <v>0.35</v>
      </c>
      <c r="P498">
        <v>0.69</v>
      </c>
      <c r="Q498">
        <v>0.16</v>
      </c>
      <c r="R498" s="2">
        <v>0.9</v>
      </c>
      <c r="S498" t="str">
        <f>IF(Table1[[#This Row],[Years_Experience]]&lt;=5,"Early Career",
IF(Table1[[#This Row],[Years_Experience]]&lt;=15,"Mid Career","Senior Level"))</f>
        <v>Mid Career</v>
      </c>
      <c r="T498" t="str">
        <f>IF(Table1[[#This Row],[AI_Exposure_Index]]&gt;=0.7,"High Exposure", IF(Table1[[#This Row],[AI_Exposure_Index]]&gt;=0.3,"Medium Exposure","Low Exposure"))</f>
        <v>Medium Exposure</v>
      </c>
    </row>
    <row r="499" spans="1:20" x14ac:dyDescent="0.25">
      <c r="A499" t="s">
        <v>32</v>
      </c>
      <c r="B499">
        <v>77598</v>
      </c>
      <c r="C499" s="1">
        <v>8</v>
      </c>
      <c r="D499" t="s">
        <v>38</v>
      </c>
      <c r="E499" s="7">
        <v>1.21</v>
      </c>
      <c r="F499" s="2">
        <v>0.46</v>
      </c>
      <c r="G499" s="7">
        <v>0.63</v>
      </c>
      <c r="H499" s="9" t="s">
        <v>27</v>
      </c>
      <c r="I499">
        <v>0.24</v>
      </c>
      <c r="J499">
        <v>0.66</v>
      </c>
      <c r="K499">
        <v>0.39</v>
      </c>
      <c r="L499">
        <v>0.37</v>
      </c>
      <c r="M499">
        <v>0.69</v>
      </c>
      <c r="N499">
        <v>0.39</v>
      </c>
      <c r="O499">
        <v>0.35</v>
      </c>
      <c r="P499">
        <v>0.84</v>
      </c>
      <c r="Q499">
        <v>0.1</v>
      </c>
      <c r="R499" s="2">
        <v>0.68</v>
      </c>
      <c r="S499" t="str">
        <f>IF(Table1[[#This Row],[Years_Experience]]&lt;=5,"Early Career",
IF(Table1[[#This Row],[Years_Experience]]&lt;=15,"Mid Career","Senior Level"))</f>
        <v>Mid Career</v>
      </c>
      <c r="T499" t="str">
        <f>IF(Table1[[#This Row],[AI_Exposure_Index]]&gt;=0.7,"High Exposure", IF(Table1[[#This Row],[AI_Exposure_Index]]&gt;=0.3,"Medium Exposure","Low Exposure"))</f>
        <v>Medium Exposure</v>
      </c>
    </row>
    <row r="500" spans="1:20" x14ac:dyDescent="0.25">
      <c r="A500" t="s">
        <v>21</v>
      </c>
      <c r="B500">
        <v>60628</v>
      </c>
      <c r="C500" s="1">
        <v>2</v>
      </c>
      <c r="D500" t="s">
        <v>25</v>
      </c>
      <c r="E500" s="7">
        <v>0.67</v>
      </c>
      <c r="F500" s="2">
        <v>0.02</v>
      </c>
      <c r="G500" s="7">
        <v>0.2</v>
      </c>
      <c r="H500" s="9" t="s">
        <v>23</v>
      </c>
      <c r="I500">
        <v>0.71</v>
      </c>
      <c r="J500">
        <v>0.02</v>
      </c>
      <c r="K500">
        <v>0.04</v>
      </c>
      <c r="L500">
        <v>0.9</v>
      </c>
      <c r="M500">
        <v>7.0000000000000007E-2</v>
      </c>
      <c r="N500">
        <v>0.89</v>
      </c>
      <c r="O500">
        <v>0.23</v>
      </c>
      <c r="P500">
        <v>0.74</v>
      </c>
      <c r="Q500">
        <v>0.31</v>
      </c>
      <c r="R500" s="2">
        <v>0.86</v>
      </c>
      <c r="S500" t="str">
        <f>IF(Table1[[#This Row],[Years_Experience]]&lt;=5,"Early Career",
IF(Table1[[#This Row],[Years_Experience]]&lt;=15,"Mid Career","Senior Level"))</f>
        <v>Early Career</v>
      </c>
      <c r="T500" t="str">
        <f>IF(Table1[[#This Row],[AI_Exposure_Index]]&gt;=0.7,"High Exposure", IF(Table1[[#This Row],[AI_Exposure_Index]]&gt;=0.3,"Medium Exposure","Low Exposure"))</f>
        <v>Low Exposure</v>
      </c>
    </row>
    <row r="501" spans="1:20" x14ac:dyDescent="0.25">
      <c r="A501" t="s">
        <v>36</v>
      </c>
      <c r="B501">
        <v>96188</v>
      </c>
      <c r="C501" s="1">
        <v>7</v>
      </c>
      <c r="D501" t="s">
        <v>25</v>
      </c>
      <c r="E501" s="7">
        <v>0.57999999999999996</v>
      </c>
      <c r="F501" s="2">
        <v>0.4</v>
      </c>
      <c r="G501" s="7">
        <v>0.59</v>
      </c>
      <c r="H501" s="9" t="s">
        <v>27</v>
      </c>
      <c r="I501">
        <v>0.62</v>
      </c>
      <c r="J501">
        <v>0</v>
      </c>
      <c r="K501">
        <v>0.01</v>
      </c>
      <c r="L501">
        <v>0.81</v>
      </c>
      <c r="M501">
        <v>0.26</v>
      </c>
      <c r="N501">
        <v>0.64</v>
      </c>
      <c r="O501">
        <v>0.45</v>
      </c>
      <c r="P501">
        <v>0.86</v>
      </c>
      <c r="Q501">
        <v>0.92</v>
      </c>
      <c r="R501" s="2">
        <v>1</v>
      </c>
      <c r="S501" t="str">
        <f>IF(Table1[[#This Row],[Years_Experience]]&lt;=5,"Early Career",
IF(Table1[[#This Row],[Years_Experience]]&lt;=15,"Mid Career","Senior Level"))</f>
        <v>Mid Career</v>
      </c>
      <c r="T501" t="str">
        <f>IF(Table1[[#This Row],[AI_Exposure_Index]]&gt;=0.7,"High Exposure", IF(Table1[[#This Row],[AI_Exposure_Index]]&gt;=0.3,"Medium Exposure","Low Exposure"))</f>
        <v>Medium Exposure</v>
      </c>
    </row>
    <row r="502" spans="1:20" x14ac:dyDescent="0.25">
      <c r="A502" t="s">
        <v>44</v>
      </c>
      <c r="B502">
        <v>42516</v>
      </c>
      <c r="C502" s="1">
        <v>19</v>
      </c>
      <c r="D502" t="s">
        <v>25</v>
      </c>
      <c r="E502" s="7">
        <v>1.0900000000000001</v>
      </c>
      <c r="F502" s="2">
        <v>0.27</v>
      </c>
      <c r="G502" s="7">
        <v>0.5</v>
      </c>
      <c r="H502" s="9" t="s">
        <v>27</v>
      </c>
      <c r="I502">
        <v>0.02</v>
      </c>
      <c r="J502">
        <v>0.93</v>
      </c>
      <c r="K502">
        <v>0.08</v>
      </c>
      <c r="L502">
        <v>0.69</v>
      </c>
      <c r="M502">
        <v>0.79</v>
      </c>
      <c r="N502">
        <v>0.8</v>
      </c>
      <c r="O502">
        <v>0.14000000000000001</v>
      </c>
      <c r="P502">
        <v>0.45</v>
      </c>
      <c r="Q502">
        <v>0.83</v>
      </c>
      <c r="R502" s="2">
        <v>0.3</v>
      </c>
      <c r="S502" t="str">
        <f>IF(Table1[[#This Row],[Years_Experience]]&lt;=5,"Early Career",
IF(Table1[[#This Row],[Years_Experience]]&lt;=15,"Mid Career","Senior Level"))</f>
        <v>Senior Level</v>
      </c>
      <c r="T502" t="str">
        <f>IF(Table1[[#This Row],[AI_Exposure_Index]]&gt;=0.7,"High Exposure", IF(Table1[[#This Row],[AI_Exposure_Index]]&gt;=0.3,"Medium Exposure","Low Exposure"))</f>
        <v>Low Exposure</v>
      </c>
    </row>
    <row r="503" spans="1:20" x14ac:dyDescent="0.25">
      <c r="A503" t="s">
        <v>29</v>
      </c>
      <c r="B503">
        <v>54722</v>
      </c>
      <c r="C503" s="1">
        <v>22</v>
      </c>
      <c r="D503" t="s">
        <v>25</v>
      </c>
      <c r="E503" s="7">
        <v>0.96</v>
      </c>
      <c r="F503" s="2">
        <v>0.27</v>
      </c>
      <c r="G503" s="7">
        <v>0.27</v>
      </c>
      <c r="H503" s="9" t="s">
        <v>23</v>
      </c>
      <c r="I503">
        <v>0.46</v>
      </c>
      <c r="J503">
        <v>0.56000000000000005</v>
      </c>
      <c r="K503">
        <v>0.4</v>
      </c>
      <c r="L503">
        <v>0.46</v>
      </c>
      <c r="M503">
        <v>0.02</v>
      </c>
      <c r="N503">
        <v>0.28000000000000003</v>
      </c>
      <c r="O503">
        <v>0.44</v>
      </c>
      <c r="P503">
        <v>0.63</v>
      </c>
      <c r="Q503">
        <v>0.45</v>
      </c>
      <c r="R503" s="2">
        <v>0.34</v>
      </c>
      <c r="S503" t="str">
        <f>IF(Table1[[#This Row],[Years_Experience]]&lt;=5,"Early Career",
IF(Table1[[#This Row],[Years_Experience]]&lt;=15,"Mid Career","Senior Level"))</f>
        <v>Senior Level</v>
      </c>
      <c r="T503" t="str">
        <f>IF(Table1[[#This Row],[AI_Exposure_Index]]&gt;=0.7,"High Exposure", IF(Table1[[#This Row],[AI_Exposure_Index]]&gt;=0.3,"Medium Exposure","Low Exposure"))</f>
        <v>Low Exposure</v>
      </c>
    </row>
    <row r="504" spans="1:20" x14ac:dyDescent="0.25">
      <c r="A504" t="s">
        <v>35</v>
      </c>
      <c r="B504">
        <v>58743</v>
      </c>
      <c r="C504" s="1">
        <v>1</v>
      </c>
      <c r="D504" t="s">
        <v>22</v>
      </c>
      <c r="E504" s="7">
        <v>1.42</v>
      </c>
      <c r="F504" s="2">
        <v>0.24</v>
      </c>
      <c r="G504" s="7">
        <v>0.51</v>
      </c>
      <c r="H504" s="9" t="s">
        <v>27</v>
      </c>
      <c r="I504">
        <v>0.01</v>
      </c>
      <c r="J504">
        <v>0.02</v>
      </c>
      <c r="K504">
        <v>0.97</v>
      </c>
      <c r="L504">
        <v>0.22</v>
      </c>
      <c r="M504">
        <v>0.81</v>
      </c>
      <c r="N504">
        <v>0.06</v>
      </c>
      <c r="O504">
        <v>0.92</v>
      </c>
      <c r="P504">
        <v>0.87</v>
      </c>
      <c r="Q504">
        <v>0.56999999999999995</v>
      </c>
      <c r="R504" s="2">
        <v>0.01</v>
      </c>
      <c r="S504" t="str">
        <f>IF(Table1[[#This Row],[Years_Experience]]&lt;=5,"Early Career",
IF(Table1[[#This Row],[Years_Experience]]&lt;=15,"Mid Career","Senior Level"))</f>
        <v>Early Career</v>
      </c>
      <c r="T504" t="str">
        <f>IF(Table1[[#This Row],[AI_Exposure_Index]]&gt;=0.7,"High Exposure", IF(Table1[[#This Row],[AI_Exposure_Index]]&gt;=0.3,"Medium Exposure","Low Exposure"))</f>
        <v>Low Exposure</v>
      </c>
    </row>
    <row r="505" spans="1:20" x14ac:dyDescent="0.25">
      <c r="A505" t="s">
        <v>40</v>
      </c>
      <c r="B505">
        <v>31695</v>
      </c>
      <c r="C505" s="1">
        <v>19</v>
      </c>
      <c r="D505" t="s">
        <v>22</v>
      </c>
      <c r="E505" s="7">
        <v>0.98</v>
      </c>
      <c r="F505" s="2">
        <v>0.43</v>
      </c>
      <c r="G505" s="7">
        <v>0.21</v>
      </c>
      <c r="H505" s="9" t="s">
        <v>23</v>
      </c>
      <c r="I505">
        <v>0.02</v>
      </c>
      <c r="J505">
        <v>0.65</v>
      </c>
      <c r="K505">
        <v>0.62</v>
      </c>
      <c r="L505">
        <v>0.31</v>
      </c>
      <c r="M505">
        <v>0.09</v>
      </c>
      <c r="N505">
        <v>0.09</v>
      </c>
      <c r="O505">
        <v>0.92</v>
      </c>
      <c r="P505">
        <v>0.69</v>
      </c>
      <c r="Q505">
        <v>0.13</v>
      </c>
      <c r="R505" s="2">
        <v>0.36</v>
      </c>
      <c r="S505" t="str">
        <f>IF(Table1[[#This Row],[Years_Experience]]&lt;=5,"Early Career",
IF(Table1[[#This Row],[Years_Experience]]&lt;=15,"Mid Career","Senior Level"))</f>
        <v>Senior Level</v>
      </c>
      <c r="T505" t="str">
        <f>IF(Table1[[#This Row],[AI_Exposure_Index]]&gt;=0.7,"High Exposure", IF(Table1[[#This Row],[AI_Exposure_Index]]&gt;=0.3,"Medium Exposure","Low Exposure"))</f>
        <v>Medium Exposure</v>
      </c>
    </row>
    <row r="506" spans="1:20" x14ac:dyDescent="0.25">
      <c r="A506" t="s">
        <v>33</v>
      </c>
      <c r="B506">
        <v>93294</v>
      </c>
      <c r="C506" s="1">
        <v>4</v>
      </c>
      <c r="D506" t="s">
        <v>22</v>
      </c>
      <c r="E506" s="7">
        <v>0.54</v>
      </c>
      <c r="F506" s="2">
        <v>0.84</v>
      </c>
      <c r="G506" s="7">
        <v>0.76</v>
      </c>
      <c r="H506" s="9" t="s">
        <v>20</v>
      </c>
      <c r="I506">
        <v>0.89</v>
      </c>
      <c r="J506">
        <v>0.01</v>
      </c>
      <c r="K506">
        <v>0.2</v>
      </c>
      <c r="L506">
        <v>0.96</v>
      </c>
      <c r="M506">
        <v>0.61</v>
      </c>
      <c r="N506">
        <v>0.26</v>
      </c>
      <c r="O506">
        <v>7.0000000000000007E-2</v>
      </c>
      <c r="P506">
        <v>0.03</v>
      </c>
      <c r="Q506">
        <v>0.24</v>
      </c>
      <c r="R506" s="2">
        <v>0.88</v>
      </c>
      <c r="S506" t="str">
        <f>IF(Table1[[#This Row],[Years_Experience]]&lt;=5,"Early Career",
IF(Table1[[#This Row],[Years_Experience]]&lt;=15,"Mid Career","Senior Level"))</f>
        <v>Early Career</v>
      </c>
      <c r="T506" t="str">
        <f>IF(Table1[[#This Row],[AI_Exposure_Index]]&gt;=0.7,"High Exposure", IF(Table1[[#This Row],[AI_Exposure_Index]]&gt;=0.3,"Medium Exposure","Low Exposure"))</f>
        <v>High Exposure</v>
      </c>
    </row>
    <row r="507" spans="1:20" x14ac:dyDescent="0.25">
      <c r="A507" t="s">
        <v>21</v>
      </c>
      <c r="B507">
        <v>116310</v>
      </c>
      <c r="C507" s="1">
        <v>27</v>
      </c>
      <c r="D507" t="s">
        <v>25</v>
      </c>
      <c r="E507" s="7">
        <v>1.42</v>
      </c>
      <c r="F507" s="2">
        <v>0.72</v>
      </c>
      <c r="G507" s="7">
        <v>0.15</v>
      </c>
      <c r="H507" s="9" t="s">
        <v>23</v>
      </c>
      <c r="I507">
        <v>0.19</v>
      </c>
      <c r="J507">
        <v>0.52</v>
      </c>
      <c r="K507">
        <v>0.91</v>
      </c>
      <c r="L507">
        <v>0.8</v>
      </c>
      <c r="M507">
        <v>7.0000000000000007E-2</v>
      </c>
      <c r="N507">
        <v>0.69</v>
      </c>
      <c r="O507">
        <v>0.56999999999999995</v>
      </c>
      <c r="P507">
        <v>0.91</v>
      </c>
      <c r="Q507">
        <v>0.12</v>
      </c>
      <c r="R507" s="2">
        <v>0.53</v>
      </c>
      <c r="S507" t="str">
        <f>IF(Table1[[#This Row],[Years_Experience]]&lt;=5,"Early Career",
IF(Table1[[#This Row],[Years_Experience]]&lt;=15,"Mid Career","Senior Level"))</f>
        <v>Senior Level</v>
      </c>
      <c r="T507" t="str">
        <f>IF(Table1[[#This Row],[AI_Exposure_Index]]&gt;=0.7,"High Exposure", IF(Table1[[#This Row],[AI_Exposure_Index]]&gt;=0.3,"Medium Exposure","Low Exposure"))</f>
        <v>High Exposure</v>
      </c>
    </row>
    <row r="508" spans="1:20" x14ac:dyDescent="0.25">
      <c r="A508" t="s">
        <v>43</v>
      </c>
      <c r="B508">
        <v>60615</v>
      </c>
      <c r="C508" s="1">
        <v>18</v>
      </c>
      <c r="D508" t="s">
        <v>19</v>
      </c>
      <c r="E508" s="7">
        <v>0.98</v>
      </c>
      <c r="F508" s="2">
        <v>0.41</v>
      </c>
      <c r="G508" s="7">
        <v>7.0000000000000007E-2</v>
      </c>
      <c r="H508" s="9" t="s">
        <v>23</v>
      </c>
      <c r="I508">
        <v>0.28000000000000003</v>
      </c>
      <c r="J508">
        <v>0.32</v>
      </c>
      <c r="K508">
        <v>0.95</v>
      </c>
      <c r="L508">
        <v>0.28000000000000003</v>
      </c>
      <c r="M508">
        <v>0.46</v>
      </c>
      <c r="N508">
        <v>0.67</v>
      </c>
      <c r="O508">
        <v>0.16</v>
      </c>
      <c r="P508">
        <v>0.49</v>
      </c>
      <c r="Q508">
        <v>0.74</v>
      </c>
      <c r="R508" s="2">
        <v>0.87</v>
      </c>
      <c r="S508" t="str">
        <f>IF(Table1[[#This Row],[Years_Experience]]&lt;=5,"Early Career",
IF(Table1[[#This Row],[Years_Experience]]&lt;=15,"Mid Career","Senior Level"))</f>
        <v>Senior Level</v>
      </c>
      <c r="T508" t="str">
        <f>IF(Table1[[#This Row],[AI_Exposure_Index]]&gt;=0.7,"High Exposure", IF(Table1[[#This Row],[AI_Exposure_Index]]&gt;=0.3,"Medium Exposure","Low Exposure"))</f>
        <v>Medium Exposure</v>
      </c>
    </row>
    <row r="509" spans="1:20" x14ac:dyDescent="0.25">
      <c r="A509" t="s">
        <v>36</v>
      </c>
      <c r="B509">
        <v>64568</v>
      </c>
      <c r="C509" s="1">
        <v>6</v>
      </c>
      <c r="D509" t="s">
        <v>25</v>
      </c>
      <c r="E509" s="7">
        <v>1.27</v>
      </c>
      <c r="F509" s="2">
        <v>0.74</v>
      </c>
      <c r="G509" s="7">
        <v>0.56000000000000005</v>
      </c>
      <c r="H509" s="9" t="s">
        <v>27</v>
      </c>
      <c r="I509">
        <v>0.47</v>
      </c>
      <c r="J509">
        <v>0.56999999999999995</v>
      </c>
      <c r="K509">
        <v>0.05</v>
      </c>
      <c r="L509">
        <v>0.62</v>
      </c>
      <c r="M509">
        <v>0.63</v>
      </c>
      <c r="N509">
        <v>0.89</v>
      </c>
      <c r="O509">
        <v>0.51</v>
      </c>
      <c r="P509">
        <v>0.08</v>
      </c>
      <c r="Q509">
        <v>0.31</v>
      </c>
      <c r="R509" s="2">
        <v>0.66</v>
      </c>
      <c r="S509" t="str">
        <f>IF(Table1[[#This Row],[Years_Experience]]&lt;=5,"Early Career",
IF(Table1[[#This Row],[Years_Experience]]&lt;=15,"Mid Career","Senior Level"))</f>
        <v>Mid Career</v>
      </c>
      <c r="T509" t="str">
        <f>IF(Table1[[#This Row],[AI_Exposure_Index]]&gt;=0.7,"High Exposure", IF(Table1[[#This Row],[AI_Exposure_Index]]&gt;=0.3,"Medium Exposure","Low Exposure"))</f>
        <v>High Exposure</v>
      </c>
    </row>
    <row r="510" spans="1:20" x14ac:dyDescent="0.25">
      <c r="A510" t="s">
        <v>21</v>
      </c>
      <c r="B510">
        <v>34507</v>
      </c>
      <c r="C510" s="1">
        <v>20</v>
      </c>
      <c r="D510" t="s">
        <v>38</v>
      </c>
      <c r="E510" s="7">
        <v>0.77</v>
      </c>
      <c r="F510" s="2">
        <v>0.89</v>
      </c>
      <c r="G510" s="7">
        <v>0.26</v>
      </c>
      <c r="H510" s="9" t="s">
        <v>23</v>
      </c>
      <c r="I510">
        <v>0.52</v>
      </c>
      <c r="J510">
        <v>0.46</v>
      </c>
      <c r="K510">
        <v>0.31</v>
      </c>
      <c r="L510">
        <v>0.57999999999999996</v>
      </c>
      <c r="M510">
        <v>0.73</v>
      </c>
      <c r="N510">
        <v>0.41</v>
      </c>
      <c r="O510">
        <v>0.63</v>
      </c>
      <c r="P510">
        <v>0.7</v>
      </c>
      <c r="Q510">
        <v>0.71</v>
      </c>
      <c r="R510" s="2">
        <v>0.05</v>
      </c>
      <c r="S510" t="str">
        <f>IF(Table1[[#This Row],[Years_Experience]]&lt;=5,"Early Career",
IF(Table1[[#This Row],[Years_Experience]]&lt;=15,"Mid Career","Senior Level"))</f>
        <v>Senior Level</v>
      </c>
      <c r="T510" t="str">
        <f>IF(Table1[[#This Row],[AI_Exposure_Index]]&gt;=0.7,"High Exposure", IF(Table1[[#This Row],[AI_Exposure_Index]]&gt;=0.3,"Medium Exposure","Low Exposure"))</f>
        <v>High Exposure</v>
      </c>
    </row>
    <row r="511" spans="1:20" x14ac:dyDescent="0.25">
      <c r="A511" t="s">
        <v>43</v>
      </c>
      <c r="B511">
        <v>58343</v>
      </c>
      <c r="C511" s="1">
        <v>26</v>
      </c>
      <c r="D511" t="s">
        <v>22</v>
      </c>
      <c r="E511" s="7">
        <v>0.76</v>
      </c>
      <c r="F511" s="2">
        <v>0.46</v>
      </c>
      <c r="G511" s="7">
        <v>0.11</v>
      </c>
      <c r="H511" s="9" t="s">
        <v>23</v>
      </c>
      <c r="I511">
        <v>0.48</v>
      </c>
      <c r="J511">
        <v>0.89</v>
      </c>
      <c r="K511">
        <v>0.38</v>
      </c>
      <c r="L511">
        <v>0.75</v>
      </c>
      <c r="M511">
        <v>0.1</v>
      </c>
      <c r="N511">
        <v>0.48</v>
      </c>
      <c r="O511">
        <v>0.99</v>
      </c>
      <c r="P511">
        <v>0.77</v>
      </c>
      <c r="Q511">
        <v>0.21</v>
      </c>
      <c r="R511" s="2">
        <v>0.5</v>
      </c>
      <c r="S511" t="str">
        <f>IF(Table1[[#This Row],[Years_Experience]]&lt;=5,"Early Career",
IF(Table1[[#This Row],[Years_Experience]]&lt;=15,"Mid Career","Senior Level"))</f>
        <v>Senior Level</v>
      </c>
      <c r="T511" t="str">
        <f>IF(Table1[[#This Row],[AI_Exposure_Index]]&gt;=0.7,"High Exposure", IF(Table1[[#This Row],[AI_Exposure_Index]]&gt;=0.3,"Medium Exposure","Low Exposure"))</f>
        <v>Medium Exposure</v>
      </c>
    </row>
    <row r="512" spans="1:20" x14ac:dyDescent="0.25">
      <c r="A512" t="s">
        <v>21</v>
      </c>
      <c r="B512">
        <v>84544</v>
      </c>
      <c r="C512" s="1">
        <v>3</v>
      </c>
      <c r="D512" t="s">
        <v>25</v>
      </c>
      <c r="E512" s="7">
        <v>1.28</v>
      </c>
      <c r="F512" s="2">
        <v>0.41</v>
      </c>
      <c r="G512" s="7">
        <v>0.24</v>
      </c>
      <c r="H512" s="9" t="s">
        <v>23</v>
      </c>
      <c r="I512">
        <v>0.23</v>
      </c>
      <c r="J512">
        <v>0.92</v>
      </c>
      <c r="K512">
        <v>0.59</v>
      </c>
      <c r="L512">
        <v>0.38</v>
      </c>
      <c r="M512">
        <v>0.5</v>
      </c>
      <c r="N512">
        <v>0.61</v>
      </c>
      <c r="O512">
        <v>0.56000000000000005</v>
      </c>
      <c r="P512">
        <v>0.49</v>
      </c>
      <c r="Q512">
        <v>0.5</v>
      </c>
      <c r="R512" s="2">
        <v>0.18</v>
      </c>
      <c r="S512" t="str">
        <f>IF(Table1[[#This Row],[Years_Experience]]&lt;=5,"Early Career",
IF(Table1[[#This Row],[Years_Experience]]&lt;=15,"Mid Career","Senior Level"))</f>
        <v>Early Career</v>
      </c>
      <c r="T512" t="str">
        <f>IF(Table1[[#This Row],[AI_Exposure_Index]]&gt;=0.7,"High Exposure", IF(Table1[[#This Row],[AI_Exposure_Index]]&gt;=0.3,"Medium Exposure","Low Exposure"))</f>
        <v>Medium Exposure</v>
      </c>
    </row>
    <row r="513" spans="1:20" x14ac:dyDescent="0.25">
      <c r="A513" t="s">
        <v>43</v>
      </c>
      <c r="B513">
        <v>112790</v>
      </c>
      <c r="C513" s="1">
        <v>2</v>
      </c>
      <c r="D513" t="s">
        <v>19</v>
      </c>
      <c r="E513" s="7">
        <v>0.63</v>
      </c>
      <c r="F513" s="2">
        <v>0.54</v>
      </c>
      <c r="G513" s="7">
        <v>0.24</v>
      </c>
      <c r="H513" s="9" t="s">
        <v>23</v>
      </c>
      <c r="I513">
        <v>0.93</v>
      </c>
      <c r="J513">
        <v>0.95</v>
      </c>
      <c r="K513">
        <v>0.37</v>
      </c>
      <c r="L513">
        <v>0.14000000000000001</v>
      </c>
      <c r="M513">
        <v>0.52</v>
      </c>
      <c r="N513">
        <v>0.11</v>
      </c>
      <c r="O513">
        <v>0.93</v>
      </c>
      <c r="P513">
        <v>0.18</v>
      </c>
      <c r="Q513">
        <v>0.25</v>
      </c>
      <c r="R513" s="2">
        <v>0.41</v>
      </c>
      <c r="S513" t="str">
        <f>IF(Table1[[#This Row],[Years_Experience]]&lt;=5,"Early Career",
IF(Table1[[#This Row],[Years_Experience]]&lt;=15,"Mid Career","Senior Level"))</f>
        <v>Early Career</v>
      </c>
      <c r="T513" t="str">
        <f>IF(Table1[[#This Row],[AI_Exposure_Index]]&gt;=0.7,"High Exposure", IF(Table1[[#This Row],[AI_Exposure_Index]]&gt;=0.3,"Medium Exposure","Low Exposure"))</f>
        <v>Medium Exposure</v>
      </c>
    </row>
    <row r="514" spans="1:20" x14ac:dyDescent="0.25">
      <c r="A514" t="s">
        <v>42</v>
      </c>
      <c r="B514">
        <v>99918</v>
      </c>
      <c r="C514" s="1">
        <v>19</v>
      </c>
      <c r="D514" t="s">
        <v>38</v>
      </c>
      <c r="E514" s="7">
        <v>0.96</v>
      </c>
      <c r="F514" s="2">
        <v>0.79</v>
      </c>
      <c r="G514" s="7">
        <v>0.37</v>
      </c>
      <c r="H514" s="9" t="s">
        <v>27</v>
      </c>
      <c r="I514">
        <v>0.27</v>
      </c>
      <c r="J514">
        <v>0.51</v>
      </c>
      <c r="K514">
        <v>0.15</v>
      </c>
      <c r="L514">
        <v>0.61</v>
      </c>
      <c r="M514">
        <v>0.56999999999999995</v>
      </c>
      <c r="N514">
        <v>0.71</v>
      </c>
      <c r="O514">
        <v>0.94</v>
      </c>
      <c r="P514">
        <v>0.91</v>
      </c>
      <c r="Q514">
        <v>0.95</v>
      </c>
      <c r="R514" s="2">
        <v>0.24</v>
      </c>
      <c r="S514" t="str">
        <f>IF(Table1[[#This Row],[Years_Experience]]&lt;=5,"Early Career",
IF(Table1[[#This Row],[Years_Experience]]&lt;=15,"Mid Career","Senior Level"))</f>
        <v>Senior Level</v>
      </c>
      <c r="T514" t="str">
        <f>IF(Table1[[#This Row],[AI_Exposure_Index]]&gt;=0.7,"High Exposure", IF(Table1[[#This Row],[AI_Exposure_Index]]&gt;=0.3,"Medium Exposure","Low Exposure"))</f>
        <v>High Exposure</v>
      </c>
    </row>
    <row r="515" spans="1:20" x14ac:dyDescent="0.25">
      <c r="A515" t="s">
        <v>33</v>
      </c>
      <c r="B515">
        <v>47290</v>
      </c>
      <c r="C515" s="1">
        <v>27</v>
      </c>
      <c r="D515" t="s">
        <v>25</v>
      </c>
      <c r="E515" s="7">
        <v>1.4</v>
      </c>
      <c r="F515" s="2">
        <v>0.3</v>
      </c>
      <c r="G515" s="7">
        <v>0.94</v>
      </c>
      <c r="H515" s="9" t="s">
        <v>20</v>
      </c>
      <c r="I515">
        <v>0.86</v>
      </c>
      <c r="J515">
        <v>0.11</v>
      </c>
      <c r="K515">
        <v>0.95</v>
      </c>
      <c r="L515">
        <v>0.42</v>
      </c>
      <c r="M515">
        <v>0.01</v>
      </c>
      <c r="N515">
        <v>0.44</v>
      </c>
      <c r="O515">
        <v>0.05</v>
      </c>
      <c r="P515">
        <v>0.54</v>
      </c>
      <c r="Q515">
        <v>0.34</v>
      </c>
      <c r="R515" s="2">
        <v>0.47</v>
      </c>
      <c r="S515" t="str">
        <f>IF(Table1[[#This Row],[Years_Experience]]&lt;=5,"Early Career",
IF(Table1[[#This Row],[Years_Experience]]&lt;=15,"Mid Career","Senior Level"))</f>
        <v>Senior Level</v>
      </c>
      <c r="T515" t="str">
        <f>IF(Table1[[#This Row],[AI_Exposure_Index]]&gt;=0.7,"High Exposure", IF(Table1[[#This Row],[AI_Exposure_Index]]&gt;=0.3,"Medium Exposure","Low Exposure"))</f>
        <v>Medium Exposure</v>
      </c>
    </row>
    <row r="516" spans="1:20" x14ac:dyDescent="0.25">
      <c r="A516" t="s">
        <v>42</v>
      </c>
      <c r="B516">
        <v>78002</v>
      </c>
      <c r="C516" s="1">
        <v>21</v>
      </c>
      <c r="D516" t="s">
        <v>38</v>
      </c>
      <c r="E516" s="7">
        <v>1.1599999999999999</v>
      </c>
      <c r="F516" s="2">
        <v>0.87</v>
      </c>
      <c r="G516" s="7">
        <v>0.47</v>
      </c>
      <c r="H516" s="9" t="s">
        <v>27</v>
      </c>
      <c r="I516">
        <v>0.82</v>
      </c>
      <c r="J516">
        <v>0.91</v>
      </c>
      <c r="K516">
        <v>0.12</v>
      </c>
      <c r="L516">
        <v>0.53</v>
      </c>
      <c r="M516">
        <v>0.28000000000000003</v>
      </c>
      <c r="N516">
        <v>0.05</v>
      </c>
      <c r="O516">
        <v>0.67</v>
      </c>
      <c r="P516">
        <v>0.86</v>
      </c>
      <c r="Q516">
        <v>0.16</v>
      </c>
      <c r="R516" s="2">
        <v>0.81</v>
      </c>
      <c r="S516" t="str">
        <f>IF(Table1[[#This Row],[Years_Experience]]&lt;=5,"Early Career",
IF(Table1[[#This Row],[Years_Experience]]&lt;=15,"Mid Career","Senior Level"))</f>
        <v>Senior Level</v>
      </c>
      <c r="T516" t="str">
        <f>IF(Table1[[#This Row],[AI_Exposure_Index]]&gt;=0.7,"High Exposure", IF(Table1[[#This Row],[AI_Exposure_Index]]&gt;=0.3,"Medium Exposure","Low Exposure"))</f>
        <v>High Exposure</v>
      </c>
    </row>
    <row r="517" spans="1:20" x14ac:dyDescent="0.25">
      <c r="A517" t="s">
        <v>34</v>
      </c>
      <c r="B517">
        <v>39372</v>
      </c>
      <c r="C517" s="1">
        <v>24</v>
      </c>
      <c r="D517" t="s">
        <v>38</v>
      </c>
      <c r="E517" s="7">
        <v>0.77</v>
      </c>
      <c r="F517" s="2">
        <v>0.91</v>
      </c>
      <c r="G517" s="7">
        <v>0.66</v>
      </c>
      <c r="H517" s="9" t="s">
        <v>27</v>
      </c>
      <c r="I517">
        <v>0.32</v>
      </c>
      <c r="J517">
        <v>0.55000000000000004</v>
      </c>
      <c r="K517">
        <v>0.05</v>
      </c>
      <c r="L517">
        <v>0.04</v>
      </c>
      <c r="M517">
        <v>0.72</v>
      </c>
      <c r="N517">
        <v>0.44</v>
      </c>
      <c r="O517">
        <v>0.26</v>
      </c>
      <c r="P517">
        <v>0.19</v>
      </c>
      <c r="Q517">
        <v>0.67</v>
      </c>
      <c r="R517" s="2">
        <v>0</v>
      </c>
      <c r="S517" t="str">
        <f>IF(Table1[[#This Row],[Years_Experience]]&lt;=5,"Early Career",
IF(Table1[[#This Row],[Years_Experience]]&lt;=15,"Mid Career","Senior Level"))</f>
        <v>Senior Level</v>
      </c>
      <c r="T517" t="str">
        <f>IF(Table1[[#This Row],[AI_Exposure_Index]]&gt;=0.7,"High Exposure", IF(Table1[[#This Row],[AI_Exposure_Index]]&gt;=0.3,"Medium Exposure","Low Exposure"))</f>
        <v>High Exposure</v>
      </c>
    </row>
    <row r="518" spans="1:20" x14ac:dyDescent="0.25">
      <c r="A518" t="s">
        <v>40</v>
      </c>
      <c r="B518">
        <v>87911</v>
      </c>
      <c r="C518" s="1">
        <v>21</v>
      </c>
      <c r="D518" t="s">
        <v>38</v>
      </c>
      <c r="E518" s="7">
        <v>0.55000000000000004</v>
      </c>
      <c r="F518" s="2">
        <v>0.08</v>
      </c>
      <c r="G518" s="7">
        <v>0.16</v>
      </c>
      <c r="H518" s="9" t="s">
        <v>23</v>
      </c>
      <c r="I518">
        <v>0.45</v>
      </c>
      <c r="J518">
        <v>0.9</v>
      </c>
      <c r="K518">
        <v>0.13</v>
      </c>
      <c r="L518">
        <v>0.12</v>
      </c>
      <c r="M518">
        <v>0.15</v>
      </c>
      <c r="N518">
        <v>0.03</v>
      </c>
      <c r="O518">
        <v>7.0000000000000007E-2</v>
      </c>
      <c r="P518">
        <v>0.66</v>
      </c>
      <c r="Q518">
        <v>0.43</v>
      </c>
      <c r="R518" s="2">
        <v>0.76</v>
      </c>
      <c r="S518" t="str">
        <f>IF(Table1[[#This Row],[Years_Experience]]&lt;=5,"Early Career",
IF(Table1[[#This Row],[Years_Experience]]&lt;=15,"Mid Career","Senior Level"))</f>
        <v>Senior Level</v>
      </c>
      <c r="T518" t="str">
        <f>IF(Table1[[#This Row],[AI_Exposure_Index]]&gt;=0.7,"High Exposure", IF(Table1[[#This Row],[AI_Exposure_Index]]&gt;=0.3,"Medium Exposure","Low Exposure"))</f>
        <v>Low Exposure</v>
      </c>
    </row>
    <row r="519" spans="1:20" x14ac:dyDescent="0.25">
      <c r="A519" t="s">
        <v>31</v>
      </c>
      <c r="B519">
        <v>87920</v>
      </c>
      <c r="C519" s="1">
        <v>14</v>
      </c>
      <c r="D519" t="s">
        <v>38</v>
      </c>
      <c r="E519" s="7">
        <v>0.55000000000000004</v>
      </c>
      <c r="F519" s="2">
        <v>0.66</v>
      </c>
      <c r="G519" s="7">
        <v>0.08</v>
      </c>
      <c r="H519" s="9" t="s">
        <v>23</v>
      </c>
      <c r="I519">
        <v>0.88</v>
      </c>
      <c r="J519">
        <v>0.53</v>
      </c>
      <c r="K519">
        <v>0.82</v>
      </c>
      <c r="L519">
        <v>0.86</v>
      </c>
      <c r="M519">
        <v>0.93</v>
      </c>
      <c r="N519">
        <v>0.95</v>
      </c>
      <c r="O519">
        <v>0.55000000000000004</v>
      </c>
      <c r="P519">
        <v>0.34</v>
      </c>
      <c r="Q519">
        <v>0.96</v>
      </c>
      <c r="R519" s="2">
        <v>0.55000000000000004</v>
      </c>
      <c r="S519" t="str">
        <f>IF(Table1[[#This Row],[Years_Experience]]&lt;=5,"Early Career",
IF(Table1[[#This Row],[Years_Experience]]&lt;=15,"Mid Career","Senior Level"))</f>
        <v>Mid Career</v>
      </c>
      <c r="T519" t="str">
        <f>IF(Table1[[#This Row],[AI_Exposure_Index]]&gt;=0.7,"High Exposure", IF(Table1[[#This Row],[AI_Exposure_Index]]&gt;=0.3,"Medium Exposure","Low Exposure"))</f>
        <v>Medium Exposure</v>
      </c>
    </row>
    <row r="520" spans="1:20" x14ac:dyDescent="0.25">
      <c r="A520" t="s">
        <v>40</v>
      </c>
      <c r="B520">
        <v>86768</v>
      </c>
      <c r="C520" s="1">
        <v>24</v>
      </c>
      <c r="D520" t="s">
        <v>22</v>
      </c>
      <c r="E520" s="7">
        <v>1.0900000000000001</v>
      </c>
      <c r="F520" s="2">
        <v>0.64</v>
      </c>
      <c r="G520" s="7">
        <v>0.27</v>
      </c>
      <c r="H520" s="9" t="s">
        <v>23</v>
      </c>
      <c r="I520">
        <v>0.65</v>
      </c>
      <c r="J520">
        <v>0.35</v>
      </c>
      <c r="K520">
        <v>0.97</v>
      </c>
      <c r="L520">
        <v>0.8</v>
      </c>
      <c r="M520">
        <v>0.63</v>
      </c>
      <c r="N520">
        <v>0.28999999999999998</v>
      </c>
      <c r="O520">
        <v>0.37</v>
      </c>
      <c r="P520">
        <v>0.67</v>
      </c>
      <c r="Q520">
        <v>7.0000000000000007E-2</v>
      </c>
      <c r="R520" s="2">
        <v>0.26</v>
      </c>
      <c r="S520" t="str">
        <f>IF(Table1[[#This Row],[Years_Experience]]&lt;=5,"Early Career",
IF(Table1[[#This Row],[Years_Experience]]&lt;=15,"Mid Career","Senior Level"))</f>
        <v>Senior Level</v>
      </c>
      <c r="T520" t="str">
        <f>IF(Table1[[#This Row],[AI_Exposure_Index]]&gt;=0.7,"High Exposure", IF(Table1[[#This Row],[AI_Exposure_Index]]&gt;=0.3,"Medium Exposure","Low Exposure"))</f>
        <v>Medium Exposure</v>
      </c>
    </row>
    <row r="521" spans="1:20" x14ac:dyDescent="0.25">
      <c r="A521" t="s">
        <v>18</v>
      </c>
      <c r="B521">
        <v>43866</v>
      </c>
      <c r="C521" s="1">
        <v>24</v>
      </c>
      <c r="D521" t="s">
        <v>19</v>
      </c>
      <c r="E521" s="7">
        <v>0.9</v>
      </c>
      <c r="F521" s="2">
        <v>0.48</v>
      </c>
      <c r="G521" s="7">
        <v>0.74</v>
      </c>
      <c r="H521" s="9" t="s">
        <v>20</v>
      </c>
      <c r="I521">
        <v>0.44</v>
      </c>
      <c r="J521">
        <v>0.77</v>
      </c>
      <c r="K521">
        <v>0.26</v>
      </c>
      <c r="L521">
        <v>0.01</v>
      </c>
      <c r="M521">
        <v>0.67</v>
      </c>
      <c r="N521">
        <v>0.97</v>
      </c>
      <c r="O521">
        <v>0.61</v>
      </c>
      <c r="P521">
        <v>0.12</v>
      </c>
      <c r="Q521">
        <v>0.32</v>
      </c>
      <c r="R521" s="2">
        <v>0.87</v>
      </c>
      <c r="S521" t="str">
        <f>IF(Table1[[#This Row],[Years_Experience]]&lt;=5,"Early Career",
IF(Table1[[#This Row],[Years_Experience]]&lt;=15,"Mid Career","Senior Level"))</f>
        <v>Senior Level</v>
      </c>
      <c r="T521" t="str">
        <f>IF(Table1[[#This Row],[AI_Exposure_Index]]&gt;=0.7,"High Exposure", IF(Table1[[#This Row],[AI_Exposure_Index]]&gt;=0.3,"Medium Exposure","Low Exposure"))</f>
        <v>Medium Exposure</v>
      </c>
    </row>
    <row r="522" spans="1:20" x14ac:dyDescent="0.25">
      <c r="A522" t="s">
        <v>18</v>
      </c>
      <c r="B522">
        <v>133627</v>
      </c>
      <c r="C522" s="1">
        <v>16</v>
      </c>
      <c r="D522" t="s">
        <v>38</v>
      </c>
      <c r="E522" s="7">
        <v>0.9</v>
      </c>
      <c r="F522" s="2">
        <v>0.61</v>
      </c>
      <c r="G522" s="7">
        <v>0.75</v>
      </c>
      <c r="H522" s="9" t="s">
        <v>20</v>
      </c>
      <c r="I522">
        <v>0.81</v>
      </c>
      <c r="J522">
        <v>0.74</v>
      </c>
      <c r="K522">
        <v>0.66</v>
      </c>
      <c r="L522">
        <v>0.24</v>
      </c>
      <c r="M522">
        <v>0.1</v>
      </c>
      <c r="N522">
        <v>0.57999999999999996</v>
      </c>
      <c r="O522">
        <v>0.55000000000000004</v>
      </c>
      <c r="P522">
        <v>0.19</v>
      </c>
      <c r="Q522">
        <v>0.06</v>
      </c>
      <c r="R522" s="2">
        <v>0.08</v>
      </c>
      <c r="S522" t="str">
        <f>IF(Table1[[#This Row],[Years_Experience]]&lt;=5,"Early Career",
IF(Table1[[#This Row],[Years_Experience]]&lt;=15,"Mid Career","Senior Level"))</f>
        <v>Senior Level</v>
      </c>
      <c r="T522" t="str">
        <f>IF(Table1[[#This Row],[AI_Exposure_Index]]&gt;=0.7,"High Exposure", IF(Table1[[#This Row],[AI_Exposure_Index]]&gt;=0.3,"Medium Exposure","Low Exposure"))</f>
        <v>Medium Exposure</v>
      </c>
    </row>
    <row r="523" spans="1:20" x14ac:dyDescent="0.25">
      <c r="A523" t="s">
        <v>18</v>
      </c>
      <c r="B523">
        <v>45700</v>
      </c>
      <c r="C523" s="1">
        <v>9</v>
      </c>
      <c r="D523" t="s">
        <v>19</v>
      </c>
      <c r="E523" s="7">
        <v>1.42</v>
      </c>
      <c r="F523" s="2">
        <v>0.78</v>
      </c>
      <c r="G523" s="7">
        <v>0.75</v>
      </c>
      <c r="H523" s="9" t="s">
        <v>20</v>
      </c>
      <c r="I523">
        <v>0.96</v>
      </c>
      <c r="J523">
        <v>0.14000000000000001</v>
      </c>
      <c r="K523">
        <v>0.51</v>
      </c>
      <c r="L523">
        <v>0.83</v>
      </c>
      <c r="M523">
        <v>0.35</v>
      </c>
      <c r="N523">
        <v>0.42</v>
      </c>
      <c r="O523">
        <v>0.13</v>
      </c>
      <c r="P523">
        <v>0.12</v>
      </c>
      <c r="Q523">
        <v>0.62</v>
      </c>
      <c r="R523" s="2">
        <v>0.68</v>
      </c>
      <c r="S523" t="str">
        <f>IF(Table1[[#This Row],[Years_Experience]]&lt;=5,"Early Career",
IF(Table1[[#This Row],[Years_Experience]]&lt;=15,"Mid Career","Senior Level"))</f>
        <v>Mid Career</v>
      </c>
      <c r="T523" t="str">
        <f>IF(Table1[[#This Row],[AI_Exposure_Index]]&gt;=0.7,"High Exposure", IF(Table1[[#This Row],[AI_Exposure_Index]]&gt;=0.3,"Medium Exposure","Low Exposure"))</f>
        <v>High Exposure</v>
      </c>
    </row>
    <row r="524" spans="1:20" x14ac:dyDescent="0.25">
      <c r="A524" t="s">
        <v>21</v>
      </c>
      <c r="B524">
        <v>112799</v>
      </c>
      <c r="C524" s="1">
        <v>18</v>
      </c>
      <c r="D524" t="s">
        <v>22</v>
      </c>
      <c r="E524" s="7">
        <v>1.1499999999999999</v>
      </c>
      <c r="F524" s="2">
        <v>0.56000000000000005</v>
      </c>
      <c r="G524" s="7">
        <v>0.05</v>
      </c>
      <c r="H524" s="9" t="s">
        <v>23</v>
      </c>
      <c r="I524">
        <v>0.16</v>
      </c>
      <c r="J524">
        <v>0.98</v>
      </c>
      <c r="K524">
        <v>0.08</v>
      </c>
      <c r="L524">
        <v>0.68</v>
      </c>
      <c r="M524">
        <v>0.18</v>
      </c>
      <c r="N524">
        <v>0.72</v>
      </c>
      <c r="O524">
        <v>0.71</v>
      </c>
      <c r="P524">
        <v>0.23</v>
      </c>
      <c r="Q524">
        <v>0.27</v>
      </c>
      <c r="R524" s="2">
        <v>0.65</v>
      </c>
      <c r="S524" t="str">
        <f>IF(Table1[[#This Row],[Years_Experience]]&lt;=5,"Early Career",
IF(Table1[[#This Row],[Years_Experience]]&lt;=15,"Mid Career","Senior Level"))</f>
        <v>Senior Level</v>
      </c>
      <c r="T524" t="str">
        <f>IF(Table1[[#This Row],[AI_Exposure_Index]]&gt;=0.7,"High Exposure", IF(Table1[[#This Row],[AI_Exposure_Index]]&gt;=0.3,"Medium Exposure","Low Exposure"))</f>
        <v>Medium Exposure</v>
      </c>
    </row>
    <row r="525" spans="1:20" x14ac:dyDescent="0.25">
      <c r="A525" t="s">
        <v>26</v>
      </c>
      <c r="B525">
        <v>74458</v>
      </c>
      <c r="C525" s="1">
        <v>4</v>
      </c>
      <c r="D525" t="s">
        <v>22</v>
      </c>
      <c r="E525" s="7">
        <v>1.23</v>
      </c>
      <c r="F525" s="2">
        <v>0.19</v>
      </c>
      <c r="G525" s="7">
        <v>0.36</v>
      </c>
      <c r="H525" s="9" t="s">
        <v>27</v>
      </c>
      <c r="I525">
        <v>0.86</v>
      </c>
      <c r="J525">
        <v>0.51</v>
      </c>
      <c r="K525">
        <v>0.11</v>
      </c>
      <c r="L525">
        <v>0.69</v>
      </c>
      <c r="M525">
        <v>0.52</v>
      </c>
      <c r="N525">
        <v>0.3</v>
      </c>
      <c r="O525">
        <v>0.42</v>
      </c>
      <c r="P525">
        <v>0.3</v>
      </c>
      <c r="Q525">
        <v>0.26</v>
      </c>
      <c r="R525" s="2">
        <v>0.16</v>
      </c>
      <c r="S525" t="str">
        <f>IF(Table1[[#This Row],[Years_Experience]]&lt;=5,"Early Career",
IF(Table1[[#This Row],[Years_Experience]]&lt;=15,"Mid Career","Senior Level"))</f>
        <v>Early Career</v>
      </c>
      <c r="T525" t="str">
        <f>IF(Table1[[#This Row],[AI_Exposure_Index]]&gt;=0.7,"High Exposure", IF(Table1[[#This Row],[AI_Exposure_Index]]&gt;=0.3,"Medium Exposure","Low Exposure"))</f>
        <v>Low Exposure</v>
      </c>
    </row>
    <row r="526" spans="1:20" x14ac:dyDescent="0.25">
      <c r="A526" t="s">
        <v>43</v>
      </c>
      <c r="B526">
        <v>50125</v>
      </c>
      <c r="C526" s="1">
        <v>19</v>
      </c>
      <c r="D526" t="s">
        <v>22</v>
      </c>
      <c r="E526" s="7">
        <v>1.18</v>
      </c>
      <c r="F526" s="2">
        <v>0.25</v>
      </c>
      <c r="G526" s="7">
        <v>0.22</v>
      </c>
      <c r="H526" s="9" t="s">
        <v>23</v>
      </c>
      <c r="I526">
        <v>0.5</v>
      </c>
      <c r="J526">
        <v>0.78</v>
      </c>
      <c r="K526">
        <v>0.84</v>
      </c>
      <c r="L526">
        <v>0.57999999999999996</v>
      </c>
      <c r="M526">
        <v>0.62</v>
      </c>
      <c r="N526">
        <v>0.28000000000000003</v>
      </c>
      <c r="O526">
        <v>0.89</v>
      </c>
      <c r="P526">
        <v>0.02</v>
      </c>
      <c r="Q526">
        <v>0.35</v>
      </c>
      <c r="R526" s="2">
        <v>0.72</v>
      </c>
      <c r="S526" t="str">
        <f>IF(Table1[[#This Row],[Years_Experience]]&lt;=5,"Early Career",
IF(Table1[[#This Row],[Years_Experience]]&lt;=15,"Mid Career","Senior Level"))</f>
        <v>Senior Level</v>
      </c>
      <c r="T526" t="str">
        <f>IF(Table1[[#This Row],[AI_Exposure_Index]]&gt;=0.7,"High Exposure", IF(Table1[[#This Row],[AI_Exposure_Index]]&gt;=0.3,"Medium Exposure","Low Exposure"))</f>
        <v>Low Exposure</v>
      </c>
    </row>
    <row r="527" spans="1:20" x14ac:dyDescent="0.25">
      <c r="A527" t="s">
        <v>30</v>
      </c>
      <c r="B527">
        <v>78926</v>
      </c>
      <c r="C527" s="1">
        <v>28</v>
      </c>
      <c r="D527" t="s">
        <v>25</v>
      </c>
      <c r="E527" s="7">
        <v>1.0900000000000001</v>
      </c>
      <c r="F527" s="2">
        <v>0.18</v>
      </c>
      <c r="G527" s="7">
        <v>0.52</v>
      </c>
      <c r="H527" s="9" t="s">
        <v>27</v>
      </c>
      <c r="I527">
        <v>0.74</v>
      </c>
      <c r="J527">
        <v>0.81</v>
      </c>
      <c r="K527">
        <v>0.13</v>
      </c>
      <c r="L527">
        <v>0.02</v>
      </c>
      <c r="M527">
        <v>0.69</v>
      </c>
      <c r="N527">
        <v>0.3</v>
      </c>
      <c r="O527">
        <v>0.63</v>
      </c>
      <c r="P527">
        <v>0.15</v>
      </c>
      <c r="Q527">
        <v>0.47</v>
      </c>
      <c r="R527" s="2">
        <v>0.5</v>
      </c>
      <c r="S527" t="str">
        <f>IF(Table1[[#This Row],[Years_Experience]]&lt;=5,"Early Career",
IF(Table1[[#This Row],[Years_Experience]]&lt;=15,"Mid Career","Senior Level"))</f>
        <v>Senior Level</v>
      </c>
      <c r="T527" t="str">
        <f>IF(Table1[[#This Row],[AI_Exposure_Index]]&gt;=0.7,"High Exposure", IF(Table1[[#This Row],[AI_Exposure_Index]]&gt;=0.3,"Medium Exposure","Low Exposure"))</f>
        <v>Low Exposure</v>
      </c>
    </row>
    <row r="528" spans="1:20" x14ac:dyDescent="0.25">
      <c r="A528" t="s">
        <v>37</v>
      </c>
      <c r="B528">
        <v>138778</v>
      </c>
      <c r="C528" s="1">
        <v>3</v>
      </c>
      <c r="D528" t="s">
        <v>19</v>
      </c>
      <c r="E528" s="7">
        <v>1</v>
      </c>
      <c r="F528" s="2">
        <v>0.51</v>
      </c>
      <c r="G528" s="7">
        <v>0.43</v>
      </c>
      <c r="H528" s="9" t="s">
        <v>27</v>
      </c>
      <c r="I528">
        <v>7.0000000000000007E-2</v>
      </c>
      <c r="J528">
        <v>0.09</v>
      </c>
      <c r="K528">
        <v>0.43</v>
      </c>
      <c r="L528">
        <v>0.36</v>
      </c>
      <c r="M528">
        <v>0.52</v>
      </c>
      <c r="N528">
        <v>0.3</v>
      </c>
      <c r="O528">
        <v>0.69</v>
      </c>
      <c r="P528">
        <v>0.86</v>
      </c>
      <c r="Q528">
        <v>0.3</v>
      </c>
      <c r="R528" s="2">
        <v>0.19</v>
      </c>
      <c r="S528" t="str">
        <f>IF(Table1[[#This Row],[Years_Experience]]&lt;=5,"Early Career",
IF(Table1[[#This Row],[Years_Experience]]&lt;=15,"Mid Career","Senior Level"))</f>
        <v>Early Career</v>
      </c>
      <c r="T528" t="str">
        <f>IF(Table1[[#This Row],[AI_Exposure_Index]]&gt;=0.7,"High Exposure", IF(Table1[[#This Row],[AI_Exposure_Index]]&gt;=0.3,"Medium Exposure","Low Exposure"))</f>
        <v>Medium Exposure</v>
      </c>
    </row>
    <row r="529" spans="1:20" x14ac:dyDescent="0.25">
      <c r="A529" t="s">
        <v>39</v>
      </c>
      <c r="B529">
        <v>30671</v>
      </c>
      <c r="C529" s="1">
        <v>9</v>
      </c>
      <c r="D529" t="s">
        <v>25</v>
      </c>
      <c r="E529" s="7">
        <v>0.94</v>
      </c>
      <c r="F529" s="2">
        <v>0.62</v>
      </c>
      <c r="G529" s="7">
        <v>0.75</v>
      </c>
      <c r="H529" s="9" t="s">
        <v>20</v>
      </c>
      <c r="I529">
        <v>0.65</v>
      </c>
      <c r="J529">
        <v>0.15</v>
      </c>
      <c r="K529">
        <v>0.55000000000000004</v>
      </c>
      <c r="L529">
        <v>0.53</v>
      </c>
      <c r="M529">
        <v>0.73</v>
      </c>
      <c r="N529">
        <v>0.06</v>
      </c>
      <c r="O529">
        <v>0.89</v>
      </c>
      <c r="P529">
        <v>0.7</v>
      </c>
      <c r="Q529">
        <v>0.22</v>
      </c>
      <c r="R529" s="2">
        <v>0.18</v>
      </c>
      <c r="S529" t="str">
        <f>IF(Table1[[#This Row],[Years_Experience]]&lt;=5,"Early Career",
IF(Table1[[#This Row],[Years_Experience]]&lt;=15,"Mid Career","Senior Level"))</f>
        <v>Mid Career</v>
      </c>
      <c r="T529" t="str">
        <f>IF(Table1[[#This Row],[AI_Exposure_Index]]&gt;=0.7,"High Exposure", IF(Table1[[#This Row],[AI_Exposure_Index]]&gt;=0.3,"Medium Exposure","Low Exposure"))</f>
        <v>Medium Exposure</v>
      </c>
    </row>
    <row r="530" spans="1:20" x14ac:dyDescent="0.25">
      <c r="A530" t="s">
        <v>32</v>
      </c>
      <c r="B530">
        <v>114153</v>
      </c>
      <c r="C530" s="1">
        <v>26</v>
      </c>
      <c r="D530" t="s">
        <v>19</v>
      </c>
      <c r="E530" s="7">
        <v>1.4</v>
      </c>
      <c r="F530" s="2">
        <v>0.02</v>
      </c>
      <c r="G530" s="7">
        <v>0.38</v>
      </c>
      <c r="H530" s="9" t="s">
        <v>27</v>
      </c>
      <c r="I530">
        <v>0.23</v>
      </c>
      <c r="J530">
        <v>0.28000000000000003</v>
      </c>
      <c r="K530">
        <v>0.13</v>
      </c>
      <c r="L530">
        <v>0.64</v>
      </c>
      <c r="M530">
        <v>0.08</v>
      </c>
      <c r="N530">
        <v>0.13</v>
      </c>
      <c r="O530">
        <v>0.64</v>
      </c>
      <c r="P530">
        <v>0.34</v>
      </c>
      <c r="Q530">
        <v>0.71</v>
      </c>
      <c r="R530" s="2">
        <v>0.56000000000000005</v>
      </c>
      <c r="S530" t="str">
        <f>IF(Table1[[#This Row],[Years_Experience]]&lt;=5,"Early Career",
IF(Table1[[#This Row],[Years_Experience]]&lt;=15,"Mid Career","Senior Level"))</f>
        <v>Senior Level</v>
      </c>
      <c r="T530" t="str">
        <f>IF(Table1[[#This Row],[AI_Exposure_Index]]&gt;=0.7,"High Exposure", IF(Table1[[#This Row],[AI_Exposure_Index]]&gt;=0.3,"Medium Exposure","Low Exposure"))</f>
        <v>Low Exposure</v>
      </c>
    </row>
    <row r="531" spans="1:20" x14ac:dyDescent="0.25">
      <c r="A531" t="s">
        <v>42</v>
      </c>
      <c r="B531">
        <v>69574</v>
      </c>
      <c r="C531" s="1">
        <v>3</v>
      </c>
      <c r="D531" t="s">
        <v>22</v>
      </c>
      <c r="E531" s="7">
        <v>0.62</v>
      </c>
      <c r="F531" s="2">
        <v>0.65</v>
      </c>
      <c r="G531" s="7">
        <v>0.51</v>
      </c>
      <c r="H531" s="9" t="s">
        <v>27</v>
      </c>
      <c r="I531">
        <v>0.44</v>
      </c>
      <c r="J531">
        <v>0.27</v>
      </c>
      <c r="K531">
        <v>0.6</v>
      </c>
      <c r="L531">
        <v>0.87</v>
      </c>
      <c r="M531">
        <v>1</v>
      </c>
      <c r="N531">
        <v>0.61</v>
      </c>
      <c r="O531">
        <v>0.4</v>
      </c>
      <c r="P531">
        <v>0.23</v>
      </c>
      <c r="Q531">
        <v>0.26</v>
      </c>
      <c r="R531" s="2">
        <v>0.48</v>
      </c>
      <c r="S531" t="str">
        <f>IF(Table1[[#This Row],[Years_Experience]]&lt;=5,"Early Career",
IF(Table1[[#This Row],[Years_Experience]]&lt;=15,"Mid Career","Senior Level"))</f>
        <v>Early Career</v>
      </c>
      <c r="T531" t="str">
        <f>IF(Table1[[#This Row],[AI_Exposure_Index]]&gt;=0.7,"High Exposure", IF(Table1[[#This Row],[AI_Exposure_Index]]&gt;=0.3,"Medium Exposure","Low Exposure"))</f>
        <v>Medium Exposure</v>
      </c>
    </row>
    <row r="532" spans="1:20" x14ac:dyDescent="0.25">
      <c r="A532" t="s">
        <v>32</v>
      </c>
      <c r="B532">
        <v>144616</v>
      </c>
      <c r="C532" s="1">
        <v>26</v>
      </c>
      <c r="D532" t="s">
        <v>38</v>
      </c>
      <c r="E532" s="7">
        <v>0.87</v>
      </c>
      <c r="F532" s="2">
        <v>0.37</v>
      </c>
      <c r="G532" s="7">
        <v>0.45</v>
      </c>
      <c r="H532" s="9" t="s">
        <v>27</v>
      </c>
      <c r="I532">
        <v>0.84</v>
      </c>
      <c r="J532">
        <v>0.65</v>
      </c>
      <c r="K532">
        <v>0.61</v>
      </c>
      <c r="L532">
        <v>0.33</v>
      </c>
      <c r="M532">
        <v>0.82</v>
      </c>
      <c r="N532">
        <v>0.04</v>
      </c>
      <c r="O532">
        <v>0.87</v>
      </c>
      <c r="P532">
        <v>0.51</v>
      </c>
      <c r="Q532">
        <v>0.4</v>
      </c>
      <c r="R532" s="2">
        <v>0.5</v>
      </c>
      <c r="S532" t="str">
        <f>IF(Table1[[#This Row],[Years_Experience]]&lt;=5,"Early Career",
IF(Table1[[#This Row],[Years_Experience]]&lt;=15,"Mid Career","Senior Level"))</f>
        <v>Senior Level</v>
      </c>
      <c r="T532" t="str">
        <f>IF(Table1[[#This Row],[AI_Exposure_Index]]&gt;=0.7,"High Exposure", IF(Table1[[#This Row],[AI_Exposure_Index]]&gt;=0.3,"Medium Exposure","Low Exposure"))</f>
        <v>Medium Exposure</v>
      </c>
    </row>
    <row r="533" spans="1:20" x14ac:dyDescent="0.25">
      <c r="A533" t="s">
        <v>24</v>
      </c>
      <c r="B533">
        <v>144313</v>
      </c>
      <c r="C533" s="1">
        <v>23</v>
      </c>
      <c r="D533" t="s">
        <v>22</v>
      </c>
      <c r="E533" s="7">
        <v>1.37</v>
      </c>
      <c r="F533" s="2">
        <v>0.01</v>
      </c>
      <c r="G533" s="7">
        <v>0.81</v>
      </c>
      <c r="H533" s="9" t="s">
        <v>20</v>
      </c>
      <c r="I533">
        <v>0.34</v>
      </c>
      <c r="J533">
        <v>0.14000000000000001</v>
      </c>
      <c r="K533">
        <v>0.44</v>
      </c>
      <c r="L533">
        <v>0.5</v>
      </c>
      <c r="M533">
        <v>0.4</v>
      </c>
      <c r="N533">
        <v>0.68</v>
      </c>
      <c r="O533">
        <v>0.42</v>
      </c>
      <c r="P533">
        <v>0.96</v>
      </c>
      <c r="Q533">
        <v>0.6</v>
      </c>
      <c r="R533" s="2">
        <v>0.81</v>
      </c>
      <c r="S533" t="str">
        <f>IF(Table1[[#This Row],[Years_Experience]]&lt;=5,"Early Career",
IF(Table1[[#This Row],[Years_Experience]]&lt;=15,"Mid Career","Senior Level"))</f>
        <v>Senior Level</v>
      </c>
      <c r="T533" t="str">
        <f>IF(Table1[[#This Row],[AI_Exposure_Index]]&gt;=0.7,"High Exposure", IF(Table1[[#This Row],[AI_Exposure_Index]]&gt;=0.3,"Medium Exposure","Low Exposure"))</f>
        <v>Low Exposure</v>
      </c>
    </row>
    <row r="534" spans="1:20" x14ac:dyDescent="0.25">
      <c r="A534" t="s">
        <v>29</v>
      </c>
      <c r="B534">
        <v>79047</v>
      </c>
      <c r="C534" s="1">
        <v>21</v>
      </c>
      <c r="D534" t="s">
        <v>22</v>
      </c>
      <c r="E534" s="7">
        <v>0.67</v>
      </c>
      <c r="F534" s="2">
        <v>0.69</v>
      </c>
      <c r="G534" s="7">
        <v>0.12</v>
      </c>
      <c r="H534" s="9" t="s">
        <v>23</v>
      </c>
      <c r="I534">
        <v>0.21</v>
      </c>
      <c r="J534">
        <v>0.6</v>
      </c>
      <c r="K534">
        <v>0.5</v>
      </c>
      <c r="L534">
        <v>0.87</v>
      </c>
      <c r="M534">
        <v>0.95</v>
      </c>
      <c r="N534">
        <v>0.4</v>
      </c>
      <c r="O534">
        <v>0.51</v>
      </c>
      <c r="P534">
        <v>0.97</v>
      </c>
      <c r="Q534">
        <v>0.28000000000000003</v>
      </c>
      <c r="R534" s="2">
        <v>0.79</v>
      </c>
      <c r="S534" t="str">
        <f>IF(Table1[[#This Row],[Years_Experience]]&lt;=5,"Early Career",
IF(Table1[[#This Row],[Years_Experience]]&lt;=15,"Mid Career","Senior Level"))</f>
        <v>Senior Level</v>
      </c>
      <c r="T534" t="str">
        <f>IF(Table1[[#This Row],[AI_Exposure_Index]]&gt;=0.7,"High Exposure", IF(Table1[[#This Row],[AI_Exposure_Index]]&gt;=0.3,"Medium Exposure","Low Exposure"))</f>
        <v>Medium Exposure</v>
      </c>
    </row>
    <row r="535" spans="1:20" x14ac:dyDescent="0.25">
      <c r="A535" t="s">
        <v>39</v>
      </c>
      <c r="B535">
        <v>116649</v>
      </c>
      <c r="C535" s="1">
        <v>25</v>
      </c>
      <c r="D535" t="s">
        <v>25</v>
      </c>
      <c r="E535" s="7">
        <v>0.75</v>
      </c>
      <c r="F535" s="2">
        <v>0.68</v>
      </c>
      <c r="G535" s="7">
        <v>0.92</v>
      </c>
      <c r="H535" s="9" t="s">
        <v>20</v>
      </c>
      <c r="I535">
        <v>0.56000000000000005</v>
      </c>
      <c r="J535">
        <v>0.19</v>
      </c>
      <c r="K535">
        <v>0.22</v>
      </c>
      <c r="L535">
        <v>0.49</v>
      </c>
      <c r="M535">
        <v>0.96</v>
      </c>
      <c r="N535">
        <v>0.77</v>
      </c>
      <c r="O535">
        <v>0.49</v>
      </c>
      <c r="P535">
        <v>0.34</v>
      </c>
      <c r="Q535">
        <v>0.55000000000000004</v>
      </c>
      <c r="R535" s="2">
        <v>0.75</v>
      </c>
      <c r="S535" t="str">
        <f>IF(Table1[[#This Row],[Years_Experience]]&lt;=5,"Early Career",
IF(Table1[[#This Row],[Years_Experience]]&lt;=15,"Mid Career","Senior Level"))</f>
        <v>Senior Level</v>
      </c>
      <c r="T535" t="str">
        <f>IF(Table1[[#This Row],[AI_Exposure_Index]]&gt;=0.7,"High Exposure", IF(Table1[[#This Row],[AI_Exposure_Index]]&gt;=0.3,"Medium Exposure","Low Exposure"))</f>
        <v>Medium Exposure</v>
      </c>
    </row>
    <row r="536" spans="1:20" x14ac:dyDescent="0.25">
      <c r="A536" t="s">
        <v>32</v>
      </c>
      <c r="B536">
        <v>131192</v>
      </c>
      <c r="C536" s="1">
        <v>2</v>
      </c>
      <c r="D536" t="s">
        <v>22</v>
      </c>
      <c r="E536" s="7">
        <v>1.22</v>
      </c>
      <c r="F536" s="2">
        <v>0.32</v>
      </c>
      <c r="G536" s="7">
        <v>0.56000000000000005</v>
      </c>
      <c r="H536" s="9" t="s">
        <v>27</v>
      </c>
      <c r="I536">
        <v>0.96</v>
      </c>
      <c r="J536">
        <v>0.93</v>
      </c>
      <c r="K536">
        <v>0.79</v>
      </c>
      <c r="L536">
        <v>0.72</v>
      </c>
      <c r="M536">
        <v>0.27</v>
      </c>
      <c r="N536">
        <v>0.85</v>
      </c>
      <c r="O536">
        <v>0.43</v>
      </c>
      <c r="P536">
        <v>0.27</v>
      </c>
      <c r="Q536">
        <v>0.38</v>
      </c>
      <c r="R536" s="2">
        <v>0.84</v>
      </c>
      <c r="S536" t="str">
        <f>IF(Table1[[#This Row],[Years_Experience]]&lt;=5,"Early Career",
IF(Table1[[#This Row],[Years_Experience]]&lt;=15,"Mid Career","Senior Level"))</f>
        <v>Early Career</v>
      </c>
      <c r="T536" t="str">
        <f>IF(Table1[[#This Row],[AI_Exposure_Index]]&gt;=0.7,"High Exposure", IF(Table1[[#This Row],[AI_Exposure_Index]]&gt;=0.3,"Medium Exposure","Low Exposure"))</f>
        <v>Medium Exposure</v>
      </c>
    </row>
    <row r="537" spans="1:20" x14ac:dyDescent="0.25">
      <c r="A537" t="s">
        <v>32</v>
      </c>
      <c r="B537">
        <v>84165</v>
      </c>
      <c r="C537" s="1">
        <v>10</v>
      </c>
      <c r="D537" t="s">
        <v>22</v>
      </c>
      <c r="E537" s="7">
        <v>0.99</v>
      </c>
      <c r="F537" s="2">
        <v>0.46</v>
      </c>
      <c r="G537" s="7">
        <v>0.31</v>
      </c>
      <c r="H537" s="9" t="s">
        <v>27</v>
      </c>
      <c r="I537">
        <v>0.2</v>
      </c>
      <c r="J537">
        <v>0.83</v>
      </c>
      <c r="K537">
        <v>0.83</v>
      </c>
      <c r="L537">
        <v>0.28999999999999998</v>
      </c>
      <c r="M537">
        <v>0.87</v>
      </c>
      <c r="N537">
        <v>0.77</v>
      </c>
      <c r="O537">
        <v>0.42</v>
      </c>
      <c r="P537">
        <v>0.75</v>
      </c>
      <c r="Q537">
        <v>0.96</v>
      </c>
      <c r="R537" s="2">
        <v>0.46</v>
      </c>
      <c r="S537" t="str">
        <f>IF(Table1[[#This Row],[Years_Experience]]&lt;=5,"Early Career",
IF(Table1[[#This Row],[Years_Experience]]&lt;=15,"Mid Career","Senior Level"))</f>
        <v>Mid Career</v>
      </c>
      <c r="T537" t="str">
        <f>IF(Table1[[#This Row],[AI_Exposure_Index]]&gt;=0.7,"High Exposure", IF(Table1[[#This Row],[AI_Exposure_Index]]&gt;=0.3,"Medium Exposure","Low Exposure"))</f>
        <v>Medium Exposure</v>
      </c>
    </row>
    <row r="538" spans="1:20" x14ac:dyDescent="0.25">
      <c r="A538" t="s">
        <v>28</v>
      </c>
      <c r="B538">
        <v>132488</v>
      </c>
      <c r="C538" s="1">
        <v>5</v>
      </c>
      <c r="D538" t="s">
        <v>38</v>
      </c>
      <c r="E538" s="7">
        <v>1.1000000000000001</v>
      </c>
      <c r="F538" s="2">
        <v>0.94</v>
      </c>
      <c r="G538" s="7">
        <v>0.34</v>
      </c>
      <c r="H538" s="9" t="s">
        <v>27</v>
      </c>
      <c r="I538">
        <v>0.56999999999999995</v>
      </c>
      <c r="J538">
        <v>0.5</v>
      </c>
      <c r="K538">
        <v>0.86</v>
      </c>
      <c r="L538">
        <v>0.53</v>
      </c>
      <c r="M538">
        <v>0.26</v>
      </c>
      <c r="N538">
        <v>0.68</v>
      </c>
      <c r="O538">
        <v>0.54</v>
      </c>
      <c r="P538">
        <v>0.23</v>
      </c>
      <c r="Q538">
        <v>0.56999999999999995</v>
      </c>
      <c r="R538" s="2">
        <v>0.82</v>
      </c>
      <c r="S538" t="str">
        <f>IF(Table1[[#This Row],[Years_Experience]]&lt;=5,"Early Career",
IF(Table1[[#This Row],[Years_Experience]]&lt;=15,"Mid Career","Senior Level"))</f>
        <v>Early Career</v>
      </c>
      <c r="T538" t="str">
        <f>IF(Table1[[#This Row],[AI_Exposure_Index]]&gt;=0.7,"High Exposure", IF(Table1[[#This Row],[AI_Exposure_Index]]&gt;=0.3,"Medium Exposure","Low Exposure"))</f>
        <v>High Exposure</v>
      </c>
    </row>
    <row r="539" spans="1:20" x14ac:dyDescent="0.25">
      <c r="A539" t="s">
        <v>41</v>
      </c>
      <c r="B539">
        <v>57757</v>
      </c>
      <c r="C539" s="1">
        <v>2</v>
      </c>
      <c r="D539" t="s">
        <v>25</v>
      </c>
      <c r="E539" s="7">
        <v>0.85</v>
      </c>
      <c r="F539" s="2">
        <v>0.63</v>
      </c>
      <c r="G539" s="7">
        <v>0.77</v>
      </c>
      <c r="H539" s="9" t="s">
        <v>20</v>
      </c>
      <c r="I539">
        <v>0.39</v>
      </c>
      <c r="J539">
        <v>0.34</v>
      </c>
      <c r="K539">
        <v>0.83</v>
      </c>
      <c r="L539">
        <v>0.27</v>
      </c>
      <c r="M539">
        <v>0.73</v>
      </c>
      <c r="N539">
        <v>0.09</v>
      </c>
      <c r="O539">
        <v>0.95</v>
      </c>
      <c r="P539">
        <v>0.62</v>
      </c>
      <c r="Q539">
        <v>0.71</v>
      </c>
      <c r="R539" s="2">
        <v>0.3</v>
      </c>
      <c r="S539" t="str">
        <f>IF(Table1[[#This Row],[Years_Experience]]&lt;=5,"Early Career",
IF(Table1[[#This Row],[Years_Experience]]&lt;=15,"Mid Career","Senior Level"))</f>
        <v>Early Career</v>
      </c>
      <c r="T539" t="str">
        <f>IF(Table1[[#This Row],[AI_Exposure_Index]]&gt;=0.7,"High Exposure", IF(Table1[[#This Row],[AI_Exposure_Index]]&gt;=0.3,"Medium Exposure","Low Exposure"))</f>
        <v>Medium Exposure</v>
      </c>
    </row>
    <row r="540" spans="1:20" x14ac:dyDescent="0.25">
      <c r="A540" t="s">
        <v>44</v>
      </c>
      <c r="B540">
        <v>106095</v>
      </c>
      <c r="C540" s="1">
        <v>29</v>
      </c>
      <c r="D540" t="s">
        <v>22</v>
      </c>
      <c r="E540" s="7">
        <v>1.43</v>
      </c>
      <c r="F540" s="2">
        <v>0.22</v>
      </c>
      <c r="G540" s="7">
        <v>0.5</v>
      </c>
      <c r="H540" s="9" t="s">
        <v>27</v>
      </c>
      <c r="I540">
        <v>0.63</v>
      </c>
      <c r="J540">
        <v>0.73</v>
      </c>
      <c r="K540">
        <v>0.37</v>
      </c>
      <c r="L540">
        <v>0.72</v>
      </c>
      <c r="M540">
        <v>0.68</v>
      </c>
      <c r="N540">
        <v>0.71</v>
      </c>
      <c r="O540">
        <v>0.49</v>
      </c>
      <c r="P540">
        <v>0.38</v>
      </c>
      <c r="Q540">
        <v>0.22</v>
      </c>
      <c r="R540" s="2">
        <v>0.82</v>
      </c>
      <c r="S540" t="str">
        <f>IF(Table1[[#This Row],[Years_Experience]]&lt;=5,"Early Career",
IF(Table1[[#This Row],[Years_Experience]]&lt;=15,"Mid Career","Senior Level"))</f>
        <v>Senior Level</v>
      </c>
      <c r="T540" t="str">
        <f>IF(Table1[[#This Row],[AI_Exposure_Index]]&gt;=0.7,"High Exposure", IF(Table1[[#This Row],[AI_Exposure_Index]]&gt;=0.3,"Medium Exposure","Low Exposure"))</f>
        <v>Low Exposure</v>
      </c>
    </row>
    <row r="541" spans="1:20" x14ac:dyDescent="0.25">
      <c r="A541" t="s">
        <v>43</v>
      </c>
      <c r="B541">
        <v>84304</v>
      </c>
      <c r="C541" s="1">
        <v>0</v>
      </c>
      <c r="D541" t="s">
        <v>38</v>
      </c>
      <c r="E541" s="7">
        <v>1.44</v>
      </c>
      <c r="F541" s="2">
        <v>0.44</v>
      </c>
      <c r="G541" s="7">
        <v>0.06</v>
      </c>
      <c r="H541" s="9" t="s">
        <v>23</v>
      </c>
      <c r="I541">
        <v>0.85</v>
      </c>
      <c r="J541">
        <v>1</v>
      </c>
      <c r="K541">
        <v>0.89</v>
      </c>
      <c r="L541">
        <v>0.81</v>
      </c>
      <c r="M541">
        <v>0.37</v>
      </c>
      <c r="N541">
        <v>0.23</v>
      </c>
      <c r="O541">
        <v>0.73</v>
      </c>
      <c r="P541">
        <v>0.3</v>
      </c>
      <c r="Q541">
        <v>0.18</v>
      </c>
      <c r="R541" s="2">
        <v>0.79</v>
      </c>
      <c r="S541" t="str">
        <f>IF(Table1[[#This Row],[Years_Experience]]&lt;=5,"Early Career",
IF(Table1[[#This Row],[Years_Experience]]&lt;=15,"Mid Career","Senior Level"))</f>
        <v>Early Career</v>
      </c>
      <c r="T541" t="str">
        <f>IF(Table1[[#This Row],[AI_Exposure_Index]]&gt;=0.7,"High Exposure", IF(Table1[[#This Row],[AI_Exposure_Index]]&gt;=0.3,"Medium Exposure","Low Exposure"))</f>
        <v>Medium Exposure</v>
      </c>
    </row>
    <row r="542" spans="1:20" x14ac:dyDescent="0.25">
      <c r="A542" t="s">
        <v>43</v>
      </c>
      <c r="B542">
        <v>86414</v>
      </c>
      <c r="C542" s="1">
        <v>0</v>
      </c>
      <c r="D542" t="s">
        <v>22</v>
      </c>
      <c r="E542" s="7">
        <v>1.34</v>
      </c>
      <c r="F542" s="2">
        <v>0.91</v>
      </c>
      <c r="G542" s="7">
        <v>0.26</v>
      </c>
      <c r="H542" s="9" t="s">
        <v>23</v>
      </c>
      <c r="I542">
        <v>0.77</v>
      </c>
      <c r="J542">
        <v>0.88</v>
      </c>
      <c r="K542">
        <v>0.81</v>
      </c>
      <c r="L542">
        <v>0.6</v>
      </c>
      <c r="M542">
        <v>0.3</v>
      </c>
      <c r="N542">
        <v>0.89</v>
      </c>
      <c r="O542">
        <v>0.84</v>
      </c>
      <c r="P542">
        <v>0.47</v>
      </c>
      <c r="Q542">
        <v>0.04</v>
      </c>
      <c r="R542" s="2">
        <v>0.64</v>
      </c>
      <c r="S542" t="str">
        <f>IF(Table1[[#This Row],[Years_Experience]]&lt;=5,"Early Career",
IF(Table1[[#This Row],[Years_Experience]]&lt;=15,"Mid Career","Senior Level"))</f>
        <v>Early Career</v>
      </c>
      <c r="T542" t="str">
        <f>IF(Table1[[#This Row],[AI_Exposure_Index]]&gt;=0.7,"High Exposure", IF(Table1[[#This Row],[AI_Exposure_Index]]&gt;=0.3,"Medium Exposure","Low Exposure"))</f>
        <v>High Exposure</v>
      </c>
    </row>
    <row r="543" spans="1:20" x14ac:dyDescent="0.25">
      <c r="A543" t="s">
        <v>36</v>
      </c>
      <c r="B543">
        <v>47040</v>
      </c>
      <c r="C543" s="1">
        <v>4</v>
      </c>
      <c r="D543" t="s">
        <v>38</v>
      </c>
      <c r="E543" s="7">
        <v>0.94</v>
      </c>
      <c r="F543" s="2">
        <v>0.97</v>
      </c>
      <c r="G543" s="7">
        <v>0.64</v>
      </c>
      <c r="H543" s="9" t="s">
        <v>27</v>
      </c>
      <c r="I543">
        <v>0.56999999999999995</v>
      </c>
      <c r="J543">
        <v>0.16</v>
      </c>
      <c r="K543">
        <v>0.69</v>
      </c>
      <c r="L543">
        <v>0.51</v>
      </c>
      <c r="M543">
        <v>0.65</v>
      </c>
      <c r="N543">
        <v>0.89</v>
      </c>
      <c r="O543">
        <v>0.44</v>
      </c>
      <c r="P543">
        <v>0.9</v>
      </c>
      <c r="Q543">
        <v>0.75</v>
      </c>
      <c r="R543" s="2">
        <v>0.49</v>
      </c>
      <c r="S543" t="str">
        <f>IF(Table1[[#This Row],[Years_Experience]]&lt;=5,"Early Career",
IF(Table1[[#This Row],[Years_Experience]]&lt;=15,"Mid Career","Senior Level"))</f>
        <v>Early Career</v>
      </c>
      <c r="T543" t="str">
        <f>IF(Table1[[#This Row],[AI_Exposure_Index]]&gt;=0.7,"High Exposure", IF(Table1[[#This Row],[AI_Exposure_Index]]&gt;=0.3,"Medium Exposure","Low Exposure"))</f>
        <v>High Exposure</v>
      </c>
    </row>
    <row r="544" spans="1:20" x14ac:dyDescent="0.25">
      <c r="A544" t="s">
        <v>36</v>
      </c>
      <c r="B544">
        <v>80192</v>
      </c>
      <c r="C544" s="1">
        <v>23</v>
      </c>
      <c r="D544" t="s">
        <v>38</v>
      </c>
      <c r="E544" s="7">
        <v>1.48</v>
      </c>
      <c r="F544" s="2">
        <v>0.33</v>
      </c>
      <c r="G544" s="7">
        <v>0.56999999999999995</v>
      </c>
      <c r="H544" s="9" t="s">
        <v>27</v>
      </c>
      <c r="I544">
        <v>0.04</v>
      </c>
      <c r="J544">
        <v>0.33</v>
      </c>
      <c r="K544">
        <v>0.62</v>
      </c>
      <c r="L544">
        <v>0.06</v>
      </c>
      <c r="M544">
        <v>0.02</v>
      </c>
      <c r="N544">
        <v>0.45</v>
      </c>
      <c r="O544">
        <v>0.33</v>
      </c>
      <c r="P544">
        <v>0.44</v>
      </c>
      <c r="Q544">
        <v>0.26</v>
      </c>
      <c r="R544" s="2">
        <v>0.16</v>
      </c>
      <c r="S544" t="str">
        <f>IF(Table1[[#This Row],[Years_Experience]]&lt;=5,"Early Career",
IF(Table1[[#This Row],[Years_Experience]]&lt;=15,"Mid Career","Senior Level"))</f>
        <v>Senior Level</v>
      </c>
      <c r="T544" t="str">
        <f>IF(Table1[[#This Row],[AI_Exposure_Index]]&gt;=0.7,"High Exposure", IF(Table1[[#This Row],[AI_Exposure_Index]]&gt;=0.3,"Medium Exposure","Low Exposure"))</f>
        <v>Medium Exposure</v>
      </c>
    </row>
    <row r="545" spans="1:20" x14ac:dyDescent="0.25">
      <c r="A545" t="s">
        <v>28</v>
      </c>
      <c r="B545">
        <v>141359</v>
      </c>
      <c r="C545" s="1">
        <v>16</v>
      </c>
      <c r="D545" t="s">
        <v>19</v>
      </c>
      <c r="E545" s="7">
        <v>0.7</v>
      </c>
      <c r="F545" s="2">
        <v>0.51</v>
      </c>
      <c r="G545" s="7">
        <v>0.43</v>
      </c>
      <c r="H545" s="9" t="s">
        <v>27</v>
      </c>
      <c r="I545">
        <v>0.59</v>
      </c>
      <c r="J545">
        <v>7.0000000000000007E-2</v>
      </c>
      <c r="K545">
        <v>0.15</v>
      </c>
      <c r="L545">
        <v>7.0000000000000007E-2</v>
      </c>
      <c r="M545">
        <v>0.81</v>
      </c>
      <c r="N545">
        <v>0.75</v>
      </c>
      <c r="O545">
        <v>0.75</v>
      </c>
      <c r="P545">
        <v>0.72</v>
      </c>
      <c r="Q545">
        <v>0.67</v>
      </c>
      <c r="R545" s="2">
        <v>0.48</v>
      </c>
      <c r="S545" t="str">
        <f>IF(Table1[[#This Row],[Years_Experience]]&lt;=5,"Early Career",
IF(Table1[[#This Row],[Years_Experience]]&lt;=15,"Mid Career","Senior Level"))</f>
        <v>Senior Level</v>
      </c>
      <c r="T545" t="str">
        <f>IF(Table1[[#This Row],[AI_Exposure_Index]]&gt;=0.7,"High Exposure", IF(Table1[[#This Row],[AI_Exposure_Index]]&gt;=0.3,"Medium Exposure","Low Exposure"))</f>
        <v>Medium Exposure</v>
      </c>
    </row>
    <row r="546" spans="1:20" x14ac:dyDescent="0.25">
      <c r="A546" t="s">
        <v>24</v>
      </c>
      <c r="B546">
        <v>52394</v>
      </c>
      <c r="C546" s="1">
        <v>29</v>
      </c>
      <c r="D546" t="s">
        <v>19</v>
      </c>
      <c r="E546" s="7">
        <v>1.1200000000000001</v>
      </c>
      <c r="F546" s="2">
        <v>0.04</v>
      </c>
      <c r="G546" s="7">
        <v>0.89</v>
      </c>
      <c r="H546" s="9" t="s">
        <v>20</v>
      </c>
      <c r="I546">
        <v>0.5</v>
      </c>
      <c r="J546">
        <v>0.36</v>
      </c>
      <c r="K546">
        <v>0.28000000000000003</v>
      </c>
      <c r="L546">
        <v>0.64</v>
      </c>
      <c r="M546">
        <v>0.69</v>
      </c>
      <c r="N546">
        <v>0.87</v>
      </c>
      <c r="O546">
        <v>0.34</v>
      </c>
      <c r="P546">
        <v>0.77</v>
      </c>
      <c r="Q546">
        <v>0.56000000000000005</v>
      </c>
      <c r="R546" s="2">
        <v>0.88</v>
      </c>
      <c r="S546" t="str">
        <f>IF(Table1[[#This Row],[Years_Experience]]&lt;=5,"Early Career",
IF(Table1[[#This Row],[Years_Experience]]&lt;=15,"Mid Career","Senior Level"))</f>
        <v>Senior Level</v>
      </c>
      <c r="T546" t="str">
        <f>IF(Table1[[#This Row],[AI_Exposure_Index]]&gt;=0.7,"High Exposure", IF(Table1[[#This Row],[AI_Exposure_Index]]&gt;=0.3,"Medium Exposure","Low Exposure"))</f>
        <v>Low Exposure</v>
      </c>
    </row>
    <row r="547" spans="1:20" x14ac:dyDescent="0.25">
      <c r="A547" t="s">
        <v>39</v>
      </c>
      <c r="B547">
        <v>75482</v>
      </c>
      <c r="C547" s="1">
        <v>17</v>
      </c>
      <c r="D547" t="s">
        <v>22</v>
      </c>
      <c r="E547" s="7">
        <v>1.08</v>
      </c>
      <c r="F547" s="2">
        <v>0.52</v>
      </c>
      <c r="G547" s="7">
        <v>0.89</v>
      </c>
      <c r="H547" s="9" t="s">
        <v>20</v>
      </c>
      <c r="I547">
        <v>0.96</v>
      </c>
      <c r="J547">
        <v>7.0000000000000007E-2</v>
      </c>
      <c r="K547">
        <v>0.05</v>
      </c>
      <c r="L547">
        <v>0.94</v>
      </c>
      <c r="M547">
        <v>0.53</v>
      </c>
      <c r="N547">
        <v>0.61</v>
      </c>
      <c r="O547">
        <v>0.48</v>
      </c>
      <c r="P547">
        <v>0.09</v>
      </c>
      <c r="Q547">
        <v>0.77</v>
      </c>
      <c r="R547" s="2">
        <v>0.75</v>
      </c>
      <c r="S547" t="str">
        <f>IF(Table1[[#This Row],[Years_Experience]]&lt;=5,"Early Career",
IF(Table1[[#This Row],[Years_Experience]]&lt;=15,"Mid Career","Senior Level"))</f>
        <v>Senior Level</v>
      </c>
      <c r="T547" t="str">
        <f>IF(Table1[[#This Row],[AI_Exposure_Index]]&gt;=0.7,"High Exposure", IF(Table1[[#This Row],[AI_Exposure_Index]]&gt;=0.3,"Medium Exposure","Low Exposure"))</f>
        <v>Medium Exposure</v>
      </c>
    </row>
    <row r="548" spans="1:20" x14ac:dyDescent="0.25">
      <c r="A548" t="s">
        <v>41</v>
      </c>
      <c r="B548">
        <v>147232</v>
      </c>
      <c r="C548" s="1">
        <v>27</v>
      </c>
      <c r="D548" t="s">
        <v>25</v>
      </c>
      <c r="E548" s="7">
        <v>1.34</v>
      </c>
      <c r="F548" s="2">
        <v>0.31</v>
      </c>
      <c r="G548" s="7">
        <v>0.72</v>
      </c>
      <c r="H548" s="9" t="s">
        <v>20</v>
      </c>
      <c r="I548">
        <v>0.88</v>
      </c>
      <c r="J548">
        <v>0.26</v>
      </c>
      <c r="K548">
        <v>0.59</v>
      </c>
      <c r="L548">
        <v>0.94</v>
      </c>
      <c r="M548">
        <v>0.68</v>
      </c>
      <c r="N548">
        <v>0.41</v>
      </c>
      <c r="O548">
        <v>0.69</v>
      </c>
      <c r="P548">
        <v>0.34</v>
      </c>
      <c r="Q548">
        <v>0.28000000000000003</v>
      </c>
      <c r="R548" s="2">
        <v>1</v>
      </c>
      <c r="S548" t="str">
        <f>IF(Table1[[#This Row],[Years_Experience]]&lt;=5,"Early Career",
IF(Table1[[#This Row],[Years_Experience]]&lt;=15,"Mid Career","Senior Level"))</f>
        <v>Senior Level</v>
      </c>
      <c r="T548" t="str">
        <f>IF(Table1[[#This Row],[AI_Exposure_Index]]&gt;=0.7,"High Exposure", IF(Table1[[#This Row],[AI_Exposure_Index]]&gt;=0.3,"Medium Exposure","Low Exposure"))</f>
        <v>Medium Exposure</v>
      </c>
    </row>
    <row r="549" spans="1:20" x14ac:dyDescent="0.25">
      <c r="A549" t="s">
        <v>34</v>
      </c>
      <c r="B549">
        <v>147220</v>
      </c>
      <c r="C549" s="1">
        <v>13</v>
      </c>
      <c r="D549" t="s">
        <v>22</v>
      </c>
      <c r="E549" s="7">
        <v>0.86</v>
      </c>
      <c r="F549" s="2">
        <v>0.64</v>
      </c>
      <c r="G549" s="7">
        <v>0.32</v>
      </c>
      <c r="H549" s="9" t="s">
        <v>27</v>
      </c>
      <c r="I549">
        <v>0.03</v>
      </c>
      <c r="J549">
        <v>0.55000000000000004</v>
      </c>
      <c r="K549">
        <v>0.76</v>
      </c>
      <c r="L549">
        <v>0.54</v>
      </c>
      <c r="M549">
        <v>0.84</v>
      </c>
      <c r="N549">
        <v>0.03</v>
      </c>
      <c r="O549">
        <v>0.37</v>
      </c>
      <c r="P549">
        <v>0.24</v>
      </c>
      <c r="Q549">
        <v>0.45</v>
      </c>
      <c r="R549" s="2">
        <v>7.0000000000000007E-2</v>
      </c>
      <c r="S549" t="str">
        <f>IF(Table1[[#This Row],[Years_Experience]]&lt;=5,"Early Career",
IF(Table1[[#This Row],[Years_Experience]]&lt;=15,"Mid Career","Senior Level"))</f>
        <v>Mid Career</v>
      </c>
      <c r="T549" t="str">
        <f>IF(Table1[[#This Row],[AI_Exposure_Index]]&gt;=0.7,"High Exposure", IF(Table1[[#This Row],[AI_Exposure_Index]]&gt;=0.3,"Medium Exposure","Low Exposure"))</f>
        <v>Medium Exposure</v>
      </c>
    </row>
    <row r="550" spans="1:20" x14ac:dyDescent="0.25">
      <c r="A550" t="s">
        <v>42</v>
      </c>
      <c r="B550">
        <v>107078</v>
      </c>
      <c r="C550" s="1">
        <v>26</v>
      </c>
      <c r="D550" t="s">
        <v>38</v>
      </c>
      <c r="E550" s="7">
        <v>0.64</v>
      </c>
      <c r="F550" s="2">
        <v>0.7</v>
      </c>
      <c r="G550" s="7">
        <v>0.56000000000000005</v>
      </c>
      <c r="H550" s="9" t="s">
        <v>27</v>
      </c>
      <c r="I550">
        <v>0.05</v>
      </c>
      <c r="J550">
        <v>0.41</v>
      </c>
      <c r="K550">
        <v>0.18</v>
      </c>
      <c r="L550">
        <v>0.11</v>
      </c>
      <c r="M550">
        <v>0.56999999999999995</v>
      </c>
      <c r="N550">
        <v>0.93</v>
      </c>
      <c r="O550">
        <v>0.05</v>
      </c>
      <c r="P550">
        <v>0.42</v>
      </c>
      <c r="Q550">
        <v>0.71</v>
      </c>
      <c r="R550" s="2">
        <v>0.46</v>
      </c>
      <c r="S550" t="str">
        <f>IF(Table1[[#This Row],[Years_Experience]]&lt;=5,"Early Career",
IF(Table1[[#This Row],[Years_Experience]]&lt;=15,"Mid Career","Senior Level"))</f>
        <v>Senior Level</v>
      </c>
      <c r="T550" t="str">
        <f>IF(Table1[[#This Row],[AI_Exposure_Index]]&gt;=0.7,"High Exposure", IF(Table1[[#This Row],[AI_Exposure_Index]]&gt;=0.3,"Medium Exposure","Low Exposure"))</f>
        <v>High Exposure</v>
      </c>
    </row>
    <row r="551" spans="1:20" x14ac:dyDescent="0.25">
      <c r="A551" t="s">
        <v>42</v>
      </c>
      <c r="B551">
        <v>63979</v>
      </c>
      <c r="C551" s="1">
        <v>7</v>
      </c>
      <c r="D551" t="s">
        <v>38</v>
      </c>
      <c r="E551" s="7">
        <v>1.46</v>
      </c>
      <c r="F551" s="2">
        <v>0.18</v>
      </c>
      <c r="G551" s="7">
        <v>0.45</v>
      </c>
      <c r="H551" s="9" t="s">
        <v>27</v>
      </c>
      <c r="I551">
        <v>0.34</v>
      </c>
      <c r="J551">
        <v>0.87</v>
      </c>
      <c r="K551">
        <v>0.56000000000000005</v>
      </c>
      <c r="L551">
        <v>0.52</v>
      </c>
      <c r="M551">
        <v>0.73</v>
      </c>
      <c r="N551">
        <v>0.57999999999999996</v>
      </c>
      <c r="O551">
        <v>0.16</v>
      </c>
      <c r="P551">
        <v>0.67</v>
      </c>
      <c r="Q551">
        <v>0.13</v>
      </c>
      <c r="R551" s="2">
        <v>0.81</v>
      </c>
      <c r="S551" t="str">
        <f>IF(Table1[[#This Row],[Years_Experience]]&lt;=5,"Early Career",
IF(Table1[[#This Row],[Years_Experience]]&lt;=15,"Mid Career","Senior Level"))</f>
        <v>Mid Career</v>
      </c>
      <c r="T551" t="str">
        <f>IF(Table1[[#This Row],[AI_Exposure_Index]]&gt;=0.7,"High Exposure", IF(Table1[[#This Row],[AI_Exposure_Index]]&gt;=0.3,"Medium Exposure","Low Exposure"))</f>
        <v>Low Exposure</v>
      </c>
    </row>
    <row r="552" spans="1:20" x14ac:dyDescent="0.25">
      <c r="A552" t="s">
        <v>24</v>
      </c>
      <c r="B552">
        <v>120290</v>
      </c>
      <c r="C552" s="1">
        <v>17</v>
      </c>
      <c r="D552" t="s">
        <v>25</v>
      </c>
      <c r="E552" s="7">
        <v>0.67</v>
      </c>
      <c r="F552" s="2">
        <v>0.6</v>
      </c>
      <c r="G552" s="7">
        <v>0.89</v>
      </c>
      <c r="H552" s="9" t="s">
        <v>20</v>
      </c>
      <c r="I552">
        <v>0.3</v>
      </c>
      <c r="J552">
        <v>0.66</v>
      </c>
      <c r="K552">
        <v>0.16</v>
      </c>
      <c r="L552">
        <v>0.69</v>
      </c>
      <c r="M552">
        <v>0.13</v>
      </c>
      <c r="N552">
        <v>0.43</v>
      </c>
      <c r="O552">
        <v>0.25</v>
      </c>
      <c r="P552">
        <v>0.75</v>
      </c>
      <c r="Q552">
        <v>0.26</v>
      </c>
      <c r="R552" s="2">
        <v>0.88</v>
      </c>
      <c r="S552" t="str">
        <f>IF(Table1[[#This Row],[Years_Experience]]&lt;=5,"Early Career",
IF(Table1[[#This Row],[Years_Experience]]&lt;=15,"Mid Career","Senior Level"))</f>
        <v>Senior Level</v>
      </c>
      <c r="T552" t="str">
        <f>IF(Table1[[#This Row],[AI_Exposure_Index]]&gt;=0.7,"High Exposure", IF(Table1[[#This Row],[AI_Exposure_Index]]&gt;=0.3,"Medium Exposure","Low Exposure"))</f>
        <v>Medium Exposure</v>
      </c>
    </row>
    <row r="553" spans="1:20" x14ac:dyDescent="0.25">
      <c r="A553" t="s">
        <v>21</v>
      </c>
      <c r="B553">
        <v>51573</v>
      </c>
      <c r="C553" s="1">
        <v>17</v>
      </c>
      <c r="D553" t="s">
        <v>22</v>
      </c>
      <c r="E553" s="7">
        <v>1.1100000000000001</v>
      </c>
      <c r="F553" s="2">
        <v>0.2</v>
      </c>
      <c r="G553" s="7">
        <v>7.0000000000000007E-2</v>
      </c>
      <c r="H553" s="9" t="s">
        <v>23</v>
      </c>
      <c r="I553">
        <v>0.39</v>
      </c>
      <c r="J553">
        <v>0.71</v>
      </c>
      <c r="K553">
        <v>0.66</v>
      </c>
      <c r="L553">
        <v>0.62</v>
      </c>
      <c r="M553">
        <v>0.28000000000000003</v>
      </c>
      <c r="N553">
        <v>0.38</v>
      </c>
      <c r="O553">
        <v>0.1</v>
      </c>
      <c r="P553">
        <v>0.72</v>
      </c>
      <c r="Q553">
        <v>0.5</v>
      </c>
      <c r="R553" s="2">
        <v>0.71</v>
      </c>
      <c r="S553" t="str">
        <f>IF(Table1[[#This Row],[Years_Experience]]&lt;=5,"Early Career",
IF(Table1[[#This Row],[Years_Experience]]&lt;=15,"Mid Career","Senior Level"))</f>
        <v>Senior Level</v>
      </c>
      <c r="T553" t="str">
        <f>IF(Table1[[#This Row],[AI_Exposure_Index]]&gt;=0.7,"High Exposure", IF(Table1[[#This Row],[AI_Exposure_Index]]&gt;=0.3,"Medium Exposure","Low Exposure"))</f>
        <v>Low Exposure</v>
      </c>
    </row>
    <row r="554" spans="1:20" x14ac:dyDescent="0.25">
      <c r="A554" t="s">
        <v>31</v>
      </c>
      <c r="B554">
        <v>79984</v>
      </c>
      <c r="C554" s="1">
        <v>28</v>
      </c>
      <c r="D554" t="s">
        <v>25</v>
      </c>
      <c r="E554" s="7">
        <v>0.83</v>
      </c>
      <c r="F554" s="2">
        <v>0.32</v>
      </c>
      <c r="G554" s="7">
        <v>0.06</v>
      </c>
      <c r="H554" s="9" t="s">
        <v>23</v>
      </c>
      <c r="I554">
        <v>0.34</v>
      </c>
      <c r="J554">
        <v>0.8</v>
      </c>
      <c r="K554">
        <v>0.9</v>
      </c>
      <c r="L554">
        <v>0.52</v>
      </c>
      <c r="M554">
        <v>0.46</v>
      </c>
      <c r="N554">
        <v>0.03</v>
      </c>
      <c r="O554">
        <v>0.88</v>
      </c>
      <c r="P554">
        <v>0.01</v>
      </c>
      <c r="Q554">
        <v>0.94</v>
      </c>
      <c r="R554" s="2">
        <v>0.49</v>
      </c>
      <c r="S554" t="str">
        <f>IF(Table1[[#This Row],[Years_Experience]]&lt;=5,"Early Career",
IF(Table1[[#This Row],[Years_Experience]]&lt;=15,"Mid Career","Senior Level"))</f>
        <v>Senior Level</v>
      </c>
      <c r="T554" t="str">
        <f>IF(Table1[[#This Row],[AI_Exposure_Index]]&gt;=0.7,"High Exposure", IF(Table1[[#This Row],[AI_Exposure_Index]]&gt;=0.3,"Medium Exposure","Low Exposure"))</f>
        <v>Medium Exposure</v>
      </c>
    </row>
    <row r="555" spans="1:20" x14ac:dyDescent="0.25">
      <c r="A555" t="s">
        <v>37</v>
      </c>
      <c r="B555">
        <v>96770</v>
      </c>
      <c r="C555" s="1">
        <v>13</v>
      </c>
      <c r="D555" t="s">
        <v>38</v>
      </c>
      <c r="E555" s="7">
        <v>0.52</v>
      </c>
      <c r="F555" s="2">
        <v>0.92</v>
      </c>
      <c r="G555" s="7">
        <v>0.53</v>
      </c>
      <c r="H555" s="9" t="s">
        <v>27</v>
      </c>
      <c r="I555">
        <v>0.55000000000000004</v>
      </c>
      <c r="J555">
        <v>0.22</v>
      </c>
      <c r="K555">
        <v>0.43</v>
      </c>
      <c r="L555">
        <v>0.65</v>
      </c>
      <c r="M555">
        <v>0.73</v>
      </c>
      <c r="N555">
        <v>0</v>
      </c>
      <c r="O555">
        <v>0.94</v>
      </c>
      <c r="P555">
        <v>0.16</v>
      </c>
      <c r="Q555">
        <v>0.23</v>
      </c>
      <c r="R555" s="2">
        <v>0.26</v>
      </c>
      <c r="S555" t="str">
        <f>IF(Table1[[#This Row],[Years_Experience]]&lt;=5,"Early Career",
IF(Table1[[#This Row],[Years_Experience]]&lt;=15,"Mid Career","Senior Level"))</f>
        <v>Mid Career</v>
      </c>
      <c r="T555" t="str">
        <f>IF(Table1[[#This Row],[AI_Exposure_Index]]&gt;=0.7,"High Exposure", IF(Table1[[#This Row],[AI_Exposure_Index]]&gt;=0.3,"Medium Exposure","Low Exposure"))</f>
        <v>High Exposure</v>
      </c>
    </row>
    <row r="556" spans="1:20" x14ac:dyDescent="0.25">
      <c r="A556" t="s">
        <v>30</v>
      </c>
      <c r="B556">
        <v>68031</v>
      </c>
      <c r="C556" s="1">
        <v>23</v>
      </c>
      <c r="D556" t="s">
        <v>22</v>
      </c>
      <c r="E556" s="7">
        <v>1.17</v>
      </c>
      <c r="F556" s="2">
        <v>0.45</v>
      </c>
      <c r="G556" s="7">
        <v>0.43</v>
      </c>
      <c r="H556" s="9" t="s">
        <v>27</v>
      </c>
      <c r="I556">
        <v>0.38</v>
      </c>
      <c r="J556">
        <v>0.99</v>
      </c>
      <c r="K556">
        <v>0.25</v>
      </c>
      <c r="L556">
        <v>0.51</v>
      </c>
      <c r="M556">
        <v>0.84</v>
      </c>
      <c r="N556">
        <v>0.24</v>
      </c>
      <c r="O556">
        <v>0.42</v>
      </c>
      <c r="P556">
        <v>0.62</v>
      </c>
      <c r="Q556">
        <v>0.48</v>
      </c>
      <c r="R556" s="2">
        <v>0.46</v>
      </c>
      <c r="S556" t="str">
        <f>IF(Table1[[#This Row],[Years_Experience]]&lt;=5,"Early Career",
IF(Table1[[#This Row],[Years_Experience]]&lt;=15,"Mid Career","Senior Level"))</f>
        <v>Senior Level</v>
      </c>
      <c r="T556" t="str">
        <f>IF(Table1[[#This Row],[AI_Exposure_Index]]&gt;=0.7,"High Exposure", IF(Table1[[#This Row],[AI_Exposure_Index]]&gt;=0.3,"Medium Exposure","Low Exposure"))</f>
        <v>Medium Exposure</v>
      </c>
    </row>
    <row r="557" spans="1:20" x14ac:dyDescent="0.25">
      <c r="A557" t="s">
        <v>18</v>
      </c>
      <c r="B557">
        <v>124238</v>
      </c>
      <c r="C557" s="1">
        <v>4</v>
      </c>
      <c r="D557" t="s">
        <v>22</v>
      </c>
      <c r="E557" s="7">
        <v>1.1200000000000001</v>
      </c>
      <c r="F557" s="2">
        <v>0.59</v>
      </c>
      <c r="G557" s="7">
        <v>0.86</v>
      </c>
      <c r="H557" s="9" t="s">
        <v>20</v>
      </c>
      <c r="I557">
        <v>7.0000000000000007E-2</v>
      </c>
      <c r="J557">
        <v>0.63</v>
      </c>
      <c r="K557">
        <v>0.95</v>
      </c>
      <c r="L557">
        <v>0.54</v>
      </c>
      <c r="M557">
        <v>0.72</v>
      </c>
      <c r="N557">
        <v>0.56000000000000005</v>
      </c>
      <c r="O557">
        <v>0.85</v>
      </c>
      <c r="P557">
        <v>0.93</v>
      </c>
      <c r="Q557">
        <v>0.18</v>
      </c>
      <c r="R557" s="2">
        <v>0.44</v>
      </c>
      <c r="S557" t="str">
        <f>IF(Table1[[#This Row],[Years_Experience]]&lt;=5,"Early Career",
IF(Table1[[#This Row],[Years_Experience]]&lt;=15,"Mid Career","Senior Level"))</f>
        <v>Early Career</v>
      </c>
      <c r="T557" t="str">
        <f>IF(Table1[[#This Row],[AI_Exposure_Index]]&gt;=0.7,"High Exposure", IF(Table1[[#This Row],[AI_Exposure_Index]]&gt;=0.3,"Medium Exposure","Low Exposure"))</f>
        <v>Medium Exposure</v>
      </c>
    </row>
    <row r="558" spans="1:20" x14ac:dyDescent="0.25">
      <c r="A558" t="s">
        <v>36</v>
      </c>
      <c r="B558">
        <v>105587</v>
      </c>
      <c r="C558" s="1">
        <v>24</v>
      </c>
      <c r="D558" t="s">
        <v>22</v>
      </c>
      <c r="E558" s="7">
        <v>0.63</v>
      </c>
      <c r="F558" s="2">
        <v>0.41</v>
      </c>
      <c r="G558" s="7">
        <v>0.63</v>
      </c>
      <c r="H558" s="9" t="s">
        <v>27</v>
      </c>
      <c r="I558">
        <v>0.04</v>
      </c>
      <c r="J558">
        <v>0.53</v>
      </c>
      <c r="K558">
        <v>0.66</v>
      </c>
      <c r="L558">
        <v>0.21</v>
      </c>
      <c r="M558">
        <v>0.91</v>
      </c>
      <c r="N558">
        <v>0.84</v>
      </c>
      <c r="O558">
        <v>0.47</v>
      </c>
      <c r="P558">
        <v>0.41</v>
      </c>
      <c r="Q558">
        <v>0.24</v>
      </c>
      <c r="R558" s="2">
        <v>0.73</v>
      </c>
      <c r="S558" t="str">
        <f>IF(Table1[[#This Row],[Years_Experience]]&lt;=5,"Early Career",
IF(Table1[[#This Row],[Years_Experience]]&lt;=15,"Mid Career","Senior Level"))</f>
        <v>Senior Level</v>
      </c>
      <c r="T558" t="str">
        <f>IF(Table1[[#This Row],[AI_Exposure_Index]]&gt;=0.7,"High Exposure", IF(Table1[[#This Row],[AI_Exposure_Index]]&gt;=0.3,"Medium Exposure","Low Exposure"))</f>
        <v>Medium Exposure</v>
      </c>
    </row>
    <row r="559" spans="1:20" x14ac:dyDescent="0.25">
      <c r="A559" t="s">
        <v>29</v>
      </c>
      <c r="B559">
        <v>34023</v>
      </c>
      <c r="C559" s="1">
        <v>14</v>
      </c>
      <c r="D559" t="s">
        <v>25</v>
      </c>
      <c r="E559" s="7">
        <v>0.73</v>
      </c>
      <c r="F559" s="2">
        <v>0.84</v>
      </c>
      <c r="G559" s="7">
        <v>0.27</v>
      </c>
      <c r="H559" s="9" t="s">
        <v>23</v>
      </c>
      <c r="I559">
        <v>0.03</v>
      </c>
      <c r="J559">
        <v>0.91</v>
      </c>
      <c r="K559">
        <v>0.12</v>
      </c>
      <c r="L559">
        <v>0.65</v>
      </c>
      <c r="M559">
        <v>0.25</v>
      </c>
      <c r="N559">
        <v>0.84</v>
      </c>
      <c r="O559">
        <v>0.51</v>
      </c>
      <c r="P559">
        <v>0.14000000000000001</v>
      </c>
      <c r="Q559">
        <v>0.56999999999999995</v>
      </c>
      <c r="R559" s="2">
        <v>0.41</v>
      </c>
      <c r="S559" t="str">
        <f>IF(Table1[[#This Row],[Years_Experience]]&lt;=5,"Early Career",
IF(Table1[[#This Row],[Years_Experience]]&lt;=15,"Mid Career","Senior Level"))</f>
        <v>Mid Career</v>
      </c>
      <c r="T559" t="str">
        <f>IF(Table1[[#This Row],[AI_Exposure_Index]]&gt;=0.7,"High Exposure", IF(Table1[[#This Row],[AI_Exposure_Index]]&gt;=0.3,"Medium Exposure","Low Exposure"))</f>
        <v>High Exposure</v>
      </c>
    </row>
    <row r="560" spans="1:20" x14ac:dyDescent="0.25">
      <c r="A560" t="s">
        <v>30</v>
      </c>
      <c r="B560">
        <v>72215</v>
      </c>
      <c r="C560" s="1">
        <v>8</v>
      </c>
      <c r="D560" t="s">
        <v>22</v>
      </c>
      <c r="E560" s="7">
        <v>0.91</v>
      </c>
      <c r="F560" s="2">
        <v>0.88</v>
      </c>
      <c r="G560" s="7">
        <v>0.42</v>
      </c>
      <c r="H560" s="9" t="s">
        <v>27</v>
      </c>
      <c r="I560">
        <v>0.01</v>
      </c>
      <c r="J560">
        <v>0.56999999999999995</v>
      </c>
      <c r="K560">
        <v>0.4</v>
      </c>
      <c r="L560">
        <v>0.37</v>
      </c>
      <c r="M560">
        <v>0.18</v>
      </c>
      <c r="N560">
        <v>0.43</v>
      </c>
      <c r="O560">
        <v>0.98</v>
      </c>
      <c r="P560">
        <v>0.3</v>
      </c>
      <c r="Q560">
        <v>0.6</v>
      </c>
      <c r="R560" s="2">
        <v>0.78</v>
      </c>
      <c r="S560" t="str">
        <f>IF(Table1[[#This Row],[Years_Experience]]&lt;=5,"Early Career",
IF(Table1[[#This Row],[Years_Experience]]&lt;=15,"Mid Career","Senior Level"))</f>
        <v>Mid Career</v>
      </c>
      <c r="T560" t="str">
        <f>IF(Table1[[#This Row],[AI_Exposure_Index]]&gt;=0.7,"High Exposure", IF(Table1[[#This Row],[AI_Exposure_Index]]&gt;=0.3,"Medium Exposure","Low Exposure"))</f>
        <v>High Exposure</v>
      </c>
    </row>
    <row r="561" spans="1:20" x14ac:dyDescent="0.25">
      <c r="A561" t="s">
        <v>44</v>
      </c>
      <c r="B561">
        <v>82870</v>
      </c>
      <c r="C561" s="1">
        <v>8</v>
      </c>
      <c r="D561" t="s">
        <v>19</v>
      </c>
      <c r="E561" s="7">
        <v>1.1100000000000001</v>
      </c>
      <c r="F561" s="2">
        <v>0.33</v>
      </c>
      <c r="G561" s="7">
        <v>0.65</v>
      </c>
      <c r="H561" s="9" t="s">
        <v>27</v>
      </c>
      <c r="I561">
        <v>0.02</v>
      </c>
      <c r="J561">
        <v>0.44</v>
      </c>
      <c r="K561">
        <v>0.22</v>
      </c>
      <c r="L561">
        <v>0.39</v>
      </c>
      <c r="M561">
        <v>0.42</v>
      </c>
      <c r="N561">
        <v>0.75</v>
      </c>
      <c r="O561">
        <v>0.09</v>
      </c>
      <c r="P561">
        <v>0.51</v>
      </c>
      <c r="Q561">
        <v>0.56000000000000005</v>
      </c>
      <c r="R561" s="2">
        <v>0.49</v>
      </c>
      <c r="S561" t="str">
        <f>IF(Table1[[#This Row],[Years_Experience]]&lt;=5,"Early Career",
IF(Table1[[#This Row],[Years_Experience]]&lt;=15,"Mid Career","Senior Level"))</f>
        <v>Mid Career</v>
      </c>
      <c r="T561" t="str">
        <f>IF(Table1[[#This Row],[AI_Exposure_Index]]&gt;=0.7,"High Exposure", IF(Table1[[#This Row],[AI_Exposure_Index]]&gt;=0.3,"Medium Exposure","Low Exposure"))</f>
        <v>Medium Exposure</v>
      </c>
    </row>
    <row r="562" spans="1:20" x14ac:dyDescent="0.25">
      <c r="A562" t="s">
        <v>44</v>
      </c>
      <c r="B562">
        <v>32978</v>
      </c>
      <c r="C562" s="1">
        <v>15</v>
      </c>
      <c r="D562" t="s">
        <v>19</v>
      </c>
      <c r="E562" s="7">
        <v>1.44</v>
      </c>
      <c r="F562" s="2">
        <v>0.38</v>
      </c>
      <c r="G562" s="7">
        <v>0.49</v>
      </c>
      <c r="H562" s="9" t="s">
        <v>27</v>
      </c>
      <c r="I562">
        <v>0.56999999999999995</v>
      </c>
      <c r="J562">
        <v>0.83</v>
      </c>
      <c r="K562">
        <v>0.28000000000000003</v>
      </c>
      <c r="L562">
        <v>0.08</v>
      </c>
      <c r="M562">
        <v>0.71</v>
      </c>
      <c r="N562">
        <v>0.48</v>
      </c>
      <c r="O562">
        <v>0.9</v>
      </c>
      <c r="P562">
        <v>0.98</v>
      </c>
      <c r="Q562">
        <v>0.4</v>
      </c>
      <c r="R562" s="2">
        <v>0.42</v>
      </c>
      <c r="S562" t="str">
        <f>IF(Table1[[#This Row],[Years_Experience]]&lt;=5,"Early Career",
IF(Table1[[#This Row],[Years_Experience]]&lt;=15,"Mid Career","Senior Level"))</f>
        <v>Mid Career</v>
      </c>
      <c r="T562" t="str">
        <f>IF(Table1[[#This Row],[AI_Exposure_Index]]&gt;=0.7,"High Exposure", IF(Table1[[#This Row],[AI_Exposure_Index]]&gt;=0.3,"Medium Exposure","Low Exposure"))</f>
        <v>Medium Exposure</v>
      </c>
    </row>
    <row r="563" spans="1:20" x14ac:dyDescent="0.25">
      <c r="A563" t="s">
        <v>44</v>
      </c>
      <c r="B563">
        <v>45522</v>
      </c>
      <c r="C563" s="1">
        <v>9</v>
      </c>
      <c r="D563" t="s">
        <v>19</v>
      </c>
      <c r="E563" s="7">
        <v>1.28</v>
      </c>
      <c r="F563" s="2">
        <v>0.32</v>
      </c>
      <c r="G563" s="7">
        <v>0.6</v>
      </c>
      <c r="H563" s="9" t="s">
        <v>27</v>
      </c>
      <c r="I563">
        <v>0.48</v>
      </c>
      <c r="J563">
        <v>0.04</v>
      </c>
      <c r="K563">
        <v>0.31</v>
      </c>
      <c r="L563">
        <v>0.28999999999999998</v>
      </c>
      <c r="M563">
        <v>0.81</v>
      </c>
      <c r="N563">
        <v>0.09</v>
      </c>
      <c r="O563">
        <v>0.81</v>
      </c>
      <c r="P563">
        <v>0.67</v>
      </c>
      <c r="Q563">
        <v>0.73</v>
      </c>
      <c r="R563" s="2">
        <v>0.43</v>
      </c>
      <c r="S563" t="str">
        <f>IF(Table1[[#This Row],[Years_Experience]]&lt;=5,"Early Career",
IF(Table1[[#This Row],[Years_Experience]]&lt;=15,"Mid Career","Senior Level"))</f>
        <v>Mid Career</v>
      </c>
      <c r="T563" t="str">
        <f>IF(Table1[[#This Row],[AI_Exposure_Index]]&gt;=0.7,"High Exposure", IF(Table1[[#This Row],[AI_Exposure_Index]]&gt;=0.3,"Medium Exposure","Low Exposure"))</f>
        <v>Medium Exposure</v>
      </c>
    </row>
    <row r="564" spans="1:20" x14ac:dyDescent="0.25">
      <c r="A564" t="s">
        <v>26</v>
      </c>
      <c r="B564">
        <v>63414</v>
      </c>
      <c r="C564" s="1">
        <v>0</v>
      </c>
      <c r="D564" t="s">
        <v>25</v>
      </c>
      <c r="E564" s="7">
        <v>1.27</v>
      </c>
      <c r="F564" s="2">
        <v>0.61</v>
      </c>
      <c r="G564" s="7">
        <v>0.48</v>
      </c>
      <c r="H564" s="9" t="s">
        <v>27</v>
      </c>
      <c r="I564">
        <v>0.47</v>
      </c>
      <c r="J564">
        <v>0.64</v>
      </c>
      <c r="K564">
        <v>0.11</v>
      </c>
      <c r="L564">
        <v>0.44</v>
      </c>
      <c r="M564">
        <v>0.97</v>
      </c>
      <c r="N564">
        <v>0.04</v>
      </c>
      <c r="O564">
        <v>0.32</v>
      </c>
      <c r="P564">
        <v>0.31</v>
      </c>
      <c r="Q564">
        <v>0.63</v>
      </c>
      <c r="R564" s="2">
        <v>0.11</v>
      </c>
      <c r="S564" t="str">
        <f>IF(Table1[[#This Row],[Years_Experience]]&lt;=5,"Early Career",
IF(Table1[[#This Row],[Years_Experience]]&lt;=15,"Mid Career","Senior Level"))</f>
        <v>Early Career</v>
      </c>
      <c r="T564" t="str">
        <f>IF(Table1[[#This Row],[AI_Exposure_Index]]&gt;=0.7,"High Exposure", IF(Table1[[#This Row],[AI_Exposure_Index]]&gt;=0.3,"Medium Exposure","Low Exposure"))</f>
        <v>Medium Exposure</v>
      </c>
    </row>
    <row r="565" spans="1:20" x14ac:dyDescent="0.25">
      <c r="A565" t="s">
        <v>21</v>
      </c>
      <c r="B565">
        <v>47140</v>
      </c>
      <c r="C565" s="1">
        <v>14</v>
      </c>
      <c r="D565" t="s">
        <v>38</v>
      </c>
      <c r="E565" s="7">
        <v>0.59</v>
      </c>
      <c r="F565" s="2">
        <v>0.1</v>
      </c>
      <c r="G565" s="7">
        <v>0.23</v>
      </c>
      <c r="H565" s="9" t="s">
        <v>23</v>
      </c>
      <c r="I565">
        <v>0.32</v>
      </c>
      <c r="J565">
        <v>0.98</v>
      </c>
      <c r="K565">
        <v>0.04</v>
      </c>
      <c r="L565">
        <v>0.45</v>
      </c>
      <c r="M565">
        <v>0.11</v>
      </c>
      <c r="N565">
        <v>0.35</v>
      </c>
      <c r="O565">
        <v>1</v>
      </c>
      <c r="P565">
        <v>0.89</v>
      </c>
      <c r="Q565">
        <v>0.05</v>
      </c>
      <c r="R565" s="2">
        <v>0.56000000000000005</v>
      </c>
      <c r="S565" t="str">
        <f>IF(Table1[[#This Row],[Years_Experience]]&lt;=5,"Early Career",
IF(Table1[[#This Row],[Years_Experience]]&lt;=15,"Mid Career","Senior Level"))</f>
        <v>Mid Career</v>
      </c>
      <c r="T565" t="str">
        <f>IF(Table1[[#This Row],[AI_Exposure_Index]]&gt;=0.7,"High Exposure", IF(Table1[[#This Row],[AI_Exposure_Index]]&gt;=0.3,"Medium Exposure","Low Exposure"))</f>
        <v>Low Exposure</v>
      </c>
    </row>
    <row r="566" spans="1:20" x14ac:dyDescent="0.25">
      <c r="A566" t="s">
        <v>21</v>
      </c>
      <c r="B566">
        <v>140261</v>
      </c>
      <c r="C566" s="1">
        <v>8</v>
      </c>
      <c r="D566" t="s">
        <v>25</v>
      </c>
      <c r="E566" s="7">
        <v>0.65</v>
      </c>
      <c r="F566" s="2">
        <v>0.21</v>
      </c>
      <c r="G566" s="7">
        <v>0.28000000000000003</v>
      </c>
      <c r="H566" s="9" t="s">
        <v>23</v>
      </c>
      <c r="I566">
        <v>0.97</v>
      </c>
      <c r="J566">
        <v>0.99</v>
      </c>
      <c r="K566">
        <v>0.79</v>
      </c>
      <c r="L566">
        <v>0.66</v>
      </c>
      <c r="M566">
        <v>0.35</v>
      </c>
      <c r="N566">
        <v>0.17</v>
      </c>
      <c r="O566">
        <v>0.08</v>
      </c>
      <c r="P566">
        <v>0.69</v>
      </c>
      <c r="Q566">
        <v>0.78</v>
      </c>
      <c r="R566" s="2">
        <v>0.83</v>
      </c>
      <c r="S566" t="str">
        <f>IF(Table1[[#This Row],[Years_Experience]]&lt;=5,"Early Career",
IF(Table1[[#This Row],[Years_Experience]]&lt;=15,"Mid Career","Senior Level"))</f>
        <v>Mid Career</v>
      </c>
      <c r="T566" t="str">
        <f>IF(Table1[[#This Row],[AI_Exposure_Index]]&gt;=0.7,"High Exposure", IF(Table1[[#This Row],[AI_Exposure_Index]]&gt;=0.3,"Medium Exposure","Low Exposure"))</f>
        <v>Low Exposure</v>
      </c>
    </row>
    <row r="567" spans="1:20" x14ac:dyDescent="0.25">
      <c r="A567" t="s">
        <v>40</v>
      </c>
      <c r="B567">
        <v>62975</v>
      </c>
      <c r="C567" s="1">
        <v>1</v>
      </c>
      <c r="D567" t="s">
        <v>19</v>
      </c>
      <c r="E567" s="7">
        <v>1.5</v>
      </c>
      <c r="F567" s="2">
        <v>0.88</v>
      </c>
      <c r="G567" s="7">
        <v>0.11</v>
      </c>
      <c r="H567" s="9" t="s">
        <v>23</v>
      </c>
      <c r="I567">
        <v>0.76</v>
      </c>
      <c r="J567">
        <v>0.59</v>
      </c>
      <c r="K567">
        <v>0.26</v>
      </c>
      <c r="L567">
        <v>0.98</v>
      </c>
      <c r="M567">
        <v>0.9</v>
      </c>
      <c r="N567">
        <v>0.13</v>
      </c>
      <c r="O567">
        <v>0.03</v>
      </c>
      <c r="P567">
        <v>0.69</v>
      </c>
      <c r="Q567">
        <v>0.6</v>
      </c>
      <c r="R567" s="2">
        <v>0.94</v>
      </c>
      <c r="S567" t="str">
        <f>IF(Table1[[#This Row],[Years_Experience]]&lt;=5,"Early Career",
IF(Table1[[#This Row],[Years_Experience]]&lt;=15,"Mid Career","Senior Level"))</f>
        <v>Early Career</v>
      </c>
      <c r="T567" t="str">
        <f>IF(Table1[[#This Row],[AI_Exposure_Index]]&gt;=0.7,"High Exposure", IF(Table1[[#This Row],[AI_Exposure_Index]]&gt;=0.3,"Medium Exposure","Low Exposure"))</f>
        <v>High Exposure</v>
      </c>
    </row>
    <row r="568" spans="1:20" x14ac:dyDescent="0.25">
      <c r="A568" t="s">
        <v>29</v>
      </c>
      <c r="B568">
        <v>146004</v>
      </c>
      <c r="C568" s="1">
        <v>26</v>
      </c>
      <c r="D568" t="s">
        <v>22</v>
      </c>
      <c r="E568" s="7">
        <v>0.76</v>
      </c>
      <c r="F568" s="2">
        <v>0.08</v>
      </c>
      <c r="G568" s="7">
        <v>0.05</v>
      </c>
      <c r="H568" s="9" t="s">
        <v>23</v>
      </c>
      <c r="I568">
        <v>0.04</v>
      </c>
      <c r="J568">
        <v>0.91</v>
      </c>
      <c r="K568">
        <v>0.35</v>
      </c>
      <c r="L568">
        <v>0.41</v>
      </c>
      <c r="M568">
        <v>0.02</v>
      </c>
      <c r="N568">
        <v>0.27</v>
      </c>
      <c r="O568">
        <v>0.8</v>
      </c>
      <c r="P568">
        <v>0.62</v>
      </c>
      <c r="Q568">
        <v>0.75</v>
      </c>
      <c r="R568" s="2">
        <v>0.45</v>
      </c>
      <c r="S568" t="str">
        <f>IF(Table1[[#This Row],[Years_Experience]]&lt;=5,"Early Career",
IF(Table1[[#This Row],[Years_Experience]]&lt;=15,"Mid Career","Senior Level"))</f>
        <v>Senior Level</v>
      </c>
      <c r="T568" t="str">
        <f>IF(Table1[[#This Row],[AI_Exposure_Index]]&gt;=0.7,"High Exposure", IF(Table1[[#This Row],[AI_Exposure_Index]]&gt;=0.3,"Medium Exposure","Low Exposure"))</f>
        <v>Low Exposure</v>
      </c>
    </row>
    <row r="569" spans="1:20" x14ac:dyDescent="0.25">
      <c r="A569" t="s">
        <v>37</v>
      </c>
      <c r="B569">
        <v>57167</v>
      </c>
      <c r="C569" s="1">
        <v>19</v>
      </c>
      <c r="D569" t="s">
        <v>25</v>
      </c>
      <c r="E569" s="7">
        <v>0.82</v>
      </c>
      <c r="F569" s="2">
        <v>0.48</v>
      </c>
      <c r="G569" s="7">
        <v>0.64</v>
      </c>
      <c r="H569" s="9" t="s">
        <v>27</v>
      </c>
      <c r="I569">
        <v>0.3</v>
      </c>
      <c r="J569">
        <v>0.66</v>
      </c>
      <c r="K569">
        <v>0.14000000000000001</v>
      </c>
      <c r="L569">
        <v>0.69</v>
      </c>
      <c r="M569">
        <v>0.91</v>
      </c>
      <c r="N569">
        <v>0.61</v>
      </c>
      <c r="O569">
        <v>0.56000000000000005</v>
      </c>
      <c r="P569">
        <v>0.96</v>
      </c>
      <c r="Q569">
        <v>0.63</v>
      </c>
      <c r="R569" s="2">
        <v>0.26</v>
      </c>
      <c r="S569" t="str">
        <f>IF(Table1[[#This Row],[Years_Experience]]&lt;=5,"Early Career",
IF(Table1[[#This Row],[Years_Experience]]&lt;=15,"Mid Career","Senior Level"))</f>
        <v>Senior Level</v>
      </c>
      <c r="T569" t="str">
        <f>IF(Table1[[#This Row],[AI_Exposure_Index]]&gt;=0.7,"High Exposure", IF(Table1[[#This Row],[AI_Exposure_Index]]&gt;=0.3,"Medium Exposure","Low Exposure"))</f>
        <v>Medium Exposure</v>
      </c>
    </row>
    <row r="570" spans="1:20" x14ac:dyDescent="0.25">
      <c r="A570" t="s">
        <v>42</v>
      </c>
      <c r="B570">
        <v>39046</v>
      </c>
      <c r="C570" s="1">
        <v>24</v>
      </c>
      <c r="D570" t="s">
        <v>25</v>
      </c>
      <c r="E570" s="7">
        <v>1.24</v>
      </c>
      <c r="F570" s="2">
        <v>0.71</v>
      </c>
      <c r="G570" s="7">
        <v>0.42</v>
      </c>
      <c r="H570" s="9" t="s">
        <v>27</v>
      </c>
      <c r="I570">
        <v>0.35</v>
      </c>
      <c r="J570">
        <v>0.99</v>
      </c>
      <c r="K570">
        <v>0.1</v>
      </c>
      <c r="L570">
        <v>0.4</v>
      </c>
      <c r="M570">
        <v>0.06</v>
      </c>
      <c r="N570">
        <v>0.82</v>
      </c>
      <c r="O570">
        <v>0.09</v>
      </c>
      <c r="P570">
        <v>0.67</v>
      </c>
      <c r="Q570">
        <v>0.06</v>
      </c>
      <c r="R570" s="2">
        <v>0.67</v>
      </c>
      <c r="S570" t="str">
        <f>IF(Table1[[#This Row],[Years_Experience]]&lt;=5,"Early Career",
IF(Table1[[#This Row],[Years_Experience]]&lt;=15,"Mid Career","Senior Level"))</f>
        <v>Senior Level</v>
      </c>
      <c r="T570" t="str">
        <f>IF(Table1[[#This Row],[AI_Exposure_Index]]&gt;=0.7,"High Exposure", IF(Table1[[#This Row],[AI_Exposure_Index]]&gt;=0.3,"Medium Exposure","Low Exposure"))</f>
        <v>High Exposure</v>
      </c>
    </row>
    <row r="571" spans="1:20" x14ac:dyDescent="0.25">
      <c r="A571" t="s">
        <v>40</v>
      </c>
      <c r="B571">
        <v>113184</v>
      </c>
      <c r="C571" s="1">
        <v>12</v>
      </c>
      <c r="D571" t="s">
        <v>25</v>
      </c>
      <c r="E571" s="7">
        <v>1.02</v>
      </c>
      <c r="F571" s="2">
        <v>0.4</v>
      </c>
      <c r="G571" s="7">
        <v>0.15</v>
      </c>
      <c r="H571" s="9" t="s">
        <v>23</v>
      </c>
      <c r="I571">
        <v>0.3</v>
      </c>
      <c r="J571">
        <v>0.8</v>
      </c>
      <c r="K571">
        <v>0.27</v>
      </c>
      <c r="L571">
        <v>0.72</v>
      </c>
      <c r="M571">
        <v>0.21</v>
      </c>
      <c r="N571">
        <v>0.25</v>
      </c>
      <c r="O571">
        <v>0.34</v>
      </c>
      <c r="P571">
        <v>0.59</v>
      </c>
      <c r="Q571">
        <v>0.45</v>
      </c>
      <c r="R571" s="2">
        <v>0.75</v>
      </c>
      <c r="S571" t="str">
        <f>IF(Table1[[#This Row],[Years_Experience]]&lt;=5,"Early Career",
IF(Table1[[#This Row],[Years_Experience]]&lt;=15,"Mid Career","Senior Level"))</f>
        <v>Mid Career</v>
      </c>
      <c r="T571" t="str">
        <f>IF(Table1[[#This Row],[AI_Exposure_Index]]&gt;=0.7,"High Exposure", IF(Table1[[#This Row],[AI_Exposure_Index]]&gt;=0.3,"Medium Exposure","Low Exposure"))</f>
        <v>Medium Exposure</v>
      </c>
    </row>
    <row r="572" spans="1:20" x14ac:dyDescent="0.25">
      <c r="A572" t="s">
        <v>36</v>
      </c>
      <c r="B572">
        <v>52689</v>
      </c>
      <c r="C572" s="1">
        <v>4</v>
      </c>
      <c r="D572" t="s">
        <v>25</v>
      </c>
      <c r="E572" s="7">
        <v>1.28</v>
      </c>
      <c r="F572" s="2">
        <v>0.01</v>
      </c>
      <c r="G572" s="7">
        <v>0.63</v>
      </c>
      <c r="H572" s="9" t="s">
        <v>27</v>
      </c>
      <c r="I572">
        <v>0.06</v>
      </c>
      <c r="J572">
        <v>0.61</v>
      </c>
      <c r="K572">
        <v>0.38</v>
      </c>
      <c r="L572">
        <v>0.79</v>
      </c>
      <c r="M572">
        <v>0.87</v>
      </c>
      <c r="N572">
        <v>0.85</v>
      </c>
      <c r="O572">
        <v>0.78</v>
      </c>
      <c r="P572">
        <v>0.27</v>
      </c>
      <c r="Q572">
        <v>0.81</v>
      </c>
      <c r="R572" s="2">
        <v>0.53</v>
      </c>
      <c r="S572" t="str">
        <f>IF(Table1[[#This Row],[Years_Experience]]&lt;=5,"Early Career",
IF(Table1[[#This Row],[Years_Experience]]&lt;=15,"Mid Career","Senior Level"))</f>
        <v>Early Career</v>
      </c>
      <c r="T572" t="str">
        <f>IF(Table1[[#This Row],[AI_Exposure_Index]]&gt;=0.7,"High Exposure", IF(Table1[[#This Row],[AI_Exposure_Index]]&gt;=0.3,"Medium Exposure","Low Exposure"))</f>
        <v>Low Exposure</v>
      </c>
    </row>
    <row r="573" spans="1:20" x14ac:dyDescent="0.25">
      <c r="A573" t="s">
        <v>41</v>
      </c>
      <c r="B573">
        <v>125494</v>
      </c>
      <c r="C573" s="1">
        <v>16</v>
      </c>
      <c r="D573" t="s">
        <v>19</v>
      </c>
      <c r="E573" s="7">
        <v>1.44</v>
      </c>
      <c r="F573" s="2">
        <v>0.46</v>
      </c>
      <c r="G573" s="7">
        <v>0.92</v>
      </c>
      <c r="H573" s="9" t="s">
        <v>20</v>
      </c>
      <c r="I573">
        <v>0.1</v>
      </c>
      <c r="J573">
        <v>0.74</v>
      </c>
      <c r="K573">
        <v>0.81</v>
      </c>
      <c r="L573">
        <v>0.27</v>
      </c>
      <c r="M573">
        <v>0.47</v>
      </c>
      <c r="N573">
        <v>0.71</v>
      </c>
      <c r="O573">
        <v>0.44</v>
      </c>
      <c r="P573">
        <v>0.11</v>
      </c>
      <c r="Q573">
        <v>0.71</v>
      </c>
      <c r="R573" s="2">
        <v>0.91</v>
      </c>
      <c r="S573" t="str">
        <f>IF(Table1[[#This Row],[Years_Experience]]&lt;=5,"Early Career",
IF(Table1[[#This Row],[Years_Experience]]&lt;=15,"Mid Career","Senior Level"))</f>
        <v>Senior Level</v>
      </c>
      <c r="T573" t="str">
        <f>IF(Table1[[#This Row],[AI_Exposure_Index]]&gt;=0.7,"High Exposure", IF(Table1[[#This Row],[AI_Exposure_Index]]&gt;=0.3,"Medium Exposure","Low Exposure"))</f>
        <v>Medium Exposure</v>
      </c>
    </row>
    <row r="574" spans="1:20" x14ac:dyDescent="0.25">
      <c r="A574" t="s">
        <v>40</v>
      </c>
      <c r="B574">
        <v>111214</v>
      </c>
      <c r="C574" s="1">
        <v>12</v>
      </c>
      <c r="D574" t="s">
        <v>38</v>
      </c>
      <c r="E574" s="7">
        <v>0.86</v>
      </c>
      <c r="F574" s="2">
        <v>0.77</v>
      </c>
      <c r="G574" s="7">
        <v>0.1</v>
      </c>
      <c r="H574" s="9" t="s">
        <v>23</v>
      </c>
      <c r="I574">
        <v>0.64</v>
      </c>
      <c r="J574">
        <v>0.33</v>
      </c>
      <c r="K574">
        <v>0.86</v>
      </c>
      <c r="L574">
        <v>0.12</v>
      </c>
      <c r="M574">
        <v>0.43</v>
      </c>
      <c r="N574">
        <v>0.4</v>
      </c>
      <c r="O574">
        <v>0.94</v>
      </c>
      <c r="P574">
        <v>0.15</v>
      </c>
      <c r="Q574">
        <v>0.01</v>
      </c>
      <c r="R574" s="2">
        <v>0.24</v>
      </c>
      <c r="S574" t="str">
        <f>IF(Table1[[#This Row],[Years_Experience]]&lt;=5,"Early Career",
IF(Table1[[#This Row],[Years_Experience]]&lt;=15,"Mid Career","Senior Level"))</f>
        <v>Mid Career</v>
      </c>
      <c r="T574" t="str">
        <f>IF(Table1[[#This Row],[AI_Exposure_Index]]&gt;=0.7,"High Exposure", IF(Table1[[#This Row],[AI_Exposure_Index]]&gt;=0.3,"Medium Exposure","Low Exposure"))</f>
        <v>High Exposure</v>
      </c>
    </row>
    <row r="575" spans="1:20" x14ac:dyDescent="0.25">
      <c r="A575" t="s">
        <v>24</v>
      </c>
      <c r="B575">
        <v>139071</v>
      </c>
      <c r="C575" s="1">
        <v>16</v>
      </c>
      <c r="D575" t="s">
        <v>22</v>
      </c>
      <c r="E575" s="7">
        <v>0.74</v>
      </c>
      <c r="F575" s="2">
        <v>0.21</v>
      </c>
      <c r="G575" s="7">
        <v>0.73</v>
      </c>
      <c r="H575" s="9" t="s">
        <v>20</v>
      </c>
      <c r="I575">
        <v>0.72</v>
      </c>
      <c r="J575">
        <v>7.0000000000000007E-2</v>
      </c>
      <c r="K575">
        <v>0.33</v>
      </c>
      <c r="L575">
        <v>0.28000000000000003</v>
      </c>
      <c r="M575">
        <v>0.56000000000000005</v>
      </c>
      <c r="N575">
        <v>0.73</v>
      </c>
      <c r="O575">
        <v>0.53</v>
      </c>
      <c r="P575">
        <v>0.93</v>
      </c>
      <c r="Q575">
        <v>0.95</v>
      </c>
      <c r="R575" s="2">
        <v>0.36</v>
      </c>
      <c r="S575" t="str">
        <f>IF(Table1[[#This Row],[Years_Experience]]&lt;=5,"Early Career",
IF(Table1[[#This Row],[Years_Experience]]&lt;=15,"Mid Career","Senior Level"))</f>
        <v>Senior Level</v>
      </c>
      <c r="T575" t="str">
        <f>IF(Table1[[#This Row],[AI_Exposure_Index]]&gt;=0.7,"High Exposure", IF(Table1[[#This Row],[AI_Exposure_Index]]&gt;=0.3,"Medium Exposure","Low Exposure"))</f>
        <v>Low Exposure</v>
      </c>
    </row>
    <row r="576" spans="1:20" x14ac:dyDescent="0.25">
      <c r="A576" t="s">
        <v>36</v>
      </c>
      <c r="B576">
        <v>34027</v>
      </c>
      <c r="C576" s="1">
        <v>8</v>
      </c>
      <c r="D576" t="s">
        <v>38</v>
      </c>
      <c r="E576" s="7">
        <v>1.39</v>
      </c>
      <c r="F576" s="2">
        <v>0.74</v>
      </c>
      <c r="G576" s="7">
        <v>0.48</v>
      </c>
      <c r="H576" s="9" t="s">
        <v>27</v>
      </c>
      <c r="I576">
        <v>0.53</v>
      </c>
      <c r="J576">
        <v>0.42</v>
      </c>
      <c r="K576">
        <v>0.85</v>
      </c>
      <c r="L576">
        <v>0.23</v>
      </c>
      <c r="M576">
        <v>0.24</v>
      </c>
      <c r="N576">
        <v>0.37</v>
      </c>
      <c r="O576">
        <v>0.23</v>
      </c>
      <c r="P576">
        <v>0.56000000000000005</v>
      </c>
      <c r="Q576">
        <v>0.13</v>
      </c>
      <c r="R576" s="2">
        <v>0.32</v>
      </c>
      <c r="S576" t="str">
        <f>IF(Table1[[#This Row],[Years_Experience]]&lt;=5,"Early Career",
IF(Table1[[#This Row],[Years_Experience]]&lt;=15,"Mid Career","Senior Level"))</f>
        <v>Mid Career</v>
      </c>
      <c r="T576" t="str">
        <f>IF(Table1[[#This Row],[AI_Exposure_Index]]&gt;=0.7,"High Exposure", IF(Table1[[#This Row],[AI_Exposure_Index]]&gt;=0.3,"Medium Exposure","Low Exposure"))</f>
        <v>High Exposure</v>
      </c>
    </row>
    <row r="577" spans="1:20" x14ac:dyDescent="0.25">
      <c r="A577" t="s">
        <v>32</v>
      </c>
      <c r="B577">
        <v>129074</v>
      </c>
      <c r="C577" s="1">
        <v>19</v>
      </c>
      <c r="D577" t="s">
        <v>38</v>
      </c>
      <c r="E577" s="7">
        <v>1.25</v>
      </c>
      <c r="F577" s="2">
        <v>0.41</v>
      </c>
      <c r="G577" s="7">
        <v>0.35</v>
      </c>
      <c r="H577" s="9" t="s">
        <v>27</v>
      </c>
      <c r="I577">
        <v>0.25</v>
      </c>
      <c r="J577">
        <v>0.81</v>
      </c>
      <c r="K577">
        <v>0.76</v>
      </c>
      <c r="L577">
        <v>0.39</v>
      </c>
      <c r="M577">
        <v>0.95</v>
      </c>
      <c r="N577">
        <v>0.91</v>
      </c>
      <c r="O577">
        <v>0.96</v>
      </c>
      <c r="P577">
        <v>0.43</v>
      </c>
      <c r="Q577">
        <v>0.2</v>
      </c>
      <c r="R577" s="2">
        <v>0.63</v>
      </c>
      <c r="S577" t="str">
        <f>IF(Table1[[#This Row],[Years_Experience]]&lt;=5,"Early Career",
IF(Table1[[#This Row],[Years_Experience]]&lt;=15,"Mid Career","Senior Level"))</f>
        <v>Senior Level</v>
      </c>
      <c r="T577" t="str">
        <f>IF(Table1[[#This Row],[AI_Exposure_Index]]&gt;=0.7,"High Exposure", IF(Table1[[#This Row],[AI_Exposure_Index]]&gt;=0.3,"Medium Exposure","Low Exposure"))</f>
        <v>Medium Exposure</v>
      </c>
    </row>
    <row r="578" spans="1:20" x14ac:dyDescent="0.25">
      <c r="A578" t="s">
        <v>36</v>
      </c>
      <c r="B578">
        <v>114785</v>
      </c>
      <c r="C578" s="1">
        <v>13</v>
      </c>
      <c r="D578" t="s">
        <v>25</v>
      </c>
      <c r="E578" s="7">
        <v>1.29</v>
      </c>
      <c r="F578" s="2">
        <v>0.13</v>
      </c>
      <c r="G578" s="7">
        <v>0.31</v>
      </c>
      <c r="H578" s="9" t="s">
        <v>27</v>
      </c>
      <c r="I578">
        <v>0.48</v>
      </c>
      <c r="J578">
        <v>0.33</v>
      </c>
      <c r="K578">
        <v>0.74</v>
      </c>
      <c r="L578">
        <v>0.31</v>
      </c>
      <c r="M578">
        <v>0.83</v>
      </c>
      <c r="N578">
        <v>0.59</v>
      </c>
      <c r="O578">
        <v>0.79</v>
      </c>
      <c r="P578">
        <v>0.99</v>
      </c>
      <c r="Q578">
        <v>0.68</v>
      </c>
      <c r="R578" s="2">
        <v>0.98</v>
      </c>
      <c r="S578" t="str">
        <f>IF(Table1[[#This Row],[Years_Experience]]&lt;=5,"Early Career",
IF(Table1[[#This Row],[Years_Experience]]&lt;=15,"Mid Career","Senior Level"))</f>
        <v>Mid Career</v>
      </c>
      <c r="T578" t="str">
        <f>IF(Table1[[#This Row],[AI_Exposure_Index]]&gt;=0.7,"High Exposure", IF(Table1[[#This Row],[AI_Exposure_Index]]&gt;=0.3,"Medium Exposure","Low Exposure"))</f>
        <v>Low Exposure</v>
      </c>
    </row>
    <row r="579" spans="1:20" x14ac:dyDescent="0.25">
      <c r="A579" t="s">
        <v>24</v>
      </c>
      <c r="B579">
        <v>149107</v>
      </c>
      <c r="C579" s="1">
        <v>24</v>
      </c>
      <c r="D579" t="s">
        <v>19</v>
      </c>
      <c r="E579" s="7">
        <v>0.61</v>
      </c>
      <c r="F579" s="2">
        <v>0.34</v>
      </c>
      <c r="G579" s="7">
        <v>0.77</v>
      </c>
      <c r="H579" s="9" t="s">
        <v>20</v>
      </c>
      <c r="I579">
        <v>0.84</v>
      </c>
      <c r="J579">
        <v>0.03</v>
      </c>
      <c r="K579">
        <v>0.52</v>
      </c>
      <c r="L579">
        <v>0.56999999999999995</v>
      </c>
      <c r="M579">
        <v>0.56000000000000005</v>
      </c>
      <c r="N579">
        <v>0.48</v>
      </c>
      <c r="O579">
        <v>0.79</v>
      </c>
      <c r="P579">
        <v>0.13</v>
      </c>
      <c r="Q579">
        <v>0.31</v>
      </c>
      <c r="R579" s="2">
        <v>0.62</v>
      </c>
      <c r="S579" t="str">
        <f>IF(Table1[[#This Row],[Years_Experience]]&lt;=5,"Early Career",
IF(Table1[[#This Row],[Years_Experience]]&lt;=15,"Mid Career","Senior Level"))</f>
        <v>Senior Level</v>
      </c>
      <c r="T579" t="str">
        <f>IF(Table1[[#This Row],[AI_Exposure_Index]]&gt;=0.7,"High Exposure", IF(Table1[[#This Row],[AI_Exposure_Index]]&gt;=0.3,"Medium Exposure","Low Exposure"))</f>
        <v>Medium Exposure</v>
      </c>
    </row>
    <row r="580" spans="1:20" x14ac:dyDescent="0.25">
      <c r="A580" t="s">
        <v>30</v>
      </c>
      <c r="B580">
        <v>42380</v>
      </c>
      <c r="C580" s="1">
        <v>21</v>
      </c>
      <c r="D580" t="s">
        <v>22</v>
      </c>
      <c r="E580" s="7">
        <v>1.38</v>
      </c>
      <c r="F580" s="2">
        <v>0.4</v>
      </c>
      <c r="G580" s="7">
        <v>0.47</v>
      </c>
      <c r="H580" s="9" t="s">
        <v>27</v>
      </c>
      <c r="I580">
        <v>0.4</v>
      </c>
      <c r="J580">
        <v>0.04</v>
      </c>
      <c r="K580">
        <v>0.55000000000000004</v>
      </c>
      <c r="L580">
        <v>0.71</v>
      </c>
      <c r="M580">
        <v>0.11</v>
      </c>
      <c r="N580">
        <v>0.31</v>
      </c>
      <c r="O580">
        <v>0.78</v>
      </c>
      <c r="P580">
        <v>0.37</v>
      </c>
      <c r="Q580">
        <v>0.24</v>
      </c>
      <c r="R580" s="2">
        <v>0.67</v>
      </c>
      <c r="S580" t="str">
        <f>IF(Table1[[#This Row],[Years_Experience]]&lt;=5,"Early Career",
IF(Table1[[#This Row],[Years_Experience]]&lt;=15,"Mid Career","Senior Level"))</f>
        <v>Senior Level</v>
      </c>
      <c r="T580" t="str">
        <f>IF(Table1[[#This Row],[AI_Exposure_Index]]&gt;=0.7,"High Exposure", IF(Table1[[#This Row],[AI_Exposure_Index]]&gt;=0.3,"Medium Exposure","Low Exposure"))</f>
        <v>Medium Exposure</v>
      </c>
    </row>
    <row r="581" spans="1:20" x14ac:dyDescent="0.25">
      <c r="A581" t="s">
        <v>40</v>
      </c>
      <c r="B581">
        <v>81331</v>
      </c>
      <c r="C581" s="1">
        <v>7</v>
      </c>
      <c r="D581" t="s">
        <v>25</v>
      </c>
      <c r="E581" s="7">
        <v>0.61</v>
      </c>
      <c r="F581" s="2">
        <v>0.9</v>
      </c>
      <c r="G581" s="7">
        <v>0.23</v>
      </c>
      <c r="H581" s="9" t="s">
        <v>23</v>
      </c>
      <c r="I581">
        <v>0.5</v>
      </c>
      <c r="J581">
        <v>0.87</v>
      </c>
      <c r="K581">
        <v>0.13</v>
      </c>
      <c r="L581">
        <v>0.68</v>
      </c>
      <c r="M581">
        <v>0.56999999999999995</v>
      </c>
      <c r="N581">
        <v>0.48</v>
      </c>
      <c r="O581">
        <v>0.49</v>
      </c>
      <c r="P581">
        <v>0.72</v>
      </c>
      <c r="Q581">
        <v>0.94</v>
      </c>
      <c r="R581" s="2">
        <v>0.09</v>
      </c>
      <c r="S581" t="str">
        <f>IF(Table1[[#This Row],[Years_Experience]]&lt;=5,"Early Career",
IF(Table1[[#This Row],[Years_Experience]]&lt;=15,"Mid Career","Senior Level"))</f>
        <v>Mid Career</v>
      </c>
      <c r="T581" t="str">
        <f>IF(Table1[[#This Row],[AI_Exposure_Index]]&gt;=0.7,"High Exposure", IF(Table1[[#This Row],[AI_Exposure_Index]]&gt;=0.3,"Medium Exposure","Low Exposure"))</f>
        <v>High Exposure</v>
      </c>
    </row>
    <row r="582" spans="1:20" x14ac:dyDescent="0.25">
      <c r="A582" t="s">
        <v>31</v>
      </c>
      <c r="B582">
        <v>38245</v>
      </c>
      <c r="C582" s="1">
        <v>22</v>
      </c>
      <c r="D582" t="s">
        <v>19</v>
      </c>
      <c r="E582" s="7">
        <v>0.61</v>
      </c>
      <c r="F582" s="2">
        <v>0.81</v>
      </c>
      <c r="G582" s="7">
        <v>0.3</v>
      </c>
      <c r="H582" s="9" t="s">
        <v>23</v>
      </c>
      <c r="I582">
        <v>0.62</v>
      </c>
      <c r="J582">
        <v>0.65</v>
      </c>
      <c r="K582">
        <v>0.2</v>
      </c>
      <c r="L582">
        <v>0.24</v>
      </c>
      <c r="M582">
        <v>0.66</v>
      </c>
      <c r="N582">
        <v>0.91</v>
      </c>
      <c r="O582">
        <v>0.98</v>
      </c>
      <c r="P582">
        <v>0.2</v>
      </c>
      <c r="Q582">
        <v>0.13</v>
      </c>
      <c r="R582" s="2">
        <v>0.06</v>
      </c>
      <c r="S582" t="str">
        <f>IF(Table1[[#This Row],[Years_Experience]]&lt;=5,"Early Career",
IF(Table1[[#This Row],[Years_Experience]]&lt;=15,"Mid Career","Senior Level"))</f>
        <v>Senior Level</v>
      </c>
      <c r="T582" t="str">
        <f>IF(Table1[[#This Row],[AI_Exposure_Index]]&gt;=0.7,"High Exposure", IF(Table1[[#This Row],[AI_Exposure_Index]]&gt;=0.3,"Medium Exposure","Low Exposure"))</f>
        <v>High Exposure</v>
      </c>
    </row>
    <row r="583" spans="1:20" x14ac:dyDescent="0.25">
      <c r="A583" t="s">
        <v>34</v>
      </c>
      <c r="B583">
        <v>76766</v>
      </c>
      <c r="C583" s="1">
        <v>22</v>
      </c>
      <c r="D583" t="s">
        <v>22</v>
      </c>
      <c r="E583" s="7">
        <v>0.5</v>
      </c>
      <c r="F583" s="2">
        <v>0.28999999999999998</v>
      </c>
      <c r="G583" s="7">
        <v>0.39</v>
      </c>
      <c r="H583" s="9" t="s">
        <v>27</v>
      </c>
      <c r="I583">
        <v>0.34</v>
      </c>
      <c r="J583">
        <v>0.99</v>
      </c>
      <c r="K583">
        <v>0.52</v>
      </c>
      <c r="L583">
        <v>0.2</v>
      </c>
      <c r="M583">
        <v>0.33</v>
      </c>
      <c r="N583">
        <v>0.33</v>
      </c>
      <c r="O583">
        <v>0.02</v>
      </c>
      <c r="P583">
        <v>0.14000000000000001</v>
      </c>
      <c r="Q583">
        <v>0.7</v>
      </c>
      <c r="R583" s="2">
        <v>0.12</v>
      </c>
      <c r="S583" t="str">
        <f>IF(Table1[[#This Row],[Years_Experience]]&lt;=5,"Early Career",
IF(Table1[[#This Row],[Years_Experience]]&lt;=15,"Mid Career","Senior Level"))</f>
        <v>Senior Level</v>
      </c>
      <c r="T583" t="str">
        <f>IF(Table1[[#This Row],[AI_Exposure_Index]]&gt;=0.7,"High Exposure", IF(Table1[[#This Row],[AI_Exposure_Index]]&gt;=0.3,"Medium Exposure","Low Exposure"))</f>
        <v>Low Exposure</v>
      </c>
    </row>
    <row r="584" spans="1:20" x14ac:dyDescent="0.25">
      <c r="A584" t="s">
        <v>42</v>
      </c>
      <c r="B584">
        <v>121865</v>
      </c>
      <c r="C584" s="1">
        <v>16</v>
      </c>
      <c r="D584" t="s">
        <v>22</v>
      </c>
      <c r="E584" s="7">
        <v>1.26</v>
      </c>
      <c r="F584" s="2">
        <v>0.35</v>
      </c>
      <c r="G584" s="7">
        <v>0.53</v>
      </c>
      <c r="H584" s="9" t="s">
        <v>27</v>
      </c>
      <c r="I584">
        <v>0.69</v>
      </c>
      <c r="J584">
        <v>0.56999999999999995</v>
      </c>
      <c r="K584">
        <v>0.68</v>
      </c>
      <c r="L584">
        <v>0</v>
      </c>
      <c r="M584">
        <v>0.93</v>
      </c>
      <c r="N584">
        <v>0.11</v>
      </c>
      <c r="O584">
        <v>0.41</v>
      </c>
      <c r="P584">
        <v>0.77</v>
      </c>
      <c r="Q584">
        <v>0.44</v>
      </c>
      <c r="R584" s="2">
        <v>0.95</v>
      </c>
      <c r="S584" t="str">
        <f>IF(Table1[[#This Row],[Years_Experience]]&lt;=5,"Early Career",
IF(Table1[[#This Row],[Years_Experience]]&lt;=15,"Mid Career","Senior Level"))</f>
        <v>Senior Level</v>
      </c>
      <c r="T584" t="str">
        <f>IF(Table1[[#This Row],[AI_Exposure_Index]]&gt;=0.7,"High Exposure", IF(Table1[[#This Row],[AI_Exposure_Index]]&gt;=0.3,"Medium Exposure","Low Exposure"))</f>
        <v>Medium Exposure</v>
      </c>
    </row>
    <row r="585" spans="1:20" x14ac:dyDescent="0.25">
      <c r="A585" t="s">
        <v>31</v>
      </c>
      <c r="B585">
        <v>133457</v>
      </c>
      <c r="C585" s="1">
        <v>6</v>
      </c>
      <c r="D585" t="s">
        <v>22</v>
      </c>
      <c r="E585" s="7">
        <v>0.67</v>
      </c>
      <c r="F585" s="2">
        <v>0.16</v>
      </c>
      <c r="G585" s="7">
        <v>0.24</v>
      </c>
      <c r="H585" s="9" t="s">
        <v>23</v>
      </c>
      <c r="I585">
        <v>0.02</v>
      </c>
      <c r="J585">
        <v>0.56000000000000005</v>
      </c>
      <c r="K585">
        <v>0.38</v>
      </c>
      <c r="L585">
        <v>0.51</v>
      </c>
      <c r="M585">
        <v>0.56000000000000005</v>
      </c>
      <c r="N585">
        <v>0.31</v>
      </c>
      <c r="O585">
        <v>0.3</v>
      </c>
      <c r="P585">
        <v>0.73</v>
      </c>
      <c r="Q585">
        <v>0.87</v>
      </c>
      <c r="R585" s="2">
        <v>0.19</v>
      </c>
      <c r="S585" t="str">
        <f>IF(Table1[[#This Row],[Years_Experience]]&lt;=5,"Early Career",
IF(Table1[[#This Row],[Years_Experience]]&lt;=15,"Mid Career","Senior Level"))</f>
        <v>Mid Career</v>
      </c>
      <c r="T585" t="str">
        <f>IF(Table1[[#This Row],[AI_Exposure_Index]]&gt;=0.7,"High Exposure", IF(Table1[[#This Row],[AI_Exposure_Index]]&gt;=0.3,"Medium Exposure","Low Exposure"))</f>
        <v>Low Exposure</v>
      </c>
    </row>
    <row r="586" spans="1:20" x14ac:dyDescent="0.25">
      <c r="A586" t="s">
        <v>41</v>
      </c>
      <c r="B586">
        <v>131126</v>
      </c>
      <c r="C586" s="1">
        <v>12</v>
      </c>
      <c r="D586" t="s">
        <v>38</v>
      </c>
      <c r="E586" s="7">
        <v>0.85</v>
      </c>
      <c r="F586" s="2">
        <v>0.9</v>
      </c>
      <c r="G586" s="7">
        <v>0.84</v>
      </c>
      <c r="H586" s="9" t="s">
        <v>20</v>
      </c>
      <c r="I586">
        <v>0.36</v>
      </c>
      <c r="J586">
        <v>0.13</v>
      </c>
      <c r="K586">
        <v>0.59</v>
      </c>
      <c r="L586">
        <v>0.53</v>
      </c>
      <c r="M586">
        <v>0.2</v>
      </c>
      <c r="N586">
        <v>0.45</v>
      </c>
      <c r="O586">
        <v>0.8</v>
      </c>
      <c r="P586">
        <v>0.59</v>
      </c>
      <c r="Q586">
        <v>0.1</v>
      </c>
      <c r="R586" s="2">
        <v>0.55000000000000004</v>
      </c>
      <c r="S586" t="str">
        <f>IF(Table1[[#This Row],[Years_Experience]]&lt;=5,"Early Career",
IF(Table1[[#This Row],[Years_Experience]]&lt;=15,"Mid Career","Senior Level"))</f>
        <v>Mid Career</v>
      </c>
      <c r="T586" t="str">
        <f>IF(Table1[[#This Row],[AI_Exposure_Index]]&gt;=0.7,"High Exposure", IF(Table1[[#This Row],[AI_Exposure_Index]]&gt;=0.3,"Medium Exposure","Low Exposure"))</f>
        <v>High Exposure</v>
      </c>
    </row>
    <row r="587" spans="1:20" x14ac:dyDescent="0.25">
      <c r="A587" t="s">
        <v>24</v>
      </c>
      <c r="B587">
        <v>73066</v>
      </c>
      <c r="C587" s="1">
        <v>29</v>
      </c>
      <c r="D587" t="s">
        <v>19</v>
      </c>
      <c r="E587" s="7">
        <v>1.1299999999999999</v>
      </c>
      <c r="F587" s="2">
        <v>0.79</v>
      </c>
      <c r="G587" s="7">
        <v>0.74</v>
      </c>
      <c r="H587" s="9" t="s">
        <v>20</v>
      </c>
      <c r="I587">
        <v>0.71</v>
      </c>
      <c r="J587">
        <v>0.68</v>
      </c>
      <c r="K587">
        <v>0.02</v>
      </c>
      <c r="L587">
        <v>0.41</v>
      </c>
      <c r="M587">
        <v>0.33</v>
      </c>
      <c r="N587">
        <v>0.67</v>
      </c>
      <c r="O587">
        <v>0.22</v>
      </c>
      <c r="P587">
        <v>0.59</v>
      </c>
      <c r="Q587">
        <v>0.91</v>
      </c>
      <c r="R587" s="2">
        <v>0.8</v>
      </c>
      <c r="S587" t="str">
        <f>IF(Table1[[#This Row],[Years_Experience]]&lt;=5,"Early Career",
IF(Table1[[#This Row],[Years_Experience]]&lt;=15,"Mid Career","Senior Level"))</f>
        <v>Senior Level</v>
      </c>
      <c r="T587" t="str">
        <f>IF(Table1[[#This Row],[AI_Exposure_Index]]&gt;=0.7,"High Exposure", IF(Table1[[#This Row],[AI_Exposure_Index]]&gt;=0.3,"Medium Exposure","Low Exposure"))</f>
        <v>High Exposure</v>
      </c>
    </row>
    <row r="588" spans="1:20" x14ac:dyDescent="0.25">
      <c r="A588" t="s">
        <v>40</v>
      </c>
      <c r="B588">
        <v>72875</v>
      </c>
      <c r="C588" s="1">
        <v>27</v>
      </c>
      <c r="D588" t="s">
        <v>19</v>
      </c>
      <c r="E588" s="7">
        <v>0.51</v>
      </c>
      <c r="F588" s="2">
        <v>0.98</v>
      </c>
      <c r="G588" s="7">
        <v>0.21</v>
      </c>
      <c r="H588" s="9" t="s">
        <v>23</v>
      </c>
      <c r="I588">
        <v>0.41</v>
      </c>
      <c r="J588">
        <v>0.86</v>
      </c>
      <c r="K588">
        <v>0.25</v>
      </c>
      <c r="L588">
        <v>0.98</v>
      </c>
      <c r="M588">
        <v>0.61</v>
      </c>
      <c r="N588">
        <v>0.79</v>
      </c>
      <c r="O588">
        <v>0.09</v>
      </c>
      <c r="P588">
        <v>0.18</v>
      </c>
      <c r="Q588">
        <v>0.76</v>
      </c>
      <c r="R588" s="2">
        <v>0.02</v>
      </c>
      <c r="S588" t="str">
        <f>IF(Table1[[#This Row],[Years_Experience]]&lt;=5,"Early Career",
IF(Table1[[#This Row],[Years_Experience]]&lt;=15,"Mid Career","Senior Level"))</f>
        <v>Senior Level</v>
      </c>
      <c r="T588" t="str">
        <f>IF(Table1[[#This Row],[AI_Exposure_Index]]&gt;=0.7,"High Exposure", IF(Table1[[#This Row],[AI_Exposure_Index]]&gt;=0.3,"Medium Exposure","Low Exposure"))</f>
        <v>High Exposure</v>
      </c>
    </row>
    <row r="589" spans="1:20" x14ac:dyDescent="0.25">
      <c r="A589" t="s">
        <v>18</v>
      </c>
      <c r="B589">
        <v>90011</v>
      </c>
      <c r="C589" s="1">
        <v>18</v>
      </c>
      <c r="D589" t="s">
        <v>25</v>
      </c>
      <c r="E589" s="7">
        <v>1.1599999999999999</v>
      </c>
      <c r="F589" s="2">
        <v>0.01</v>
      </c>
      <c r="G589" s="7">
        <v>0.79</v>
      </c>
      <c r="H589" s="9" t="s">
        <v>20</v>
      </c>
      <c r="I589">
        <v>0.61</v>
      </c>
      <c r="J589">
        <v>0.7</v>
      </c>
      <c r="K589">
        <v>0.34</v>
      </c>
      <c r="L589">
        <v>0.11</v>
      </c>
      <c r="M589">
        <v>7.0000000000000007E-2</v>
      </c>
      <c r="N589">
        <v>0.59</v>
      </c>
      <c r="O589">
        <v>0.52</v>
      </c>
      <c r="P589">
        <v>0.74</v>
      </c>
      <c r="Q589">
        <v>0.51</v>
      </c>
      <c r="R589" s="2">
        <v>0.42</v>
      </c>
      <c r="S589" t="str">
        <f>IF(Table1[[#This Row],[Years_Experience]]&lt;=5,"Early Career",
IF(Table1[[#This Row],[Years_Experience]]&lt;=15,"Mid Career","Senior Level"))</f>
        <v>Senior Level</v>
      </c>
      <c r="T589" t="str">
        <f>IF(Table1[[#This Row],[AI_Exposure_Index]]&gt;=0.7,"High Exposure", IF(Table1[[#This Row],[AI_Exposure_Index]]&gt;=0.3,"Medium Exposure","Low Exposure"))</f>
        <v>Low Exposure</v>
      </c>
    </row>
    <row r="590" spans="1:20" x14ac:dyDescent="0.25">
      <c r="A590" t="s">
        <v>26</v>
      </c>
      <c r="B590">
        <v>98232</v>
      </c>
      <c r="C590" s="1">
        <v>12</v>
      </c>
      <c r="D590" t="s">
        <v>22</v>
      </c>
      <c r="E590" s="7">
        <v>0.84</v>
      </c>
      <c r="F590" s="2">
        <v>0.03</v>
      </c>
      <c r="G590" s="7">
        <v>0.69</v>
      </c>
      <c r="H590" s="9" t="s">
        <v>27</v>
      </c>
      <c r="I590">
        <v>0.87</v>
      </c>
      <c r="J590">
        <v>0.33</v>
      </c>
      <c r="K590">
        <v>0.59</v>
      </c>
      <c r="L590">
        <v>0.85</v>
      </c>
      <c r="M590">
        <v>0.44</v>
      </c>
      <c r="N590">
        <v>0.02</v>
      </c>
      <c r="O590">
        <v>7.0000000000000007E-2</v>
      </c>
      <c r="P590">
        <v>0.51</v>
      </c>
      <c r="Q590">
        <v>0.97</v>
      </c>
      <c r="R590" s="2">
        <v>0.69</v>
      </c>
      <c r="S590" t="str">
        <f>IF(Table1[[#This Row],[Years_Experience]]&lt;=5,"Early Career",
IF(Table1[[#This Row],[Years_Experience]]&lt;=15,"Mid Career","Senior Level"))</f>
        <v>Mid Career</v>
      </c>
      <c r="T590" t="str">
        <f>IF(Table1[[#This Row],[AI_Exposure_Index]]&gt;=0.7,"High Exposure", IF(Table1[[#This Row],[AI_Exposure_Index]]&gt;=0.3,"Medium Exposure","Low Exposure"))</f>
        <v>Low Exposure</v>
      </c>
    </row>
    <row r="591" spans="1:20" x14ac:dyDescent="0.25">
      <c r="A591" t="s">
        <v>42</v>
      </c>
      <c r="B591">
        <v>132491</v>
      </c>
      <c r="C591" s="1">
        <v>23</v>
      </c>
      <c r="D591" t="s">
        <v>19</v>
      </c>
      <c r="E591" s="7">
        <v>1.27</v>
      </c>
      <c r="F591" s="2">
        <v>0.19</v>
      </c>
      <c r="G591" s="7">
        <v>0.64</v>
      </c>
      <c r="H591" s="9" t="s">
        <v>27</v>
      </c>
      <c r="I591">
        <v>0.62</v>
      </c>
      <c r="J591">
        <v>0.64</v>
      </c>
      <c r="K591">
        <v>0.03</v>
      </c>
      <c r="L591">
        <v>0.83</v>
      </c>
      <c r="M591">
        <v>0.79</v>
      </c>
      <c r="N591">
        <v>0.26</v>
      </c>
      <c r="O591">
        <v>0.71</v>
      </c>
      <c r="P591">
        <v>0.21</v>
      </c>
      <c r="Q591">
        <v>0.04</v>
      </c>
      <c r="R591" s="2">
        <v>0.2</v>
      </c>
      <c r="S591" t="str">
        <f>IF(Table1[[#This Row],[Years_Experience]]&lt;=5,"Early Career",
IF(Table1[[#This Row],[Years_Experience]]&lt;=15,"Mid Career","Senior Level"))</f>
        <v>Senior Level</v>
      </c>
      <c r="T591" t="str">
        <f>IF(Table1[[#This Row],[AI_Exposure_Index]]&gt;=0.7,"High Exposure", IF(Table1[[#This Row],[AI_Exposure_Index]]&gt;=0.3,"Medium Exposure","Low Exposure"))</f>
        <v>Low Exposure</v>
      </c>
    </row>
    <row r="592" spans="1:20" x14ac:dyDescent="0.25">
      <c r="A592" t="s">
        <v>36</v>
      </c>
      <c r="B592">
        <v>70741</v>
      </c>
      <c r="C592" s="1">
        <v>18</v>
      </c>
      <c r="D592" t="s">
        <v>25</v>
      </c>
      <c r="E592" s="7">
        <v>0.92</v>
      </c>
      <c r="F592" s="2">
        <v>0.34</v>
      </c>
      <c r="G592" s="7">
        <v>0.5</v>
      </c>
      <c r="H592" s="9" t="s">
        <v>27</v>
      </c>
      <c r="I592">
        <v>0.48</v>
      </c>
      <c r="J592">
        <v>0.27</v>
      </c>
      <c r="K592">
        <v>0.03</v>
      </c>
      <c r="L592">
        <v>0.61</v>
      </c>
      <c r="M592">
        <v>0.4</v>
      </c>
      <c r="N592">
        <v>0.3</v>
      </c>
      <c r="O592">
        <v>0.87</v>
      </c>
      <c r="P592">
        <v>0.75</v>
      </c>
      <c r="Q592">
        <v>0.86</v>
      </c>
      <c r="R592" s="2">
        <v>0.49</v>
      </c>
      <c r="S592" t="str">
        <f>IF(Table1[[#This Row],[Years_Experience]]&lt;=5,"Early Career",
IF(Table1[[#This Row],[Years_Experience]]&lt;=15,"Mid Career","Senior Level"))</f>
        <v>Senior Level</v>
      </c>
      <c r="T592" t="str">
        <f>IF(Table1[[#This Row],[AI_Exposure_Index]]&gt;=0.7,"High Exposure", IF(Table1[[#This Row],[AI_Exposure_Index]]&gt;=0.3,"Medium Exposure","Low Exposure"))</f>
        <v>Medium Exposure</v>
      </c>
    </row>
    <row r="593" spans="1:20" x14ac:dyDescent="0.25">
      <c r="A593" t="s">
        <v>41</v>
      </c>
      <c r="B593">
        <v>76566</v>
      </c>
      <c r="C593" s="1">
        <v>24</v>
      </c>
      <c r="D593" t="s">
        <v>25</v>
      </c>
      <c r="E593" s="7">
        <v>0.71</v>
      </c>
      <c r="F593" s="2">
        <v>0.7</v>
      </c>
      <c r="G593" s="7">
        <v>0.81</v>
      </c>
      <c r="H593" s="9" t="s">
        <v>20</v>
      </c>
      <c r="I593">
        <v>7.0000000000000007E-2</v>
      </c>
      <c r="J593">
        <v>0.83</v>
      </c>
      <c r="K593">
        <v>0.13</v>
      </c>
      <c r="L593">
        <v>0.9</v>
      </c>
      <c r="M593">
        <v>0.86</v>
      </c>
      <c r="N593">
        <v>0.46</v>
      </c>
      <c r="O593">
        <v>0.74</v>
      </c>
      <c r="P593">
        <v>0.62</v>
      </c>
      <c r="Q593">
        <v>0.8</v>
      </c>
      <c r="R593" s="2">
        <v>0.43</v>
      </c>
      <c r="S593" t="str">
        <f>IF(Table1[[#This Row],[Years_Experience]]&lt;=5,"Early Career",
IF(Table1[[#This Row],[Years_Experience]]&lt;=15,"Mid Career","Senior Level"))</f>
        <v>Senior Level</v>
      </c>
      <c r="T593" t="str">
        <f>IF(Table1[[#This Row],[AI_Exposure_Index]]&gt;=0.7,"High Exposure", IF(Table1[[#This Row],[AI_Exposure_Index]]&gt;=0.3,"Medium Exposure","Low Exposure"))</f>
        <v>High Exposure</v>
      </c>
    </row>
    <row r="594" spans="1:20" x14ac:dyDescent="0.25">
      <c r="A594" t="s">
        <v>29</v>
      </c>
      <c r="B594">
        <v>78817</v>
      </c>
      <c r="C594" s="1">
        <v>28</v>
      </c>
      <c r="D594" t="s">
        <v>25</v>
      </c>
      <c r="E594" s="7">
        <v>1.44</v>
      </c>
      <c r="F594" s="2">
        <v>0.46</v>
      </c>
      <c r="G594" s="7">
        <v>0.17</v>
      </c>
      <c r="H594" s="9" t="s">
        <v>23</v>
      </c>
      <c r="I594">
        <v>0.46</v>
      </c>
      <c r="J594">
        <v>0.79</v>
      </c>
      <c r="K594">
        <v>0.82</v>
      </c>
      <c r="L594">
        <v>0.55000000000000004</v>
      </c>
      <c r="M594">
        <v>0.18</v>
      </c>
      <c r="N594">
        <v>0.47</v>
      </c>
      <c r="O594">
        <v>0.97</v>
      </c>
      <c r="P594">
        <v>0.75</v>
      </c>
      <c r="Q594">
        <v>0.81</v>
      </c>
      <c r="R594" s="2">
        <v>0.03</v>
      </c>
      <c r="S594" t="str">
        <f>IF(Table1[[#This Row],[Years_Experience]]&lt;=5,"Early Career",
IF(Table1[[#This Row],[Years_Experience]]&lt;=15,"Mid Career","Senior Level"))</f>
        <v>Senior Level</v>
      </c>
      <c r="T594" t="str">
        <f>IF(Table1[[#This Row],[AI_Exposure_Index]]&gt;=0.7,"High Exposure", IF(Table1[[#This Row],[AI_Exposure_Index]]&gt;=0.3,"Medium Exposure","Low Exposure"))</f>
        <v>Medium Exposure</v>
      </c>
    </row>
    <row r="595" spans="1:20" x14ac:dyDescent="0.25">
      <c r="A595" t="s">
        <v>26</v>
      </c>
      <c r="B595">
        <v>137334</v>
      </c>
      <c r="C595" s="1">
        <v>1</v>
      </c>
      <c r="D595" t="s">
        <v>19</v>
      </c>
      <c r="E595" s="7">
        <v>1.33</v>
      </c>
      <c r="F595" s="2">
        <v>0.65</v>
      </c>
      <c r="G595" s="7">
        <v>0.32</v>
      </c>
      <c r="H595" s="9" t="s">
        <v>27</v>
      </c>
      <c r="I595">
        <v>0.85</v>
      </c>
      <c r="J595">
        <v>0.55000000000000004</v>
      </c>
      <c r="K595">
        <v>0.2</v>
      </c>
      <c r="L595">
        <v>0.32</v>
      </c>
      <c r="M595">
        <v>0.28000000000000003</v>
      </c>
      <c r="N595">
        <v>0.53</v>
      </c>
      <c r="O595">
        <v>0.05</v>
      </c>
      <c r="P595">
        <v>0.16</v>
      </c>
      <c r="Q595">
        <v>0.81</v>
      </c>
      <c r="R595" s="2">
        <v>0.13</v>
      </c>
      <c r="S595" t="str">
        <f>IF(Table1[[#This Row],[Years_Experience]]&lt;=5,"Early Career",
IF(Table1[[#This Row],[Years_Experience]]&lt;=15,"Mid Career","Senior Level"))</f>
        <v>Early Career</v>
      </c>
      <c r="T595" t="str">
        <f>IF(Table1[[#This Row],[AI_Exposure_Index]]&gt;=0.7,"High Exposure", IF(Table1[[#This Row],[AI_Exposure_Index]]&gt;=0.3,"Medium Exposure","Low Exposure"))</f>
        <v>Medium Exposure</v>
      </c>
    </row>
    <row r="596" spans="1:20" x14ac:dyDescent="0.25">
      <c r="A596" t="s">
        <v>28</v>
      </c>
      <c r="B596">
        <v>30591</v>
      </c>
      <c r="C596" s="1">
        <v>5</v>
      </c>
      <c r="D596" t="s">
        <v>19</v>
      </c>
      <c r="E596" s="7">
        <v>1.2</v>
      </c>
      <c r="F596" s="2">
        <v>0.63</v>
      </c>
      <c r="G596" s="7">
        <v>0.56000000000000005</v>
      </c>
      <c r="H596" s="9" t="s">
        <v>27</v>
      </c>
      <c r="I596">
        <v>0.97</v>
      </c>
      <c r="J596">
        <v>0.86</v>
      </c>
      <c r="K596">
        <v>0.45</v>
      </c>
      <c r="L596">
        <v>0.06</v>
      </c>
      <c r="M596">
        <v>0.48</v>
      </c>
      <c r="N596">
        <v>0.69</v>
      </c>
      <c r="O596">
        <v>0.61</v>
      </c>
      <c r="P596">
        <v>0.54</v>
      </c>
      <c r="Q596">
        <v>0.47</v>
      </c>
      <c r="R596" s="2">
        <v>0.28999999999999998</v>
      </c>
      <c r="S596" t="str">
        <f>IF(Table1[[#This Row],[Years_Experience]]&lt;=5,"Early Career",
IF(Table1[[#This Row],[Years_Experience]]&lt;=15,"Mid Career","Senior Level"))</f>
        <v>Early Career</v>
      </c>
      <c r="T596" t="str">
        <f>IF(Table1[[#This Row],[AI_Exposure_Index]]&gt;=0.7,"High Exposure", IF(Table1[[#This Row],[AI_Exposure_Index]]&gt;=0.3,"Medium Exposure","Low Exposure"))</f>
        <v>Medium Exposure</v>
      </c>
    </row>
    <row r="597" spans="1:20" x14ac:dyDescent="0.25">
      <c r="A597" t="s">
        <v>39</v>
      </c>
      <c r="B597">
        <v>42938</v>
      </c>
      <c r="C597" s="1">
        <v>26</v>
      </c>
      <c r="D597" t="s">
        <v>38</v>
      </c>
      <c r="E597" s="7">
        <v>0.66</v>
      </c>
      <c r="F597" s="2">
        <v>0.5</v>
      </c>
      <c r="G597" s="7">
        <v>0.79</v>
      </c>
      <c r="H597" s="9" t="s">
        <v>20</v>
      </c>
      <c r="I597">
        <v>0.32</v>
      </c>
      <c r="J597">
        <v>0.59</v>
      </c>
      <c r="K597">
        <v>7.0000000000000007E-2</v>
      </c>
      <c r="L597">
        <v>0.83</v>
      </c>
      <c r="M597">
        <v>0.56000000000000005</v>
      </c>
      <c r="N597">
        <v>0.67</v>
      </c>
      <c r="O597">
        <v>0.7</v>
      </c>
      <c r="P597">
        <v>0.28999999999999998</v>
      </c>
      <c r="Q597">
        <v>0.47</v>
      </c>
      <c r="R597" s="2">
        <v>0.96</v>
      </c>
      <c r="S597" t="str">
        <f>IF(Table1[[#This Row],[Years_Experience]]&lt;=5,"Early Career",
IF(Table1[[#This Row],[Years_Experience]]&lt;=15,"Mid Career","Senior Level"))</f>
        <v>Senior Level</v>
      </c>
      <c r="T597" t="str">
        <f>IF(Table1[[#This Row],[AI_Exposure_Index]]&gt;=0.7,"High Exposure", IF(Table1[[#This Row],[AI_Exposure_Index]]&gt;=0.3,"Medium Exposure","Low Exposure"))</f>
        <v>Medium Exposure</v>
      </c>
    </row>
    <row r="598" spans="1:20" x14ac:dyDescent="0.25">
      <c r="A598" t="s">
        <v>24</v>
      </c>
      <c r="B598">
        <v>82076</v>
      </c>
      <c r="C598" s="1">
        <v>5</v>
      </c>
      <c r="D598" t="s">
        <v>19</v>
      </c>
      <c r="E598" s="7">
        <v>1.25</v>
      </c>
      <c r="F598" s="2">
        <v>0.97</v>
      </c>
      <c r="G598" s="7">
        <v>0.74</v>
      </c>
      <c r="H598" s="9" t="s">
        <v>20</v>
      </c>
      <c r="I598">
        <v>0.06</v>
      </c>
      <c r="J598">
        <v>0.57999999999999996</v>
      </c>
      <c r="K598">
        <v>0.36</v>
      </c>
      <c r="L598">
        <v>0.28000000000000003</v>
      </c>
      <c r="M598">
        <v>0.81</v>
      </c>
      <c r="N598">
        <v>0.37</v>
      </c>
      <c r="O598">
        <v>0.32</v>
      </c>
      <c r="P598">
        <v>0.85</v>
      </c>
      <c r="Q598">
        <v>0.85</v>
      </c>
      <c r="R598" s="2">
        <v>0.36</v>
      </c>
      <c r="S598" t="str">
        <f>IF(Table1[[#This Row],[Years_Experience]]&lt;=5,"Early Career",
IF(Table1[[#This Row],[Years_Experience]]&lt;=15,"Mid Career","Senior Level"))</f>
        <v>Early Career</v>
      </c>
      <c r="T598" t="str">
        <f>IF(Table1[[#This Row],[AI_Exposure_Index]]&gt;=0.7,"High Exposure", IF(Table1[[#This Row],[AI_Exposure_Index]]&gt;=0.3,"Medium Exposure","Low Exposure"))</f>
        <v>High Exposure</v>
      </c>
    </row>
    <row r="599" spans="1:20" x14ac:dyDescent="0.25">
      <c r="A599" t="s">
        <v>43</v>
      </c>
      <c r="B599">
        <v>71628</v>
      </c>
      <c r="C599" s="1">
        <v>19</v>
      </c>
      <c r="D599" t="s">
        <v>22</v>
      </c>
      <c r="E599" s="7">
        <v>0.92</v>
      </c>
      <c r="F599" s="2">
        <v>0.85</v>
      </c>
      <c r="G599" s="7">
        <v>7.0000000000000007E-2</v>
      </c>
      <c r="H599" s="9" t="s">
        <v>23</v>
      </c>
      <c r="I599">
        <v>0</v>
      </c>
      <c r="J599">
        <v>0.52</v>
      </c>
      <c r="K599">
        <v>0.34</v>
      </c>
      <c r="L599">
        <v>1</v>
      </c>
      <c r="M599">
        <v>0.77</v>
      </c>
      <c r="N599">
        <v>0.76</v>
      </c>
      <c r="O599">
        <v>0.96</v>
      </c>
      <c r="P599">
        <v>0.89</v>
      </c>
      <c r="Q599">
        <v>0.32</v>
      </c>
      <c r="R599" s="2">
        <v>0.17</v>
      </c>
      <c r="S599" t="str">
        <f>IF(Table1[[#This Row],[Years_Experience]]&lt;=5,"Early Career",
IF(Table1[[#This Row],[Years_Experience]]&lt;=15,"Mid Career","Senior Level"))</f>
        <v>Senior Level</v>
      </c>
      <c r="T599" t="str">
        <f>IF(Table1[[#This Row],[AI_Exposure_Index]]&gt;=0.7,"High Exposure", IF(Table1[[#This Row],[AI_Exposure_Index]]&gt;=0.3,"Medium Exposure","Low Exposure"))</f>
        <v>High Exposure</v>
      </c>
    </row>
    <row r="600" spans="1:20" x14ac:dyDescent="0.25">
      <c r="A600" t="s">
        <v>41</v>
      </c>
      <c r="B600">
        <v>82136</v>
      </c>
      <c r="C600" s="1">
        <v>2</v>
      </c>
      <c r="D600" t="s">
        <v>19</v>
      </c>
      <c r="E600" s="7">
        <v>0.97</v>
      </c>
      <c r="F600" s="2">
        <v>0.38</v>
      </c>
      <c r="G600" s="7">
        <v>0.86</v>
      </c>
      <c r="H600" s="9" t="s">
        <v>20</v>
      </c>
      <c r="I600">
        <v>0.91</v>
      </c>
      <c r="J600">
        <v>0.42</v>
      </c>
      <c r="K600">
        <v>0.78</v>
      </c>
      <c r="L600">
        <v>0.27</v>
      </c>
      <c r="M600">
        <v>0.7</v>
      </c>
      <c r="N600">
        <v>0</v>
      </c>
      <c r="O600">
        <v>0.87</v>
      </c>
      <c r="P600">
        <v>0.03</v>
      </c>
      <c r="Q600">
        <v>0.71</v>
      </c>
      <c r="R600" s="2">
        <v>0.05</v>
      </c>
      <c r="S600" t="str">
        <f>IF(Table1[[#This Row],[Years_Experience]]&lt;=5,"Early Career",
IF(Table1[[#This Row],[Years_Experience]]&lt;=15,"Mid Career","Senior Level"))</f>
        <v>Early Career</v>
      </c>
      <c r="T600" t="str">
        <f>IF(Table1[[#This Row],[AI_Exposure_Index]]&gt;=0.7,"High Exposure", IF(Table1[[#This Row],[AI_Exposure_Index]]&gt;=0.3,"Medium Exposure","Low Exposure"))</f>
        <v>Medium Exposure</v>
      </c>
    </row>
    <row r="601" spans="1:20" x14ac:dyDescent="0.25">
      <c r="A601" t="s">
        <v>44</v>
      </c>
      <c r="B601">
        <v>74440</v>
      </c>
      <c r="C601" s="1">
        <v>7</v>
      </c>
      <c r="D601" t="s">
        <v>22</v>
      </c>
      <c r="E601" s="7">
        <v>0.92</v>
      </c>
      <c r="F601" s="2">
        <v>0.5</v>
      </c>
      <c r="G601" s="7">
        <v>0.38</v>
      </c>
      <c r="H601" s="9" t="s">
        <v>27</v>
      </c>
      <c r="I601">
        <v>0.33</v>
      </c>
      <c r="J601">
        <v>0.73</v>
      </c>
      <c r="K601">
        <v>0.67</v>
      </c>
      <c r="L601">
        <v>7.0000000000000007E-2</v>
      </c>
      <c r="M601">
        <v>0.75</v>
      </c>
      <c r="N601">
        <v>0.05</v>
      </c>
      <c r="O601">
        <v>0.54</v>
      </c>
      <c r="P601">
        <v>0.26</v>
      </c>
      <c r="Q601">
        <v>0.59</v>
      </c>
      <c r="R601" s="2">
        <v>0.26</v>
      </c>
      <c r="S601" t="str">
        <f>IF(Table1[[#This Row],[Years_Experience]]&lt;=5,"Early Career",
IF(Table1[[#This Row],[Years_Experience]]&lt;=15,"Mid Career","Senior Level"))</f>
        <v>Mid Career</v>
      </c>
      <c r="T601" t="str">
        <f>IF(Table1[[#This Row],[AI_Exposure_Index]]&gt;=0.7,"High Exposure", IF(Table1[[#This Row],[AI_Exposure_Index]]&gt;=0.3,"Medium Exposure","Low Exposure"))</f>
        <v>Medium Exposure</v>
      </c>
    </row>
    <row r="602" spans="1:20" x14ac:dyDescent="0.25">
      <c r="A602" t="s">
        <v>40</v>
      </c>
      <c r="B602">
        <v>43453</v>
      </c>
      <c r="C602" s="1">
        <v>7</v>
      </c>
      <c r="D602" t="s">
        <v>22</v>
      </c>
      <c r="E602" s="7">
        <v>0.74</v>
      </c>
      <c r="F602" s="2">
        <v>0.31</v>
      </c>
      <c r="G602" s="7">
        <v>0.12</v>
      </c>
      <c r="H602" s="9" t="s">
        <v>23</v>
      </c>
      <c r="I602">
        <v>0.9</v>
      </c>
      <c r="J602">
        <v>0.64</v>
      </c>
      <c r="K602">
        <v>0.73</v>
      </c>
      <c r="L602">
        <v>0.92</v>
      </c>
      <c r="M602">
        <v>0.91</v>
      </c>
      <c r="N602">
        <v>0.74</v>
      </c>
      <c r="O602">
        <v>0.2</v>
      </c>
      <c r="P602">
        <v>0.84</v>
      </c>
      <c r="Q602">
        <v>0.2</v>
      </c>
      <c r="R602" s="2">
        <v>0.74</v>
      </c>
      <c r="S602" t="str">
        <f>IF(Table1[[#This Row],[Years_Experience]]&lt;=5,"Early Career",
IF(Table1[[#This Row],[Years_Experience]]&lt;=15,"Mid Career","Senior Level"))</f>
        <v>Mid Career</v>
      </c>
      <c r="T602" t="str">
        <f>IF(Table1[[#This Row],[AI_Exposure_Index]]&gt;=0.7,"High Exposure", IF(Table1[[#This Row],[AI_Exposure_Index]]&gt;=0.3,"Medium Exposure","Low Exposure"))</f>
        <v>Medium Exposure</v>
      </c>
    </row>
    <row r="603" spans="1:20" x14ac:dyDescent="0.25">
      <c r="A603" t="s">
        <v>42</v>
      </c>
      <c r="B603">
        <v>140252</v>
      </c>
      <c r="C603" s="1">
        <v>7</v>
      </c>
      <c r="D603" t="s">
        <v>19</v>
      </c>
      <c r="E603" s="7">
        <v>1.3</v>
      </c>
      <c r="F603" s="2">
        <v>0.27</v>
      </c>
      <c r="G603" s="7">
        <v>0.7</v>
      </c>
      <c r="H603" s="9" t="s">
        <v>27</v>
      </c>
      <c r="I603">
        <v>0.25</v>
      </c>
      <c r="J603">
        <v>0.44</v>
      </c>
      <c r="K603">
        <v>0.52</v>
      </c>
      <c r="L603">
        <v>0.28999999999999998</v>
      </c>
      <c r="M603">
        <v>0.02</v>
      </c>
      <c r="N603">
        <v>0.22</v>
      </c>
      <c r="O603">
        <v>0.28000000000000003</v>
      </c>
      <c r="P603">
        <v>0.44</v>
      </c>
      <c r="Q603">
        <v>0.17</v>
      </c>
      <c r="R603" s="2">
        <v>0.87</v>
      </c>
      <c r="S603" t="str">
        <f>IF(Table1[[#This Row],[Years_Experience]]&lt;=5,"Early Career",
IF(Table1[[#This Row],[Years_Experience]]&lt;=15,"Mid Career","Senior Level"))</f>
        <v>Mid Career</v>
      </c>
      <c r="T603" t="str">
        <f>IF(Table1[[#This Row],[AI_Exposure_Index]]&gt;=0.7,"High Exposure", IF(Table1[[#This Row],[AI_Exposure_Index]]&gt;=0.3,"Medium Exposure","Low Exposure"))</f>
        <v>Low Exposure</v>
      </c>
    </row>
    <row r="604" spans="1:20" x14ac:dyDescent="0.25">
      <c r="A604" t="s">
        <v>28</v>
      </c>
      <c r="B604">
        <v>99212</v>
      </c>
      <c r="C604" s="1">
        <v>29</v>
      </c>
      <c r="D604" t="s">
        <v>25</v>
      </c>
      <c r="E604" s="7">
        <v>1.1499999999999999</v>
      </c>
      <c r="F604" s="2">
        <v>0.09</v>
      </c>
      <c r="G604" s="7">
        <v>0.56000000000000005</v>
      </c>
      <c r="H604" s="9" t="s">
        <v>27</v>
      </c>
      <c r="I604">
        <v>0.96</v>
      </c>
      <c r="J604">
        <v>0</v>
      </c>
      <c r="K604">
        <v>0.25</v>
      </c>
      <c r="L604">
        <v>0.93</v>
      </c>
      <c r="M604">
        <v>0.93</v>
      </c>
      <c r="N604">
        <v>0.72</v>
      </c>
      <c r="O604">
        <v>0.77</v>
      </c>
      <c r="P604">
        <v>0.09</v>
      </c>
      <c r="Q604">
        <v>0.51</v>
      </c>
      <c r="R604" s="2">
        <v>0.23</v>
      </c>
      <c r="S604" t="str">
        <f>IF(Table1[[#This Row],[Years_Experience]]&lt;=5,"Early Career",
IF(Table1[[#This Row],[Years_Experience]]&lt;=15,"Mid Career","Senior Level"))</f>
        <v>Senior Level</v>
      </c>
      <c r="T604" t="str">
        <f>IF(Table1[[#This Row],[AI_Exposure_Index]]&gt;=0.7,"High Exposure", IF(Table1[[#This Row],[AI_Exposure_Index]]&gt;=0.3,"Medium Exposure","Low Exposure"))</f>
        <v>Low Exposure</v>
      </c>
    </row>
    <row r="605" spans="1:20" x14ac:dyDescent="0.25">
      <c r="A605" t="s">
        <v>37</v>
      </c>
      <c r="B605">
        <v>50043</v>
      </c>
      <c r="C605" s="1">
        <v>3</v>
      </c>
      <c r="D605" t="s">
        <v>19</v>
      </c>
      <c r="E605" s="7">
        <v>0.64</v>
      </c>
      <c r="F605" s="2">
        <v>0.81</v>
      </c>
      <c r="G605" s="7">
        <v>0.49</v>
      </c>
      <c r="H605" s="9" t="s">
        <v>27</v>
      </c>
      <c r="I605">
        <v>0.94</v>
      </c>
      <c r="J605">
        <v>0.19</v>
      </c>
      <c r="K605">
        <v>0.98</v>
      </c>
      <c r="L605">
        <v>0.99</v>
      </c>
      <c r="M605">
        <v>0.56000000000000005</v>
      </c>
      <c r="N605">
        <v>0.17</v>
      </c>
      <c r="O605">
        <v>0.32</v>
      </c>
      <c r="P605">
        <v>0.42</v>
      </c>
      <c r="Q605">
        <v>0.31</v>
      </c>
      <c r="R605" s="2">
        <v>0.28000000000000003</v>
      </c>
      <c r="S605" t="str">
        <f>IF(Table1[[#This Row],[Years_Experience]]&lt;=5,"Early Career",
IF(Table1[[#This Row],[Years_Experience]]&lt;=15,"Mid Career","Senior Level"))</f>
        <v>Early Career</v>
      </c>
      <c r="T605" t="str">
        <f>IF(Table1[[#This Row],[AI_Exposure_Index]]&gt;=0.7,"High Exposure", IF(Table1[[#This Row],[AI_Exposure_Index]]&gt;=0.3,"Medium Exposure","Low Exposure"))</f>
        <v>High Exposure</v>
      </c>
    </row>
    <row r="606" spans="1:20" x14ac:dyDescent="0.25">
      <c r="A606" t="s">
        <v>28</v>
      </c>
      <c r="B606">
        <v>33017</v>
      </c>
      <c r="C606" s="1">
        <v>21</v>
      </c>
      <c r="D606" t="s">
        <v>19</v>
      </c>
      <c r="E606" s="7">
        <v>1.23</v>
      </c>
      <c r="F606" s="2">
        <v>0.15</v>
      </c>
      <c r="G606" s="7">
        <v>0.3</v>
      </c>
      <c r="H606" s="9" t="s">
        <v>23</v>
      </c>
      <c r="I606">
        <v>0.6</v>
      </c>
      <c r="J606">
        <v>0.92</v>
      </c>
      <c r="K606">
        <v>0.28999999999999998</v>
      </c>
      <c r="L606">
        <v>0.19</v>
      </c>
      <c r="M606">
        <v>0.65</v>
      </c>
      <c r="N606">
        <v>0.71</v>
      </c>
      <c r="O606">
        <v>0.69</v>
      </c>
      <c r="P606">
        <v>0.32</v>
      </c>
      <c r="Q606">
        <v>0.25</v>
      </c>
      <c r="R606" s="2">
        <v>0.96</v>
      </c>
      <c r="S606" t="str">
        <f>IF(Table1[[#This Row],[Years_Experience]]&lt;=5,"Early Career",
IF(Table1[[#This Row],[Years_Experience]]&lt;=15,"Mid Career","Senior Level"))</f>
        <v>Senior Level</v>
      </c>
      <c r="T606" t="str">
        <f>IF(Table1[[#This Row],[AI_Exposure_Index]]&gt;=0.7,"High Exposure", IF(Table1[[#This Row],[AI_Exposure_Index]]&gt;=0.3,"Medium Exposure","Low Exposure"))</f>
        <v>Low Exposure</v>
      </c>
    </row>
    <row r="607" spans="1:20" x14ac:dyDescent="0.25">
      <c r="A607" t="s">
        <v>31</v>
      </c>
      <c r="B607">
        <v>118913</v>
      </c>
      <c r="C607" s="1">
        <v>2</v>
      </c>
      <c r="D607" t="s">
        <v>19</v>
      </c>
      <c r="E607" s="7">
        <v>1.35</v>
      </c>
      <c r="F607" s="2">
        <v>0.46</v>
      </c>
      <c r="G607" s="7">
        <v>0.16</v>
      </c>
      <c r="H607" s="9" t="s">
        <v>23</v>
      </c>
      <c r="I607">
        <v>0.42</v>
      </c>
      <c r="J607">
        <v>0.16</v>
      </c>
      <c r="K607">
        <v>0.43</v>
      </c>
      <c r="L607">
        <v>0.54</v>
      </c>
      <c r="M607">
        <v>0.02</v>
      </c>
      <c r="N607">
        <v>0.44</v>
      </c>
      <c r="O607">
        <v>0.78</v>
      </c>
      <c r="P607">
        <v>0.68</v>
      </c>
      <c r="Q607">
        <v>0.64</v>
      </c>
      <c r="R607" s="2">
        <v>0.91</v>
      </c>
      <c r="S607" t="str">
        <f>IF(Table1[[#This Row],[Years_Experience]]&lt;=5,"Early Career",
IF(Table1[[#This Row],[Years_Experience]]&lt;=15,"Mid Career","Senior Level"))</f>
        <v>Early Career</v>
      </c>
      <c r="T607" t="str">
        <f>IF(Table1[[#This Row],[AI_Exposure_Index]]&gt;=0.7,"High Exposure", IF(Table1[[#This Row],[AI_Exposure_Index]]&gt;=0.3,"Medium Exposure","Low Exposure"))</f>
        <v>Medium Exposure</v>
      </c>
    </row>
    <row r="608" spans="1:20" x14ac:dyDescent="0.25">
      <c r="A608" t="s">
        <v>33</v>
      </c>
      <c r="B608">
        <v>144420</v>
      </c>
      <c r="C608" s="1">
        <v>2</v>
      </c>
      <c r="D608" t="s">
        <v>19</v>
      </c>
      <c r="E608" s="7">
        <v>1.29</v>
      </c>
      <c r="F608" s="2">
        <v>0.56000000000000005</v>
      </c>
      <c r="G608" s="7">
        <v>0.84</v>
      </c>
      <c r="H608" s="9" t="s">
        <v>20</v>
      </c>
      <c r="I608">
        <v>0.32</v>
      </c>
      <c r="J608">
        <v>0.14000000000000001</v>
      </c>
      <c r="K608">
        <v>0.89</v>
      </c>
      <c r="L608">
        <v>0.47</v>
      </c>
      <c r="M608">
        <v>0.88</v>
      </c>
      <c r="N608">
        <v>0.59</v>
      </c>
      <c r="O608">
        <v>0.67</v>
      </c>
      <c r="P608">
        <v>0.8</v>
      </c>
      <c r="Q608">
        <v>0.66</v>
      </c>
      <c r="R608" s="2">
        <v>0.4</v>
      </c>
      <c r="S608" t="str">
        <f>IF(Table1[[#This Row],[Years_Experience]]&lt;=5,"Early Career",
IF(Table1[[#This Row],[Years_Experience]]&lt;=15,"Mid Career","Senior Level"))</f>
        <v>Early Career</v>
      </c>
      <c r="T608" t="str">
        <f>IF(Table1[[#This Row],[AI_Exposure_Index]]&gt;=0.7,"High Exposure", IF(Table1[[#This Row],[AI_Exposure_Index]]&gt;=0.3,"Medium Exposure","Low Exposure"))</f>
        <v>Medium Exposure</v>
      </c>
    </row>
    <row r="609" spans="1:20" x14ac:dyDescent="0.25">
      <c r="A609" t="s">
        <v>33</v>
      </c>
      <c r="B609">
        <v>126805</v>
      </c>
      <c r="C609" s="1">
        <v>15</v>
      </c>
      <c r="D609" t="s">
        <v>38</v>
      </c>
      <c r="E609" s="7">
        <v>0.87</v>
      </c>
      <c r="F609" s="2">
        <v>0.8</v>
      </c>
      <c r="G609" s="7">
        <v>0.8</v>
      </c>
      <c r="H609" s="9" t="s">
        <v>20</v>
      </c>
      <c r="I609">
        <v>0.1</v>
      </c>
      <c r="J609">
        <v>0.91</v>
      </c>
      <c r="K609">
        <v>0.09</v>
      </c>
      <c r="L609">
        <v>0.65</v>
      </c>
      <c r="M609">
        <v>0.41</v>
      </c>
      <c r="N609">
        <v>0.41</v>
      </c>
      <c r="O609">
        <v>0.68</v>
      </c>
      <c r="P609">
        <v>7.0000000000000007E-2</v>
      </c>
      <c r="Q609">
        <v>0.59</v>
      </c>
      <c r="R609" s="2">
        <v>0.77</v>
      </c>
      <c r="S609" t="str">
        <f>IF(Table1[[#This Row],[Years_Experience]]&lt;=5,"Early Career",
IF(Table1[[#This Row],[Years_Experience]]&lt;=15,"Mid Career","Senior Level"))</f>
        <v>Mid Career</v>
      </c>
      <c r="T609" t="str">
        <f>IF(Table1[[#This Row],[AI_Exposure_Index]]&gt;=0.7,"High Exposure", IF(Table1[[#This Row],[AI_Exposure_Index]]&gt;=0.3,"Medium Exposure","Low Exposure"))</f>
        <v>High Exposure</v>
      </c>
    </row>
    <row r="610" spans="1:20" x14ac:dyDescent="0.25">
      <c r="A610" t="s">
        <v>42</v>
      </c>
      <c r="B610">
        <v>144780</v>
      </c>
      <c r="C610" s="1">
        <v>8</v>
      </c>
      <c r="D610" t="s">
        <v>38</v>
      </c>
      <c r="E610" s="7">
        <v>1.4</v>
      </c>
      <c r="F610" s="2">
        <v>0.17</v>
      </c>
      <c r="G610" s="7">
        <v>0.56000000000000005</v>
      </c>
      <c r="H610" s="9" t="s">
        <v>27</v>
      </c>
      <c r="I610">
        <v>0.88</v>
      </c>
      <c r="J610">
        <v>0.49</v>
      </c>
      <c r="K610">
        <v>0.54</v>
      </c>
      <c r="L610">
        <v>0.92</v>
      </c>
      <c r="M610">
        <v>0.9</v>
      </c>
      <c r="N610">
        <v>0.45</v>
      </c>
      <c r="O610">
        <v>0.27</v>
      </c>
      <c r="P610">
        <v>0.39</v>
      </c>
      <c r="Q610">
        <v>0.39</v>
      </c>
      <c r="R610" s="2">
        <v>0.28999999999999998</v>
      </c>
      <c r="S610" t="str">
        <f>IF(Table1[[#This Row],[Years_Experience]]&lt;=5,"Early Career",
IF(Table1[[#This Row],[Years_Experience]]&lt;=15,"Mid Career","Senior Level"))</f>
        <v>Mid Career</v>
      </c>
      <c r="T610" t="str">
        <f>IF(Table1[[#This Row],[AI_Exposure_Index]]&gt;=0.7,"High Exposure", IF(Table1[[#This Row],[AI_Exposure_Index]]&gt;=0.3,"Medium Exposure","Low Exposure"))</f>
        <v>Low Exposure</v>
      </c>
    </row>
    <row r="611" spans="1:20" x14ac:dyDescent="0.25">
      <c r="A611" t="s">
        <v>42</v>
      </c>
      <c r="B611">
        <v>137009</v>
      </c>
      <c r="C611" s="1">
        <v>13</v>
      </c>
      <c r="D611" t="s">
        <v>38</v>
      </c>
      <c r="E611" s="7">
        <v>0.56999999999999995</v>
      </c>
      <c r="F611" s="2">
        <v>0.86</v>
      </c>
      <c r="G611" s="7">
        <v>0.56999999999999995</v>
      </c>
      <c r="H611" s="9" t="s">
        <v>27</v>
      </c>
      <c r="I611">
        <v>0.17</v>
      </c>
      <c r="J611">
        <v>0.34</v>
      </c>
      <c r="K611">
        <v>0.06</v>
      </c>
      <c r="L611">
        <v>0.27</v>
      </c>
      <c r="M611">
        <v>0.77</v>
      </c>
      <c r="N611">
        <v>0.89</v>
      </c>
      <c r="O611">
        <v>0.22</v>
      </c>
      <c r="P611">
        <v>0.46</v>
      </c>
      <c r="Q611">
        <v>0.47</v>
      </c>
      <c r="R611" s="2">
        <v>0.87</v>
      </c>
      <c r="S611" t="str">
        <f>IF(Table1[[#This Row],[Years_Experience]]&lt;=5,"Early Career",
IF(Table1[[#This Row],[Years_Experience]]&lt;=15,"Mid Career","Senior Level"))</f>
        <v>Mid Career</v>
      </c>
      <c r="T611" t="str">
        <f>IF(Table1[[#This Row],[AI_Exposure_Index]]&gt;=0.7,"High Exposure", IF(Table1[[#This Row],[AI_Exposure_Index]]&gt;=0.3,"Medium Exposure","Low Exposure"))</f>
        <v>High Exposure</v>
      </c>
    </row>
    <row r="612" spans="1:20" x14ac:dyDescent="0.25">
      <c r="A612" t="s">
        <v>29</v>
      </c>
      <c r="B612">
        <v>82328</v>
      </c>
      <c r="C612" s="1">
        <v>8</v>
      </c>
      <c r="D612" t="s">
        <v>38</v>
      </c>
      <c r="E612" s="7">
        <v>1.17</v>
      </c>
      <c r="F612" s="2">
        <v>0.51</v>
      </c>
      <c r="G612" s="7">
        <v>0.26</v>
      </c>
      <c r="H612" s="9" t="s">
        <v>23</v>
      </c>
      <c r="I612">
        <v>0.01</v>
      </c>
      <c r="J612">
        <v>0.4</v>
      </c>
      <c r="K612">
        <v>0.91</v>
      </c>
      <c r="L612">
        <v>0.74</v>
      </c>
      <c r="M612">
        <v>0.54</v>
      </c>
      <c r="N612">
        <v>0.53</v>
      </c>
      <c r="O612">
        <v>0.35</v>
      </c>
      <c r="P612">
        <v>0.52</v>
      </c>
      <c r="Q612">
        <v>0.66</v>
      </c>
      <c r="R612" s="2">
        <v>0.42</v>
      </c>
      <c r="S612" t="str">
        <f>IF(Table1[[#This Row],[Years_Experience]]&lt;=5,"Early Career",
IF(Table1[[#This Row],[Years_Experience]]&lt;=15,"Mid Career","Senior Level"))</f>
        <v>Mid Career</v>
      </c>
      <c r="T612" t="str">
        <f>IF(Table1[[#This Row],[AI_Exposure_Index]]&gt;=0.7,"High Exposure", IF(Table1[[#This Row],[AI_Exposure_Index]]&gt;=0.3,"Medium Exposure","Low Exposure"))</f>
        <v>Medium Exposure</v>
      </c>
    </row>
    <row r="613" spans="1:20" x14ac:dyDescent="0.25">
      <c r="A613" t="s">
        <v>26</v>
      </c>
      <c r="B613">
        <v>78542</v>
      </c>
      <c r="C613" s="1">
        <v>25</v>
      </c>
      <c r="D613" t="s">
        <v>19</v>
      </c>
      <c r="E613" s="7">
        <v>0.65</v>
      </c>
      <c r="F613" s="2">
        <v>0.86</v>
      </c>
      <c r="G613" s="7">
        <v>0.48</v>
      </c>
      <c r="H613" s="9" t="s">
        <v>27</v>
      </c>
      <c r="I613">
        <v>0.41</v>
      </c>
      <c r="J613">
        <v>0.69</v>
      </c>
      <c r="K613">
        <v>0.25</v>
      </c>
      <c r="L613">
        <v>0.64</v>
      </c>
      <c r="M613">
        <v>0.88</v>
      </c>
      <c r="N613">
        <v>0.42</v>
      </c>
      <c r="O613">
        <v>0.91</v>
      </c>
      <c r="P613">
        <v>0.99</v>
      </c>
      <c r="Q613">
        <v>0.11</v>
      </c>
      <c r="R613" s="2">
        <v>0.23</v>
      </c>
      <c r="S613" t="str">
        <f>IF(Table1[[#This Row],[Years_Experience]]&lt;=5,"Early Career",
IF(Table1[[#This Row],[Years_Experience]]&lt;=15,"Mid Career","Senior Level"))</f>
        <v>Senior Level</v>
      </c>
      <c r="T613" t="str">
        <f>IF(Table1[[#This Row],[AI_Exposure_Index]]&gt;=0.7,"High Exposure", IF(Table1[[#This Row],[AI_Exposure_Index]]&gt;=0.3,"Medium Exposure","Low Exposure"))</f>
        <v>High Exposure</v>
      </c>
    </row>
    <row r="614" spans="1:20" x14ac:dyDescent="0.25">
      <c r="A614" t="s">
        <v>34</v>
      </c>
      <c r="B614">
        <v>35703</v>
      </c>
      <c r="C614" s="1">
        <v>5</v>
      </c>
      <c r="D614" t="s">
        <v>22</v>
      </c>
      <c r="E614" s="7">
        <v>0.6</v>
      </c>
      <c r="F614" s="2">
        <v>0.96</v>
      </c>
      <c r="G614" s="7">
        <v>0.31</v>
      </c>
      <c r="H614" s="9" t="s">
        <v>27</v>
      </c>
      <c r="I614">
        <v>0.16</v>
      </c>
      <c r="J614">
        <v>1</v>
      </c>
      <c r="K614">
        <v>0.18</v>
      </c>
      <c r="L614">
        <v>0.5</v>
      </c>
      <c r="M614">
        <v>0.85</v>
      </c>
      <c r="N614">
        <v>0.02</v>
      </c>
      <c r="O614">
        <v>0.6</v>
      </c>
      <c r="P614">
        <v>0.28000000000000003</v>
      </c>
      <c r="Q614">
        <v>0.86</v>
      </c>
      <c r="R614" s="2">
        <v>0.28000000000000003</v>
      </c>
      <c r="S614" t="str">
        <f>IF(Table1[[#This Row],[Years_Experience]]&lt;=5,"Early Career",
IF(Table1[[#This Row],[Years_Experience]]&lt;=15,"Mid Career","Senior Level"))</f>
        <v>Early Career</v>
      </c>
      <c r="T614" t="str">
        <f>IF(Table1[[#This Row],[AI_Exposure_Index]]&gt;=0.7,"High Exposure", IF(Table1[[#This Row],[AI_Exposure_Index]]&gt;=0.3,"Medium Exposure","Low Exposure"))</f>
        <v>High Exposure</v>
      </c>
    </row>
    <row r="615" spans="1:20" x14ac:dyDescent="0.25">
      <c r="A615" t="s">
        <v>36</v>
      </c>
      <c r="B615">
        <v>110146</v>
      </c>
      <c r="C615" s="1">
        <v>21</v>
      </c>
      <c r="D615" t="s">
        <v>22</v>
      </c>
      <c r="E615" s="7">
        <v>0.72</v>
      </c>
      <c r="F615" s="2">
        <v>0.67</v>
      </c>
      <c r="G615" s="7">
        <v>0.31</v>
      </c>
      <c r="H615" s="9" t="s">
        <v>27</v>
      </c>
      <c r="I615">
        <v>0.41</v>
      </c>
      <c r="J615">
        <v>0.28999999999999998</v>
      </c>
      <c r="K615">
        <v>0.81</v>
      </c>
      <c r="L615">
        <v>0.8</v>
      </c>
      <c r="M615">
        <v>0.46</v>
      </c>
      <c r="N615">
        <v>0.61</v>
      </c>
      <c r="O615">
        <v>0.6</v>
      </c>
      <c r="P615">
        <v>0.83</v>
      </c>
      <c r="Q615">
        <v>0.43</v>
      </c>
      <c r="R615" s="2">
        <v>0.28000000000000003</v>
      </c>
      <c r="S615" t="str">
        <f>IF(Table1[[#This Row],[Years_Experience]]&lt;=5,"Early Career",
IF(Table1[[#This Row],[Years_Experience]]&lt;=15,"Mid Career","Senior Level"))</f>
        <v>Senior Level</v>
      </c>
      <c r="T615" t="str">
        <f>IF(Table1[[#This Row],[AI_Exposure_Index]]&gt;=0.7,"High Exposure", IF(Table1[[#This Row],[AI_Exposure_Index]]&gt;=0.3,"Medium Exposure","Low Exposure"))</f>
        <v>Medium Exposure</v>
      </c>
    </row>
    <row r="616" spans="1:20" x14ac:dyDescent="0.25">
      <c r="A616" t="s">
        <v>26</v>
      </c>
      <c r="B616">
        <v>117052</v>
      </c>
      <c r="C616" s="1">
        <v>8</v>
      </c>
      <c r="D616" t="s">
        <v>22</v>
      </c>
      <c r="E616" s="7">
        <v>0.95</v>
      </c>
      <c r="F616" s="2">
        <v>0.54</v>
      </c>
      <c r="G616" s="7">
        <v>0.48</v>
      </c>
      <c r="H616" s="9" t="s">
        <v>27</v>
      </c>
      <c r="I616">
        <v>0.09</v>
      </c>
      <c r="J616">
        <v>0.72</v>
      </c>
      <c r="K616">
        <v>0.21</v>
      </c>
      <c r="L616">
        <v>0.2</v>
      </c>
      <c r="M616">
        <v>0.41</v>
      </c>
      <c r="N616">
        <v>0.23</v>
      </c>
      <c r="O616">
        <v>0.57999999999999996</v>
      </c>
      <c r="P616">
        <v>0.37</v>
      </c>
      <c r="Q616">
        <v>0.45</v>
      </c>
      <c r="R616" s="2">
        <v>0.54</v>
      </c>
      <c r="S616" t="str">
        <f>IF(Table1[[#This Row],[Years_Experience]]&lt;=5,"Early Career",
IF(Table1[[#This Row],[Years_Experience]]&lt;=15,"Mid Career","Senior Level"))</f>
        <v>Mid Career</v>
      </c>
      <c r="T616" t="str">
        <f>IF(Table1[[#This Row],[AI_Exposure_Index]]&gt;=0.7,"High Exposure", IF(Table1[[#This Row],[AI_Exposure_Index]]&gt;=0.3,"Medium Exposure","Low Exposure"))</f>
        <v>Medium Exposure</v>
      </c>
    </row>
    <row r="617" spans="1:20" x14ac:dyDescent="0.25">
      <c r="A617" t="s">
        <v>31</v>
      </c>
      <c r="B617">
        <v>89254</v>
      </c>
      <c r="C617" s="1">
        <v>25</v>
      </c>
      <c r="D617" t="s">
        <v>22</v>
      </c>
      <c r="E617" s="7">
        <v>1.38</v>
      </c>
      <c r="F617" s="2">
        <v>0.16</v>
      </c>
      <c r="G617" s="7">
        <v>0.16</v>
      </c>
      <c r="H617" s="9" t="s">
        <v>23</v>
      </c>
      <c r="I617">
        <v>0.41</v>
      </c>
      <c r="J617">
        <v>0.04</v>
      </c>
      <c r="K617">
        <v>0.5</v>
      </c>
      <c r="L617">
        <v>0.55000000000000004</v>
      </c>
      <c r="M617">
        <v>0.56000000000000005</v>
      </c>
      <c r="N617">
        <v>0.71</v>
      </c>
      <c r="O617">
        <v>0.18</v>
      </c>
      <c r="P617">
        <v>0.25</v>
      </c>
      <c r="Q617">
        <v>0.81</v>
      </c>
      <c r="R617" s="2">
        <v>0.95</v>
      </c>
      <c r="S617" t="str">
        <f>IF(Table1[[#This Row],[Years_Experience]]&lt;=5,"Early Career",
IF(Table1[[#This Row],[Years_Experience]]&lt;=15,"Mid Career","Senior Level"))</f>
        <v>Senior Level</v>
      </c>
      <c r="T617" t="str">
        <f>IF(Table1[[#This Row],[AI_Exposure_Index]]&gt;=0.7,"High Exposure", IF(Table1[[#This Row],[AI_Exposure_Index]]&gt;=0.3,"Medium Exposure","Low Exposure"))</f>
        <v>Low Exposure</v>
      </c>
    </row>
    <row r="618" spans="1:20" x14ac:dyDescent="0.25">
      <c r="A618" t="s">
        <v>30</v>
      </c>
      <c r="B618">
        <v>62009</v>
      </c>
      <c r="C618" s="1">
        <v>14</v>
      </c>
      <c r="D618" t="s">
        <v>22</v>
      </c>
      <c r="E618" s="7">
        <v>0.71</v>
      </c>
      <c r="F618" s="2">
        <v>0.5</v>
      </c>
      <c r="G618" s="7">
        <v>0.32</v>
      </c>
      <c r="H618" s="9" t="s">
        <v>27</v>
      </c>
      <c r="I618">
        <v>0.33</v>
      </c>
      <c r="J618">
        <v>0.14000000000000001</v>
      </c>
      <c r="K618">
        <v>0.71</v>
      </c>
      <c r="L618">
        <v>0.53</v>
      </c>
      <c r="M618">
        <v>0.14000000000000001</v>
      </c>
      <c r="N618">
        <v>0.01</v>
      </c>
      <c r="O618">
        <v>0.81</v>
      </c>
      <c r="P618">
        <v>0.18</v>
      </c>
      <c r="Q618">
        <v>0.61</v>
      </c>
      <c r="R618" s="2">
        <v>0.34</v>
      </c>
      <c r="S618" t="str">
        <f>IF(Table1[[#This Row],[Years_Experience]]&lt;=5,"Early Career",
IF(Table1[[#This Row],[Years_Experience]]&lt;=15,"Mid Career","Senior Level"))</f>
        <v>Mid Career</v>
      </c>
      <c r="T618" t="str">
        <f>IF(Table1[[#This Row],[AI_Exposure_Index]]&gt;=0.7,"High Exposure", IF(Table1[[#This Row],[AI_Exposure_Index]]&gt;=0.3,"Medium Exposure","Low Exposure"))</f>
        <v>Medium Exposure</v>
      </c>
    </row>
    <row r="619" spans="1:20" x14ac:dyDescent="0.25">
      <c r="A619" t="s">
        <v>32</v>
      </c>
      <c r="B619">
        <v>56651</v>
      </c>
      <c r="C619" s="1">
        <v>18</v>
      </c>
      <c r="D619" t="s">
        <v>38</v>
      </c>
      <c r="E619" s="7">
        <v>0.59</v>
      </c>
      <c r="F619" s="2">
        <v>0.32</v>
      </c>
      <c r="G619" s="7">
        <v>0.39</v>
      </c>
      <c r="H619" s="9" t="s">
        <v>27</v>
      </c>
      <c r="I619">
        <v>0.19</v>
      </c>
      <c r="J619">
        <v>0.43</v>
      </c>
      <c r="K619">
        <v>0.66</v>
      </c>
      <c r="L619">
        <v>0.26</v>
      </c>
      <c r="M619">
        <v>0.01</v>
      </c>
      <c r="N619">
        <v>0.52</v>
      </c>
      <c r="O619">
        <v>0.61</v>
      </c>
      <c r="P619">
        <v>0.96</v>
      </c>
      <c r="Q619">
        <v>0.59</v>
      </c>
      <c r="R619" s="2">
        <v>0.47</v>
      </c>
      <c r="S619" t="str">
        <f>IF(Table1[[#This Row],[Years_Experience]]&lt;=5,"Early Career",
IF(Table1[[#This Row],[Years_Experience]]&lt;=15,"Mid Career","Senior Level"))</f>
        <v>Senior Level</v>
      </c>
      <c r="T619" t="str">
        <f>IF(Table1[[#This Row],[AI_Exposure_Index]]&gt;=0.7,"High Exposure", IF(Table1[[#This Row],[AI_Exposure_Index]]&gt;=0.3,"Medium Exposure","Low Exposure"))</f>
        <v>Medium Exposure</v>
      </c>
    </row>
    <row r="620" spans="1:20" x14ac:dyDescent="0.25">
      <c r="A620" t="s">
        <v>37</v>
      </c>
      <c r="B620">
        <v>59410</v>
      </c>
      <c r="C620" s="1">
        <v>16</v>
      </c>
      <c r="D620" t="s">
        <v>22</v>
      </c>
      <c r="E620" s="7">
        <v>1.33</v>
      </c>
      <c r="F620" s="2">
        <v>0.93</v>
      </c>
      <c r="G620" s="7">
        <v>0.43</v>
      </c>
      <c r="H620" s="9" t="s">
        <v>27</v>
      </c>
      <c r="I620">
        <v>0.24</v>
      </c>
      <c r="J620">
        <v>0.26</v>
      </c>
      <c r="K620">
        <v>0.5</v>
      </c>
      <c r="L620">
        <v>0.74</v>
      </c>
      <c r="M620">
        <v>0.5</v>
      </c>
      <c r="N620">
        <v>7.0000000000000007E-2</v>
      </c>
      <c r="O620">
        <v>0.72</v>
      </c>
      <c r="P620">
        <v>0.81</v>
      </c>
      <c r="Q620">
        <v>0.28999999999999998</v>
      </c>
      <c r="R620" s="2">
        <v>0.66</v>
      </c>
      <c r="S620" t="str">
        <f>IF(Table1[[#This Row],[Years_Experience]]&lt;=5,"Early Career",
IF(Table1[[#This Row],[Years_Experience]]&lt;=15,"Mid Career","Senior Level"))</f>
        <v>Senior Level</v>
      </c>
      <c r="T620" t="str">
        <f>IF(Table1[[#This Row],[AI_Exposure_Index]]&gt;=0.7,"High Exposure", IF(Table1[[#This Row],[AI_Exposure_Index]]&gt;=0.3,"Medium Exposure","Low Exposure"))</f>
        <v>High Exposure</v>
      </c>
    </row>
    <row r="621" spans="1:20" x14ac:dyDescent="0.25">
      <c r="A621" t="s">
        <v>43</v>
      </c>
      <c r="B621">
        <v>103844</v>
      </c>
      <c r="C621" s="1">
        <v>2</v>
      </c>
      <c r="D621" t="s">
        <v>19</v>
      </c>
      <c r="E621" s="7">
        <v>1.35</v>
      </c>
      <c r="F621" s="2">
        <v>0.89</v>
      </c>
      <c r="G621" s="7">
        <v>0.18</v>
      </c>
      <c r="H621" s="9" t="s">
        <v>23</v>
      </c>
      <c r="I621">
        <v>0.69</v>
      </c>
      <c r="J621">
        <v>0.88</v>
      </c>
      <c r="K621">
        <v>0.5</v>
      </c>
      <c r="L621">
        <v>0.31</v>
      </c>
      <c r="M621">
        <v>0.75</v>
      </c>
      <c r="N621">
        <v>0.22</v>
      </c>
      <c r="O621">
        <v>0.39</v>
      </c>
      <c r="P621">
        <v>0.87</v>
      </c>
      <c r="Q621">
        <v>0.72</v>
      </c>
      <c r="R621" s="2">
        <v>0.4</v>
      </c>
      <c r="S621" t="str">
        <f>IF(Table1[[#This Row],[Years_Experience]]&lt;=5,"Early Career",
IF(Table1[[#This Row],[Years_Experience]]&lt;=15,"Mid Career","Senior Level"))</f>
        <v>Early Career</v>
      </c>
      <c r="T621" t="str">
        <f>IF(Table1[[#This Row],[AI_Exposure_Index]]&gt;=0.7,"High Exposure", IF(Table1[[#This Row],[AI_Exposure_Index]]&gt;=0.3,"Medium Exposure","Low Exposure"))</f>
        <v>High Exposure</v>
      </c>
    </row>
    <row r="622" spans="1:20" x14ac:dyDescent="0.25">
      <c r="A622" t="s">
        <v>39</v>
      </c>
      <c r="B622">
        <v>128035</v>
      </c>
      <c r="C622" s="1">
        <v>23</v>
      </c>
      <c r="D622" t="s">
        <v>19</v>
      </c>
      <c r="E622" s="7">
        <v>0.78</v>
      </c>
      <c r="F622" s="2">
        <v>0.36</v>
      </c>
      <c r="G622" s="7">
        <v>0.74</v>
      </c>
      <c r="H622" s="9" t="s">
        <v>20</v>
      </c>
      <c r="I622">
        <v>0.74</v>
      </c>
      <c r="J622">
        <v>0.25</v>
      </c>
      <c r="K622">
        <v>0.45</v>
      </c>
      <c r="L622">
        <v>0.39</v>
      </c>
      <c r="M622">
        <v>0.98</v>
      </c>
      <c r="N622">
        <v>0.39</v>
      </c>
      <c r="O622">
        <v>0.08</v>
      </c>
      <c r="P622">
        <v>0.09</v>
      </c>
      <c r="Q622">
        <v>0.59</v>
      </c>
      <c r="R622" s="2">
        <v>0.6</v>
      </c>
      <c r="S622" t="str">
        <f>IF(Table1[[#This Row],[Years_Experience]]&lt;=5,"Early Career",
IF(Table1[[#This Row],[Years_Experience]]&lt;=15,"Mid Career","Senior Level"))</f>
        <v>Senior Level</v>
      </c>
      <c r="T622" t="str">
        <f>IF(Table1[[#This Row],[AI_Exposure_Index]]&gt;=0.7,"High Exposure", IF(Table1[[#This Row],[AI_Exposure_Index]]&gt;=0.3,"Medium Exposure","Low Exposure"))</f>
        <v>Medium Exposure</v>
      </c>
    </row>
    <row r="623" spans="1:20" x14ac:dyDescent="0.25">
      <c r="A623" t="s">
        <v>41</v>
      </c>
      <c r="B623">
        <v>147270</v>
      </c>
      <c r="C623" s="1">
        <v>13</v>
      </c>
      <c r="D623" t="s">
        <v>38</v>
      </c>
      <c r="E623" s="7">
        <v>0.55000000000000004</v>
      </c>
      <c r="F623" s="2">
        <v>0.43</v>
      </c>
      <c r="G623" s="7">
        <v>0.83</v>
      </c>
      <c r="H623" s="9" t="s">
        <v>20</v>
      </c>
      <c r="I623">
        <v>0.5</v>
      </c>
      <c r="J623">
        <v>0.15</v>
      </c>
      <c r="K623">
        <v>0.1</v>
      </c>
      <c r="L623">
        <v>0.12</v>
      </c>
      <c r="M623">
        <v>0.1</v>
      </c>
      <c r="N623">
        <v>0.61</v>
      </c>
      <c r="O623">
        <v>0.2</v>
      </c>
      <c r="P623">
        <v>0.25</v>
      </c>
      <c r="Q623">
        <v>0.17</v>
      </c>
      <c r="R623" s="2">
        <v>0.96</v>
      </c>
      <c r="S623" t="str">
        <f>IF(Table1[[#This Row],[Years_Experience]]&lt;=5,"Early Career",
IF(Table1[[#This Row],[Years_Experience]]&lt;=15,"Mid Career","Senior Level"))</f>
        <v>Mid Career</v>
      </c>
      <c r="T623" t="str">
        <f>IF(Table1[[#This Row],[AI_Exposure_Index]]&gt;=0.7,"High Exposure", IF(Table1[[#This Row],[AI_Exposure_Index]]&gt;=0.3,"Medium Exposure","Low Exposure"))</f>
        <v>Medium Exposure</v>
      </c>
    </row>
    <row r="624" spans="1:20" x14ac:dyDescent="0.25">
      <c r="A624" t="s">
        <v>43</v>
      </c>
      <c r="B624">
        <v>43769</v>
      </c>
      <c r="C624" s="1">
        <v>2</v>
      </c>
      <c r="D624" t="s">
        <v>38</v>
      </c>
      <c r="E624" s="7">
        <v>0.83</v>
      </c>
      <c r="F624" s="2">
        <v>0.23</v>
      </c>
      <c r="G624" s="7">
        <v>0.1</v>
      </c>
      <c r="H624" s="9" t="s">
        <v>23</v>
      </c>
      <c r="I624">
        <v>0.49</v>
      </c>
      <c r="J624">
        <v>0.02</v>
      </c>
      <c r="K624">
        <v>0.67</v>
      </c>
      <c r="L624">
        <v>0.52</v>
      </c>
      <c r="M624">
        <v>0.9</v>
      </c>
      <c r="N624">
        <v>0.16</v>
      </c>
      <c r="O624">
        <v>0.8</v>
      </c>
      <c r="P624">
        <v>0.79</v>
      </c>
      <c r="Q624">
        <v>0.13</v>
      </c>
      <c r="R624" s="2">
        <v>0.4</v>
      </c>
      <c r="S624" t="str">
        <f>IF(Table1[[#This Row],[Years_Experience]]&lt;=5,"Early Career",
IF(Table1[[#This Row],[Years_Experience]]&lt;=15,"Mid Career","Senior Level"))</f>
        <v>Early Career</v>
      </c>
      <c r="T624" t="str">
        <f>IF(Table1[[#This Row],[AI_Exposure_Index]]&gt;=0.7,"High Exposure", IF(Table1[[#This Row],[AI_Exposure_Index]]&gt;=0.3,"Medium Exposure","Low Exposure"))</f>
        <v>Low Exposure</v>
      </c>
    </row>
    <row r="625" spans="1:20" x14ac:dyDescent="0.25">
      <c r="A625" t="s">
        <v>28</v>
      </c>
      <c r="B625">
        <v>103616</v>
      </c>
      <c r="C625" s="1">
        <v>14</v>
      </c>
      <c r="D625" t="s">
        <v>38</v>
      </c>
      <c r="E625" s="7">
        <v>0.76</v>
      </c>
      <c r="F625" s="2">
        <v>0.25</v>
      </c>
      <c r="G625" s="7">
        <v>0.52</v>
      </c>
      <c r="H625" s="9" t="s">
        <v>27</v>
      </c>
      <c r="I625">
        <v>0.41</v>
      </c>
      <c r="J625">
        <v>0.95</v>
      </c>
      <c r="K625">
        <v>0.13</v>
      </c>
      <c r="L625">
        <v>0.97</v>
      </c>
      <c r="M625">
        <v>0.23</v>
      </c>
      <c r="N625">
        <v>0.77</v>
      </c>
      <c r="O625">
        <v>0.34</v>
      </c>
      <c r="P625">
        <v>0.14000000000000001</v>
      </c>
      <c r="Q625">
        <v>0.86</v>
      </c>
      <c r="R625" s="2">
        <v>0.31</v>
      </c>
      <c r="S625" t="str">
        <f>IF(Table1[[#This Row],[Years_Experience]]&lt;=5,"Early Career",
IF(Table1[[#This Row],[Years_Experience]]&lt;=15,"Mid Career","Senior Level"))</f>
        <v>Mid Career</v>
      </c>
      <c r="T625" t="str">
        <f>IF(Table1[[#This Row],[AI_Exposure_Index]]&gt;=0.7,"High Exposure", IF(Table1[[#This Row],[AI_Exposure_Index]]&gt;=0.3,"Medium Exposure","Low Exposure"))</f>
        <v>Low Exposure</v>
      </c>
    </row>
    <row r="626" spans="1:20" x14ac:dyDescent="0.25">
      <c r="A626" t="s">
        <v>24</v>
      </c>
      <c r="B626">
        <v>79004</v>
      </c>
      <c r="C626" s="1">
        <v>28</v>
      </c>
      <c r="D626" t="s">
        <v>19</v>
      </c>
      <c r="E626" s="7">
        <v>0.97</v>
      </c>
      <c r="F626" s="2">
        <v>0.56999999999999995</v>
      </c>
      <c r="G626" s="7">
        <v>0.82</v>
      </c>
      <c r="H626" s="9" t="s">
        <v>20</v>
      </c>
      <c r="I626">
        <v>0.73</v>
      </c>
      <c r="J626">
        <v>0.09</v>
      </c>
      <c r="K626">
        <v>0.67</v>
      </c>
      <c r="L626">
        <v>0.9</v>
      </c>
      <c r="M626">
        <v>0.06</v>
      </c>
      <c r="N626">
        <v>0.14000000000000001</v>
      </c>
      <c r="O626">
        <v>0.72</v>
      </c>
      <c r="P626">
        <v>0.44</v>
      </c>
      <c r="Q626">
        <v>0.4</v>
      </c>
      <c r="R626" s="2">
        <v>0.14000000000000001</v>
      </c>
      <c r="S626" t="str">
        <f>IF(Table1[[#This Row],[Years_Experience]]&lt;=5,"Early Career",
IF(Table1[[#This Row],[Years_Experience]]&lt;=15,"Mid Career","Senior Level"))</f>
        <v>Senior Level</v>
      </c>
      <c r="T626" t="str">
        <f>IF(Table1[[#This Row],[AI_Exposure_Index]]&gt;=0.7,"High Exposure", IF(Table1[[#This Row],[AI_Exposure_Index]]&gt;=0.3,"Medium Exposure","Low Exposure"))</f>
        <v>Medium Exposure</v>
      </c>
    </row>
    <row r="627" spans="1:20" x14ac:dyDescent="0.25">
      <c r="A627" t="s">
        <v>37</v>
      </c>
      <c r="B627">
        <v>140190</v>
      </c>
      <c r="C627" s="1">
        <v>17</v>
      </c>
      <c r="D627" t="s">
        <v>19</v>
      </c>
      <c r="E627" s="7">
        <v>0.98</v>
      </c>
      <c r="F627" s="2">
        <v>0.13</v>
      </c>
      <c r="G627" s="7">
        <v>0.61</v>
      </c>
      <c r="H627" s="9" t="s">
        <v>27</v>
      </c>
      <c r="I627">
        <v>0.26</v>
      </c>
      <c r="J627">
        <v>0.48</v>
      </c>
      <c r="K627">
        <v>0.99</v>
      </c>
      <c r="L627">
        <v>0.69</v>
      </c>
      <c r="M627">
        <v>0.84</v>
      </c>
      <c r="N627">
        <v>0.41</v>
      </c>
      <c r="O627">
        <v>0.77</v>
      </c>
      <c r="P627">
        <v>0.04</v>
      </c>
      <c r="Q627">
        <v>0.12</v>
      </c>
      <c r="R627" s="2">
        <v>0.2</v>
      </c>
      <c r="S627" t="str">
        <f>IF(Table1[[#This Row],[Years_Experience]]&lt;=5,"Early Career",
IF(Table1[[#This Row],[Years_Experience]]&lt;=15,"Mid Career","Senior Level"))</f>
        <v>Senior Level</v>
      </c>
      <c r="T627" t="str">
        <f>IF(Table1[[#This Row],[AI_Exposure_Index]]&gt;=0.7,"High Exposure", IF(Table1[[#This Row],[AI_Exposure_Index]]&gt;=0.3,"Medium Exposure","Low Exposure"))</f>
        <v>Low Exposure</v>
      </c>
    </row>
    <row r="628" spans="1:20" x14ac:dyDescent="0.25">
      <c r="A628" t="s">
        <v>41</v>
      </c>
      <c r="B628">
        <v>51071</v>
      </c>
      <c r="C628" s="1">
        <v>6</v>
      </c>
      <c r="D628" t="s">
        <v>22</v>
      </c>
      <c r="E628" s="7">
        <v>0.85</v>
      </c>
      <c r="F628" s="2">
        <v>0.85</v>
      </c>
      <c r="G628" s="7">
        <v>0.86</v>
      </c>
      <c r="H628" s="9" t="s">
        <v>20</v>
      </c>
      <c r="I628">
        <v>0.71</v>
      </c>
      <c r="J628">
        <v>0.59</v>
      </c>
      <c r="K628">
        <v>0.36</v>
      </c>
      <c r="L628">
        <v>0.57999999999999996</v>
      </c>
      <c r="M628">
        <v>0.34</v>
      </c>
      <c r="N628">
        <v>0.08</v>
      </c>
      <c r="O628">
        <v>0.99</v>
      </c>
      <c r="P628">
        <v>0.13</v>
      </c>
      <c r="Q628">
        <v>7.0000000000000007E-2</v>
      </c>
      <c r="R628" s="2">
        <v>0.88</v>
      </c>
      <c r="S628" t="str">
        <f>IF(Table1[[#This Row],[Years_Experience]]&lt;=5,"Early Career",
IF(Table1[[#This Row],[Years_Experience]]&lt;=15,"Mid Career","Senior Level"))</f>
        <v>Mid Career</v>
      </c>
      <c r="T628" t="str">
        <f>IF(Table1[[#This Row],[AI_Exposure_Index]]&gt;=0.7,"High Exposure", IF(Table1[[#This Row],[AI_Exposure_Index]]&gt;=0.3,"Medium Exposure","Low Exposure"))</f>
        <v>High Exposure</v>
      </c>
    </row>
    <row r="629" spans="1:20" x14ac:dyDescent="0.25">
      <c r="A629" t="s">
        <v>44</v>
      </c>
      <c r="B629">
        <v>97913</v>
      </c>
      <c r="C629" s="1">
        <v>15</v>
      </c>
      <c r="D629" t="s">
        <v>25</v>
      </c>
      <c r="E629" s="7">
        <v>0.83</v>
      </c>
      <c r="F629" s="2">
        <v>0.65</v>
      </c>
      <c r="G629" s="7">
        <v>0.46</v>
      </c>
      <c r="H629" s="9" t="s">
        <v>27</v>
      </c>
      <c r="I629">
        <v>0.26</v>
      </c>
      <c r="J629">
        <v>0.34</v>
      </c>
      <c r="K629">
        <v>0.41</v>
      </c>
      <c r="L629">
        <v>0.72</v>
      </c>
      <c r="M629">
        <v>0.51</v>
      </c>
      <c r="N629">
        <v>0.94</v>
      </c>
      <c r="O629">
        <v>0.04</v>
      </c>
      <c r="P629">
        <v>0.5</v>
      </c>
      <c r="Q629">
        <v>0.57999999999999996</v>
      </c>
      <c r="R629" s="2">
        <v>0.92</v>
      </c>
      <c r="S629" t="str">
        <f>IF(Table1[[#This Row],[Years_Experience]]&lt;=5,"Early Career",
IF(Table1[[#This Row],[Years_Experience]]&lt;=15,"Mid Career","Senior Level"))</f>
        <v>Mid Career</v>
      </c>
      <c r="T629" t="str">
        <f>IF(Table1[[#This Row],[AI_Exposure_Index]]&gt;=0.7,"High Exposure", IF(Table1[[#This Row],[AI_Exposure_Index]]&gt;=0.3,"Medium Exposure","Low Exposure"))</f>
        <v>Medium Exposure</v>
      </c>
    </row>
    <row r="630" spans="1:20" x14ac:dyDescent="0.25">
      <c r="A630" t="s">
        <v>35</v>
      </c>
      <c r="B630">
        <v>138336</v>
      </c>
      <c r="C630" s="1">
        <v>8</v>
      </c>
      <c r="D630" t="s">
        <v>38</v>
      </c>
      <c r="E630" s="7">
        <v>1.35</v>
      </c>
      <c r="F630" s="2">
        <v>0.56999999999999995</v>
      </c>
      <c r="G630" s="7">
        <v>0.4</v>
      </c>
      <c r="H630" s="9" t="s">
        <v>27</v>
      </c>
      <c r="I630">
        <v>0.88</v>
      </c>
      <c r="J630">
        <v>0.02</v>
      </c>
      <c r="K630">
        <v>0.73</v>
      </c>
      <c r="L630">
        <v>0.93</v>
      </c>
      <c r="M630">
        <v>0.66</v>
      </c>
      <c r="N630">
        <v>0.44</v>
      </c>
      <c r="O630">
        <v>0.04</v>
      </c>
      <c r="P630">
        <v>0.92</v>
      </c>
      <c r="Q630">
        <v>0.47</v>
      </c>
      <c r="R630" s="2">
        <v>0.03</v>
      </c>
      <c r="S630" t="str">
        <f>IF(Table1[[#This Row],[Years_Experience]]&lt;=5,"Early Career",
IF(Table1[[#This Row],[Years_Experience]]&lt;=15,"Mid Career","Senior Level"))</f>
        <v>Mid Career</v>
      </c>
      <c r="T630" t="str">
        <f>IF(Table1[[#This Row],[AI_Exposure_Index]]&gt;=0.7,"High Exposure", IF(Table1[[#This Row],[AI_Exposure_Index]]&gt;=0.3,"Medium Exposure","Low Exposure"))</f>
        <v>Medium Exposure</v>
      </c>
    </row>
    <row r="631" spans="1:20" x14ac:dyDescent="0.25">
      <c r="A631" t="s">
        <v>40</v>
      </c>
      <c r="B631">
        <v>37432</v>
      </c>
      <c r="C631" s="1">
        <v>23</v>
      </c>
      <c r="D631" t="s">
        <v>25</v>
      </c>
      <c r="E631" s="7">
        <v>0.62</v>
      </c>
      <c r="F631" s="2">
        <v>0.48</v>
      </c>
      <c r="G631" s="7">
        <v>0.1</v>
      </c>
      <c r="H631" s="9" t="s">
        <v>23</v>
      </c>
      <c r="I631">
        <v>0.06</v>
      </c>
      <c r="J631">
        <v>0.56999999999999995</v>
      </c>
      <c r="K631">
        <v>0.62</v>
      </c>
      <c r="L631">
        <v>0.51</v>
      </c>
      <c r="M631">
        <v>0.82</v>
      </c>
      <c r="N631">
        <v>0.86</v>
      </c>
      <c r="O631">
        <v>0.62</v>
      </c>
      <c r="P631">
        <v>0.01</v>
      </c>
      <c r="Q631">
        <v>0.7</v>
      </c>
      <c r="R631" s="2">
        <v>0.42</v>
      </c>
      <c r="S631" t="str">
        <f>IF(Table1[[#This Row],[Years_Experience]]&lt;=5,"Early Career",
IF(Table1[[#This Row],[Years_Experience]]&lt;=15,"Mid Career","Senior Level"))</f>
        <v>Senior Level</v>
      </c>
      <c r="T631" t="str">
        <f>IF(Table1[[#This Row],[AI_Exposure_Index]]&gt;=0.7,"High Exposure", IF(Table1[[#This Row],[AI_Exposure_Index]]&gt;=0.3,"Medium Exposure","Low Exposure"))</f>
        <v>Medium Exposure</v>
      </c>
    </row>
    <row r="632" spans="1:20" x14ac:dyDescent="0.25">
      <c r="A632" t="s">
        <v>35</v>
      </c>
      <c r="B632">
        <v>54578</v>
      </c>
      <c r="C632" s="1">
        <v>27</v>
      </c>
      <c r="D632" t="s">
        <v>25</v>
      </c>
      <c r="E632" s="7">
        <v>0.85</v>
      </c>
      <c r="F632" s="2">
        <v>0.65</v>
      </c>
      <c r="G632" s="7">
        <v>0.67</v>
      </c>
      <c r="H632" s="9" t="s">
        <v>27</v>
      </c>
      <c r="I632">
        <v>0.13</v>
      </c>
      <c r="J632">
        <v>0.67</v>
      </c>
      <c r="K632">
        <v>0</v>
      </c>
      <c r="L632">
        <v>0.92</v>
      </c>
      <c r="M632">
        <v>0.11</v>
      </c>
      <c r="N632">
        <v>0.09</v>
      </c>
      <c r="O632">
        <v>0.33</v>
      </c>
      <c r="P632">
        <v>0.37</v>
      </c>
      <c r="Q632">
        <v>0.21</v>
      </c>
      <c r="R632" s="2">
        <v>0.59</v>
      </c>
      <c r="S632" t="str">
        <f>IF(Table1[[#This Row],[Years_Experience]]&lt;=5,"Early Career",
IF(Table1[[#This Row],[Years_Experience]]&lt;=15,"Mid Career","Senior Level"))</f>
        <v>Senior Level</v>
      </c>
      <c r="T632" t="str">
        <f>IF(Table1[[#This Row],[AI_Exposure_Index]]&gt;=0.7,"High Exposure", IF(Table1[[#This Row],[AI_Exposure_Index]]&gt;=0.3,"Medium Exposure","Low Exposure"))</f>
        <v>Medium Exposure</v>
      </c>
    </row>
    <row r="633" spans="1:20" x14ac:dyDescent="0.25">
      <c r="A633" t="s">
        <v>28</v>
      </c>
      <c r="B633">
        <v>83609</v>
      </c>
      <c r="C633" s="1">
        <v>24</v>
      </c>
      <c r="D633" t="s">
        <v>25</v>
      </c>
      <c r="E633" s="7">
        <v>0.82</v>
      </c>
      <c r="F633" s="2">
        <v>0.03</v>
      </c>
      <c r="G633" s="7">
        <v>0.62</v>
      </c>
      <c r="H633" s="9" t="s">
        <v>27</v>
      </c>
      <c r="I633">
        <v>0.69</v>
      </c>
      <c r="J633">
        <v>0.72</v>
      </c>
      <c r="K633">
        <v>0.7</v>
      </c>
      <c r="L633">
        <v>0.31</v>
      </c>
      <c r="M633">
        <v>0.1</v>
      </c>
      <c r="N633">
        <v>0.27</v>
      </c>
      <c r="O633">
        <v>0.83</v>
      </c>
      <c r="P633">
        <v>0.98</v>
      </c>
      <c r="Q633">
        <v>0.49</v>
      </c>
      <c r="R633" s="2">
        <v>0.01</v>
      </c>
      <c r="S633" t="str">
        <f>IF(Table1[[#This Row],[Years_Experience]]&lt;=5,"Early Career",
IF(Table1[[#This Row],[Years_Experience]]&lt;=15,"Mid Career","Senior Level"))</f>
        <v>Senior Level</v>
      </c>
      <c r="T633" t="str">
        <f>IF(Table1[[#This Row],[AI_Exposure_Index]]&gt;=0.7,"High Exposure", IF(Table1[[#This Row],[AI_Exposure_Index]]&gt;=0.3,"Medium Exposure","Low Exposure"))</f>
        <v>Low Exposure</v>
      </c>
    </row>
    <row r="634" spans="1:20" x14ac:dyDescent="0.25">
      <c r="A634" t="s">
        <v>26</v>
      </c>
      <c r="B634">
        <v>51182</v>
      </c>
      <c r="C634" s="1">
        <v>8</v>
      </c>
      <c r="D634" t="s">
        <v>25</v>
      </c>
      <c r="E634" s="7">
        <v>1.44</v>
      </c>
      <c r="F634" s="2">
        <v>0.05</v>
      </c>
      <c r="G634" s="7">
        <v>0.51</v>
      </c>
      <c r="H634" s="9" t="s">
        <v>27</v>
      </c>
      <c r="I634">
        <v>0.33</v>
      </c>
      <c r="J634">
        <v>0.16</v>
      </c>
      <c r="K634">
        <v>0.34</v>
      </c>
      <c r="L634">
        <v>0.02</v>
      </c>
      <c r="M634">
        <v>0.36</v>
      </c>
      <c r="N634">
        <v>0.53</v>
      </c>
      <c r="O634">
        <v>0.87</v>
      </c>
      <c r="P634">
        <v>0.69</v>
      </c>
      <c r="Q634">
        <v>0.11</v>
      </c>
      <c r="R634" s="2">
        <v>0.15</v>
      </c>
      <c r="S634" t="str">
        <f>IF(Table1[[#This Row],[Years_Experience]]&lt;=5,"Early Career",
IF(Table1[[#This Row],[Years_Experience]]&lt;=15,"Mid Career","Senior Level"))</f>
        <v>Mid Career</v>
      </c>
      <c r="T634" t="str">
        <f>IF(Table1[[#This Row],[AI_Exposure_Index]]&gt;=0.7,"High Exposure", IF(Table1[[#This Row],[AI_Exposure_Index]]&gt;=0.3,"Medium Exposure","Low Exposure"))</f>
        <v>Low Exposure</v>
      </c>
    </row>
    <row r="635" spans="1:20" x14ac:dyDescent="0.25">
      <c r="A635" t="s">
        <v>34</v>
      </c>
      <c r="B635">
        <v>127841</v>
      </c>
      <c r="C635" s="1">
        <v>1</v>
      </c>
      <c r="D635" t="s">
        <v>22</v>
      </c>
      <c r="E635" s="7">
        <v>0.53</v>
      </c>
      <c r="F635" s="2">
        <v>0.2</v>
      </c>
      <c r="G635" s="7">
        <v>0.62</v>
      </c>
      <c r="H635" s="9" t="s">
        <v>27</v>
      </c>
      <c r="I635">
        <v>0.02</v>
      </c>
      <c r="J635">
        <v>0.83</v>
      </c>
      <c r="K635">
        <v>0.14000000000000001</v>
      </c>
      <c r="L635">
        <v>0.97</v>
      </c>
      <c r="M635">
        <v>0.6</v>
      </c>
      <c r="N635">
        <v>0.73</v>
      </c>
      <c r="O635">
        <v>0.11</v>
      </c>
      <c r="P635">
        <v>0.86</v>
      </c>
      <c r="Q635">
        <v>0.84</v>
      </c>
      <c r="R635" s="2">
        <v>0.65</v>
      </c>
      <c r="S635" t="str">
        <f>IF(Table1[[#This Row],[Years_Experience]]&lt;=5,"Early Career",
IF(Table1[[#This Row],[Years_Experience]]&lt;=15,"Mid Career","Senior Level"))</f>
        <v>Early Career</v>
      </c>
      <c r="T635" t="str">
        <f>IF(Table1[[#This Row],[AI_Exposure_Index]]&gt;=0.7,"High Exposure", IF(Table1[[#This Row],[AI_Exposure_Index]]&gt;=0.3,"Medium Exposure","Low Exposure"))</f>
        <v>Low Exposure</v>
      </c>
    </row>
    <row r="636" spans="1:20" x14ac:dyDescent="0.25">
      <c r="A636" t="s">
        <v>21</v>
      </c>
      <c r="B636">
        <v>101160</v>
      </c>
      <c r="C636" s="1">
        <v>5</v>
      </c>
      <c r="D636" t="s">
        <v>25</v>
      </c>
      <c r="E636" s="7">
        <v>0.51</v>
      </c>
      <c r="F636" s="2">
        <v>0.72</v>
      </c>
      <c r="G636" s="7">
        <v>0.2</v>
      </c>
      <c r="H636" s="9" t="s">
        <v>23</v>
      </c>
      <c r="I636">
        <v>0.85</v>
      </c>
      <c r="J636">
        <v>0.36</v>
      </c>
      <c r="K636">
        <v>0.11</v>
      </c>
      <c r="L636">
        <v>0.42</v>
      </c>
      <c r="M636">
        <v>0.73</v>
      </c>
      <c r="N636">
        <v>0.11</v>
      </c>
      <c r="O636">
        <v>0.21</v>
      </c>
      <c r="P636">
        <v>0.15</v>
      </c>
      <c r="Q636">
        <v>0.8</v>
      </c>
      <c r="R636" s="2">
        <v>0.06</v>
      </c>
      <c r="S636" t="str">
        <f>IF(Table1[[#This Row],[Years_Experience]]&lt;=5,"Early Career",
IF(Table1[[#This Row],[Years_Experience]]&lt;=15,"Mid Career","Senior Level"))</f>
        <v>Early Career</v>
      </c>
      <c r="T636" t="str">
        <f>IF(Table1[[#This Row],[AI_Exposure_Index]]&gt;=0.7,"High Exposure", IF(Table1[[#This Row],[AI_Exposure_Index]]&gt;=0.3,"Medium Exposure","Low Exposure"))</f>
        <v>High Exposure</v>
      </c>
    </row>
    <row r="637" spans="1:20" x14ac:dyDescent="0.25">
      <c r="A637" t="s">
        <v>44</v>
      </c>
      <c r="B637">
        <v>38711</v>
      </c>
      <c r="C637" s="1">
        <v>7</v>
      </c>
      <c r="D637" t="s">
        <v>38</v>
      </c>
      <c r="E637" s="7">
        <v>1.26</v>
      </c>
      <c r="F637" s="2">
        <v>0.37</v>
      </c>
      <c r="G637" s="7">
        <v>0.69</v>
      </c>
      <c r="H637" s="9" t="s">
        <v>27</v>
      </c>
      <c r="I637">
        <v>0.11</v>
      </c>
      <c r="J637">
        <v>0.31</v>
      </c>
      <c r="K637">
        <v>0.81</v>
      </c>
      <c r="L637">
        <v>0.27</v>
      </c>
      <c r="M637">
        <v>0.22</v>
      </c>
      <c r="N637">
        <v>0.83</v>
      </c>
      <c r="O637">
        <v>0.99</v>
      </c>
      <c r="P637">
        <v>0.56000000000000005</v>
      </c>
      <c r="Q637">
        <v>0.28000000000000003</v>
      </c>
      <c r="R637" s="2">
        <v>0.4</v>
      </c>
      <c r="S637" t="str">
        <f>IF(Table1[[#This Row],[Years_Experience]]&lt;=5,"Early Career",
IF(Table1[[#This Row],[Years_Experience]]&lt;=15,"Mid Career","Senior Level"))</f>
        <v>Mid Career</v>
      </c>
      <c r="T637" t="str">
        <f>IF(Table1[[#This Row],[AI_Exposure_Index]]&gt;=0.7,"High Exposure", IF(Table1[[#This Row],[AI_Exposure_Index]]&gt;=0.3,"Medium Exposure","Low Exposure"))</f>
        <v>Medium Exposure</v>
      </c>
    </row>
    <row r="638" spans="1:20" x14ac:dyDescent="0.25">
      <c r="A638" t="s">
        <v>37</v>
      </c>
      <c r="B638">
        <v>138886</v>
      </c>
      <c r="C638" s="1">
        <v>23</v>
      </c>
      <c r="D638" t="s">
        <v>19</v>
      </c>
      <c r="E638" s="7">
        <v>1.27</v>
      </c>
      <c r="F638" s="2">
        <v>0.76</v>
      </c>
      <c r="G638" s="7">
        <v>0.65</v>
      </c>
      <c r="H638" s="9" t="s">
        <v>27</v>
      </c>
      <c r="I638">
        <v>0.03</v>
      </c>
      <c r="J638">
        <v>0.56000000000000005</v>
      </c>
      <c r="K638">
        <v>0.21</v>
      </c>
      <c r="L638">
        <v>0.34</v>
      </c>
      <c r="M638">
        <v>0.78</v>
      </c>
      <c r="N638">
        <v>0.19</v>
      </c>
      <c r="O638">
        <v>0.64</v>
      </c>
      <c r="P638">
        <v>0.65</v>
      </c>
      <c r="Q638">
        <v>0.95</v>
      </c>
      <c r="R638" s="2">
        <v>0.78</v>
      </c>
      <c r="S638" t="str">
        <f>IF(Table1[[#This Row],[Years_Experience]]&lt;=5,"Early Career",
IF(Table1[[#This Row],[Years_Experience]]&lt;=15,"Mid Career","Senior Level"))</f>
        <v>Senior Level</v>
      </c>
      <c r="T638" t="str">
        <f>IF(Table1[[#This Row],[AI_Exposure_Index]]&gt;=0.7,"High Exposure", IF(Table1[[#This Row],[AI_Exposure_Index]]&gt;=0.3,"Medium Exposure","Low Exposure"))</f>
        <v>High Exposure</v>
      </c>
    </row>
    <row r="639" spans="1:20" x14ac:dyDescent="0.25">
      <c r="A639" t="s">
        <v>21</v>
      </c>
      <c r="B639">
        <v>97696</v>
      </c>
      <c r="C639" s="1">
        <v>20</v>
      </c>
      <c r="D639" t="s">
        <v>25</v>
      </c>
      <c r="E639" s="7">
        <v>0.69</v>
      </c>
      <c r="F639" s="2">
        <v>0.53</v>
      </c>
      <c r="G639" s="7">
        <v>0.16</v>
      </c>
      <c r="H639" s="9" t="s">
        <v>23</v>
      </c>
      <c r="I639">
        <v>0.55000000000000004</v>
      </c>
      <c r="J639">
        <v>0.68</v>
      </c>
      <c r="K639">
        <v>0.61</v>
      </c>
      <c r="L639">
        <v>0.39</v>
      </c>
      <c r="M639">
        <v>0.27</v>
      </c>
      <c r="N639">
        <v>0.17</v>
      </c>
      <c r="O639">
        <v>0.69</v>
      </c>
      <c r="P639">
        <v>0.65</v>
      </c>
      <c r="Q639">
        <v>0.69</v>
      </c>
      <c r="R639" s="2">
        <v>0.37</v>
      </c>
      <c r="S639" t="str">
        <f>IF(Table1[[#This Row],[Years_Experience]]&lt;=5,"Early Career",
IF(Table1[[#This Row],[Years_Experience]]&lt;=15,"Mid Career","Senior Level"))</f>
        <v>Senior Level</v>
      </c>
      <c r="T639" t="str">
        <f>IF(Table1[[#This Row],[AI_Exposure_Index]]&gt;=0.7,"High Exposure", IF(Table1[[#This Row],[AI_Exposure_Index]]&gt;=0.3,"Medium Exposure","Low Exposure"))</f>
        <v>Medium Exposure</v>
      </c>
    </row>
    <row r="640" spans="1:20" x14ac:dyDescent="0.25">
      <c r="A640" t="s">
        <v>41</v>
      </c>
      <c r="B640">
        <v>105948</v>
      </c>
      <c r="C640" s="1">
        <v>10</v>
      </c>
      <c r="D640" t="s">
        <v>25</v>
      </c>
      <c r="E640" s="7">
        <v>1.27</v>
      </c>
      <c r="F640" s="2">
        <v>0.76</v>
      </c>
      <c r="G640" s="7">
        <v>0.81</v>
      </c>
      <c r="H640" s="9" t="s">
        <v>20</v>
      </c>
      <c r="I640">
        <v>0.61</v>
      </c>
      <c r="J640">
        <v>0.37</v>
      </c>
      <c r="K640">
        <v>0.7</v>
      </c>
      <c r="L640">
        <v>0.84</v>
      </c>
      <c r="M640">
        <v>0.69</v>
      </c>
      <c r="N640">
        <v>0.51</v>
      </c>
      <c r="O640">
        <v>0.46</v>
      </c>
      <c r="P640">
        <v>0.64</v>
      </c>
      <c r="Q640">
        <v>0.68</v>
      </c>
      <c r="R640" s="2">
        <v>0.56000000000000005</v>
      </c>
      <c r="S640" t="str">
        <f>IF(Table1[[#This Row],[Years_Experience]]&lt;=5,"Early Career",
IF(Table1[[#This Row],[Years_Experience]]&lt;=15,"Mid Career","Senior Level"))</f>
        <v>Mid Career</v>
      </c>
      <c r="T640" t="str">
        <f>IF(Table1[[#This Row],[AI_Exposure_Index]]&gt;=0.7,"High Exposure", IF(Table1[[#This Row],[AI_Exposure_Index]]&gt;=0.3,"Medium Exposure","Low Exposure"))</f>
        <v>High Exposure</v>
      </c>
    </row>
    <row r="641" spans="1:20" x14ac:dyDescent="0.25">
      <c r="A641" t="s">
        <v>35</v>
      </c>
      <c r="B641">
        <v>44235</v>
      </c>
      <c r="C641" s="1">
        <v>15</v>
      </c>
      <c r="D641" t="s">
        <v>22</v>
      </c>
      <c r="E641" s="7">
        <v>1.45</v>
      </c>
      <c r="F641" s="2">
        <v>0.1</v>
      </c>
      <c r="G641" s="7">
        <v>0.62</v>
      </c>
      <c r="H641" s="9" t="s">
        <v>27</v>
      </c>
      <c r="I641">
        <v>0.37</v>
      </c>
      <c r="J641">
        <v>0.56000000000000005</v>
      </c>
      <c r="K641">
        <v>0.05</v>
      </c>
      <c r="L641">
        <v>0.04</v>
      </c>
      <c r="M641">
        <v>0.25</v>
      </c>
      <c r="N641">
        <v>0.69</v>
      </c>
      <c r="O641">
        <v>0.85</v>
      </c>
      <c r="P641">
        <v>0.56000000000000005</v>
      </c>
      <c r="Q641">
        <v>0.53</v>
      </c>
      <c r="R641" s="2">
        <v>0.4</v>
      </c>
      <c r="S641" t="str">
        <f>IF(Table1[[#This Row],[Years_Experience]]&lt;=5,"Early Career",
IF(Table1[[#This Row],[Years_Experience]]&lt;=15,"Mid Career","Senior Level"))</f>
        <v>Mid Career</v>
      </c>
      <c r="T641" t="str">
        <f>IF(Table1[[#This Row],[AI_Exposure_Index]]&gt;=0.7,"High Exposure", IF(Table1[[#This Row],[AI_Exposure_Index]]&gt;=0.3,"Medium Exposure","Low Exposure"))</f>
        <v>Low Exposure</v>
      </c>
    </row>
    <row r="642" spans="1:20" x14ac:dyDescent="0.25">
      <c r="A642" t="s">
        <v>41</v>
      </c>
      <c r="B642">
        <v>61688</v>
      </c>
      <c r="C642" s="1">
        <v>26</v>
      </c>
      <c r="D642" t="s">
        <v>25</v>
      </c>
      <c r="E642" s="7">
        <v>1.26</v>
      </c>
      <c r="F642" s="2">
        <v>0.12</v>
      </c>
      <c r="G642" s="7">
        <v>0.93</v>
      </c>
      <c r="H642" s="9" t="s">
        <v>20</v>
      </c>
      <c r="I642">
        <v>0.46</v>
      </c>
      <c r="J642">
        <v>0.66</v>
      </c>
      <c r="K642">
        <v>0.91</v>
      </c>
      <c r="L642">
        <v>0.09</v>
      </c>
      <c r="M642">
        <v>0.77</v>
      </c>
      <c r="N642">
        <v>0.62</v>
      </c>
      <c r="O642">
        <v>0.6</v>
      </c>
      <c r="P642">
        <v>0.28999999999999998</v>
      </c>
      <c r="Q642">
        <v>0.68</v>
      </c>
      <c r="R642" s="2">
        <v>0.79</v>
      </c>
      <c r="S642" t="str">
        <f>IF(Table1[[#This Row],[Years_Experience]]&lt;=5,"Early Career",
IF(Table1[[#This Row],[Years_Experience]]&lt;=15,"Mid Career","Senior Level"))</f>
        <v>Senior Level</v>
      </c>
      <c r="T642" t="str">
        <f>IF(Table1[[#This Row],[AI_Exposure_Index]]&gt;=0.7,"High Exposure", IF(Table1[[#This Row],[AI_Exposure_Index]]&gt;=0.3,"Medium Exposure","Low Exposure"))</f>
        <v>Low Exposure</v>
      </c>
    </row>
    <row r="643" spans="1:20" x14ac:dyDescent="0.25">
      <c r="A643" t="s">
        <v>18</v>
      </c>
      <c r="B643">
        <v>47883</v>
      </c>
      <c r="C643" s="1">
        <v>22</v>
      </c>
      <c r="D643" t="s">
        <v>25</v>
      </c>
      <c r="E643" s="7">
        <v>0.6</v>
      </c>
      <c r="F643" s="2">
        <v>0.53</v>
      </c>
      <c r="G643" s="7">
        <v>0.92</v>
      </c>
      <c r="H643" s="9" t="s">
        <v>20</v>
      </c>
      <c r="I643">
        <v>0.51</v>
      </c>
      <c r="J643">
        <v>0.81</v>
      </c>
      <c r="K643">
        <v>0.37</v>
      </c>
      <c r="L643">
        <v>0.13</v>
      </c>
      <c r="M643">
        <v>0.04</v>
      </c>
      <c r="N643">
        <v>0.28000000000000003</v>
      </c>
      <c r="O643">
        <v>0.24</v>
      </c>
      <c r="P643">
        <v>0.56000000000000005</v>
      </c>
      <c r="Q643">
        <v>0.02</v>
      </c>
      <c r="R643" s="2">
        <v>0.52</v>
      </c>
      <c r="S643" t="str">
        <f>IF(Table1[[#This Row],[Years_Experience]]&lt;=5,"Early Career",
IF(Table1[[#This Row],[Years_Experience]]&lt;=15,"Mid Career","Senior Level"))</f>
        <v>Senior Level</v>
      </c>
      <c r="T643" t="str">
        <f>IF(Table1[[#This Row],[AI_Exposure_Index]]&gt;=0.7,"High Exposure", IF(Table1[[#This Row],[AI_Exposure_Index]]&gt;=0.3,"Medium Exposure","Low Exposure"))</f>
        <v>Medium Exposure</v>
      </c>
    </row>
    <row r="644" spans="1:20" x14ac:dyDescent="0.25">
      <c r="A644" t="s">
        <v>33</v>
      </c>
      <c r="B644">
        <v>105569</v>
      </c>
      <c r="C644" s="1">
        <v>15</v>
      </c>
      <c r="D644" t="s">
        <v>22</v>
      </c>
      <c r="E644" s="7">
        <v>1.2</v>
      </c>
      <c r="F644" s="2">
        <v>0.57999999999999996</v>
      </c>
      <c r="G644" s="7">
        <v>0.86</v>
      </c>
      <c r="H644" s="9" t="s">
        <v>20</v>
      </c>
      <c r="I644">
        <v>0.98</v>
      </c>
      <c r="J644">
        <v>0.14000000000000001</v>
      </c>
      <c r="K644">
        <v>0.43</v>
      </c>
      <c r="L644">
        <v>0.42</v>
      </c>
      <c r="M644">
        <v>0.42</v>
      </c>
      <c r="N644">
        <v>0.66</v>
      </c>
      <c r="O644">
        <v>0.49</v>
      </c>
      <c r="P644">
        <v>0.52</v>
      </c>
      <c r="Q644">
        <v>0.43</v>
      </c>
      <c r="R644" s="2">
        <v>0.99</v>
      </c>
      <c r="S644" t="str">
        <f>IF(Table1[[#This Row],[Years_Experience]]&lt;=5,"Early Career",
IF(Table1[[#This Row],[Years_Experience]]&lt;=15,"Mid Career","Senior Level"))</f>
        <v>Mid Career</v>
      </c>
      <c r="T644" t="str">
        <f>IF(Table1[[#This Row],[AI_Exposure_Index]]&gt;=0.7,"High Exposure", IF(Table1[[#This Row],[AI_Exposure_Index]]&gt;=0.3,"Medium Exposure","Low Exposure"))</f>
        <v>Medium Exposure</v>
      </c>
    </row>
    <row r="645" spans="1:20" x14ac:dyDescent="0.25">
      <c r="A645" t="s">
        <v>26</v>
      </c>
      <c r="B645">
        <v>73271</v>
      </c>
      <c r="C645" s="1">
        <v>9</v>
      </c>
      <c r="D645" t="s">
        <v>38</v>
      </c>
      <c r="E645" s="7">
        <v>0.61</v>
      </c>
      <c r="F645" s="2">
        <v>0.31</v>
      </c>
      <c r="G645" s="7">
        <v>0.64</v>
      </c>
      <c r="H645" s="9" t="s">
        <v>27</v>
      </c>
      <c r="I645">
        <v>1</v>
      </c>
      <c r="J645">
        <v>0.28999999999999998</v>
      </c>
      <c r="K645">
        <v>0.36</v>
      </c>
      <c r="L645">
        <v>0.94</v>
      </c>
      <c r="M645">
        <v>0.71</v>
      </c>
      <c r="N645">
        <v>0.3</v>
      </c>
      <c r="O645">
        <v>0.57999999999999996</v>
      </c>
      <c r="P645">
        <v>0.94</v>
      </c>
      <c r="Q645">
        <v>0.81</v>
      </c>
      <c r="R645" s="2">
        <v>0.74</v>
      </c>
      <c r="S645" t="str">
        <f>IF(Table1[[#This Row],[Years_Experience]]&lt;=5,"Early Career",
IF(Table1[[#This Row],[Years_Experience]]&lt;=15,"Mid Career","Senior Level"))</f>
        <v>Mid Career</v>
      </c>
      <c r="T645" t="str">
        <f>IF(Table1[[#This Row],[AI_Exposure_Index]]&gt;=0.7,"High Exposure", IF(Table1[[#This Row],[AI_Exposure_Index]]&gt;=0.3,"Medium Exposure","Low Exposure"))</f>
        <v>Medium Exposure</v>
      </c>
    </row>
    <row r="646" spans="1:20" x14ac:dyDescent="0.25">
      <c r="A646" t="s">
        <v>31</v>
      </c>
      <c r="B646">
        <v>147327</v>
      </c>
      <c r="C646" s="1">
        <v>15</v>
      </c>
      <c r="D646" t="s">
        <v>38</v>
      </c>
      <c r="E646" s="7">
        <v>1.32</v>
      </c>
      <c r="F646" s="2">
        <v>0.18</v>
      </c>
      <c r="G646" s="7">
        <v>0.12</v>
      </c>
      <c r="H646" s="9" t="s">
        <v>23</v>
      </c>
      <c r="I646">
        <v>0.93</v>
      </c>
      <c r="J646">
        <v>0.36</v>
      </c>
      <c r="K646">
        <v>0.86</v>
      </c>
      <c r="L646">
        <v>0.27</v>
      </c>
      <c r="M646">
        <v>0.51</v>
      </c>
      <c r="N646">
        <v>0.11</v>
      </c>
      <c r="O646">
        <v>0.66</v>
      </c>
      <c r="P646">
        <v>0.84</v>
      </c>
      <c r="Q646">
        <v>0.72</v>
      </c>
      <c r="R646" s="2">
        <v>0.52</v>
      </c>
      <c r="S646" t="str">
        <f>IF(Table1[[#This Row],[Years_Experience]]&lt;=5,"Early Career",
IF(Table1[[#This Row],[Years_Experience]]&lt;=15,"Mid Career","Senior Level"))</f>
        <v>Mid Career</v>
      </c>
      <c r="T646" t="str">
        <f>IF(Table1[[#This Row],[AI_Exposure_Index]]&gt;=0.7,"High Exposure", IF(Table1[[#This Row],[AI_Exposure_Index]]&gt;=0.3,"Medium Exposure","Low Exposure"))</f>
        <v>Low Exposure</v>
      </c>
    </row>
    <row r="647" spans="1:20" x14ac:dyDescent="0.25">
      <c r="A647" t="s">
        <v>18</v>
      </c>
      <c r="B647">
        <v>76798</v>
      </c>
      <c r="C647" s="1">
        <v>0</v>
      </c>
      <c r="D647" t="s">
        <v>19</v>
      </c>
      <c r="E647" s="7">
        <v>0.84</v>
      </c>
      <c r="F647" s="2">
        <v>0.2</v>
      </c>
      <c r="G647" s="7">
        <v>0.82</v>
      </c>
      <c r="H647" s="9" t="s">
        <v>20</v>
      </c>
      <c r="I647">
        <v>0.33</v>
      </c>
      <c r="J647">
        <v>0.75</v>
      </c>
      <c r="K647">
        <v>0.33</v>
      </c>
      <c r="L647">
        <v>0.14000000000000001</v>
      </c>
      <c r="M647">
        <v>0.4</v>
      </c>
      <c r="N647">
        <v>0.98</v>
      </c>
      <c r="O647">
        <v>0.23</v>
      </c>
      <c r="P647">
        <v>0.61</v>
      </c>
      <c r="Q647">
        <v>0.43</v>
      </c>
      <c r="R647" s="2">
        <v>7.0000000000000007E-2</v>
      </c>
      <c r="S647" t="str">
        <f>IF(Table1[[#This Row],[Years_Experience]]&lt;=5,"Early Career",
IF(Table1[[#This Row],[Years_Experience]]&lt;=15,"Mid Career","Senior Level"))</f>
        <v>Early Career</v>
      </c>
      <c r="T647" t="str">
        <f>IF(Table1[[#This Row],[AI_Exposure_Index]]&gt;=0.7,"High Exposure", IF(Table1[[#This Row],[AI_Exposure_Index]]&gt;=0.3,"Medium Exposure","Low Exposure"))</f>
        <v>Low Exposure</v>
      </c>
    </row>
    <row r="648" spans="1:20" x14ac:dyDescent="0.25">
      <c r="A648" t="s">
        <v>40</v>
      </c>
      <c r="B648">
        <v>127077</v>
      </c>
      <c r="C648" s="1">
        <v>9</v>
      </c>
      <c r="D648" t="s">
        <v>19</v>
      </c>
      <c r="E648" s="7">
        <v>1.01</v>
      </c>
      <c r="F648" s="2">
        <v>0.7</v>
      </c>
      <c r="G648" s="7">
        <v>0.27</v>
      </c>
      <c r="H648" s="9" t="s">
        <v>23</v>
      </c>
      <c r="I648">
        <v>0.28999999999999998</v>
      </c>
      <c r="J648">
        <v>0.09</v>
      </c>
      <c r="K648">
        <v>0.94</v>
      </c>
      <c r="L648">
        <v>0.38</v>
      </c>
      <c r="M648">
        <v>0.57999999999999996</v>
      </c>
      <c r="N648">
        <v>0.79</v>
      </c>
      <c r="O648">
        <v>0.32</v>
      </c>
      <c r="P648">
        <v>0.72</v>
      </c>
      <c r="Q648">
        <v>0.14000000000000001</v>
      </c>
      <c r="R648" s="2">
        <v>0.28999999999999998</v>
      </c>
      <c r="S648" t="str">
        <f>IF(Table1[[#This Row],[Years_Experience]]&lt;=5,"Early Career",
IF(Table1[[#This Row],[Years_Experience]]&lt;=15,"Mid Career","Senior Level"))</f>
        <v>Mid Career</v>
      </c>
      <c r="T648" t="str">
        <f>IF(Table1[[#This Row],[AI_Exposure_Index]]&gt;=0.7,"High Exposure", IF(Table1[[#This Row],[AI_Exposure_Index]]&gt;=0.3,"Medium Exposure","Low Exposure"))</f>
        <v>High Exposure</v>
      </c>
    </row>
    <row r="649" spans="1:20" x14ac:dyDescent="0.25">
      <c r="A649" t="s">
        <v>24</v>
      </c>
      <c r="B649">
        <v>145088</v>
      </c>
      <c r="C649" s="1">
        <v>12</v>
      </c>
      <c r="D649" t="s">
        <v>19</v>
      </c>
      <c r="E649" s="7">
        <v>0.72</v>
      </c>
      <c r="F649" s="2">
        <v>0.81</v>
      </c>
      <c r="G649" s="7">
        <v>0.88</v>
      </c>
      <c r="H649" s="9" t="s">
        <v>20</v>
      </c>
      <c r="I649">
        <v>0.94</v>
      </c>
      <c r="J649">
        <v>0.53</v>
      </c>
      <c r="K649">
        <v>0.54</v>
      </c>
      <c r="L649">
        <v>0.46</v>
      </c>
      <c r="M649">
        <v>0.33</v>
      </c>
      <c r="N649">
        <v>0.48</v>
      </c>
      <c r="O649">
        <v>0.6</v>
      </c>
      <c r="P649">
        <v>0.99</v>
      </c>
      <c r="Q649">
        <v>0.94</v>
      </c>
      <c r="R649" s="2">
        <v>0.86</v>
      </c>
      <c r="S649" t="str">
        <f>IF(Table1[[#This Row],[Years_Experience]]&lt;=5,"Early Career",
IF(Table1[[#This Row],[Years_Experience]]&lt;=15,"Mid Career","Senior Level"))</f>
        <v>Mid Career</v>
      </c>
      <c r="T649" t="str">
        <f>IF(Table1[[#This Row],[AI_Exposure_Index]]&gt;=0.7,"High Exposure", IF(Table1[[#This Row],[AI_Exposure_Index]]&gt;=0.3,"Medium Exposure","Low Exposure"))</f>
        <v>High Exposure</v>
      </c>
    </row>
    <row r="650" spans="1:20" x14ac:dyDescent="0.25">
      <c r="A650" t="s">
        <v>36</v>
      </c>
      <c r="B650">
        <v>33841</v>
      </c>
      <c r="C650" s="1">
        <v>28</v>
      </c>
      <c r="D650" t="s">
        <v>25</v>
      </c>
      <c r="E650" s="7">
        <v>1.1599999999999999</v>
      </c>
      <c r="F650" s="2">
        <v>0.47</v>
      </c>
      <c r="G650" s="7">
        <v>0.66</v>
      </c>
      <c r="H650" s="9" t="s">
        <v>27</v>
      </c>
      <c r="I650">
        <v>0.39</v>
      </c>
      <c r="J650">
        <v>0.96</v>
      </c>
      <c r="K650">
        <v>0.42</v>
      </c>
      <c r="L650">
        <v>0.6</v>
      </c>
      <c r="M650">
        <v>0.71</v>
      </c>
      <c r="N650">
        <v>0.95</v>
      </c>
      <c r="O650">
        <v>0.24</v>
      </c>
      <c r="P650">
        <v>0.75</v>
      </c>
      <c r="Q650">
        <v>0.52</v>
      </c>
      <c r="R650" s="2">
        <v>0.27</v>
      </c>
      <c r="S650" t="str">
        <f>IF(Table1[[#This Row],[Years_Experience]]&lt;=5,"Early Career",
IF(Table1[[#This Row],[Years_Experience]]&lt;=15,"Mid Career","Senior Level"))</f>
        <v>Senior Level</v>
      </c>
      <c r="T650" t="str">
        <f>IF(Table1[[#This Row],[AI_Exposure_Index]]&gt;=0.7,"High Exposure", IF(Table1[[#This Row],[AI_Exposure_Index]]&gt;=0.3,"Medium Exposure","Low Exposure"))</f>
        <v>Medium Exposure</v>
      </c>
    </row>
    <row r="651" spans="1:20" x14ac:dyDescent="0.25">
      <c r="A651" t="s">
        <v>36</v>
      </c>
      <c r="B651">
        <v>141789</v>
      </c>
      <c r="C651" s="1">
        <v>27</v>
      </c>
      <c r="D651" t="s">
        <v>38</v>
      </c>
      <c r="E651" s="7">
        <v>1.1599999999999999</v>
      </c>
      <c r="F651" s="2">
        <v>0.55000000000000004</v>
      </c>
      <c r="G651" s="7">
        <v>0.43</v>
      </c>
      <c r="H651" s="9" t="s">
        <v>27</v>
      </c>
      <c r="I651">
        <v>0.48</v>
      </c>
      <c r="J651">
        <v>0.62</v>
      </c>
      <c r="K651">
        <v>0.4</v>
      </c>
      <c r="L651">
        <v>0.2</v>
      </c>
      <c r="M651">
        <v>0.96</v>
      </c>
      <c r="N651">
        <v>0.51</v>
      </c>
      <c r="O651">
        <v>0.73</v>
      </c>
      <c r="P651">
        <v>0.41</v>
      </c>
      <c r="Q651">
        <v>0.36</v>
      </c>
      <c r="R651" s="2">
        <v>0.41</v>
      </c>
      <c r="S651" t="str">
        <f>IF(Table1[[#This Row],[Years_Experience]]&lt;=5,"Early Career",
IF(Table1[[#This Row],[Years_Experience]]&lt;=15,"Mid Career","Senior Level"))</f>
        <v>Senior Level</v>
      </c>
      <c r="T651" t="str">
        <f>IF(Table1[[#This Row],[AI_Exposure_Index]]&gt;=0.7,"High Exposure", IF(Table1[[#This Row],[AI_Exposure_Index]]&gt;=0.3,"Medium Exposure","Low Exposure"))</f>
        <v>Medium Exposure</v>
      </c>
    </row>
    <row r="652" spans="1:20" x14ac:dyDescent="0.25">
      <c r="A652" t="s">
        <v>31</v>
      </c>
      <c r="B652">
        <v>102828</v>
      </c>
      <c r="C652" s="1">
        <v>1</v>
      </c>
      <c r="D652" t="s">
        <v>38</v>
      </c>
      <c r="E652" s="7">
        <v>1.04</v>
      </c>
      <c r="F652" s="2">
        <v>0.54</v>
      </c>
      <c r="G652" s="7">
        <v>0.17</v>
      </c>
      <c r="H652" s="9" t="s">
        <v>23</v>
      </c>
      <c r="I652">
        <v>0.13</v>
      </c>
      <c r="J652">
        <v>0.5</v>
      </c>
      <c r="K652">
        <v>0.17</v>
      </c>
      <c r="L652">
        <v>0.13</v>
      </c>
      <c r="M652">
        <v>0.93</v>
      </c>
      <c r="N652">
        <v>0.6</v>
      </c>
      <c r="O652">
        <v>0.66</v>
      </c>
      <c r="P652">
        <v>0.4</v>
      </c>
      <c r="Q652">
        <v>0.91</v>
      </c>
      <c r="R652" s="2">
        <v>0.64</v>
      </c>
      <c r="S652" t="str">
        <f>IF(Table1[[#This Row],[Years_Experience]]&lt;=5,"Early Career",
IF(Table1[[#This Row],[Years_Experience]]&lt;=15,"Mid Career","Senior Level"))</f>
        <v>Early Career</v>
      </c>
      <c r="T652" t="str">
        <f>IF(Table1[[#This Row],[AI_Exposure_Index]]&gt;=0.7,"High Exposure", IF(Table1[[#This Row],[AI_Exposure_Index]]&gt;=0.3,"Medium Exposure","Low Exposure"))</f>
        <v>Medium Exposure</v>
      </c>
    </row>
    <row r="653" spans="1:20" x14ac:dyDescent="0.25">
      <c r="A653" t="s">
        <v>34</v>
      </c>
      <c r="B653">
        <v>50754</v>
      </c>
      <c r="C653" s="1">
        <v>13</v>
      </c>
      <c r="D653" t="s">
        <v>25</v>
      </c>
      <c r="E653" s="7">
        <v>1.46</v>
      </c>
      <c r="F653" s="2">
        <v>0.37</v>
      </c>
      <c r="G653" s="7">
        <v>0.63</v>
      </c>
      <c r="H653" s="9" t="s">
        <v>27</v>
      </c>
      <c r="I653">
        <v>0.85</v>
      </c>
      <c r="J653">
        <v>0.17</v>
      </c>
      <c r="K653">
        <v>0.27</v>
      </c>
      <c r="L653">
        <v>0.28999999999999998</v>
      </c>
      <c r="M653">
        <v>0.27</v>
      </c>
      <c r="N653">
        <v>0.86</v>
      </c>
      <c r="O653">
        <v>0.03</v>
      </c>
      <c r="P653">
        <v>0.08</v>
      </c>
      <c r="Q653">
        <v>0.27</v>
      </c>
      <c r="R653" s="2">
        <v>0.2</v>
      </c>
      <c r="S653" t="str">
        <f>IF(Table1[[#This Row],[Years_Experience]]&lt;=5,"Early Career",
IF(Table1[[#This Row],[Years_Experience]]&lt;=15,"Mid Career","Senior Level"))</f>
        <v>Mid Career</v>
      </c>
      <c r="T653" t="str">
        <f>IF(Table1[[#This Row],[AI_Exposure_Index]]&gt;=0.7,"High Exposure", IF(Table1[[#This Row],[AI_Exposure_Index]]&gt;=0.3,"Medium Exposure","Low Exposure"))</f>
        <v>Medium Exposure</v>
      </c>
    </row>
    <row r="654" spans="1:20" x14ac:dyDescent="0.25">
      <c r="A654" t="s">
        <v>24</v>
      </c>
      <c r="B654">
        <v>105481</v>
      </c>
      <c r="C654" s="1">
        <v>14</v>
      </c>
      <c r="D654" t="s">
        <v>25</v>
      </c>
      <c r="E654" s="7">
        <v>1.06</v>
      </c>
      <c r="F654" s="2">
        <v>0.8</v>
      </c>
      <c r="G654" s="7">
        <v>0.7</v>
      </c>
      <c r="H654" s="9" t="s">
        <v>27</v>
      </c>
      <c r="I654">
        <v>0.43</v>
      </c>
      <c r="J654">
        <v>0.41</v>
      </c>
      <c r="K654">
        <v>0.11</v>
      </c>
      <c r="L654">
        <v>0.68</v>
      </c>
      <c r="M654">
        <v>0.7</v>
      </c>
      <c r="N654">
        <v>0.72</v>
      </c>
      <c r="O654">
        <v>0.73</v>
      </c>
      <c r="P654">
        <v>0</v>
      </c>
      <c r="Q654">
        <v>0.95</v>
      </c>
      <c r="R654" s="2">
        <v>0.81</v>
      </c>
      <c r="S654" t="str">
        <f>IF(Table1[[#This Row],[Years_Experience]]&lt;=5,"Early Career",
IF(Table1[[#This Row],[Years_Experience]]&lt;=15,"Mid Career","Senior Level"))</f>
        <v>Mid Career</v>
      </c>
      <c r="T654" t="str">
        <f>IF(Table1[[#This Row],[AI_Exposure_Index]]&gt;=0.7,"High Exposure", IF(Table1[[#This Row],[AI_Exposure_Index]]&gt;=0.3,"Medium Exposure","Low Exposure"))</f>
        <v>High Exposure</v>
      </c>
    </row>
    <row r="655" spans="1:20" x14ac:dyDescent="0.25">
      <c r="A655" t="s">
        <v>34</v>
      </c>
      <c r="B655">
        <v>118110</v>
      </c>
      <c r="C655" s="1">
        <v>3</v>
      </c>
      <c r="D655" t="s">
        <v>19</v>
      </c>
      <c r="E655" s="7">
        <v>1.43</v>
      </c>
      <c r="F655" s="2">
        <v>0.02</v>
      </c>
      <c r="G655" s="7">
        <v>0.62</v>
      </c>
      <c r="H655" s="9" t="s">
        <v>27</v>
      </c>
      <c r="I655">
        <v>0.84</v>
      </c>
      <c r="J655">
        <v>0.09</v>
      </c>
      <c r="K655">
        <v>0.74</v>
      </c>
      <c r="L655">
        <v>0.96</v>
      </c>
      <c r="M655">
        <v>0.68</v>
      </c>
      <c r="N655">
        <v>0.56999999999999995</v>
      </c>
      <c r="O655">
        <v>0.95</v>
      </c>
      <c r="P655">
        <v>0.44</v>
      </c>
      <c r="Q655">
        <v>0.6</v>
      </c>
      <c r="R655" s="2">
        <v>0.48</v>
      </c>
      <c r="S655" t="str">
        <f>IF(Table1[[#This Row],[Years_Experience]]&lt;=5,"Early Career",
IF(Table1[[#This Row],[Years_Experience]]&lt;=15,"Mid Career","Senior Level"))</f>
        <v>Early Career</v>
      </c>
      <c r="T655" t="str">
        <f>IF(Table1[[#This Row],[AI_Exposure_Index]]&gt;=0.7,"High Exposure", IF(Table1[[#This Row],[AI_Exposure_Index]]&gt;=0.3,"Medium Exposure","Low Exposure"))</f>
        <v>Low Exposure</v>
      </c>
    </row>
    <row r="656" spans="1:20" x14ac:dyDescent="0.25">
      <c r="A656" t="s">
        <v>30</v>
      </c>
      <c r="B656">
        <v>96178</v>
      </c>
      <c r="C656" s="1">
        <v>16</v>
      </c>
      <c r="D656" t="s">
        <v>25</v>
      </c>
      <c r="E656" s="7">
        <v>1</v>
      </c>
      <c r="F656" s="2">
        <v>0.08</v>
      </c>
      <c r="G656" s="7">
        <v>0.56999999999999995</v>
      </c>
      <c r="H656" s="9" t="s">
        <v>27</v>
      </c>
      <c r="I656">
        <v>0.79</v>
      </c>
      <c r="J656">
        <v>0.57999999999999996</v>
      </c>
      <c r="K656">
        <v>0.91</v>
      </c>
      <c r="L656">
        <v>0.94</v>
      </c>
      <c r="M656">
        <v>0.06</v>
      </c>
      <c r="N656">
        <v>0.4</v>
      </c>
      <c r="O656">
        <v>0.02</v>
      </c>
      <c r="P656">
        <v>0.33</v>
      </c>
      <c r="Q656">
        <v>0.54</v>
      </c>
      <c r="R656" s="2">
        <v>0.91</v>
      </c>
      <c r="S656" t="str">
        <f>IF(Table1[[#This Row],[Years_Experience]]&lt;=5,"Early Career",
IF(Table1[[#This Row],[Years_Experience]]&lt;=15,"Mid Career","Senior Level"))</f>
        <v>Senior Level</v>
      </c>
      <c r="T656" t="str">
        <f>IF(Table1[[#This Row],[AI_Exposure_Index]]&gt;=0.7,"High Exposure", IF(Table1[[#This Row],[AI_Exposure_Index]]&gt;=0.3,"Medium Exposure","Low Exposure"))</f>
        <v>Low Exposure</v>
      </c>
    </row>
    <row r="657" spans="1:20" x14ac:dyDescent="0.25">
      <c r="A657" t="s">
        <v>32</v>
      </c>
      <c r="B657">
        <v>146903</v>
      </c>
      <c r="C657" s="1">
        <v>21</v>
      </c>
      <c r="D657" t="s">
        <v>22</v>
      </c>
      <c r="E657" s="7">
        <v>0.59</v>
      </c>
      <c r="F657" s="2">
        <v>0.13</v>
      </c>
      <c r="G657" s="7">
        <v>0.54</v>
      </c>
      <c r="H657" s="9" t="s">
        <v>27</v>
      </c>
      <c r="I657">
        <v>0.53</v>
      </c>
      <c r="J657">
        <v>0.27</v>
      </c>
      <c r="K657">
        <v>0.9</v>
      </c>
      <c r="L657">
        <v>0.93</v>
      </c>
      <c r="M657">
        <v>0.4</v>
      </c>
      <c r="N657">
        <v>0.89</v>
      </c>
      <c r="O657">
        <v>0.38</v>
      </c>
      <c r="P657">
        <v>0.74</v>
      </c>
      <c r="Q657">
        <v>0.48</v>
      </c>
      <c r="R657" s="2">
        <v>0.12</v>
      </c>
      <c r="S657" t="str">
        <f>IF(Table1[[#This Row],[Years_Experience]]&lt;=5,"Early Career",
IF(Table1[[#This Row],[Years_Experience]]&lt;=15,"Mid Career","Senior Level"))</f>
        <v>Senior Level</v>
      </c>
      <c r="T657" t="str">
        <f>IF(Table1[[#This Row],[AI_Exposure_Index]]&gt;=0.7,"High Exposure", IF(Table1[[#This Row],[AI_Exposure_Index]]&gt;=0.3,"Medium Exposure","Low Exposure"))</f>
        <v>Low Exposure</v>
      </c>
    </row>
    <row r="658" spans="1:20" x14ac:dyDescent="0.25">
      <c r="A658" t="s">
        <v>42</v>
      </c>
      <c r="B658">
        <v>101835</v>
      </c>
      <c r="C658" s="1">
        <v>22</v>
      </c>
      <c r="D658" t="s">
        <v>19</v>
      </c>
      <c r="E658" s="7">
        <v>1.23</v>
      </c>
      <c r="F658" s="2">
        <v>0.45</v>
      </c>
      <c r="G658" s="7">
        <v>0.45</v>
      </c>
      <c r="H658" s="9" t="s">
        <v>27</v>
      </c>
      <c r="I658">
        <v>0.02</v>
      </c>
      <c r="J658">
        <v>0.1</v>
      </c>
      <c r="K658">
        <v>0.5</v>
      </c>
      <c r="L658">
        <v>0.69</v>
      </c>
      <c r="M658">
        <v>0.33</v>
      </c>
      <c r="N658">
        <v>0.7</v>
      </c>
      <c r="O658">
        <v>0.7</v>
      </c>
      <c r="P658">
        <v>0.7</v>
      </c>
      <c r="Q658">
        <v>0.49</v>
      </c>
      <c r="R658" s="2">
        <v>0.91</v>
      </c>
      <c r="S658" t="str">
        <f>IF(Table1[[#This Row],[Years_Experience]]&lt;=5,"Early Career",
IF(Table1[[#This Row],[Years_Experience]]&lt;=15,"Mid Career","Senior Level"))</f>
        <v>Senior Level</v>
      </c>
      <c r="T658" t="str">
        <f>IF(Table1[[#This Row],[AI_Exposure_Index]]&gt;=0.7,"High Exposure", IF(Table1[[#This Row],[AI_Exposure_Index]]&gt;=0.3,"Medium Exposure","Low Exposure"))</f>
        <v>Medium Exposure</v>
      </c>
    </row>
    <row r="659" spans="1:20" x14ac:dyDescent="0.25">
      <c r="A659" t="s">
        <v>34</v>
      </c>
      <c r="B659">
        <v>144300</v>
      </c>
      <c r="C659" s="1">
        <v>13</v>
      </c>
      <c r="D659" t="s">
        <v>22</v>
      </c>
      <c r="E659" s="7">
        <v>1.03</v>
      </c>
      <c r="F659" s="2">
        <v>0.27</v>
      </c>
      <c r="G659" s="7">
        <v>0.63</v>
      </c>
      <c r="H659" s="9" t="s">
        <v>27</v>
      </c>
      <c r="I659">
        <v>0.4</v>
      </c>
      <c r="J659">
        <v>0.72</v>
      </c>
      <c r="K659">
        <v>0.88</v>
      </c>
      <c r="L659">
        <v>0.22</v>
      </c>
      <c r="M659">
        <v>0.81</v>
      </c>
      <c r="N659">
        <v>0.76</v>
      </c>
      <c r="O659">
        <v>0.36</v>
      </c>
      <c r="P659">
        <v>0.99</v>
      </c>
      <c r="Q659">
        <v>0.26</v>
      </c>
      <c r="R659" s="2">
        <v>0.25</v>
      </c>
      <c r="S659" t="str">
        <f>IF(Table1[[#This Row],[Years_Experience]]&lt;=5,"Early Career",
IF(Table1[[#This Row],[Years_Experience]]&lt;=15,"Mid Career","Senior Level"))</f>
        <v>Mid Career</v>
      </c>
      <c r="T659" t="str">
        <f>IF(Table1[[#This Row],[AI_Exposure_Index]]&gt;=0.7,"High Exposure", IF(Table1[[#This Row],[AI_Exposure_Index]]&gt;=0.3,"Medium Exposure","Low Exposure"))</f>
        <v>Low Exposure</v>
      </c>
    </row>
    <row r="660" spans="1:20" x14ac:dyDescent="0.25">
      <c r="A660" t="s">
        <v>40</v>
      </c>
      <c r="B660">
        <v>80908</v>
      </c>
      <c r="C660" s="1">
        <v>14</v>
      </c>
      <c r="D660" t="s">
        <v>25</v>
      </c>
      <c r="E660" s="7">
        <v>0.83</v>
      </c>
      <c r="F660" s="2">
        <v>0.43</v>
      </c>
      <c r="G660" s="7">
        <v>0.09</v>
      </c>
      <c r="H660" s="9" t="s">
        <v>23</v>
      </c>
      <c r="I660">
        <v>0.77</v>
      </c>
      <c r="J660">
        <v>0.79</v>
      </c>
      <c r="K660">
        <v>0.56999999999999995</v>
      </c>
      <c r="L660">
        <v>0.96</v>
      </c>
      <c r="M660">
        <v>0.32</v>
      </c>
      <c r="N660">
        <v>0.22</v>
      </c>
      <c r="O660">
        <v>0.68</v>
      </c>
      <c r="P660">
        <v>0.76</v>
      </c>
      <c r="Q660">
        <v>0.22</v>
      </c>
      <c r="R660" s="2">
        <v>0.08</v>
      </c>
      <c r="S660" t="str">
        <f>IF(Table1[[#This Row],[Years_Experience]]&lt;=5,"Early Career",
IF(Table1[[#This Row],[Years_Experience]]&lt;=15,"Mid Career","Senior Level"))</f>
        <v>Mid Career</v>
      </c>
      <c r="T660" t="str">
        <f>IF(Table1[[#This Row],[AI_Exposure_Index]]&gt;=0.7,"High Exposure", IF(Table1[[#This Row],[AI_Exposure_Index]]&gt;=0.3,"Medium Exposure","Low Exposure"))</f>
        <v>Medium Exposure</v>
      </c>
    </row>
    <row r="661" spans="1:20" x14ac:dyDescent="0.25">
      <c r="A661" t="s">
        <v>32</v>
      </c>
      <c r="B661">
        <v>30567</v>
      </c>
      <c r="C661" s="1">
        <v>8</v>
      </c>
      <c r="D661" t="s">
        <v>38</v>
      </c>
      <c r="E661" s="7">
        <v>1.1399999999999999</v>
      </c>
      <c r="F661" s="2">
        <v>0.98</v>
      </c>
      <c r="G661" s="7">
        <v>0.41</v>
      </c>
      <c r="H661" s="9" t="s">
        <v>27</v>
      </c>
      <c r="I661">
        <v>1</v>
      </c>
      <c r="J661">
        <v>0.89</v>
      </c>
      <c r="K661">
        <v>0.51</v>
      </c>
      <c r="L661">
        <v>0.83</v>
      </c>
      <c r="M661">
        <v>0.82</v>
      </c>
      <c r="N661">
        <v>0.93</v>
      </c>
      <c r="O661">
        <v>0.84</v>
      </c>
      <c r="P661">
        <v>0.64</v>
      </c>
      <c r="Q661">
        <v>0.61</v>
      </c>
      <c r="R661" s="2">
        <v>0.47</v>
      </c>
      <c r="S661" t="str">
        <f>IF(Table1[[#This Row],[Years_Experience]]&lt;=5,"Early Career",
IF(Table1[[#This Row],[Years_Experience]]&lt;=15,"Mid Career","Senior Level"))</f>
        <v>Mid Career</v>
      </c>
      <c r="T661" t="str">
        <f>IF(Table1[[#This Row],[AI_Exposure_Index]]&gt;=0.7,"High Exposure", IF(Table1[[#This Row],[AI_Exposure_Index]]&gt;=0.3,"Medium Exposure","Low Exposure"))</f>
        <v>High Exposure</v>
      </c>
    </row>
    <row r="662" spans="1:20" x14ac:dyDescent="0.25">
      <c r="A662" t="s">
        <v>41</v>
      </c>
      <c r="B662">
        <v>119342</v>
      </c>
      <c r="C662" s="1">
        <v>3</v>
      </c>
      <c r="D662" t="s">
        <v>25</v>
      </c>
      <c r="E662" s="7">
        <v>1.47</v>
      </c>
      <c r="F662" s="2">
        <v>0.8</v>
      </c>
      <c r="G662" s="7">
        <v>0.82</v>
      </c>
      <c r="H662" s="9" t="s">
        <v>20</v>
      </c>
      <c r="I662">
        <v>0.56999999999999995</v>
      </c>
      <c r="J662">
        <v>0.44</v>
      </c>
      <c r="K662">
        <v>0.67</v>
      </c>
      <c r="L662">
        <v>0.63</v>
      </c>
      <c r="M662">
        <v>0.02</v>
      </c>
      <c r="N662">
        <v>0.54</v>
      </c>
      <c r="O662">
        <v>0.09</v>
      </c>
      <c r="P662">
        <v>0.03</v>
      </c>
      <c r="Q662">
        <v>0.79</v>
      </c>
      <c r="R662" s="2">
        <v>0.26</v>
      </c>
      <c r="S662" t="str">
        <f>IF(Table1[[#This Row],[Years_Experience]]&lt;=5,"Early Career",
IF(Table1[[#This Row],[Years_Experience]]&lt;=15,"Mid Career","Senior Level"))</f>
        <v>Early Career</v>
      </c>
      <c r="T662" t="str">
        <f>IF(Table1[[#This Row],[AI_Exposure_Index]]&gt;=0.7,"High Exposure", IF(Table1[[#This Row],[AI_Exposure_Index]]&gt;=0.3,"Medium Exposure","Low Exposure"))</f>
        <v>High Exposure</v>
      </c>
    </row>
    <row r="663" spans="1:20" x14ac:dyDescent="0.25">
      <c r="A663" t="s">
        <v>33</v>
      </c>
      <c r="B663">
        <v>106762</v>
      </c>
      <c r="C663" s="1">
        <v>7</v>
      </c>
      <c r="D663" t="s">
        <v>38</v>
      </c>
      <c r="E663" s="7">
        <v>0.68</v>
      </c>
      <c r="F663" s="2">
        <v>0.06</v>
      </c>
      <c r="G663" s="7">
        <v>0.89</v>
      </c>
      <c r="H663" s="9" t="s">
        <v>20</v>
      </c>
      <c r="I663">
        <v>0.49</v>
      </c>
      <c r="J663">
        <v>0.88</v>
      </c>
      <c r="K663">
        <v>0.4</v>
      </c>
      <c r="L663">
        <v>0.27</v>
      </c>
      <c r="M663">
        <v>0.35</v>
      </c>
      <c r="N663">
        <v>0.71</v>
      </c>
      <c r="O663">
        <v>0.56000000000000005</v>
      </c>
      <c r="P663">
        <v>0.9</v>
      </c>
      <c r="Q663">
        <v>0.6</v>
      </c>
      <c r="R663" s="2">
        <v>0.49</v>
      </c>
      <c r="S663" t="str">
        <f>IF(Table1[[#This Row],[Years_Experience]]&lt;=5,"Early Career",
IF(Table1[[#This Row],[Years_Experience]]&lt;=15,"Mid Career","Senior Level"))</f>
        <v>Mid Career</v>
      </c>
      <c r="T663" t="str">
        <f>IF(Table1[[#This Row],[AI_Exposure_Index]]&gt;=0.7,"High Exposure", IF(Table1[[#This Row],[AI_Exposure_Index]]&gt;=0.3,"Medium Exposure","Low Exposure"))</f>
        <v>Low Exposure</v>
      </c>
    </row>
    <row r="664" spans="1:20" x14ac:dyDescent="0.25">
      <c r="A664" t="s">
        <v>44</v>
      </c>
      <c r="B664">
        <v>101486</v>
      </c>
      <c r="C664" s="1">
        <v>16</v>
      </c>
      <c r="D664" t="s">
        <v>22</v>
      </c>
      <c r="E664" s="7">
        <v>0.86</v>
      </c>
      <c r="F664" s="2">
        <v>0.95</v>
      </c>
      <c r="G664" s="7">
        <v>0.4</v>
      </c>
      <c r="H664" s="9" t="s">
        <v>27</v>
      </c>
      <c r="I664">
        <v>0.62</v>
      </c>
      <c r="J664">
        <v>0.5</v>
      </c>
      <c r="K664">
        <v>0.99</v>
      </c>
      <c r="L664">
        <v>0.46</v>
      </c>
      <c r="M664">
        <v>7.0000000000000007E-2</v>
      </c>
      <c r="N664">
        <v>0.98</v>
      </c>
      <c r="O664">
        <v>0.84</v>
      </c>
      <c r="P664">
        <v>0.18</v>
      </c>
      <c r="Q664">
        <v>0.9</v>
      </c>
      <c r="R664" s="2">
        <v>0.34</v>
      </c>
      <c r="S664" t="str">
        <f>IF(Table1[[#This Row],[Years_Experience]]&lt;=5,"Early Career",
IF(Table1[[#This Row],[Years_Experience]]&lt;=15,"Mid Career","Senior Level"))</f>
        <v>Senior Level</v>
      </c>
      <c r="T664" t="str">
        <f>IF(Table1[[#This Row],[AI_Exposure_Index]]&gt;=0.7,"High Exposure", IF(Table1[[#This Row],[AI_Exposure_Index]]&gt;=0.3,"Medium Exposure","Low Exposure"))</f>
        <v>High Exposure</v>
      </c>
    </row>
    <row r="665" spans="1:20" x14ac:dyDescent="0.25">
      <c r="A665" t="s">
        <v>30</v>
      </c>
      <c r="B665">
        <v>56926</v>
      </c>
      <c r="C665" s="1">
        <v>15</v>
      </c>
      <c r="D665" t="s">
        <v>19</v>
      </c>
      <c r="E665" s="7">
        <v>1.03</v>
      </c>
      <c r="F665" s="2">
        <v>0.91</v>
      </c>
      <c r="G665" s="7">
        <v>0.36</v>
      </c>
      <c r="H665" s="9" t="s">
        <v>27</v>
      </c>
      <c r="I665">
        <v>0.37</v>
      </c>
      <c r="J665">
        <v>0.72</v>
      </c>
      <c r="K665">
        <v>0.17</v>
      </c>
      <c r="L665">
        <v>0.59</v>
      </c>
      <c r="M665">
        <v>0.7</v>
      </c>
      <c r="N665">
        <v>0.34</v>
      </c>
      <c r="O665">
        <v>0.69</v>
      </c>
      <c r="P665">
        <v>0.88</v>
      </c>
      <c r="Q665">
        <v>0.47</v>
      </c>
      <c r="R665" s="2">
        <v>0.38</v>
      </c>
      <c r="S665" t="str">
        <f>IF(Table1[[#This Row],[Years_Experience]]&lt;=5,"Early Career",
IF(Table1[[#This Row],[Years_Experience]]&lt;=15,"Mid Career","Senior Level"))</f>
        <v>Mid Career</v>
      </c>
      <c r="T665" t="str">
        <f>IF(Table1[[#This Row],[AI_Exposure_Index]]&gt;=0.7,"High Exposure", IF(Table1[[#This Row],[AI_Exposure_Index]]&gt;=0.3,"Medium Exposure","Low Exposure"))</f>
        <v>High Exposure</v>
      </c>
    </row>
    <row r="666" spans="1:20" x14ac:dyDescent="0.25">
      <c r="A666" t="s">
        <v>21</v>
      </c>
      <c r="B666">
        <v>64986</v>
      </c>
      <c r="C666" s="1">
        <v>26</v>
      </c>
      <c r="D666" t="s">
        <v>22</v>
      </c>
      <c r="E666" s="7">
        <v>1.36</v>
      </c>
      <c r="F666" s="2">
        <v>0.75</v>
      </c>
      <c r="G666" s="7">
        <v>0.21</v>
      </c>
      <c r="H666" s="9" t="s">
        <v>23</v>
      </c>
      <c r="I666">
        <v>0.86</v>
      </c>
      <c r="J666">
        <v>0.11</v>
      </c>
      <c r="K666">
        <v>0.35</v>
      </c>
      <c r="L666">
        <v>0.88</v>
      </c>
      <c r="M666">
        <v>0.2</v>
      </c>
      <c r="N666">
        <v>0.08</v>
      </c>
      <c r="O666">
        <v>0.79</v>
      </c>
      <c r="P666">
        <v>0.84</v>
      </c>
      <c r="Q666">
        <v>0.16</v>
      </c>
      <c r="R666" s="2">
        <v>0.85</v>
      </c>
      <c r="S666" t="str">
        <f>IF(Table1[[#This Row],[Years_Experience]]&lt;=5,"Early Career",
IF(Table1[[#This Row],[Years_Experience]]&lt;=15,"Mid Career","Senior Level"))</f>
        <v>Senior Level</v>
      </c>
      <c r="T666" t="str">
        <f>IF(Table1[[#This Row],[AI_Exposure_Index]]&gt;=0.7,"High Exposure", IF(Table1[[#This Row],[AI_Exposure_Index]]&gt;=0.3,"Medium Exposure","Low Exposure"))</f>
        <v>High Exposure</v>
      </c>
    </row>
    <row r="667" spans="1:20" x14ac:dyDescent="0.25">
      <c r="A667" t="s">
        <v>28</v>
      </c>
      <c r="B667">
        <v>30944</v>
      </c>
      <c r="C667" s="1">
        <v>9</v>
      </c>
      <c r="D667" t="s">
        <v>25</v>
      </c>
      <c r="E667" s="7">
        <v>1.33</v>
      </c>
      <c r="F667" s="2">
        <v>0.52</v>
      </c>
      <c r="G667" s="7">
        <v>0.47</v>
      </c>
      <c r="H667" s="9" t="s">
        <v>27</v>
      </c>
      <c r="I667">
        <v>0.19</v>
      </c>
      <c r="J667">
        <v>0.28000000000000003</v>
      </c>
      <c r="K667">
        <v>0.51</v>
      </c>
      <c r="L667">
        <v>0.53</v>
      </c>
      <c r="M667">
        <v>0.81</v>
      </c>
      <c r="N667">
        <v>0.79</v>
      </c>
      <c r="O667">
        <v>0.57999999999999996</v>
      </c>
      <c r="P667">
        <v>0.78</v>
      </c>
      <c r="Q667">
        <v>0.19</v>
      </c>
      <c r="R667" s="2">
        <v>0.05</v>
      </c>
      <c r="S667" t="str">
        <f>IF(Table1[[#This Row],[Years_Experience]]&lt;=5,"Early Career",
IF(Table1[[#This Row],[Years_Experience]]&lt;=15,"Mid Career","Senior Level"))</f>
        <v>Mid Career</v>
      </c>
      <c r="T667" t="str">
        <f>IF(Table1[[#This Row],[AI_Exposure_Index]]&gt;=0.7,"High Exposure", IF(Table1[[#This Row],[AI_Exposure_Index]]&gt;=0.3,"Medium Exposure","Low Exposure"))</f>
        <v>Medium Exposure</v>
      </c>
    </row>
    <row r="668" spans="1:20" x14ac:dyDescent="0.25">
      <c r="A668" t="s">
        <v>32</v>
      </c>
      <c r="B668">
        <v>60540</v>
      </c>
      <c r="C668" s="1">
        <v>11</v>
      </c>
      <c r="D668" t="s">
        <v>19</v>
      </c>
      <c r="E668" s="7">
        <v>0.75</v>
      </c>
      <c r="F668" s="2">
        <v>0.08</v>
      </c>
      <c r="G668" s="7">
        <v>0.57999999999999996</v>
      </c>
      <c r="H668" s="9" t="s">
        <v>27</v>
      </c>
      <c r="I668">
        <v>0.41</v>
      </c>
      <c r="J668">
        <v>0.88</v>
      </c>
      <c r="K668">
        <v>0.3</v>
      </c>
      <c r="L668">
        <v>0.01</v>
      </c>
      <c r="M668">
        <v>0.3</v>
      </c>
      <c r="N668">
        <v>0.57999999999999996</v>
      </c>
      <c r="O668">
        <v>0.38</v>
      </c>
      <c r="P668">
        <v>0.53</v>
      </c>
      <c r="Q668">
        <v>0.88</v>
      </c>
      <c r="R668" s="2">
        <v>0.91</v>
      </c>
      <c r="S668" t="str">
        <f>IF(Table1[[#This Row],[Years_Experience]]&lt;=5,"Early Career",
IF(Table1[[#This Row],[Years_Experience]]&lt;=15,"Mid Career","Senior Level"))</f>
        <v>Mid Career</v>
      </c>
      <c r="T668" t="str">
        <f>IF(Table1[[#This Row],[AI_Exposure_Index]]&gt;=0.7,"High Exposure", IF(Table1[[#This Row],[AI_Exposure_Index]]&gt;=0.3,"Medium Exposure","Low Exposure"))</f>
        <v>Low Exposure</v>
      </c>
    </row>
    <row r="669" spans="1:20" x14ac:dyDescent="0.25">
      <c r="A669" t="s">
        <v>36</v>
      </c>
      <c r="B669">
        <v>87410</v>
      </c>
      <c r="C669" s="1">
        <v>12</v>
      </c>
      <c r="D669" t="s">
        <v>38</v>
      </c>
      <c r="E669" s="7">
        <v>1.05</v>
      </c>
      <c r="F669" s="2">
        <v>0.46</v>
      </c>
      <c r="G669" s="7">
        <v>0.68</v>
      </c>
      <c r="H669" s="9" t="s">
        <v>27</v>
      </c>
      <c r="I669">
        <v>1</v>
      </c>
      <c r="J669">
        <v>0.24</v>
      </c>
      <c r="K669">
        <v>0.73</v>
      </c>
      <c r="L669">
        <v>0.38</v>
      </c>
      <c r="M669">
        <v>0.01</v>
      </c>
      <c r="N669">
        <v>0.01</v>
      </c>
      <c r="O669">
        <v>0.46</v>
      </c>
      <c r="P669">
        <v>0.49</v>
      </c>
      <c r="Q669">
        <v>0.02</v>
      </c>
      <c r="R669" s="2">
        <v>0.69</v>
      </c>
      <c r="S669" t="str">
        <f>IF(Table1[[#This Row],[Years_Experience]]&lt;=5,"Early Career",
IF(Table1[[#This Row],[Years_Experience]]&lt;=15,"Mid Career","Senior Level"))</f>
        <v>Mid Career</v>
      </c>
      <c r="T669" t="str">
        <f>IF(Table1[[#This Row],[AI_Exposure_Index]]&gt;=0.7,"High Exposure", IF(Table1[[#This Row],[AI_Exposure_Index]]&gt;=0.3,"Medium Exposure","Low Exposure"))</f>
        <v>Medium Exposure</v>
      </c>
    </row>
    <row r="670" spans="1:20" x14ac:dyDescent="0.25">
      <c r="A670" t="s">
        <v>36</v>
      </c>
      <c r="B670">
        <v>148362</v>
      </c>
      <c r="C670" s="1">
        <v>2</v>
      </c>
      <c r="D670" t="s">
        <v>19</v>
      </c>
      <c r="E670" s="7">
        <v>0.8</v>
      </c>
      <c r="F670" s="2">
        <v>0.56000000000000005</v>
      </c>
      <c r="G670" s="7">
        <v>0.37</v>
      </c>
      <c r="H670" s="9" t="s">
        <v>27</v>
      </c>
      <c r="I670">
        <v>0.41</v>
      </c>
      <c r="J670">
        <v>0.23</v>
      </c>
      <c r="K670">
        <v>0.53</v>
      </c>
      <c r="L670">
        <v>0.2</v>
      </c>
      <c r="M670">
        <v>0.51</v>
      </c>
      <c r="N670">
        <v>0.16</v>
      </c>
      <c r="O670">
        <v>0.67</v>
      </c>
      <c r="P670">
        <v>0.75</v>
      </c>
      <c r="Q670">
        <v>0.11</v>
      </c>
      <c r="R670" s="2">
        <v>0.47</v>
      </c>
      <c r="S670" t="str">
        <f>IF(Table1[[#This Row],[Years_Experience]]&lt;=5,"Early Career",
IF(Table1[[#This Row],[Years_Experience]]&lt;=15,"Mid Career","Senior Level"))</f>
        <v>Early Career</v>
      </c>
      <c r="T670" t="str">
        <f>IF(Table1[[#This Row],[AI_Exposure_Index]]&gt;=0.7,"High Exposure", IF(Table1[[#This Row],[AI_Exposure_Index]]&gt;=0.3,"Medium Exposure","Low Exposure"))</f>
        <v>Medium Exposure</v>
      </c>
    </row>
    <row r="671" spans="1:20" x14ac:dyDescent="0.25">
      <c r="A671" t="s">
        <v>26</v>
      </c>
      <c r="B671">
        <v>72460</v>
      </c>
      <c r="C671" s="1">
        <v>12</v>
      </c>
      <c r="D671" t="s">
        <v>19</v>
      </c>
      <c r="E671" s="7">
        <v>0.76</v>
      </c>
      <c r="F671" s="2">
        <v>0.6</v>
      </c>
      <c r="G671" s="7">
        <v>0.51</v>
      </c>
      <c r="H671" s="9" t="s">
        <v>27</v>
      </c>
      <c r="I671">
        <v>0.52</v>
      </c>
      <c r="J671">
        <v>0.92</v>
      </c>
      <c r="K671">
        <v>0.55000000000000004</v>
      </c>
      <c r="L671">
        <v>0.57999999999999996</v>
      </c>
      <c r="M671">
        <v>0.4</v>
      </c>
      <c r="N671">
        <v>0.95</v>
      </c>
      <c r="O671">
        <v>0.78</v>
      </c>
      <c r="P671">
        <v>0.28999999999999998</v>
      </c>
      <c r="Q671">
        <v>0.84</v>
      </c>
      <c r="R671" s="2">
        <v>0.43</v>
      </c>
      <c r="S671" t="str">
        <f>IF(Table1[[#This Row],[Years_Experience]]&lt;=5,"Early Career",
IF(Table1[[#This Row],[Years_Experience]]&lt;=15,"Mid Career","Senior Level"))</f>
        <v>Mid Career</v>
      </c>
      <c r="T671" t="str">
        <f>IF(Table1[[#This Row],[AI_Exposure_Index]]&gt;=0.7,"High Exposure", IF(Table1[[#This Row],[AI_Exposure_Index]]&gt;=0.3,"Medium Exposure","Low Exposure"))</f>
        <v>Medium Exposure</v>
      </c>
    </row>
    <row r="672" spans="1:20" x14ac:dyDescent="0.25">
      <c r="A672" t="s">
        <v>42</v>
      </c>
      <c r="B672">
        <v>130257</v>
      </c>
      <c r="C672" s="1">
        <v>4</v>
      </c>
      <c r="D672" t="s">
        <v>19</v>
      </c>
      <c r="E672" s="7">
        <v>0.69</v>
      </c>
      <c r="F672" s="2">
        <v>0.82</v>
      </c>
      <c r="G672" s="7">
        <v>0.57999999999999996</v>
      </c>
      <c r="H672" s="9" t="s">
        <v>27</v>
      </c>
      <c r="I672">
        <v>0.28999999999999998</v>
      </c>
      <c r="J672">
        <v>0.3</v>
      </c>
      <c r="K672">
        <v>0.3</v>
      </c>
      <c r="L672">
        <v>0.73</v>
      </c>
      <c r="M672">
        <v>0.23</v>
      </c>
      <c r="N672">
        <v>0</v>
      </c>
      <c r="O672">
        <v>0.72</v>
      </c>
      <c r="P672">
        <v>0.17</v>
      </c>
      <c r="Q672">
        <v>0.1</v>
      </c>
      <c r="R672" s="2">
        <v>0.24</v>
      </c>
      <c r="S672" t="str">
        <f>IF(Table1[[#This Row],[Years_Experience]]&lt;=5,"Early Career",
IF(Table1[[#This Row],[Years_Experience]]&lt;=15,"Mid Career","Senior Level"))</f>
        <v>Early Career</v>
      </c>
      <c r="T672" t="str">
        <f>IF(Table1[[#This Row],[AI_Exposure_Index]]&gt;=0.7,"High Exposure", IF(Table1[[#This Row],[AI_Exposure_Index]]&gt;=0.3,"Medium Exposure","Low Exposure"))</f>
        <v>High Exposure</v>
      </c>
    </row>
    <row r="673" spans="1:20" x14ac:dyDescent="0.25">
      <c r="A673" t="s">
        <v>41</v>
      </c>
      <c r="B673">
        <v>106054</v>
      </c>
      <c r="C673" s="1">
        <v>29</v>
      </c>
      <c r="D673" t="s">
        <v>25</v>
      </c>
      <c r="E673" s="7">
        <v>0.54</v>
      </c>
      <c r="F673" s="2">
        <v>0.48</v>
      </c>
      <c r="G673" s="7">
        <v>0.94</v>
      </c>
      <c r="H673" s="9" t="s">
        <v>20</v>
      </c>
      <c r="I673">
        <v>0.72</v>
      </c>
      <c r="J673">
        <v>0.32</v>
      </c>
      <c r="K673">
        <v>0.32</v>
      </c>
      <c r="L673">
        <v>0.45</v>
      </c>
      <c r="M673">
        <v>0.63</v>
      </c>
      <c r="N673">
        <v>0.15</v>
      </c>
      <c r="O673">
        <v>0.19</v>
      </c>
      <c r="P673">
        <v>0.86</v>
      </c>
      <c r="Q673">
        <v>0.26</v>
      </c>
      <c r="R673" s="2">
        <v>0.38</v>
      </c>
      <c r="S673" t="str">
        <f>IF(Table1[[#This Row],[Years_Experience]]&lt;=5,"Early Career",
IF(Table1[[#This Row],[Years_Experience]]&lt;=15,"Mid Career","Senior Level"))</f>
        <v>Senior Level</v>
      </c>
      <c r="T673" t="str">
        <f>IF(Table1[[#This Row],[AI_Exposure_Index]]&gt;=0.7,"High Exposure", IF(Table1[[#This Row],[AI_Exposure_Index]]&gt;=0.3,"Medium Exposure","Low Exposure"))</f>
        <v>Medium Exposure</v>
      </c>
    </row>
    <row r="674" spans="1:20" x14ac:dyDescent="0.25">
      <c r="A674" t="s">
        <v>31</v>
      </c>
      <c r="B674">
        <v>139588</v>
      </c>
      <c r="C674" s="1">
        <v>26</v>
      </c>
      <c r="D674" t="s">
        <v>22</v>
      </c>
      <c r="E674" s="7">
        <v>0.84</v>
      </c>
      <c r="F674" s="2">
        <v>0.66</v>
      </c>
      <c r="G674" s="7">
        <v>0.22</v>
      </c>
      <c r="H674" s="9" t="s">
        <v>23</v>
      </c>
      <c r="I674">
        <v>0.02</v>
      </c>
      <c r="J674">
        <v>0.74</v>
      </c>
      <c r="K674">
        <v>0.49</v>
      </c>
      <c r="L674">
        <v>0.81</v>
      </c>
      <c r="M674">
        <v>0.95</v>
      </c>
      <c r="N674">
        <v>0.93</v>
      </c>
      <c r="O674">
        <v>0.91</v>
      </c>
      <c r="P674">
        <v>0.51</v>
      </c>
      <c r="Q674">
        <v>0.36</v>
      </c>
      <c r="R674" s="2">
        <v>0.47</v>
      </c>
      <c r="S674" t="str">
        <f>IF(Table1[[#This Row],[Years_Experience]]&lt;=5,"Early Career",
IF(Table1[[#This Row],[Years_Experience]]&lt;=15,"Mid Career","Senior Level"))</f>
        <v>Senior Level</v>
      </c>
      <c r="T674" t="str">
        <f>IF(Table1[[#This Row],[AI_Exposure_Index]]&gt;=0.7,"High Exposure", IF(Table1[[#This Row],[AI_Exposure_Index]]&gt;=0.3,"Medium Exposure","Low Exposure"))</f>
        <v>Medium Exposure</v>
      </c>
    </row>
    <row r="675" spans="1:20" x14ac:dyDescent="0.25">
      <c r="A675" t="s">
        <v>32</v>
      </c>
      <c r="B675">
        <v>97143</v>
      </c>
      <c r="C675" s="1">
        <v>15</v>
      </c>
      <c r="D675" t="s">
        <v>38</v>
      </c>
      <c r="E675" s="7">
        <v>0.71</v>
      </c>
      <c r="F675" s="2">
        <v>0.88</v>
      </c>
      <c r="G675" s="7">
        <v>0.67</v>
      </c>
      <c r="H675" s="9" t="s">
        <v>27</v>
      </c>
      <c r="I675">
        <v>0.82</v>
      </c>
      <c r="J675">
        <v>0.98</v>
      </c>
      <c r="K675">
        <v>0.88</v>
      </c>
      <c r="L675">
        <v>0.28000000000000003</v>
      </c>
      <c r="M675">
        <v>0.11</v>
      </c>
      <c r="N675">
        <v>0.11</v>
      </c>
      <c r="O675">
        <v>0.28999999999999998</v>
      </c>
      <c r="P675">
        <v>0.61</v>
      </c>
      <c r="Q675">
        <v>0.8</v>
      </c>
      <c r="R675" s="2">
        <v>0.9</v>
      </c>
      <c r="S675" t="str">
        <f>IF(Table1[[#This Row],[Years_Experience]]&lt;=5,"Early Career",
IF(Table1[[#This Row],[Years_Experience]]&lt;=15,"Mid Career","Senior Level"))</f>
        <v>Mid Career</v>
      </c>
      <c r="T675" t="str">
        <f>IF(Table1[[#This Row],[AI_Exposure_Index]]&gt;=0.7,"High Exposure", IF(Table1[[#This Row],[AI_Exposure_Index]]&gt;=0.3,"Medium Exposure","Low Exposure"))</f>
        <v>High Exposure</v>
      </c>
    </row>
    <row r="676" spans="1:20" x14ac:dyDescent="0.25">
      <c r="A676" t="s">
        <v>30</v>
      </c>
      <c r="B676">
        <v>49798</v>
      </c>
      <c r="C676" s="1">
        <v>14</v>
      </c>
      <c r="D676" t="s">
        <v>22</v>
      </c>
      <c r="E676" s="7">
        <v>0.69</v>
      </c>
      <c r="F676" s="2">
        <v>0.01</v>
      </c>
      <c r="G676" s="7">
        <v>0.34</v>
      </c>
      <c r="H676" s="9" t="s">
        <v>27</v>
      </c>
      <c r="I676">
        <v>0.36</v>
      </c>
      <c r="J676">
        <v>0.5</v>
      </c>
      <c r="K676">
        <v>0.04</v>
      </c>
      <c r="L676">
        <v>0.35</v>
      </c>
      <c r="M676">
        <v>0.18</v>
      </c>
      <c r="N676">
        <v>0.65</v>
      </c>
      <c r="O676">
        <v>0.46</v>
      </c>
      <c r="P676">
        <v>0.5</v>
      </c>
      <c r="Q676">
        <v>0.43</v>
      </c>
      <c r="R676" s="2">
        <v>0.96</v>
      </c>
      <c r="S676" t="str">
        <f>IF(Table1[[#This Row],[Years_Experience]]&lt;=5,"Early Career",
IF(Table1[[#This Row],[Years_Experience]]&lt;=15,"Mid Career","Senior Level"))</f>
        <v>Mid Career</v>
      </c>
      <c r="T676" t="str">
        <f>IF(Table1[[#This Row],[AI_Exposure_Index]]&gt;=0.7,"High Exposure", IF(Table1[[#This Row],[AI_Exposure_Index]]&gt;=0.3,"Medium Exposure","Low Exposure"))</f>
        <v>Low Exposure</v>
      </c>
    </row>
    <row r="677" spans="1:20" x14ac:dyDescent="0.25">
      <c r="A677" t="s">
        <v>40</v>
      </c>
      <c r="B677">
        <v>87748</v>
      </c>
      <c r="C677" s="1">
        <v>7</v>
      </c>
      <c r="D677" t="s">
        <v>22</v>
      </c>
      <c r="E677" s="7">
        <v>1.24</v>
      </c>
      <c r="F677" s="2">
        <v>0.52</v>
      </c>
      <c r="G677" s="7">
        <v>0.19</v>
      </c>
      <c r="H677" s="9" t="s">
        <v>23</v>
      </c>
      <c r="I677">
        <v>0.93</v>
      </c>
      <c r="J677">
        <v>0.38</v>
      </c>
      <c r="K677">
        <v>0.46</v>
      </c>
      <c r="L677">
        <v>0.09</v>
      </c>
      <c r="M677">
        <v>0.61</v>
      </c>
      <c r="N677">
        <v>0.28999999999999998</v>
      </c>
      <c r="O677">
        <v>0.16</v>
      </c>
      <c r="P677">
        <v>0.54</v>
      </c>
      <c r="Q677">
        <v>0.53</v>
      </c>
      <c r="R677" s="2">
        <v>0.08</v>
      </c>
      <c r="S677" t="str">
        <f>IF(Table1[[#This Row],[Years_Experience]]&lt;=5,"Early Career",
IF(Table1[[#This Row],[Years_Experience]]&lt;=15,"Mid Career","Senior Level"))</f>
        <v>Mid Career</v>
      </c>
      <c r="T677" t="str">
        <f>IF(Table1[[#This Row],[AI_Exposure_Index]]&gt;=0.7,"High Exposure", IF(Table1[[#This Row],[AI_Exposure_Index]]&gt;=0.3,"Medium Exposure","Low Exposure"))</f>
        <v>Medium Exposure</v>
      </c>
    </row>
    <row r="678" spans="1:20" x14ac:dyDescent="0.25">
      <c r="A678" t="s">
        <v>39</v>
      </c>
      <c r="B678">
        <v>46254</v>
      </c>
      <c r="C678" s="1">
        <v>16</v>
      </c>
      <c r="D678" t="s">
        <v>25</v>
      </c>
      <c r="E678" s="7">
        <v>0.69</v>
      </c>
      <c r="F678" s="2">
        <v>0.62</v>
      </c>
      <c r="G678" s="7">
        <v>0.82</v>
      </c>
      <c r="H678" s="9" t="s">
        <v>20</v>
      </c>
      <c r="I678">
        <v>0.72</v>
      </c>
      <c r="J678">
        <v>0.53</v>
      </c>
      <c r="K678">
        <v>0.4</v>
      </c>
      <c r="L678">
        <v>0.32</v>
      </c>
      <c r="M678">
        <v>0.61</v>
      </c>
      <c r="N678">
        <v>0.94</v>
      </c>
      <c r="O678">
        <v>0.67</v>
      </c>
      <c r="P678">
        <v>7.0000000000000007E-2</v>
      </c>
      <c r="Q678">
        <v>0.46</v>
      </c>
      <c r="R678" s="2">
        <v>0.89</v>
      </c>
      <c r="S678" t="str">
        <f>IF(Table1[[#This Row],[Years_Experience]]&lt;=5,"Early Career",
IF(Table1[[#This Row],[Years_Experience]]&lt;=15,"Mid Career","Senior Level"))</f>
        <v>Senior Level</v>
      </c>
      <c r="T678" t="str">
        <f>IF(Table1[[#This Row],[AI_Exposure_Index]]&gt;=0.7,"High Exposure", IF(Table1[[#This Row],[AI_Exposure_Index]]&gt;=0.3,"Medium Exposure","Low Exposure"))</f>
        <v>Medium Exposure</v>
      </c>
    </row>
    <row r="679" spans="1:20" x14ac:dyDescent="0.25">
      <c r="A679" t="s">
        <v>42</v>
      </c>
      <c r="B679">
        <v>75211</v>
      </c>
      <c r="C679" s="1">
        <v>1</v>
      </c>
      <c r="D679" t="s">
        <v>38</v>
      </c>
      <c r="E679" s="7">
        <v>1.45</v>
      </c>
      <c r="F679" s="2">
        <v>0.99</v>
      </c>
      <c r="G679" s="7">
        <v>0.33</v>
      </c>
      <c r="H679" s="9" t="s">
        <v>27</v>
      </c>
      <c r="I679">
        <v>0.93</v>
      </c>
      <c r="J679">
        <v>0.36</v>
      </c>
      <c r="K679">
        <v>0.84</v>
      </c>
      <c r="L679">
        <v>0.42</v>
      </c>
      <c r="M679">
        <v>0.44</v>
      </c>
      <c r="N679">
        <v>0.63</v>
      </c>
      <c r="O679">
        <v>0.77</v>
      </c>
      <c r="P679">
        <v>0.03</v>
      </c>
      <c r="Q679">
        <v>0.59</v>
      </c>
      <c r="R679" s="2">
        <v>0.19</v>
      </c>
      <c r="S679" t="str">
        <f>IF(Table1[[#This Row],[Years_Experience]]&lt;=5,"Early Career",
IF(Table1[[#This Row],[Years_Experience]]&lt;=15,"Mid Career","Senior Level"))</f>
        <v>Early Career</v>
      </c>
      <c r="T679" t="str">
        <f>IF(Table1[[#This Row],[AI_Exposure_Index]]&gt;=0.7,"High Exposure", IF(Table1[[#This Row],[AI_Exposure_Index]]&gt;=0.3,"Medium Exposure","Low Exposure"))</f>
        <v>High Exposure</v>
      </c>
    </row>
    <row r="680" spans="1:20" x14ac:dyDescent="0.25">
      <c r="A680" t="s">
        <v>32</v>
      </c>
      <c r="B680">
        <v>39695</v>
      </c>
      <c r="C680" s="1">
        <v>6</v>
      </c>
      <c r="D680" t="s">
        <v>22</v>
      </c>
      <c r="E680" s="7">
        <v>0.97</v>
      </c>
      <c r="F680" s="2">
        <v>0.35</v>
      </c>
      <c r="G680" s="7">
        <v>0.43</v>
      </c>
      <c r="H680" s="9" t="s">
        <v>27</v>
      </c>
      <c r="I680">
        <v>0.11</v>
      </c>
      <c r="J680">
        <v>0.15</v>
      </c>
      <c r="K680">
        <v>0.03</v>
      </c>
      <c r="L680">
        <v>0.47</v>
      </c>
      <c r="M680">
        <v>0.95</v>
      </c>
      <c r="N680">
        <v>0.12</v>
      </c>
      <c r="O680">
        <v>0.95</v>
      </c>
      <c r="P680">
        <v>0.73</v>
      </c>
      <c r="Q680">
        <v>0.64</v>
      </c>
      <c r="R680" s="2">
        <v>0.65</v>
      </c>
      <c r="S680" t="str">
        <f>IF(Table1[[#This Row],[Years_Experience]]&lt;=5,"Early Career",
IF(Table1[[#This Row],[Years_Experience]]&lt;=15,"Mid Career","Senior Level"))</f>
        <v>Mid Career</v>
      </c>
      <c r="T680" t="str">
        <f>IF(Table1[[#This Row],[AI_Exposure_Index]]&gt;=0.7,"High Exposure", IF(Table1[[#This Row],[AI_Exposure_Index]]&gt;=0.3,"Medium Exposure","Low Exposure"))</f>
        <v>Medium Exposure</v>
      </c>
    </row>
    <row r="681" spans="1:20" x14ac:dyDescent="0.25">
      <c r="A681" t="s">
        <v>30</v>
      </c>
      <c r="B681">
        <v>57740</v>
      </c>
      <c r="C681" s="1">
        <v>0</v>
      </c>
      <c r="D681" t="s">
        <v>38</v>
      </c>
      <c r="E681" s="7">
        <v>1</v>
      </c>
      <c r="F681" s="2">
        <v>0.11</v>
      </c>
      <c r="G681" s="7">
        <v>0.57999999999999996</v>
      </c>
      <c r="H681" s="9" t="s">
        <v>27</v>
      </c>
      <c r="I681">
        <v>0.59</v>
      </c>
      <c r="J681">
        <v>0.83</v>
      </c>
      <c r="K681">
        <v>7.0000000000000007E-2</v>
      </c>
      <c r="L681">
        <v>0.69</v>
      </c>
      <c r="M681">
        <v>0.53</v>
      </c>
      <c r="N681">
        <v>0.38</v>
      </c>
      <c r="O681">
        <v>0.34</v>
      </c>
      <c r="P681">
        <v>0.62</v>
      </c>
      <c r="Q681">
        <v>0.89</v>
      </c>
      <c r="R681" s="2">
        <v>0.5</v>
      </c>
      <c r="S681" t="str">
        <f>IF(Table1[[#This Row],[Years_Experience]]&lt;=5,"Early Career",
IF(Table1[[#This Row],[Years_Experience]]&lt;=15,"Mid Career","Senior Level"))</f>
        <v>Early Career</v>
      </c>
      <c r="T681" t="str">
        <f>IF(Table1[[#This Row],[AI_Exposure_Index]]&gt;=0.7,"High Exposure", IF(Table1[[#This Row],[AI_Exposure_Index]]&gt;=0.3,"Medium Exposure","Low Exposure"))</f>
        <v>Low Exposure</v>
      </c>
    </row>
    <row r="682" spans="1:20" x14ac:dyDescent="0.25">
      <c r="A682" t="s">
        <v>18</v>
      </c>
      <c r="B682">
        <v>99306</v>
      </c>
      <c r="C682" s="1">
        <v>14</v>
      </c>
      <c r="D682" t="s">
        <v>38</v>
      </c>
      <c r="E682" s="7">
        <v>0.6</v>
      </c>
      <c r="F682" s="2">
        <v>0.4</v>
      </c>
      <c r="G682" s="7">
        <v>0.72</v>
      </c>
      <c r="H682" s="9" t="s">
        <v>20</v>
      </c>
      <c r="I682">
        <v>0.05</v>
      </c>
      <c r="J682">
        <v>0.38</v>
      </c>
      <c r="K682">
        <v>0.34</v>
      </c>
      <c r="L682">
        <v>0.72</v>
      </c>
      <c r="M682">
        <v>0.74</v>
      </c>
      <c r="N682">
        <v>0.05</v>
      </c>
      <c r="O682">
        <v>0.22</v>
      </c>
      <c r="P682">
        <v>0.27</v>
      </c>
      <c r="Q682">
        <v>0.55000000000000004</v>
      </c>
      <c r="R682" s="2">
        <v>0.14000000000000001</v>
      </c>
      <c r="S682" t="str">
        <f>IF(Table1[[#This Row],[Years_Experience]]&lt;=5,"Early Career",
IF(Table1[[#This Row],[Years_Experience]]&lt;=15,"Mid Career","Senior Level"))</f>
        <v>Mid Career</v>
      </c>
      <c r="T682" t="str">
        <f>IF(Table1[[#This Row],[AI_Exposure_Index]]&gt;=0.7,"High Exposure", IF(Table1[[#This Row],[AI_Exposure_Index]]&gt;=0.3,"Medium Exposure","Low Exposure"))</f>
        <v>Medium Exposure</v>
      </c>
    </row>
    <row r="683" spans="1:20" x14ac:dyDescent="0.25">
      <c r="A683" t="s">
        <v>34</v>
      </c>
      <c r="B683">
        <v>54524</v>
      </c>
      <c r="C683" s="1">
        <v>17</v>
      </c>
      <c r="D683" t="s">
        <v>25</v>
      </c>
      <c r="E683" s="7">
        <v>0.56999999999999995</v>
      </c>
      <c r="F683" s="2">
        <v>0.42</v>
      </c>
      <c r="G683" s="7">
        <v>0.5</v>
      </c>
      <c r="H683" s="9" t="s">
        <v>27</v>
      </c>
      <c r="I683">
        <v>0.46</v>
      </c>
      <c r="J683">
        <v>0.77</v>
      </c>
      <c r="K683">
        <v>0.66</v>
      </c>
      <c r="L683">
        <v>0.45</v>
      </c>
      <c r="M683">
        <v>0.22</v>
      </c>
      <c r="N683">
        <v>0.73</v>
      </c>
      <c r="O683">
        <v>0.71</v>
      </c>
      <c r="P683">
        <v>0.15</v>
      </c>
      <c r="Q683">
        <v>0.91</v>
      </c>
      <c r="R683" s="2">
        <v>0.06</v>
      </c>
      <c r="S683" t="str">
        <f>IF(Table1[[#This Row],[Years_Experience]]&lt;=5,"Early Career",
IF(Table1[[#This Row],[Years_Experience]]&lt;=15,"Mid Career","Senior Level"))</f>
        <v>Senior Level</v>
      </c>
      <c r="T683" t="str">
        <f>IF(Table1[[#This Row],[AI_Exposure_Index]]&gt;=0.7,"High Exposure", IF(Table1[[#This Row],[AI_Exposure_Index]]&gt;=0.3,"Medium Exposure","Low Exposure"))</f>
        <v>Medium Exposure</v>
      </c>
    </row>
    <row r="684" spans="1:20" x14ac:dyDescent="0.25">
      <c r="A684" t="s">
        <v>34</v>
      </c>
      <c r="B684">
        <v>92345</v>
      </c>
      <c r="C684" s="1">
        <v>23</v>
      </c>
      <c r="D684" t="s">
        <v>38</v>
      </c>
      <c r="E684" s="7">
        <v>1.41</v>
      </c>
      <c r="F684" s="2">
        <v>0.19</v>
      </c>
      <c r="G684" s="7">
        <v>0.51</v>
      </c>
      <c r="H684" s="9" t="s">
        <v>27</v>
      </c>
      <c r="I684">
        <v>0.79</v>
      </c>
      <c r="J684">
        <v>0.23</v>
      </c>
      <c r="K684">
        <v>0.49</v>
      </c>
      <c r="L684">
        <v>0.36</v>
      </c>
      <c r="M684">
        <v>0.83</v>
      </c>
      <c r="N684">
        <v>0.02</v>
      </c>
      <c r="O684">
        <v>0.24</v>
      </c>
      <c r="P684">
        <v>0.15</v>
      </c>
      <c r="Q684">
        <v>0.86</v>
      </c>
      <c r="R684" s="2">
        <v>0.47</v>
      </c>
      <c r="S684" t="str">
        <f>IF(Table1[[#This Row],[Years_Experience]]&lt;=5,"Early Career",
IF(Table1[[#This Row],[Years_Experience]]&lt;=15,"Mid Career","Senior Level"))</f>
        <v>Senior Level</v>
      </c>
      <c r="T684" t="str">
        <f>IF(Table1[[#This Row],[AI_Exposure_Index]]&gt;=0.7,"High Exposure", IF(Table1[[#This Row],[AI_Exposure_Index]]&gt;=0.3,"Medium Exposure","Low Exposure"))</f>
        <v>Low Exposure</v>
      </c>
    </row>
    <row r="685" spans="1:20" x14ac:dyDescent="0.25">
      <c r="A685" t="s">
        <v>31</v>
      </c>
      <c r="B685">
        <v>93220</v>
      </c>
      <c r="C685" s="1">
        <v>27</v>
      </c>
      <c r="D685" t="s">
        <v>19</v>
      </c>
      <c r="E685" s="7">
        <v>1.47</v>
      </c>
      <c r="F685" s="2">
        <v>0.45</v>
      </c>
      <c r="G685" s="7">
        <v>0.26</v>
      </c>
      <c r="H685" s="9" t="s">
        <v>23</v>
      </c>
      <c r="I685">
        <v>0.71</v>
      </c>
      <c r="J685">
        <v>0.28999999999999998</v>
      </c>
      <c r="K685">
        <v>0.17</v>
      </c>
      <c r="L685">
        <v>0.92</v>
      </c>
      <c r="M685">
        <v>0.42</v>
      </c>
      <c r="N685">
        <v>0.28000000000000003</v>
      </c>
      <c r="O685">
        <v>0.47</v>
      </c>
      <c r="P685">
        <v>0.92</v>
      </c>
      <c r="Q685">
        <v>0.39</v>
      </c>
      <c r="R685" s="2">
        <v>0.56000000000000005</v>
      </c>
      <c r="S685" t="str">
        <f>IF(Table1[[#This Row],[Years_Experience]]&lt;=5,"Early Career",
IF(Table1[[#This Row],[Years_Experience]]&lt;=15,"Mid Career","Senior Level"))</f>
        <v>Senior Level</v>
      </c>
      <c r="T685" t="str">
        <f>IF(Table1[[#This Row],[AI_Exposure_Index]]&gt;=0.7,"High Exposure", IF(Table1[[#This Row],[AI_Exposure_Index]]&gt;=0.3,"Medium Exposure","Low Exposure"))</f>
        <v>Medium Exposure</v>
      </c>
    </row>
    <row r="686" spans="1:20" x14ac:dyDescent="0.25">
      <c r="A686" t="s">
        <v>35</v>
      </c>
      <c r="B686">
        <v>108610</v>
      </c>
      <c r="C686" s="1">
        <v>13</v>
      </c>
      <c r="D686" t="s">
        <v>19</v>
      </c>
      <c r="E686" s="7">
        <v>0.73</v>
      </c>
      <c r="F686" s="2">
        <v>0.43</v>
      </c>
      <c r="G686" s="7">
        <v>0.7</v>
      </c>
      <c r="H686" s="9" t="s">
        <v>27</v>
      </c>
      <c r="I686">
        <v>0.96</v>
      </c>
      <c r="J686">
        <v>0.84</v>
      </c>
      <c r="K686">
        <v>0.69</v>
      </c>
      <c r="L686">
        <v>0.28999999999999998</v>
      </c>
      <c r="M686">
        <v>0.91</v>
      </c>
      <c r="N686">
        <v>0.28000000000000003</v>
      </c>
      <c r="O686">
        <v>0.8</v>
      </c>
      <c r="P686">
        <v>0.92</v>
      </c>
      <c r="Q686">
        <v>0.6</v>
      </c>
      <c r="R686" s="2">
        <v>0.8</v>
      </c>
      <c r="S686" t="str">
        <f>IF(Table1[[#This Row],[Years_Experience]]&lt;=5,"Early Career",
IF(Table1[[#This Row],[Years_Experience]]&lt;=15,"Mid Career","Senior Level"))</f>
        <v>Mid Career</v>
      </c>
      <c r="T686" t="str">
        <f>IF(Table1[[#This Row],[AI_Exposure_Index]]&gt;=0.7,"High Exposure", IF(Table1[[#This Row],[AI_Exposure_Index]]&gt;=0.3,"Medium Exposure","Low Exposure"))</f>
        <v>Medium Exposure</v>
      </c>
    </row>
    <row r="687" spans="1:20" x14ac:dyDescent="0.25">
      <c r="A687" t="s">
        <v>28</v>
      </c>
      <c r="B687">
        <v>64722</v>
      </c>
      <c r="C687" s="1">
        <v>23</v>
      </c>
      <c r="D687" t="s">
        <v>38</v>
      </c>
      <c r="E687" s="7">
        <v>1.17</v>
      </c>
      <c r="F687" s="2">
        <v>0.19</v>
      </c>
      <c r="G687" s="7">
        <v>0.34</v>
      </c>
      <c r="H687" s="9" t="s">
        <v>27</v>
      </c>
      <c r="I687">
        <v>0.51</v>
      </c>
      <c r="J687">
        <v>0.16</v>
      </c>
      <c r="K687">
        <v>0.42</v>
      </c>
      <c r="L687">
        <v>0.83</v>
      </c>
      <c r="M687">
        <v>0.99</v>
      </c>
      <c r="N687">
        <v>0.32</v>
      </c>
      <c r="O687">
        <v>0.53</v>
      </c>
      <c r="P687">
        <v>0.51</v>
      </c>
      <c r="Q687">
        <v>0.95</v>
      </c>
      <c r="R687" s="2">
        <v>0.48</v>
      </c>
      <c r="S687" t="str">
        <f>IF(Table1[[#This Row],[Years_Experience]]&lt;=5,"Early Career",
IF(Table1[[#This Row],[Years_Experience]]&lt;=15,"Mid Career","Senior Level"))</f>
        <v>Senior Level</v>
      </c>
      <c r="T687" t="str">
        <f>IF(Table1[[#This Row],[AI_Exposure_Index]]&gt;=0.7,"High Exposure", IF(Table1[[#This Row],[AI_Exposure_Index]]&gt;=0.3,"Medium Exposure","Low Exposure"))</f>
        <v>Low Exposure</v>
      </c>
    </row>
    <row r="688" spans="1:20" x14ac:dyDescent="0.25">
      <c r="A688" t="s">
        <v>18</v>
      </c>
      <c r="B688">
        <v>70910</v>
      </c>
      <c r="C688" s="1">
        <v>20</v>
      </c>
      <c r="D688" t="s">
        <v>22</v>
      </c>
      <c r="E688" s="7">
        <v>0.87</v>
      </c>
      <c r="F688" s="2">
        <v>0.92</v>
      </c>
      <c r="G688" s="7">
        <v>0.93</v>
      </c>
      <c r="H688" s="9" t="s">
        <v>20</v>
      </c>
      <c r="I688">
        <v>0.92</v>
      </c>
      <c r="J688">
        <v>0.93</v>
      </c>
      <c r="K688">
        <v>0.27</v>
      </c>
      <c r="L688">
        <v>0.4</v>
      </c>
      <c r="M688">
        <v>0.87</v>
      </c>
      <c r="N688">
        <v>0.36</v>
      </c>
      <c r="O688">
        <v>0.6</v>
      </c>
      <c r="P688">
        <v>0.12</v>
      </c>
      <c r="Q688">
        <v>0.06</v>
      </c>
      <c r="R688" s="2">
        <v>0.41</v>
      </c>
      <c r="S688" t="str">
        <f>IF(Table1[[#This Row],[Years_Experience]]&lt;=5,"Early Career",
IF(Table1[[#This Row],[Years_Experience]]&lt;=15,"Mid Career","Senior Level"))</f>
        <v>Senior Level</v>
      </c>
      <c r="T688" t="str">
        <f>IF(Table1[[#This Row],[AI_Exposure_Index]]&gt;=0.7,"High Exposure", IF(Table1[[#This Row],[AI_Exposure_Index]]&gt;=0.3,"Medium Exposure","Low Exposure"))</f>
        <v>High Exposure</v>
      </c>
    </row>
    <row r="689" spans="1:20" x14ac:dyDescent="0.25">
      <c r="A689" t="s">
        <v>29</v>
      </c>
      <c r="B689">
        <v>138347</v>
      </c>
      <c r="C689" s="1">
        <v>21</v>
      </c>
      <c r="D689" t="s">
        <v>38</v>
      </c>
      <c r="E689" s="7">
        <v>0.96</v>
      </c>
      <c r="F689" s="2">
        <v>0.78</v>
      </c>
      <c r="G689" s="7">
        <v>0.22</v>
      </c>
      <c r="H689" s="9" t="s">
        <v>23</v>
      </c>
      <c r="I689">
        <v>0.39</v>
      </c>
      <c r="J689">
        <v>0.16</v>
      </c>
      <c r="K689">
        <v>0.4</v>
      </c>
      <c r="L689">
        <v>0.57999999999999996</v>
      </c>
      <c r="M689">
        <v>0.95</v>
      </c>
      <c r="N689">
        <v>7.0000000000000007E-2</v>
      </c>
      <c r="O689">
        <v>0.51</v>
      </c>
      <c r="P689">
        <v>0.33</v>
      </c>
      <c r="Q689">
        <v>0.51</v>
      </c>
      <c r="R689" s="2">
        <v>0.02</v>
      </c>
      <c r="S689" t="str">
        <f>IF(Table1[[#This Row],[Years_Experience]]&lt;=5,"Early Career",
IF(Table1[[#This Row],[Years_Experience]]&lt;=15,"Mid Career","Senior Level"))</f>
        <v>Senior Level</v>
      </c>
      <c r="T689" t="str">
        <f>IF(Table1[[#This Row],[AI_Exposure_Index]]&gt;=0.7,"High Exposure", IF(Table1[[#This Row],[AI_Exposure_Index]]&gt;=0.3,"Medium Exposure","Low Exposure"))</f>
        <v>High Exposure</v>
      </c>
    </row>
    <row r="690" spans="1:20" x14ac:dyDescent="0.25">
      <c r="A690" t="s">
        <v>44</v>
      </c>
      <c r="B690">
        <v>58152</v>
      </c>
      <c r="C690" s="1">
        <v>13</v>
      </c>
      <c r="D690" t="s">
        <v>19</v>
      </c>
      <c r="E690" s="7">
        <v>1.05</v>
      </c>
      <c r="F690" s="2">
        <v>0.82</v>
      </c>
      <c r="G690" s="7">
        <v>0.48</v>
      </c>
      <c r="H690" s="9" t="s">
        <v>27</v>
      </c>
      <c r="I690">
        <v>0.28999999999999998</v>
      </c>
      <c r="J690">
        <v>0.3</v>
      </c>
      <c r="K690">
        <v>0.38</v>
      </c>
      <c r="L690">
        <v>0.84</v>
      </c>
      <c r="M690">
        <v>0.97</v>
      </c>
      <c r="N690">
        <v>0.44</v>
      </c>
      <c r="O690">
        <v>0.39</v>
      </c>
      <c r="P690">
        <v>0.85</v>
      </c>
      <c r="Q690">
        <v>0.43</v>
      </c>
      <c r="R690" s="2">
        <v>0.55000000000000004</v>
      </c>
      <c r="S690" t="str">
        <f>IF(Table1[[#This Row],[Years_Experience]]&lt;=5,"Early Career",
IF(Table1[[#This Row],[Years_Experience]]&lt;=15,"Mid Career","Senior Level"))</f>
        <v>Mid Career</v>
      </c>
      <c r="T690" t="str">
        <f>IF(Table1[[#This Row],[AI_Exposure_Index]]&gt;=0.7,"High Exposure", IF(Table1[[#This Row],[AI_Exposure_Index]]&gt;=0.3,"Medium Exposure","Low Exposure"))</f>
        <v>High Exposure</v>
      </c>
    </row>
    <row r="691" spans="1:20" x14ac:dyDescent="0.25">
      <c r="A691" t="s">
        <v>35</v>
      </c>
      <c r="B691">
        <v>95063</v>
      </c>
      <c r="C691" s="1">
        <v>3</v>
      </c>
      <c r="D691" t="s">
        <v>22</v>
      </c>
      <c r="E691" s="7">
        <v>1.03</v>
      </c>
      <c r="F691" s="2">
        <v>0.74</v>
      </c>
      <c r="G691" s="7">
        <v>0.62</v>
      </c>
      <c r="H691" s="9" t="s">
        <v>27</v>
      </c>
      <c r="I691">
        <v>0.78</v>
      </c>
      <c r="J691">
        <v>0.22</v>
      </c>
      <c r="K691">
        <v>0.72</v>
      </c>
      <c r="L691">
        <v>0.8</v>
      </c>
      <c r="M691">
        <v>0.35</v>
      </c>
      <c r="N691">
        <v>0.17</v>
      </c>
      <c r="O691">
        <v>0</v>
      </c>
      <c r="P691">
        <v>0.45</v>
      </c>
      <c r="Q691">
        <v>0.35</v>
      </c>
      <c r="R691" s="2">
        <v>0.55000000000000004</v>
      </c>
      <c r="S691" t="str">
        <f>IF(Table1[[#This Row],[Years_Experience]]&lt;=5,"Early Career",
IF(Table1[[#This Row],[Years_Experience]]&lt;=15,"Mid Career","Senior Level"))</f>
        <v>Early Career</v>
      </c>
      <c r="T691" t="str">
        <f>IF(Table1[[#This Row],[AI_Exposure_Index]]&gt;=0.7,"High Exposure", IF(Table1[[#This Row],[AI_Exposure_Index]]&gt;=0.3,"Medium Exposure","Low Exposure"))</f>
        <v>High Exposure</v>
      </c>
    </row>
    <row r="692" spans="1:20" x14ac:dyDescent="0.25">
      <c r="A692" t="s">
        <v>39</v>
      </c>
      <c r="B692">
        <v>125761</v>
      </c>
      <c r="C692" s="1">
        <v>21</v>
      </c>
      <c r="D692" t="s">
        <v>22</v>
      </c>
      <c r="E692" s="7">
        <v>0.76</v>
      </c>
      <c r="F692" s="2">
        <v>0.86</v>
      </c>
      <c r="G692" s="7">
        <v>0.76</v>
      </c>
      <c r="H692" s="9" t="s">
        <v>20</v>
      </c>
      <c r="I692">
        <v>0.48</v>
      </c>
      <c r="J692">
        <v>0.5</v>
      </c>
      <c r="K692">
        <v>0.22</v>
      </c>
      <c r="L692">
        <v>0.27</v>
      </c>
      <c r="M692">
        <v>0.17</v>
      </c>
      <c r="N692">
        <v>0.72</v>
      </c>
      <c r="O692">
        <v>0.77</v>
      </c>
      <c r="P692">
        <v>0.46</v>
      </c>
      <c r="Q692">
        <v>0.71</v>
      </c>
      <c r="R692" s="2">
        <v>0.74</v>
      </c>
      <c r="S692" t="str">
        <f>IF(Table1[[#This Row],[Years_Experience]]&lt;=5,"Early Career",
IF(Table1[[#This Row],[Years_Experience]]&lt;=15,"Mid Career","Senior Level"))</f>
        <v>Senior Level</v>
      </c>
      <c r="T692" t="str">
        <f>IF(Table1[[#This Row],[AI_Exposure_Index]]&gt;=0.7,"High Exposure", IF(Table1[[#This Row],[AI_Exposure_Index]]&gt;=0.3,"Medium Exposure","Low Exposure"))</f>
        <v>High Exposure</v>
      </c>
    </row>
    <row r="693" spans="1:20" x14ac:dyDescent="0.25">
      <c r="A693" t="s">
        <v>37</v>
      </c>
      <c r="B693">
        <v>31645</v>
      </c>
      <c r="C693" s="1">
        <v>4</v>
      </c>
      <c r="D693" t="s">
        <v>25</v>
      </c>
      <c r="E693" s="7">
        <v>1.32</v>
      </c>
      <c r="F693" s="2">
        <v>0.97</v>
      </c>
      <c r="G693" s="7">
        <v>0.38</v>
      </c>
      <c r="H693" s="9" t="s">
        <v>27</v>
      </c>
      <c r="I693">
        <v>0.19</v>
      </c>
      <c r="J693">
        <v>0.13</v>
      </c>
      <c r="K693">
        <v>0.14000000000000001</v>
      </c>
      <c r="L693">
        <v>0.75</v>
      </c>
      <c r="M693">
        <v>0.47</v>
      </c>
      <c r="N693">
        <v>0.78</v>
      </c>
      <c r="O693">
        <v>0.75</v>
      </c>
      <c r="P693">
        <v>0.6</v>
      </c>
      <c r="Q693">
        <v>0.69</v>
      </c>
      <c r="R693" s="2">
        <v>0.02</v>
      </c>
      <c r="S693" t="str">
        <f>IF(Table1[[#This Row],[Years_Experience]]&lt;=5,"Early Career",
IF(Table1[[#This Row],[Years_Experience]]&lt;=15,"Mid Career","Senior Level"))</f>
        <v>Early Career</v>
      </c>
      <c r="T693" t="str">
        <f>IF(Table1[[#This Row],[AI_Exposure_Index]]&gt;=0.7,"High Exposure", IF(Table1[[#This Row],[AI_Exposure_Index]]&gt;=0.3,"Medium Exposure","Low Exposure"))</f>
        <v>High Exposure</v>
      </c>
    </row>
    <row r="694" spans="1:20" x14ac:dyDescent="0.25">
      <c r="A694" t="s">
        <v>33</v>
      </c>
      <c r="B694">
        <v>73262</v>
      </c>
      <c r="C694" s="1">
        <v>2</v>
      </c>
      <c r="D694" t="s">
        <v>22</v>
      </c>
      <c r="E694" s="7">
        <v>0.51</v>
      </c>
      <c r="F694" s="2">
        <v>0.64</v>
      </c>
      <c r="G694" s="7">
        <v>0.71</v>
      </c>
      <c r="H694" s="9" t="s">
        <v>20</v>
      </c>
      <c r="I694">
        <v>0.85</v>
      </c>
      <c r="J694">
        <v>0.68</v>
      </c>
      <c r="K694">
        <v>0.27</v>
      </c>
      <c r="L694">
        <v>0.69</v>
      </c>
      <c r="M694">
        <v>0.79</v>
      </c>
      <c r="N694">
        <v>0.31</v>
      </c>
      <c r="O694">
        <v>0.04</v>
      </c>
      <c r="P694">
        <v>0.93</v>
      </c>
      <c r="Q694">
        <v>0.35</v>
      </c>
      <c r="R694" s="2">
        <v>0.11</v>
      </c>
      <c r="S694" t="str">
        <f>IF(Table1[[#This Row],[Years_Experience]]&lt;=5,"Early Career",
IF(Table1[[#This Row],[Years_Experience]]&lt;=15,"Mid Career","Senior Level"))</f>
        <v>Early Career</v>
      </c>
      <c r="T694" t="str">
        <f>IF(Table1[[#This Row],[AI_Exposure_Index]]&gt;=0.7,"High Exposure", IF(Table1[[#This Row],[AI_Exposure_Index]]&gt;=0.3,"Medium Exposure","Low Exposure"))</f>
        <v>Medium Exposure</v>
      </c>
    </row>
    <row r="695" spans="1:20" x14ac:dyDescent="0.25">
      <c r="A695" t="s">
        <v>39</v>
      </c>
      <c r="B695">
        <v>51730</v>
      </c>
      <c r="C695" s="1">
        <v>25</v>
      </c>
      <c r="D695" t="s">
        <v>25</v>
      </c>
      <c r="E695" s="7">
        <v>0.72</v>
      </c>
      <c r="F695" s="2">
        <v>0.77</v>
      </c>
      <c r="G695" s="7">
        <v>0.77</v>
      </c>
      <c r="H695" s="9" t="s">
        <v>20</v>
      </c>
      <c r="I695">
        <v>0.24</v>
      </c>
      <c r="J695">
        <v>0.99</v>
      </c>
      <c r="K695">
        <v>0.2</v>
      </c>
      <c r="L695">
        <v>0.57999999999999996</v>
      </c>
      <c r="M695">
        <v>0.93</v>
      </c>
      <c r="N695">
        <v>0.15</v>
      </c>
      <c r="O695">
        <v>0.97</v>
      </c>
      <c r="P695">
        <v>0.95</v>
      </c>
      <c r="Q695">
        <v>0.88</v>
      </c>
      <c r="R695" s="2">
        <v>0.21</v>
      </c>
      <c r="S695" t="str">
        <f>IF(Table1[[#This Row],[Years_Experience]]&lt;=5,"Early Career",
IF(Table1[[#This Row],[Years_Experience]]&lt;=15,"Mid Career","Senior Level"))</f>
        <v>Senior Level</v>
      </c>
      <c r="T695" t="str">
        <f>IF(Table1[[#This Row],[AI_Exposure_Index]]&gt;=0.7,"High Exposure", IF(Table1[[#This Row],[AI_Exposure_Index]]&gt;=0.3,"Medium Exposure","Low Exposure"))</f>
        <v>High Exposure</v>
      </c>
    </row>
    <row r="696" spans="1:20" x14ac:dyDescent="0.25">
      <c r="A696" t="s">
        <v>18</v>
      </c>
      <c r="B696">
        <v>123878</v>
      </c>
      <c r="C696" s="1">
        <v>5</v>
      </c>
      <c r="D696" t="s">
        <v>38</v>
      </c>
      <c r="E696" s="7">
        <v>0.77</v>
      </c>
      <c r="F696" s="2">
        <v>0.76</v>
      </c>
      <c r="G696" s="7">
        <v>0.82</v>
      </c>
      <c r="H696" s="9" t="s">
        <v>20</v>
      </c>
      <c r="I696">
        <v>0.82</v>
      </c>
      <c r="J696">
        <v>0.27</v>
      </c>
      <c r="K696">
        <v>0.19</v>
      </c>
      <c r="L696">
        <v>0.68</v>
      </c>
      <c r="M696">
        <v>0.53</v>
      </c>
      <c r="N696">
        <v>0.51</v>
      </c>
      <c r="O696">
        <v>0.26</v>
      </c>
      <c r="P696">
        <v>0.03</v>
      </c>
      <c r="Q696">
        <v>0.41</v>
      </c>
      <c r="R696" s="2">
        <v>0.11</v>
      </c>
      <c r="S696" t="str">
        <f>IF(Table1[[#This Row],[Years_Experience]]&lt;=5,"Early Career",
IF(Table1[[#This Row],[Years_Experience]]&lt;=15,"Mid Career","Senior Level"))</f>
        <v>Early Career</v>
      </c>
      <c r="T696" t="str">
        <f>IF(Table1[[#This Row],[AI_Exposure_Index]]&gt;=0.7,"High Exposure", IF(Table1[[#This Row],[AI_Exposure_Index]]&gt;=0.3,"Medium Exposure","Low Exposure"))</f>
        <v>High Exposure</v>
      </c>
    </row>
    <row r="697" spans="1:20" x14ac:dyDescent="0.25">
      <c r="A697" t="s">
        <v>26</v>
      </c>
      <c r="B697">
        <v>89300</v>
      </c>
      <c r="C697" s="1">
        <v>11</v>
      </c>
      <c r="D697" t="s">
        <v>25</v>
      </c>
      <c r="E697" s="7">
        <v>0.93</v>
      </c>
      <c r="F697" s="2">
        <v>0.04</v>
      </c>
      <c r="G697" s="7">
        <v>0.32</v>
      </c>
      <c r="H697" s="9" t="s">
        <v>27</v>
      </c>
      <c r="I697">
        <v>0.1</v>
      </c>
      <c r="J697">
        <v>0.66</v>
      </c>
      <c r="K697">
        <v>0.65</v>
      </c>
      <c r="L697">
        <v>0.03</v>
      </c>
      <c r="M697">
        <v>0</v>
      </c>
      <c r="N697">
        <v>0.08</v>
      </c>
      <c r="O697">
        <v>0.76</v>
      </c>
      <c r="P697">
        <v>0.57999999999999996</v>
      </c>
      <c r="Q697">
        <v>0.04</v>
      </c>
      <c r="R697" s="2">
        <v>0.49</v>
      </c>
      <c r="S697" t="str">
        <f>IF(Table1[[#This Row],[Years_Experience]]&lt;=5,"Early Career",
IF(Table1[[#This Row],[Years_Experience]]&lt;=15,"Mid Career","Senior Level"))</f>
        <v>Mid Career</v>
      </c>
      <c r="T697" t="str">
        <f>IF(Table1[[#This Row],[AI_Exposure_Index]]&gt;=0.7,"High Exposure", IF(Table1[[#This Row],[AI_Exposure_Index]]&gt;=0.3,"Medium Exposure","Low Exposure"))</f>
        <v>Low Exposure</v>
      </c>
    </row>
    <row r="698" spans="1:20" x14ac:dyDescent="0.25">
      <c r="A698" t="s">
        <v>36</v>
      </c>
      <c r="B698">
        <v>131971</v>
      </c>
      <c r="C698" s="1">
        <v>5</v>
      </c>
      <c r="D698" t="s">
        <v>38</v>
      </c>
      <c r="E698" s="7">
        <v>1.43</v>
      </c>
      <c r="F698" s="2">
        <v>0.87</v>
      </c>
      <c r="G698" s="7">
        <v>0.43</v>
      </c>
      <c r="H698" s="9" t="s">
        <v>27</v>
      </c>
      <c r="I698">
        <v>0.14000000000000001</v>
      </c>
      <c r="J698">
        <v>0.24</v>
      </c>
      <c r="K698">
        <v>0.78</v>
      </c>
      <c r="L698">
        <v>0.97</v>
      </c>
      <c r="M698">
        <v>0.47</v>
      </c>
      <c r="N698">
        <v>0.31</v>
      </c>
      <c r="O698">
        <v>0.43</v>
      </c>
      <c r="P698">
        <v>0.3</v>
      </c>
      <c r="Q698">
        <v>0.26</v>
      </c>
      <c r="R698" s="2">
        <v>0.59</v>
      </c>
      <c r="S698" t="str">
        <f>IF(Table1[[#This Row],[Years_Experience]]&lt;=5,"Early Career",
IF(Table1[[#This Row],[Years_Experience]]&lt;=15,"Mid Career","Senior Level"))</f>
        <v>Early Career</v>
      </c>
      <c r="T698" t="str">
        <f>IF(Table1[[#This Row],[AI_Exposure_Index]]&gt;=0.7,"High Exposure", IF(Table1[[#This Row],[AI_Exposure_Index]]&gt;=0.3,"Medium Exposure","Low Exposure"))</f>
        <v>High Exposure</v>
      </c>
    </row>
    <row r="699" spans="1:20" x14ac:dyDescent="0.25">
      <c r="A699" t="s">
        <v>32</v>
      </c>
      <c r="B699">
        <v>113441</v>
      </c>
      <c r="C699" s="1">
        <v>10</v>
      </c>
      <c r="D699" t="s">
        <v>38</v>
      </c>
      <c r="E699" s="7">
        <v>1.1599999999999999</v>
      </c>
      <c r="F699" s="2">
        <v>0.26</v>
      </c>
      <c r="G699" s="7">
        <v>0.31</v>
      </c>
      <c r="H699" s="9" t="s">
        <v>27</v>
      </c>
      <c r="I699">
        <v>0.08</v>
      </c>
      <c r="J699">
        <v>0.28999999999999998</v>
      </c>
      <c r="K699">
        <v>0.88</v>
      </c>
      <c r="L699">
        <v>0.76</v>
      </c>
      <c r="M699">
        <v>0.02</v>
      </c>
      <c r="N699">
        <v>0.5</v>
      </c>
      <c r="O699">
        <v>0.27</v>
      </c>
      <c r="P699">
        <v>0.65</v>
      </c>
      <c r="Q699">
        <v>0.72</v>
      </c>
      <c r="R699" s="2">
        <v>0.86</v>
      </c>
      <c r="S699" t="str">
        <f>IF(Table1[[#This Row],[Years_Experience]]&lt;=5,"Early Career",
IF(Table1[[#This Row],[Years_Experience]]&lt;=15,"Mid Career","Senior Level"))</f>
        <v>Mid Career</v>
      </c>
      <c r="T699" t="str">
        <f>IF(Table1[[#This Row],[AI_Exposure_Index]]&gt;=0.7,"High Exposure", IF(Table1[[#This Row],[AI_Exposure_Index]]&gt;=0.3,"Medium Exposure","Low Exposure"))</f>
        <v>Low Exposure</v>
      </c>
    </row>
    <row r="700" spans="1:20" x14ac:dyDescent="0.25">
      <c r="A700" t="s">
        <v>33</v>
      </c>
      <c r="B700">
        <v>87589</v>
      </c>
      <c r="C700" s="1">
        <v>15</v>
      </c>
      <c r="D700" t="s">
        <v>38</v>
      </c>
      <c r="E700" s="7">
        <v>1.48</v>
      </c>
      <c r="F700" s="2">
        <v>0.99</v>
      </c>
      <c r="G700" s="7">
        <v>0.92</v>
      </c>
      <c r="H700" s="9" t="s">
        <v>20</v>
      </c>
      <c r="I700">
        <v>0.56999999999999995</v>
      </c>
      <c r="J700">
        <v>0.4</v>
      </c>
      <c r="K700">
        <v>0.36</v>
      </c>
      <c r="L700">
        <v>0.01</v>
      </c>
      <c r="M700">
        <v>0.25</v>
      </c>
      <c r="N700">
        <v>0.72</v>
      </c>
      <c r="O700">
        <v>0.6</v>
      </c>
      <c r="P700">
        <v>0.92</v>
      </c>
      <c r="Q700">
        <v>0.05</v>
      </c>
      <c r="R700" s="2">
        <v>0.16</v>
      </c>
      <c r="S700" t="str">
        <f>IF(Table1[[#This Row],[Years_Experience]]&lt;=5,"Early Career",
IF(Table1[[#This Row],[Years_Experience]]&lt;=15,"Mid Career","Senior Level"))</f>
        <v>Mid Career</v>
      </c>
      <c r="T700" t="str">
        <f>IF(Table1[[#This Row],[AI_Exposure_Index]]&gt;=0.7,"High Exposure", IF(Table1[[#This Row],[AI_Exposure_Index]]&gt;=0.3,"Medium Exposure","Low Exposure"))</f>
        <v>High Exposure</v>
      </c>
    </row>
    <row r="701" spans="1:20" x14ac:dyDescent="0.25">
      <c r="A701" t="s">
        <v>37</v>
      </c>
      <c r="B701">
        <v>113446</v>
      </c>
      <c r="C701" s="1">
        <v>8</v>
      </c>
      <c r="D701" t="s">
        <v>25</v>
      </c>
      <c r="E701" s="7">
        <v>1.31</v>
      </c>
      <c r="F701" s="2">
        <v>0.73</v>
      </c>
      <c r="G701" s="7">
        <v>0.64</v>
      </c>
      <c r="H701" s="9" t="s">
        <v>27</v>
      </c>
      <c r="I701">
        <v>0.99</v>
      </c>
      <c r="J701">
        <v>0.28999999999999998</v>
      </c>
      <c r="K701">
        <v>0.71</v>
      </c>
      <c r="L701">
        <v>0.12</v>
      </c>
      <c r="M701">
        <v>0.41</v>
      </c>
      <c r="N701">
        <v>0.85</v>
      </c>
      <c r="O701">
        <v>0.37</v>
      </c>
      <c r="P701">
        <v>0.59</v>
      </c>
      <c r="Q701">
        <v>0.5</v>
      </c>
      <c r="R701" s="2">
        <v>0.65</v>
      </c>
      <c r="S701" t="str">
        <f>IF(Table1[[#This Row],[Years_Experience]]&lt;=5,"Early Career",
IF(Table1[[#This Row],[Years_Experience]]&lt;=15,"Mid Career","Senior Level"))</f>
        <v>Mid Career</v>
      </c>
      <c r="T701" t="str">
        <f>IF(Table1[[#This Row],[AI_Exposure_Index]]&gt;=0.7,"High Exposure", IF(Table1[[#This Row],[AI_Exposure_Index]]&gt;=0.3,"Medium Exposure","Low Exposure"))</f>
        <v>High Exposure</v>
      </c>
    </row>
    <row r="702" spans="1:20" x14ac:dyDescent="0.25">
      <c r="A702" t="s">
        <v>39</v>
      </c>
      <c r="B702">
        <v>135301</v>
      </c>
      <c r="C702" s="1">
        <v>25</v>
      </c>
      <c r="D702" t="s">
        <v>19</v>
      </c>
      <c r="E702" s="7">
        <v>1.07</v>
      </c>
      <c r="F702" s="2">
        <v>0.06</v>
      </c>
      <c r="G702" s="7">
        <v>0.92</v>
      </c>
      <c r="H702" s="9" t="s">
        <v>20</v>
      </c>
      <c r="I702">
        <v>0.48</v>
      </c>
      <c r="J702">
        <v>0.08</v>
      </c>
      <c r="K702">
        <v>0.56000000000000005</v>
      </c>
      <c r="L702">
        <v>0.33</v>
      </c>
      <c r="M702">
        <v>0.15</v>
      </c>
      <c r="N702">
        <v>0.85</v>
      </c>
      <c r="O702">
        <v>0.52</v>
      </c>
      <c r="P702">
        <v>0.93</v>
      </c>
      <c r="Q702">
        <v>0.81</v>
      </c>
      <c r="R702" s="2">
        <v>0.69</v>
      </c>
      <c r="S702" t="str">
        <f>IF(Table1[[#This Row],[Years_Experience]]&lt;=5,"Early Career",
IF(Table1[[#This Row],[Years_Experience]]&lt;=15,"Mid Career","Senior Level"))</f>
        <v>Senior Level</v>
      </c>
      <c r="T702" t="str">
        <f>IF(Table1[[#This Row],[AI_Exposure_Index]]&gt;=0.7,"High Exposure", IF(Table1[[#This Row],[AI_Exposure_Index]]&gt;=0.3,"Medium Exposure","Low Exposure"))</f>
        <v>Low Exposure</v>
      </c>
    </row>
    <row r="703" spans="1:20" x14ac:dyDescent="0.25">
      <c r="A703" t="s">
        <v>35</v>
      </c>
      <c r="B703">
        <v>118552</v>
      </c>
      <c r="C703" s="1">
        <v>4</v>
      </c>
      <c r="D703" t="s">
        <v>19</v>
      </c>
      <c r="E703" s="7">
        <v>0.7</v>
      </c>
      <c r="F703" s="2">
        <v>0.43</v>
      </c>
      <c r="G703" s="7">
        <v>0.66</v>
      </c>
      <c r="H703" s="9" t="s">
        <v>27</v>
      </c>
      <c r="I703">
        <v>0.17</v>
      </c>
      <c r="J703">
        <v>0.28999999999999998</v>
      </c>
      <c r="K703">
        <v>0.52</v>
      </c>
      <c r="L703">
        <v>0.26</v>
      </c>
      <c r="M703">
        <v>0.21</v>
      </c>
      <c r="N703">
        <v>0.6</v>
      </c>
      <c r="O703">
        <v>0.09</v>
      </c>
      <c r="P703">
        <v>0.06</v>
      </c>
      <c r="Q703">
        <v>0.37</v>
      </c>
      <c r="R703" s="2">
        <v>0.72</v>
      </c>
      <c r="S703" t="str">
        <f>IF(Table1[[#This Row],[Years_Experience]]&lt;=5,"Early Career",
IF(Table1[[#This Row],[Years_Experience]]&lt;=15,"Mid Career","Senior Level"))</f>
        <v>Early Career</v>
      </c>
      <c r="T703" t="str">
        <f>IF(Table1[[#This Row],[AI_Exposure_Index]]&gt;=0.7,"High Exposure", IF(Table1[[#This Row],[AI_Exposure_Index]]&gt;=0.3,"Medium Exposure","Low Exposure"))</f>
        <v>Medium Exposure</v>
      </c>
    </row>
    <row r="704" spans="1:20" x14ac:dyDescent="0.25">
      <c r="A704" t="s">
        <v>44</v>
      </c>
      <c r="B704">
        <v>148977</v>
      </c>
      <c r="C704" s="1">
        <v>29</v>
      </c>
      <c r="D704" t="s">
        <v>22</v>
      </c>
      <c r="E704" s="7">
        <v>1.07</v>
      </c>
      <c r="F704" s="2">
        <v>0.42</v>
      </c>
      <c r="G704" s="7">
        <v>0.45</v>
      </c>
      <c r="H704" s="9" t="s">
        <v>27</v>
      </c>
      <c r="I704">
        <v>0.94</v>
      </c>
      <c r="J704">
        <v>0.05</v>
      </c>
      <c r="K704">
        <v>0.67</v>
      </c>
      <c r="L704">
        <v>0.89</v>
      </c>
      <c r="M704">
        <v>0.8</v>
      </c>
      <c r="N704">
        <v>0.18</v>
      </c>
      <c r="O704">
        <v>0.3</v>
      </c>
      <c r="P704">
        <v>0.72</v>
      </c>
      <c r="Q704">
        <v>0.08</v>
      </c>
      <c r="R704" s="2">
        <v>0.81</v>
      </c>
      <c r="S704" t="str">
        <f>IF(Table1[[#This Row],[Years_Experience]]&lt;=5,"Early Career",
IF(Table1[[#This Row],[Years_Experience]]&lt;=15,"Mid Career","Senior Level"))</f>
        <v>Senior Level</v>
      </c>
      <c r="T704" t="str">
        <f>IF(Table1[[#This Row],[AI_Exposure_Index]]&gt;=0.7,"High Exposure", IF(Table1[[#This Row],[AI_Exposure_Index]]&gt;=0.3,"Medium Exposure","Low Exposure"))</f>
        <v>Medium Exposure</v>
      </c>
    </row>
    <row r="705" spans="1:20" x14ac:dyDescent="0.25">
      <c r="A705" t="s">
        <v>34</v>
      </c>
      <c r="B705">
        <v>48715</v>
      </c>
      <c r="C705" s="1">
        <v>17</v>
      </c>
      <c r="D705" t="s">
        <v>19</v>
      </c>
      <c r="E705" s="7">
        <v>0.6</v>
      </c>
      <c r="F705" s="2">
        <v>0.73</v>
      </c>
      <c r="G705" s="7">
        <v>0.59</v>
      </c>
      <c r="H705" s="9" t="s">
        <v>27</v>
      </c>
      <c r="I705">
        <v>0.68</v>
      </c>
      <c r="J705">
        <v>0.83</v>
      </c>
      <c r="K705">
        <v>0.04</v>
      </c>
      <c r="L705">
        <v>0.02</v>
      </c>
      <c r="M705">
        <v>0.37</v>
      </c>
      <c r="N705">
        <v>0.15</v>
      </c>
      <c r="O705">
        <v>0.56000000000000005</v>
      </c>
      <c r="P705">
        <v>0.92</v>
      </c>
      <c r="Q705">
        <v>0.39</v>
      </c>
      <c r="R705" s="2">
        <v>0.84</v>
      </c>
      <c r="S705" t="str">
        <f>IF(Table1[[#This Row],[Years_Experience]]&lt;=5,"Early Career",
IF(Table1[[#This Row],[Years_Experience]]&lt;=15,"Mid Career","Senior Level"))</f>
        <v>Senior Level</v>
      </c>
      <c r="T705" t="str">
        <f>IF(Table1[[#This Row],[AI_Exposure_Index]]&gt;=0.7,"High Exposure", IF(Table1[[#This Row],[AI_Exposure_Index]]&gt;=0.3,"Medium Exposure","Low Exposure"))</f>
        <v>High Exposure</v>
      </c>
    </row>
    <row r="706" spans="1:20" x14ac:dyDescent="0.25">
      <c r="A706" t="s">
        <v>32</v>
      </c>
      <c r="B706">
        <v>147045</v>
      </c>
      <c r="C706" s="1">
        <v>19</v>
      </c>
      <c r="D706" t="s">
        <v>22</v>
      </c>
      <c r="E706" s="7">
        <v>0.53</v>
      </c>
      <c r="F706" s="2">
        <v>0.17</v>
      </c>
      <c r="G706" s="7">
        <v>0.43</v>
      </c>
      <c r="H706" s="9" t="s">
        <v>27</v>
      </c>
      <c r="I706">
        <v>0.91</v>
      </c>
      <c r="J706">
        <v>0.1</v>
      </c>
      <c r="K706">
        <v>0.61</v>
      </c>
      <c r="L706">
        <v>0.45</v>
      </c>
      <c r="M706">
        <v>0.94</v>
      </c>
      <c r="N706">
        <v>0.12</v>
      </c>
      <c r="O706">
        <v>0.21</v>
      </c>
      <c r="P706">
        <v>0.03</v>
      </c>
      <c r="Q706">
        <v>0.43</v>
      </c>
      <c r="R706" s="2">
        <v>0.28000000000000003</v>
      </c>
      <c r="S706" t="str">
        <f>IF(Table1[[#This Row],[Years_Experience]]&lt;=5,"Early Career",
IF(Table1[[#This Row],[Years_Experience]]&lt;=15,"Mid Career","Senior Level"))</f>
        <v>Senior Level</v>
      </c>
      <c r="T706" t="str">
        <f>IF(Table1[[#This Row],[AI_Exposure_Index]]&gt;=0.7,"High Exposure", IF(Table1[[#This Row],[AI_Exposure_Index]]&gt;=0.3,"Medium Exposure","Low Exposure"))</f>
        <v>Low Exposure</v>
      </c>
    </row>
    <row r="707" spans="1:20" x14ac:dyDescent="0.25">
      <c r="A707" t="s">
        <v>26</v>
      </c>
      <c r="B707">
        <v>40196</v>
      </c>
      <c r="C707" s="1">
        <v>16</v>
      </c>
      <c r="D707" t="s">
        <v>25</v>
      </c>
      <c r="E707" s="7">
        <v>1.1100000000000001</v>
      </c>
      <c r="F707" s="2">
        <v>0.6</v>
      </c>
      <c r="G707" s="7">
        <v>0.51</v>
      </c>
      <c r="H707" s="9" t="s">
        <v>27</v>
      </c>
      <c r="I707">
        <v>0.09</v>
      </c>
      <c r="J707">
        <v>0.45</v>
      </c>
      <c r="K707">
        <v>1</v>
      </c>
      <c r="L707">
        <v>0.84</v>
      </c>
      <c r="M707">
        <v>0.89</v>
      </c>
      <c r="N707">
        <v>0.82</v>
      </c>
      <c r="O707">
        <v>0.1</v>
      </c>
      <c r="P707">
        <v>0.23</v>
      </c>
      <c r="Q707">
        <v>0</v>
      </c>
      <c r="R707" s="2">
        <v>0.3</v>
      </c>
      <c r="S707" t="str">
        <f>IF(Table1[[#This Row],[Years_Experience]]&lt;=5,"Early Career",
IF(Table1[[#This Row],[Years_Experience]]&lt;=15,"Mid Career","Senior Level"))</f>
        <v>Senior Level</v>
      </c>
      <c r="T707" t="str">
        <f>IF(Table1[[#This Row],[AI_Exposure_Index]]&gt;=0.7,"High Exposure", IF(Table1[[#This Row],[AI_Exposure_Index]]&gt;=0.3,"Medium Exposure","Low Exposure"))</f>
        <v>Medium Exposure</v>
      </c>
    </row>
    <row r="708" spans="1:20" x14ac:dyDescent="0.25">
      <c r="A708" t="s">
        <v>41</v>
      </c>
      <c r="B708">
        <v>141054</v>
      </c>
      <c r="C708" s="1">
        <v>25</v>
      </c>
      <c r="D708" t="s">
        <v>22</v>
      </c>
      <c r="E708" s="7">
        <v>1.18</v>
      </c>
      <c r="F708" s="2">
        <v>0.47</v>
      </c>
      <c r="G708" s="7">
        <v>0.92</v>
      </c>
      <c r="H708" s="9" t="s">
        <v>20</v>
      </c>
      <c r="I708">
        <v>0.75</v>
      </c>
      <c r="J708">
        <v>0.94</v>
      </c>
      <c r="K708">
        <v>0.05</v>
      </c>
      <c r="L708">
        <v>0.01</v>
      </c>
      <c r="M708">
        <v>0.66</v>
      </c>
      <c r="N708">
        <v>0.28999999999999998</v>
      </c>
      <c r="O708">
        <v>0.25</v>
      </c>
      <c r="P708">
        <v>0.33</v>
      </c>
      <c r="Q708">
        <v>0.27</v>
      </c>
      <c r="R708" s="2">
        <v>0.51</v>
      </c>
      <c r="S708" t="str">
        <f>IF(Table1[[#This Row],[Years_Experience]]&lt;=5,"Early Career",
IF(Table1[[#This Row],[Years_Experience]]&lt;=15,"Mid Career","Senior Level"))</f>
        <v>Senior Level</v>
      </c>
      <c r="T708" t="str">
        <f>IF(Table1[[#This Row],[AI_Exposure_Index]]&gt;=0.7,"High Exposure", IF(Table1[[#This Row],[AI_Exposure_Index]]&gt;=0.3,"Medium Exposure","Low Exposure"))</f>
        <v>Medium Exposure</v>
      </c>
    </row>
    <row r="709" spans="1:20" x14ac:dyDescent="0.25">
      <c r="A709" t="s">
        <v>33</v>
      </c>
      <c r="B709">
        <v>132785</v>
      </c>
      <c r="C709" s="1">
        <v>24</v>
      </c>
      <c r="D709" t="s">
        <v>22</v>
      </c>
      <c r="E709" s="7">
        <v>1.17</v>
      </c>
      <c r="F709" s="2">
        <v>0.51</v>
      </c>
      <c r="G709" s="7">
        <v>0.8</v>
      </c>
      <c r="H709" s="9" t="s">
        <v>20</v>
      </c>
      <c r="I709">
        <v>0.25</v>
      </c>
      <c r="J709">
        <v>0.17</v>
      </c>
      <c r="K709">
        <v>0.35</v>
      </c>
      <c r="L709">
        <v>0.74</v>
      </c>
      <c r="M709">
        <v>0.76</v>
      </c>
      <c r="N709">
        <v>0.67</v>
      </c>
      <c r="O709">
        <v>0.23</v>
      </c>
      <c r="P709">
        <v>0.59</v>
      </c>
      <c r="Q709">
        <v>0.56999999999999995</v>
      </c>
      <c r="R709" s="2">
        <v>0.48</v>
      </c>
      <c r="S709" t="str">
        <f>IF(Table1[[#This Row],[Years_Experience]]&lt;=5,"Early Career",
IF(Table1[[#This Row],[Years_Experience]]&lt;=15,"Mid Career","Senior Level"))</f>
        <v>Senior Level</v>
      </c>
      <c r="T709" t="str">
        <f>IF(Table1[[#This Row],[AI_Exposure_Index]]&gt;=0.7,"High Exposure", IF(Table1[[#This Row],[AI_Exposure_Index]]&gt;=0.3,"Medium Exposure","Low Exposure"))</f>
        <v>Medium Exposure</v>
      </c>
    </row>
    <row r="710" spans="1:20" x14ac:dyDescent="0.25">
      <c r="A710" t="s">
        <v>34</v>
      </c>
      <c r="B710">
        <v>123249</v>
      </c>
      <c r="C710" s="1">
        <v>23</v>
      </c>
      <c r="D710" t="s">
        <v>19</v>
      </c>
      <c r="E710" s="7">
        <v>1.07</v>
      </c>
      <c r="F710" s="2">
        <v>0.49</v>
      </c>
      <c r="G710" s="7">
        <v>0.59</v>
      </c>
      <c r="H710" s="9" t="s">
        <v>27</v>
      </c>
      <c r="I710">
        <v>0.11</v>
      </c>
      <c r="J710">
        <v>0.75</v>
      </c>
      <c r="K710">
        <v>0.14000000000000001</v>
      </c>
      <c r="L710">
        <v>7.0000000000000007E-2</v>
      </c>
      <c r="M710">
        <v>0.98</v>
      </c>
      <c r="N710">
        <v>0.96</v>
      </c>
      <c r="O710">
        <v>0.06</v>
      </c>
      <c r="P710">
        <v>0.44</v>
      </c>
      <c r="Q710">
        <v>0.19</v>
      </c>
      <c r="R710" s="2">
        <v>0.49</v>
      </c>
      <c r="S710" t="str">
        <f>IF(Table1[[#This Row],[Years_Experience]]&lt;=5,"Early Career",
IF(Table1[[#This Row],[Years_Experience]]&lt;=15,"Mid Career","Senior Level"))</f>
        <v>Senior Level</v>
      </c>
      <c r="T710" t="str">
        <f>IF(Table1[[#This Row],[AI_Exposure_Index]]&gt;=0.7,"High Exposure", IF(Table1[[#This Row],[AI_Exposure_Index]]&gt;=0.3,"Medium Exposure","Low Exposure"))</f>
        <v>Medium Exposure</v>
      </c>
    </row>
    <row r="711" spans="1:20" x14ac:dyDescent="0.25">
      <c r="A711" t="s">
        <v>21</v>
      </c>
      <c r="B711">
        <v>62500</v>
      </c>
      <c r="C711" s="1">
        <v>21</v>
      </c>
      <c r="D711" t="s">
        <v>38</v>
      </c>
      <c r="E711" s="7">
        <v>1.1299999999999999</v>
      </c>
      <c r="F711" s="2">
        <v>0.95</v>
      </c>
      <c r="G711" s="7">
        <v>0.14000000000000001</v>
      </c>
      <c r="H711" s="9" t="s">
        <v>23</v>
      </c>
      <c r="I711">
        <v>0.6</v>
      </c>
      <c r="J711">
        <v>0.31</v>
      </c>
      <c r="K711">
        <v>0.91</v>
      </c>
      <c r="L711">
        <v>0.87</v>
      </c>
      <c r="M711">
        <v>0.56000000000000005</v>
      </c>
      <c r="N711">
        <v>0.32</v>
      </c>
      <c r="O711">
        <v>0.28999999999999998</v>
      </c>
      <c r="P711">
        <v>0.03</v>
      </c>
      <c r="Q711">
        <v>0.82</v>
      </c>
      <c r="R711" s="2">
        <v>0.45</v>
      </c>
      <c r="S711" t="str">
        <f>IF(Table1[[#This Row],[Years_Experience]]&lt;=5,"Early Career",
IF(Table1[[#This Row],[Years_Experience]]&lt;=15,"Mid Career","Senior Level"))</f>
        <v>Senior Level</v>
      </c>
      <c r="T711" t="str">
        <f>IF(Table1[[#This Row],[AI_Exposure_Index]]&gt;=0.7,"High Exposure", IF(Table1[[#This Row],[AI_Exposure_Index]]&gt;=0.3,"Medium Exposure","Low Exposure"))</f>
        <v>High Exposure</v>
      </c>
    </row>
    <row r="712" spans="1:20" x14ac:dyDescent="0.25">
      <c r="A712" t="s">
        <v>33</v>
      </c>
      <c r="B712">
        <v>136128</v>
      </c>
      <c r="C712" s="1">
        <v>9</v>
      </c>
      <c r="D712" t="s">
        <v>38</v>
      </c>
      <c r="E712" s="7">
        <v>1.41</v>
      </c>
      <c r="F712" s="2">
        <v>0.49</v>
      </c>
      <c r="G712" s="7">
        <v>0.91</v>
      </c>
      <c r="H712" s="9" t="s">
        <v>20</v>
      </c>
      <c r="I712">
        <v>0.15</v>
      </c>
      <c r="J712">
        <v>0.71</v>
      </c>
      <c r="K712">
        <v>0.44</v>
      </c>
      <c r="L712">
        <v>0.25</v>
      </c>
      <c r="M712">
        <v>0.69</v>
      </c>
      <c r="N712">
        <v>0.74</v>
      </c>
      <c r="O712">
        <v>0.18</v>
      </c>
      <c r="P712">
        <v>0.91</v>
      </c>
      <c r="Q712">
        <v>0.75</v>
      </c>
      <c r="R712" s="2">
        <v>0.93</v>
      </c>
      <c r="S712" t="str">
        <f>IF(Table1[[#This Row],[Years_Experience]]&lt;=5,"Early Career",
IF(Table1[[#This Row],[Years_Experience]]&lt;=15,"Mid Career","Senior Level"))</f>
        <v>Mid Career</v>
      </c>
      <c r="T712" t="str">
        <f>IF(Table1[[#This Row],[AI_Exposure_Index]]&gt;=0.7,"High Exposure", IF(Table1[[#This Row],[AI_Exposure_Index]]&gt;=0.3,"Medium Exposure","Low Exposure"))</f>
        <v>Medium Exposure</v>
      </c>
    </row>
    <row r="713" spans="1:20" x14ac:dyDescent="0.25">
      <c r="A713" t="s">
        <v>29</v>
      </c>
      <c r="B713">
        <v>142109</v>
      </c>
      <c r="C713" s="1">
        <v>8</v>
      </c>
      <c r="D713" t="s">
        <v>38</v>
      </c>
      <c r="E713" s="7">
        <v>0.87</v>
      </c>
      <c r="F713" s="2">
        <v>0.94</v>
      </c>
      <c r="G713" s="7">
        <v>0.06</v>
      </c>
      <c r="H713" s="9" t="s">
        <v>23</v>
      </c>
      <c r="I713">
        <v>0.76</v>
      </c>
      <c r="J713">
        <v>0.7</v>
      </c>
      <c r="K713">
        <v>0.6</v>
      </c>
      <c r="L713">
        <v>0.49</v>
      </c>
      <c r="M713">
        <v>0.03</v>
      </c>
      <c r="N713">
        <v>0.62</v>
      </c>
      <c r="O713">
        <v>0.42</v>
      </c>
      <c r="P713">
        <v>0.56000000000000005</v>
      </c>
      <c r="Q713">
        <v>0.43</v>
      </c>
      <c r="R713" s="2">
        <v>0.97</v>
      </c>
      <c r="S713" t="str">
        <f>IF(Table1[[#This Row],[Years_Experience]]&lt;=5,"Early Career",
IF(Table1[[#This Row],[Years_Experience]]&lt;=15,"Mid Career","Senior Level"))</f>
        <v>Mid Career</v>
      </c>
      <c r="T713" t="str">
        <f>IF(Table1[[#This Row],[AI_Exposure_Index]]&gt;=0.7,"High Exposure", IF(Table1[[#This Row],[AI_Exposure_Index]]&gt;=0.3,"Medium Exposure","Low Exposure"))</f>
        <v>High Exposure</v>
      </c>
    </row>
    <row r="714" spans="1:20" x14ac:dyDescent="0.25">
      <c r="A714" t="s">
        <v>34</v>
      </c>
      <c r="B714">
        <v>87737</v>
      </c>
      <c r="C714" s="1">
        <v>25</v>
      </c>
      <c r="D714" t="s">
        <v>19</v>
      </c>
      <c r="E714" s="7">
        <v>1.44</v>
      </c>
      <c r="F714" s="2">
        <v>0.75</v>
      </c>
      <c r="G714" s="7">
        <v>0.54</v>
      </c>
      <c r="H714" s="9" t="s">
        <v>27</v>
      </c>
      <c r="I714">
        <v>0.01</v>
      </c>
      <c r="J714">
        <v>0.03</v>
      </c>
      <c r="K714">
        <v>0.7</v>
      </c>
      <c r="L714">
        <v>0.28000000000000003</v>
      </c>
      <c r="M714">
        <v>0.57999999999999996</v>
      </c>
      <c r="N714">
        <v>0.2</v>
      </c>
      <c r="O714">
        <v>0.27</v>
      </c>
      <c r="P714">
        <v>0.5</v>
      </c>
      <c r="Q714">
        <v>0.98</v>
      </c>
      <c r="R714" s="2">
        <v>0.62</v>
      </c>
      <c r="S714" t="str">
        <f>IF(Table1[[#This Row],[Years_Experience]]&lt;=5,"Early Career",
IF(Table1[[#This Row],[Years_Experience]]&lt;=15,"Mid Career","Senior Level"))</f>
        <v>Senior Level</v>
      </c>
      <c r="T714" t="str">
        <f>IF(Table1[[#This Row],[AI_Exposure_Index]]&gt;=0.7,"High Exposure", IF(Table1[[#This Row],[AI_Exposure_Index]]&gt;=0.3,"Medium Exposure","Low Exposure"))</f>
        <v>High Exposure</v>
      </c>
    </row>
    <row r="715" spans="1:20" x14ac:dyDescent="0.25">
      <c r="A715" t="s">
        <v>31</v>
      </c>
      <c r="B715">
        <v>121903</v>
      </c>
      <c r="C715" s="1">
        <v>0</v>
      </c>
      <c r="D715" t="s">
        <v>19</v>
      </c>
      <c r="E715" s="7">
        <v>0.71</v>
      </c>
      <c r="F715" s="2">
        <v>0.96</v>
      </c>
      <c r="G715" s="7">
        <v>0.13</v>
      </c>
      <c r="H715" s="9" t="s">
        <v>23</v>
      </c>
      <c r="I715">
        <v>0.77</v>
      </c>
      <c r="J715">
        <v>0.87</v>
      </c>
      <c r="K715">
        <v>0.52</v>
      </c>
      <c r="L715">
        <v>0.99</v>
      </c>
      <c r="M715">
        <v>0.01</v>
      </c>
      <c r="N715">
        <v>0.3</v>
      </c>
      <c r="O715">
        <v>0.62</v>
      </c>
      <c r="P715">
        <v>0.47</v>
      </c>
      <c r="Q715">
        <v>0.12</v>
      </c>
      <c r="R715" s="2">
        <v>0.37</v>
      </c>
      <c r="S715" t="str">
        <f>IF(Table1[[#This Row],[Years_Experience]]&lt;=5,"Early Career",
IF(Table1[[#This Row],[Years_Experience]]&lt;=15,"Mid Career","Senior Level"))</f>
        <v>Early Career</v>
      </c>
      <c r="T715" t="str">
        <f>IF(Table1[[#This Row],[AI_Exposure_Index]]&gt;=0.7,"High Exposure", IF(Table1[[#This Row],[AI_Exposure_Index]]&gt;=0.3,"Medium Exposure","Low Exposure"))</f>
        <v>High Exposure</v>
      </c>
    </row>
    <row r="716" spans="1:20" x14ac:dyDescent="0.25">
      <c r="A716" t="s">
        <v>29</v>
      </c>
      <c r="B716">
        <v>141654</v>
      </c>
      <c r="C716" s="1">
        <v>27</v>
      </c>
      <c r="D716" t="s">
        <v>25</v>
      </c>
      <c r="E716" s="7">
        <v>1.39</v>
      </c>
      <c r="F716" s="2">
        <v>0.64</v>
      </c>
      <c r="G716" s="7">
        <v>0.27</v>
      </c>
      <c r="H716" s="9" t="s">
        <v>23</v>
      </c>
      <c r="I716">
        <v>0.7</v>
      </c>
      <c r="J716">
        <v>0.47</v>
      </c>
      <c r="K716">
        <v>0.51</v>
      </c>
      <c r="L716">
        <v>0.14000000000000001</v>
      </c>
      <c r="M716">
        <v>0.34</v>
      </c>
      <c r="N716">
        <v>0.19</v>
      </c>
      <c r="O716">
        <v>0.82</v>
      </c>
      <c r="P716">
        <v>0.91</v>
      </c>
      <c r="Q716">
        <v>0.54</v>
      </c>
      <c r="R716" s="2">
        <v>0.73</v>
      </c>
      <c r="S716" t="str">
        <f>IF(Table1[[#This Row],[Years_Experience]]&lt;=5,"Early Career",
IF(Table1[[#This Row],[Years_Experience]]&lt;=15,"Mid Career","Senior Level"))</f>
        <v>Senior Level</v>
      </c>
      <c r="T716" t="str">
        <f>IF(Table1[[#This Row],[AI_Exposure_Index]]&gt;=0.7,"High Exposure", IF(Table1[[#This Row],[AI_Exposure_Index]]&gt;=0.3,"Medium Exposure","Low Exposure"))</f>
        <v>Medium Exposure</v>
      </c>
    </row>
    <row r="717" spans="1:20" x14ac:dyDescent="0.25">
      <c r="A717" t="s">
        <v>34</v>
      </c>
      <c r="B717">
        <v>50662</v>
      </c>
      <c r="C717" s="1">
        <v>20</v>
      </c>
      <c r="D717" t="s">
        <v>25</v>
      </c>
      <c r="E717" s="7">
        <v>1.2</v>
      </c>
      <c r="F717" s="2">
        <v>0.61</v>
      </c>
      <c r="G717" s="7">
        <v>0.48</v>
      </c>
      <c r="H717" s="9" t="s">
        <v>27</v>
      </c>
      <c r="I717">
        <v>0.24</v>
      </c>
      <c r="J717">
        <v>0.88</v>
      </c>
      <c r="K717">
        <v>0.74</v>
      </c>
      <c r="L717">
        <v>0.9</v>
      </c>
      <c r="M717">
        <v>0.82</v>
      </c>
      <c r="N717">
        <v>0.99</v>
      </c>
      <c r="O717">
        <v>0.19</v>
      </c>
      <c r="P717">
        <v>0.09</v>
      </c>
      <c r="Q717">
        <v>0.34</v>
      </c>
      <c r="R717" s="2">
        <v>0.13</v>
      </c>
      <c r="S717" t="str">
        <f>IF(Table1[[#This Row],[Years_Experience]]&lt;=5,"Early Career",
IF(Table1[[#This Row],[Years_Experience]]&lt;=15,"Mid Career","Senior Level"))</f>
        <v>Senior Level</v>
      </c>
      <c r="T717" t="str">
        <f>IF(Table1[[#This Row],[AI_Exposure_Index]]&gt;=0.7,"High Exposure", IF(Table1[[#This Row],[AI_Exposure_Index]]&gt;=0.3,"Medium Exposure","Low Exposure"))</f>
        <v>Medium Exposure</v>
      </c>
    </row>
    <row r="718" spans="1:20" x14ac:dyDescent="0.25">
      <c r="A718" t="s">
        <v>26</v>
      </c>
      <c r="B718">
        <v>116755</v>
      </c>
      <c r="C718" s="1">
        <v>1</v>
      </c>
      <c r="D718" t="s">
        <v>38</v>
      </c>
      <c r="E718" s="7">
        <v>0.56000000000000005</v>
      </c>
      <c r="F718" s="2">
        <v>0.44</v>
      </c>
      <c r="G718" s="7">
        <v>0.69</v>
      </c>
      <c r="H718" s="9" t="s">
        <v>27</v>
      </c>
      <c r="I718">
        <v>0.59</v>
      </c>
      <c r="J718">
        <v>0.56000000000000005</v>
      </c>
      <c r="K718">
        <v>0.66</v>
      </c>
      <c r="L718">
        <v>0.5</v>
      </c>
      <c r="M718">
        <v>0.03</v>
      </c>
      <c r="N718">
        <v>0.61</v>
      </c>
      <c r="O718">
        <v>0.72</v>
      </c>
      <c r="P718">
        <v>0.42</v>
      </c>
      <c r="Q718">
        <v>0.76</v>
      </c>
      <c r="R718" s="2">
        <v>0.23</v>
      </c>
      <c r="S718" t="str">
        <f>IF(Table1[[#This Row],[Years_Experience]]&lt;=5,"Early Career",
IF(Table1[[#This Row],[Years_Experience]]&lt;=15,"Mid Career","Senior Level"))</f>
        <v>Early Career</v>
      </c>
      <c r="T718" t="str">
        <f>IF(Table1[[#This Row],[AI_Exposure_Index]]&gt;=0.7,"High Exposure", IF(Table1[[#This Row],[AI_Exposure_Index]]&gt;=0.3,"Medium Exposure","Low Exposure"))</f>
        <v>Medium Exposure</v>
      </c>
    </row>
    <row r="719" spans="1:20" x14ac:dyDescent="0.25">
      <c r="A719" t="s">
        <v>36</v>
      </c>
      <c r="B719">
        <v>133719</v>
      </c>
      <c r="C719" s="1">
        <v>6</v>
      </c>
      <c r="D719" t="s">
        <v>25</v>
      </c>
      <c r="E719" s="7">
        <v>0.87</v>
      </c>
      <c r="F719" s="2">
        <v>0.16</v>
      </c>
      <c r="G719" s="7">
        <v>0.64</v>
      </c>
      <c r="H719" s="9" t="s">
        <v>27</v>
      </c>
      <c r="I719">
        <v>0.83</v>
      </c>
      <c r="J719">
        <v>0.38</v>
      </c>
      <c r="K719">
        <v>0.59</v>
      </c>
      <c r="L719">
        <v>0.72</v>
      </c>
      <c r="M719">
        <v>0.24</v>
      </c>
      <c r="N719">
        <v>0.17</v>
      </c>
      <c r="O719">
        <v>0.97</v>
      </c>
      <c r="P719">
        <v>0.62</v>
      </c>
      <c r="Q719">
        <v>0.98</v>
      </c>
      <c r="R719" s="2">
        <v>0.34</v>
      </c>
      <c r="S719" t="str">
        <f>IF(Table1[[#This Row],[Years_Experience]]&lt;=5,"Early Career",
IF(Table1[[#This Row],[Years_Experience]]&lt;=15,"Mid Career","Senior Level"))</f>
        <v>Mid Career</v>
      </c>
      <c r="T719" t="str">
        <f>IF(Table1[[#This Row],[AI_Exposure_Index]]&gt;=0.7,"High Exposure", IF(Table1[[#This Row],[AI_Exposure_Index]]&gt;=0.3,"Medium Exposure","Low Exposure"))</f>
        <v>Low Exposure</v>
      </c>
    </row>
    <row r="720" spans="1:20" x14ac:dyDescent="0.25">
      <c r="A720" t="s">
        <v>32</v>
      </c>
      <c r="B720">
        <v>127427</v>
      </c>
      <c r="C720" s="1">
        <v>21</v>
      </c>
      <c r="D720" t="s">
        <v>38</v>
      </c>
      <c r="E720" s="7">
        <v>1.04</v>
      </c>
      <c r="F720" s="2">
        <v>0.34</v>
      </c>
      <c r="G720" s="7">
        <v>0.56999999999999995</v>
      </c>
      <c r="H720" s="9" t="s">
        <v>27</v>
      </c>
      <c r="I720">
        <v>0.63</v>
      </c>
      <c r="J720">
        <v>0.46</v>
      </c>
      <c r="K720">
        <v>0.56000000000000005</v>
      </c>
      <c r="L720">
        <v>0.28000000000000003</v>
      </c>
      <c r="M720">
        <v>0.02</v>
      </c>
      <c r="N720">
        <v>0.63</v>
      </c>
      <c r="O720">
        <v>0.25</v>
      </c>
      <c r="P720">
        <v>0.67</v>
      </c>
      <c r="Q720">
        <v>0.75</v>
      </c>
      <c r="R720" s="2">
        <v>0.92</v>
      </c>
      <c r="S720" t="str">
        <f>IF(Table1[[#This Row],[Years_Experience]]&lt;=5,"Early Career",
IF(Table1[[#This Row],[Years_Experience]]&lt;=15,"Mid Career","Senior Level"))</f>
        <v>Senior Level</v>
      </c>
      <c r="T720" t="str">
        <f>IF(Table1[[#This Row],[AI_Exposure_Index]]&gt;=0.7,"High Exposure", IF(Table1[[#This Row],[AI_Exposure_Index]]&gt;=0.3,"Medium Exposure","Low Exposure"))</f>
        <v>Medium Exposure</v>
      </c>
    </row>
    <row r="721" spans="1:20" x14ac:dyDescent="0.25">
      <c r="A721" t="s">
        <v>42</v>
      </c>
      <c r="B721">
        <v>130628</v>
      </c>
      <c r="C721" s="1">
        <v>7</v>
      </c>
      <c r="D721" t="s">
        <v>22</v>
      </c>
      <c r="E721" s="7">
        <v>1.49</v>
      </c>
      <c r="F721" s="2">
        <v>0.01</v>
      </c>
      <c r="G721" s="7">
        <v>0.56999999999999995</v>
      </c>
      <c r="H721" s="9" t="s">
        <v>27</v>
      </c>
      <c r="I721">
        <v>0.64</v>
      </c>
      <c r="J721">
        <v>0.02</v>
      </c>
      <c r="K721">
        <v>0.86</v>
      </c>
      <c r="L721">
        <v>0.15</v>
      </c>
      <c r="M721">
        <v>0.84</v>
      </c>
      <c r="N721">
        <v>0.02</v>
      </c>
      <c r="O721">
        <v>0.65</v>
      </c>
      <c r="P721">
        <v>0.43</v>
      </c>
      <c r="Q721">
        <v>0.2</v>
      </c>
      <c r="R721" s="2">
        <v>0.11</v>
      </c>
      <c r="S721" t="str">
        <f>IF(Table1[[#This Row],[Years_Experience]]&lt;=5,"Early Career",
IF(Table1[[#This Row],[Years_Experience]]&lt;=15,"Mid Career","Senior Level"))</f>
        <v>Mid Career</v>
      </c>
      <c r="T721" t="str">
        <f>IF(Table1[[#This Row],[AI_Exposure_Index]]&gt;=0.7,"High Exposure", IF(Table1[[#This Row],[AI_Exposure_Index]]&gt;=0.3,"Medium Exposure","Low Exposure"))</f>
        <v>Low Exposure</v>
      </c>
    </row>
    <row r="722" spans="1:20" x14ac:dyDescent="0.25">
      <c r="A722" t="s">
        <v>31</v>
      </c>
      <c r="B722">
        <v>43686</v>
      </c>
      <c r="C722" s="1">
        <v>3</v>
      </c>
      <c r="D722" t="s">
        <v>25</v>
      </c>
      <c r="E722" s="7">
        <v>0.99</v>
      </c>
      <c r="F722" s="2">
        <v>0.12</v>
      </c>
      <c r="G722" s="7">
        <v>0.21</v>
      </c>
      <c r="H722" s="9" t="s">
        <v>23</v>
      </c>
      <c r="I722">
        <v>0.83</v>
      </c>
      <c r="J722">
        <v>0.68</v>
      </c>
      <c r="K722">
        <v>7.0000000000000007E-2</v>
      </c>
      <c r="L722">
        <v>0.31</v>
      </c>
      <c r="M722">
        <v>0.28999999999999998</v>
      </c>
      <c r="N722">
        <v>0.92</v>
      </c>
      <c r="O722">
        <v>0.87</v>
      </c>
      <c r="P722">
        <v>0.37</v>
      </c>
      <c r="Q722">
        <v>7.0000000000000007E-2</v>
      </c>
      <c r="R722" s="2">
        <v>0.89</v>
      </c>
      <c r="S722" t="str">
        <f>IF(Table1[[#This Row],[Years_Experience]]&lt;=5,"Early Career",
IF(Table1[[#This Row],[Years_Experience]]&lt;=15,"Mid Career","Senior Level"))</f>
        <v>Early Career</v>
      </c>
      <c r="T722" t="str">
        <f>IF(Table1[[#This Row],[AI_Exposure_Index]]&gt;=0.7,"High Exposure", IF(Table1[[#This Row],[AI_Exposure_Index]]&gt;=0.3,"Medium Exposure","Low Exposure"))</f>
        <v>Low Exposure</v>
      </c>
    </row>
    <row r="723" spans="1:20" x14ac:dyDescent="0.25">
      <c r="A723" t="s">
        <v>21</v>
      </c>
      <c r="B723">
        <v>57313</v>
      </c>
      <c r="C723" s="1">
        <v>26</v>
      </c>
      <c r="D723" t="s">
        <v>22</v>
      </c>
      <c r="E723" s="7">
        <v>1.35</v>
      </c>
      <c r="F723" s="2">
        <v>0.85</v>
      </c>
      <c r="G723" s="7">
        <v>0.17</v>
      </c>
      <c r="H723" s="9" t="s">
        <v>23</v>
      </c>
      <c r="I723">
        <v>0.18</v>
      </c>
      <c r="J723">
        <v>0.48</v>
      </c>
      <c r="K723">
        <v>0.49</v>
      </c>
      <c r="L723">
        <v>0.49</v>
      </c>
      <c r="M723">
        <v>0.54</v>
      </c>
      <c r="N723">
        <v>0.26</v>
      </c>
      <c r="O723">
        <v>0.37</v>
      </c>
      <c r="P723">
        <v>0.43</v>
      </c>
      <c r="Q723">
        <v>0.13</v>
      </c>
      <c r="R723" s="2">
        <v>0.46</v>
      </c>
      <c r="S723" t="str">
        <f>IF(Table1[[#This Row],[Years_Experience]]&lt;=5,"Early Career",
IF(Table1[[#This Row],[Years_Experience]]&lt;=15,"Mid Career","Senior Level"))</f>
        <v>Senior Level</v>
      </c>
      <c r="T723" t="str">
        <f>IF(Table1[[#This Row],[AI_Exposure_Index]]&gt;=0.7,"High Exposure", IF(Table1[[#This Row],[AI_Exposure_Index]]&gt;=0.3,"Medium Exposure","Low Exposure"))</f>
        <v>High Exposure</v>
      </c>
    </row>
    <row r="724" spans="1:20" x14ac:dyDescent="0.25">
      <c r="A724" t="s">
        <v>34</v>
      </c>
      <c r="B724">
        <v>91404</v>
      </c>
      <c r="C724" s="1">
        <v>6</v>
      </c>
      <c r="D724" t="s">
        <v>19</v>
      </c>
      <c r="E724" s="7">
        <v>0.91</v>
      </c>
      <c r="F724" s="2">
        <v>0.83</v>
      </c>
      <c r="G724" s="7">
        <v>0.51</v>
      </c>
      <c r="H724" s="9" t="s">
        <v>27</v>
      </c>
      <c r="I724">
        <v>0.03</v>
      </c>
      <c r="J724">
        <v>0.67</v>
      </c>
      <c r="K724">
        <v>0.4</v>
      </c>
      <c r="L724">
        <v>0.45</v>
      </c>
      <c r="M724">
        <v>0.87</v>
      </c>
      <c r="N724">
        <v>0.46</v>
      </c>
      <c r="O724">
        <v>0.02</v>
      </c>
      <c r="P724">
        <v>0.23</v>
      </c>
      <c r="Q724">
        <v>0.48</v>
      </c>
      <c r="R724" s="2">
        <v>0.42</v>
      </c>
      <c r="S724" t="str">
        <f>IF(Table1[[#This Row],[Years_Experience]]&lt;=5,"Early Career",
IF(Table1[[#This Row],[Years_Experience]]&lt;=15,"Mid Career","Senior Level"))</f>
        <v>Mid Career</v>
      </c>
      <c r="T724" t="str">
        <f>IF(Table1[[#This Row],[AI_Exposure_Index]]&gt;=0.7,"High Exposure", IF(Table1[[#This Row],[AI_Exposure_Index]]&gt;=0.3,"Medium Exposure","Low Exposure"))</f>
        <v>High Exposure</v>
      </c>
    </row>
    <row r="725" spans="1:20" x14ac:dyDescent="0.25">
      <c r="A725" t="s">
        <v>28</v>
      </c>
      <c r="B725">
        <v>109794</v>
      </c>
      <c r="C725" s="1">
        <v>20</v>
      </c>
      <c r="D725" t="s">
        <v>38</v>
      </c>
      <c r="E725" s="7">
        <v>1.19</v>
      </c>
      <c r="F725" s="2">
        <v>0.54</v>
      </c>
      <c r="G725" s="7">
        <v>0.49</v>
      </c>
      <c r="H725" s="9" t="s">
        <v>27</v>
      </c>
      <c r="I725">
        <v>0.44</v>
      </c>
      <c r="J725">
        <v>0.45</v>
      </c>
      <c r="K725">
        <v>0.41</v>
      </c>
      <c r="L725">
        <v>0.54</v>
      </c>
      <c r="M725">
        <v>0.25</v>
      </c>
      <c r="N725">
        <v>0.89</v>
      </c>
      <c r="O725">
        <v>0.33</v>
      </c>
      <c r="P725">
        <v>0.15</v>
      </c>
      <c r="Q725">
        <v>0.1</v>
      </c>
      <c r="R725" s="2">
        <v>0.01</v>
      </c>
      <c r="S725" t="str">
        <f>IF(Table1[[#This Row],[Years_Experience]]&lt;=5,"Early Career",
IF(Table1[[#This Row],[Years_Experience]]&lt;=15,"Mid Career","Senior Level"))</f>
        <v>Senior Level</v>
      </c>
      <c r="T725" t="str">
        <f>IF(Table1[[#This Row],[AI_Exposure_Index]]&gt;=0.7,"High Exposure", IF(Table1[[#This Row],[AI_Exposure_Index]]&gt;=0.3,"Medium Exposure","Low Exposure"))</f>
        <v>Medium Exposure</v>
      </c>
    </row>
    <row r="726" spans="1:20" x14ac:dyDescent="0.25">
      <c r="A726" t="s">
        <v>32</v>
      </c>
      <c r="B726">
        <v>49416</v>
      </c>
      <c r="C726" s="1">
        <v>8</v>
      </c>
      <c r="D726" t="s">
        <v>22</v>
      </c>
      <c r="E726" s="7">
        <v>0.52</v>
      </c>
      <c r="F726" s="2">
        <v>0.19</v>
      </c>
      <c r="G726" s="7">
        <v>0.51</v>
      </c>
      <c r="H726" s="9" t="s">
        <v>27</v>
      </c>
      <c r="I726">
        <v>0.68</v>
      </c>
      <c r="J726">
        <v>0.09</v>
      </c>
      <c r="K726">
        <v>0.46</v>
      </c>
      <c r="L726">
        <v>0.74</v>
      </c>
      <c r="M726">
        <v>0.99</v>
      </c>
      <c r="N726">
        <v>0.67</v>
      </c>
      <c r="O726">
        <v>0.24</v>
      </c>
      <c r="P726">
        <v>0.72</v>
      </c>
      <c r="Q726">
        <v>0.6</v>
      </c>
      <c r="R726" s="2">
        <v>0.21</v>
      </c>
      <c r="S726" t="str">
        <f>IF(Table1[[#This Row],[Years_Experience]]&lt;=5,"Early Career",
IF(Table1[[#This Row],[Years_Experience]]&lt;=15,"Mid Career","Senior Level"))</f>
        <v>Mid Career</v>
      </c>
      <c r="T726" t="str">
        <f>IF(Table1[[#This Row],[AI_Exposure_Index]]&gt;=0.7,"High Exposure", IF(Table1[[#This Row],[AI_Exposure_Index]]&gt;=0.3,"Medium Exposure","Low Exposure"))</f>
        <v>Low Exposure</v>
      </c>
    </row>
    <row r="727" spans="1:20" x14ac:dyDescent="0.25">
      <c r="A727" t="s">
        <v>43</v>
      </c>
      <c r="B727">
        <v>56162</v>
      </c>
      <c r="C727" s="1">
        <v>9</v>
      </c>
      <c r="D727" t="s">
        <v>25</v>
      </c>
      <c r="E727" s="7">
        <v>1.46</v>
      </c>
      <c r="F727" s="2">
        <v>0.43</v>
      </c>
      <c r="G727" s="7">
        <v>0.23</v>
      </c>
      <c r="H727" s="9" t="s">
        <v>23</v>
      </c>
      <c r="I727">
        <v>0.64</v>
      </c>
      <c r="J727">
        <v>0.73</v>
      </c>
      <c r="K727">
        <v>0.48</v>
      </c>
      <c r="L727">
        <v>0.51</v>
      </c>
      <c r="M727">
        <v>0.85</v>
      </c>
      <c r="N727">
        <v>0.68</v>
      </c>
      <c r="O727">
        <v>0.9</v>
      </c>
      <c r="P727">
        <v>0.89</v>
      </c>
      <c r="Q727">
        <v>0.98</v>
      </c>
      <c r="R727" s="2">
        <v>0.7</v>
      </c>
      <c r="S727" t="str">
        <f>IF(Table1[[#This Row],[Years_Experience]]&lt;=5,"Early Career",
IF(Table1[[#This Row],[Years_Experience]]&lt;=15,"Mid Career","Senior Level"))</f>
        <v>Mid Career</v>
      </c>
      <c r="T727" t="str">
        <f>IF(Table1[[#This Row],[AI_Exposure_Index]]&gt;=0.7,"High Exposure", IF(Table1[[#This Row],[AI_Exposure_Index]]&gt;=0.3,"Medium Exposure","Low Exposure"))</f>
        <v>Medium Exposure</v>
      </c>
    </row>
    <row r="728" spans="1:20" x14ac:dyDescent="0.25">
      <c r="A728" t="s">
        <v>33</v>
      </c>
      <c r="B728">
        <v>85420</v>
      </c>
      <c r="C728" s="1">
        <v>4</v>
      </c>
      <c r="D728" t="s">
        <v>38</v>
      </c>
      <c r="E728" s="7">
        <v>1.21</v>
      </c>
      <c r="F728" s="2">
        <v>0.17</v>
      </c>
      <c r="G728" s="7">
        <v>0.77</v>
      </c>
      <c r="H728" s="9" t="s">
        <v>20</v>
      </c>
      <c r="I728">
        <v>0.28000000000000003</v>
      </c>
      <c r="J728">
        <v>0.24</v>
      </c>
      <c r="K728">
        <v>0.88</v>
      </c>
      <c r="L728">
        <v>0.87</v>
      </c>
      <c r="M728">
        <v>0.63</v>
      </c>
      <c r="N728">
        <v>0.47</v>
      </c>
      <c r="O728">
        <v>0.67</v>
      </c>
      <c r="P728">
        <v>0.61</v>
      </c>
      <c r="Q728">
        <v>0.42</v>
      </c>
      <c r="R728" s="2">
        <v>0.38</v>
      </c>
      <c r="S728" t="str">
        <f>IF(Table1[[#This Row],[Years_Experience]]&lt;=5,"Early Career",
IF(Table1[[#This Row],[Years_Experience]]&lt;=15,"Mid Career","Senior Level"))</f>
        <v>Early Career</v>
      </c>
      <c r="T728" t="str">
        <f>IF(Table1[[#This Row],[AI_Exposure_Index]]&gt;=0.7,"High Exposure", IF(Table1[[#This Row],[AI_Exposure_Index]]&gt;=0.3,"Medium Exposure","Low Exposure"))</f>
        <v>Low Exposure</v>
      </c>
    </row>
    <row r="729" spans="1:20" x14ac:dyDescent="0.25">
      <c r="A729" t="s">
        <v>28</v>
      </c>
      <c r="B729">
        <v>82948</v>
      </c>
      <c r="C729" s="1">
        <v>4</v>
      </c>
      <c r="D729" t="s">
        <v>38</v>
      </c>
      <c r="E729" s="7">
        <v>1.1499999999999999</v>
      </c>
      <c r="F729" s="2">
        <v>0.59</v>
      </c>
      <c r="G729" s="7">
        <v>0.48</v>
      </c>
      <c r="H729" s="9" t="s">
        <v>27</v>
      </c>
      <c r="I729">
        <v>0.97</v>
      </c>
      <c r="J729">
        <v>0.08</v>
      </c>
      <c r="K729">
        <v>0.35</v>
      </c>
      <c r="L729">
        <v>0.42</v>
      </c>
      <c r="M729">
        <v>0.02</v>
      </c>
      <c r="N729">
        <v>0.36</v>
      </c>
      <c r="O729">
        <v>0.27</v>
      </c>
      <c r="P729">
        <v>0.51</v>
      </c>
      <c r="Q729">
        <v>0.34</v>
      </c>
      <c r="R729" s="2">
        <v>0.73</v>
      </c>
      <c r="S729" t="str">
        <f>IF(Table1[[#This Row],[Years_Experience]]&lt;=5,"Early Career",
IF(Table1[[#This Row],[Years_Experience]]&lt;=15,"Mid Career","Senior Level"))</f>
        <v>Early Career</v>
      </c>
      <c r="T729" t="str">
        <f>IF(Table1[[#This Row],[AI_Exposure_Index]]&gt;=0.7,"High Exposure", IF(Table1[[#This Row],[AI_Exposure_Index]]&gt;=0.3,"Medium Exposure","Low Exposure"))</f>
        <v>Medium Exposure</v>
      </c>
    </row>
    <row r="730" spans="1:20" x14ac:dyDescent="0.25">
      <c r="A730" t="s">
        <v>43</v>
      </c>
      <c r="B730">
        <v>91336</v>
      </c>
      <c r="C730" s="1">
        <v>8</v>
      </c>
      <c r="D730" t="s">
        <v>22</v>
      </c>
      <c r="E730" s="7">
        <v>1.29</v>
      </c>
      <c r="F730" s="2">
        <v>0.16</v>
      </c>
      <c r="G730" s="7">
        <v>0.3</v>
      </c>
      <c r="H730" s="9" t="s">
        <v>23</v>
      </c>
      <c r="I730">
        <v>0.02</v>
      </c>
      <c r="J730">
        <v>0.7</v>
      </c>
      <c r="K730">
        <v>0.25</v>
      </c>
      <c r="L730">
        <v>0.04</v>
      </c>
      <c r="M730">
        <v>0.4</v>
      </c>
      <c r="N730">
        <v>0.94</v>
      </c>
      <c r="O730">
        <v>0.01</v>
      </c>
      <c r="P730">
        <v>0.59</v>
      </c>
      <c r="Q730">
        <v>0.5</v>
      </c>
      <c r="R730" s="2">
        <v>0.87</v>
      </c>
      <c r="S730" t="str">
        <f>IF(Table1[[#This Row],[Years_Experience]]&lt;=5,"Early Career",
IF(Table1[[#This Row],[Years_Experience]]&lt;=15,"Mid Career","Senior Level"))</f>
        <v>Mid Career</v>
      </c>
      <c r="T730" t="str">
        <f>IF(Table1[[#This Row],[AI_Exposure_Index]]&gt;=0.7,"High Exposure", IF(Table1[[#This Row],[AI_Exposure_Index]]&gt;=0.3,"Medium Exposure","Low Exposure"))</f>
        <v>Low Exposure</v>
      </c>
    </row>
    <row r="731" spans="1:20" x14ac:dyDescent="0.25">
      <c r="A731" t="s">
        <v>32</v>
      </c>
      <c r="B731">
        <v>104474</v>
      </c>
      <c r="C731" s="1">
        <v>16</v>
      </c>
      <c r="D731" t="s">
        <v>19</v>
      </c>
      <c r="E731" s="7">
        <v>1.18</v>
      </c>
      <c r="F731" s="2">
        <v>0.68</v>
      </c>
      <c r="G731" s="7">
        <v>0.56999999999999995</v>
      </c>
      <c r="H731" s="9" t="s">
        <v>27</v>
      </c>
      <c r="I731">
        <v>0.94</v>
      </c>
      <c r="J731">
        <v>0.82</v>
      </c>
      <c r="K731">
        <v>0.04</v>
      </c>
      <c r="L731">
        <v>0.47</v>
      </c>
      <c r="M731">
        <v>0.4</v>
      </c>
      <c r="N731">
        <v>0.31</v>
      </c>
      <c r="O731">
        <v>0.45</v>
      </c>
      <c r="P731">
        <v>0.38</v>
      </c>
      <c r="Q731">
        <v>0.43</v>
      </c>
      <c r="R731" s="2">
        <v>0.98</v>
      </c>
      <c r="S731" t="str">
        <f>IF(Table1[[#This Row],[Years_Experience]]&lt;=5,"Early Career",
IF(Table1[[#This Row],[Years_Experience]]&lt;=15,"Mid Career","Senior Level"))</f>
        <v>Senior Level</v>
      </c>
      <c r="T731" t="str">
        <f>IF(Table1[[#This Row],[AI_Exposure_Index]]&gt;=0.7,"High Exposure", IF(Table1[[#This Row],[AI_Exposure_Index]]&gt;=0.3,"Medium Exposure","Low Exposure"))</f>
        <v>Medium Exposure</v>
      </c>
    </row>
    <row r="732" spans="1:20" x14ac:dyDescent="0.25">
      <c r="A732" t="s">
        <v>33</v>
      </c>
      <c r="B732">
        <v>72628</v>
      </c>
      <c r="C732" s="1">
        <v>8</v>
      </c>
      <c r="D732" t="s">
        <v>19</v>
      </c>
      <c r="E732" s="7">
        <v>0.98</v>
      </c>
      <c r="F732" s="2">
        <v>0.92</v>
      </c>
      <c r="G732" s="7">
        <v>0.86</v>
      </c>
      <c r="H732" s="9" t="s">
        <v>20</v>
      </c>
      <c r="I732">
        <v>0.83</v>
      </c>
      <c r="J732">
        <v>0.36</v>
      </c>
      <c r="K732">
        <v>0.43</v>
      </c>
      <c r="L732">
        <v>0.41</v>
      </c>
      <c r="M732">
        <v>0.37</v>
      </c>
      <c r="N732">
        <v>0.93</v>
      </c>
      <c r="O732">
        <v>0.83</v>
      </c>
      <c r="P732">
        <v>0.11</v>
      </c>
      <c r="Q732">
        <v>0.11</v>
      </c>
      <c r="R732" s="2">
        <v>0.43</v>
      </c>
      <c r="S732" t="str">
        <f>IF(Table1[[#This Row],[Years_Experience]]&lt;=5,"Early Career",
IF(Table1[[#This Row],[Years_Experience]]&lt;=15,"Mid Career","Senior Level"))</f>
        <v>Mid Career</v>
      </c>
      <c r="T732" t="str">
        <f>IF(Table1[[#This Row],[AI_Exposure_Index]]&gt;=0.7,"High Exposure", IF(Table1[[#This Row],[AI_Exposure_Index]]&gt;=0.3,"Medium Exposure","Low Exposure"))</f>
        <v>High Exposure</v>
      </c>
    </row>
    <row r="733" spans="1:20" x14ac:dyDescent="0.25">
      <c r="A733" t="s">
        <v>21</v>
      </c>
      <c r="B733">
        <v>135494</v>
      </c>
      <c r="C733" s="1">
        <v>19</v>
      </c>
      <c r="D733" t="s">
        <v>25</v>
      </c>
      <c r="E733" s="7">
        <v>0.64</v>
      </c>
      <c r="F733" s="2">
        <v>0.62</v>
      </c>
      <c r="G733" s="7">
        <v>0.18</v>
      </c>
      <c r="H733" s="9" t="s">
        <v>23</v>
      </c>
      <c r="I733">
        <v>0.01</v>
      </c>
      <c r="J733">
        <v>0.32</v>
      </c>
      <c r="K733">
        <v>0.68</v>
      </c>
      <c r="L733">
        <v>0.48</v>
      </c>
      <c r="M733">
        <v>0.98</v>
      </c>
      <c r="N733">
        <v>0.87</v>
      </c>
      <c r="O733">
        <v>0.36</v>
      </c>
      <c r="P733">
        <v>0.05</v>
      </c>
      <c r="Q733">
        <v>0.85</v>
      </c>
      <c r="R733" s="2">
        <v>0.91</v>
      </c>
      <c r="S733" t="str">
        <f>IF(Table1[[#This Row],[Years_Experience]]&lt;=5,"Early Career",
IF(Table1[[#This Row],[Years_Experience]]&lt;=15,"Mid Career","Senior Level"))</f>
        <v>Senior Level</v>
      </c>
      <c r="T733" t="str">
        <f>IF(Table1[[#This Row],[AI_Exposure_Index]]&gt;=0.7,"High Exposure", IF(Table1[[#This Row],[AI_Exposure_Index]]&gt;=0.3,"Medium Exposure","Low Exposure"))</f>
        <v>Medium Exposure</v>
      </c>
    </row>
    <row r="734" spans="1:20" x14ac:dyDescent="0.25">
      <c r="A734" t="s">
        <v>30</v>
      </c>
      <c r="B734">
        <v>71751</v>
      </c>
      <c r="C734" s="1">
        <v>2</v>
      </c>
      <c r="D734" t="s">
        <v>25</v>
      </c>
      <c r="E734" s="7">
        <v>0.57999999999999996</v>
      </c>
      <c r="F734" s="2">
        <v>0.37</v>
      </c>
      <c r="G734" s="7">
        <v>0.59</v>
      </c>
      <c r="H734" s="9" t="s">
        <v>27</v>
      </c>
      <c r="I734">
        <v>0</v>
      </c>
      <c r="J734">
        <v>0.05</v>
      </c>
      <c r="K734">
        <v>0</v>
      </c>
      <c r="L734">
        <v>0.65</v>
      </c>
      <c r="M734">
        <v>0.42</v>
      </c>
      <c r="N734">
        <v>0.3</v>
      </c>
      <c r="O734">
        <v>0.91</v>
      </c>
      <c r="P734">
        <v>0.19</v>
      </c>
      <c r="Q734">
        <v>0.39</v>
      </c>
      <c r="R734" s="2">
        <v>0.94</v>
      </c>
      <c r="S734" t="str">
        <f>IF(Table1[[#This Row],[Years_Experience]]&lt;=5,"Early Career",
IF(Table1[[#This Row],[Years_Experience]]&lt;=15,"Mid Career","Senior Level"))</f>
        <v>Early Career</v>
      </c>
      <c r="T734" t="str">
        <f>IF(Table1[[#This Row],[AI_Exposure_Index]]&gt;=0.7,"High Exposure", IF(Table1[[#This Row],[AI_Exposure_Index]]&gt;=0.3,"Medium Exposure","Low Exposure"))</f>
        <v>Medium Exposure</v>
      </c>
    </row>
    <row r="735" spans="1:20" x14ac:dyDescent="0.25">
      <c r="A735" t="s">
        <v>41</v>
      </c>
      <c r="B735">
        <v>86087</v>
      </c>
      <c r="C735" s="1">
        <v>1</v>
      </c>
      <c r="D735" t="s">
        <v>25</v>
      </c>
      <c r="E735" s="7">
        <v>0.57999999999999996</v>
      </c>
      <c r="F735" s="2">
        <v>0.55000000000000004</v>
      </c>
      <c r="G735" s="7">
        <v>0.9</v>
      </c>
      <c r="H735" s="9" t="s">
        <v>20</v>
      </c>
      <c r="I735">
        <v>0.42</v>
      </c>
      <c r="J735">
        <v>0.8</v>
      </c>
      <c r="K735">
        <v>0.25</v>
      </c>
      <c r="L735">
        <v>0.42</v>
      </c>
      <c r="M735">
        <v>0.79</v>
      </c>
      <c r="N735">
        <v>0.97</v>
      </c>
      <c r="O735">
        <v>0.06</v>
      </c>
      <c r="P735">
        <v>0.81</v>
      </c>
      <c r="Q735">
        <v>0.3</v>
      </c>
      <c r="R735" s="2">
        <v>0.55000000000000004</v>
      </c>
      <c r="S735" t="str">
        <f>IF(Table1[[#This Row],[Years_Experience]]&lt;=5,"Early Career",
IF(Table1[[#This Row],[Years_Experience]]&lt;=15,"Mid Career","Senior Level"))</f>
        <v>Early Career</v>
      </c>
      <c r="T735" t="str">
        <f>IF(Table1[[#This Row],[AI_Exposure_Index]]&gt;=0.7,"High Exposure", IF(Table1[[#This Row],[AI_Exposure_Index]]&gt;=0.3,"Medium Exposure","Low Exposure"))</f>
        <v>Medium Exposure</v>
      </c>
    </row>
    <row r="736" spans="1:20" x14ac:dyDescent="0.25">
      <c r="A736" t="s">
        <v>43</v>
      </c>
      <c r="B736">
        <v>127425</v>
      </c>
      <c r="C736" s="1">
        <v>29</v>
      </c>
      <c r="D736" t="s">
        <v>25</v>
      </c>
      <c r="E736" s="7">
        <v>0.85</v>
      </c>
      <c r="F736" s="2">
        <v>0.61</v>
      </c>
      <c r="G736" s="7">
        <v>0.13</v>
      </c>
      <c r="H736" s="9" t="s">
        <v>23</v>
      </c>
      <c r="I736">
        <v>0.04</v>
      </c>
      <c r="J736">
        <v>0.15</v>
      </c>
      <c r="K736">
        <v>0.92</v>
      </c>
      <c r="L736">
        <v>1</v>
      </c>
      <c r="M736">
        <v>0.78</v>
      </c>
      <c r="N736">
        <v>0.28999999999999998</v>
      </c>
      <c r="O736">
        <v>0.4</v>
      </c>
      <c r="P736">
        <v>0.74</v>
      </c>
      <c r="Q736">
        <v>0.97</v>
      </c>
      <c r="R736" s="2">
        <v>0.46</v>
      </c>
      <c r="S736" t="str">
        <f>IF(Table1[[#This Row],[Years_Experience]]&lt;=5,"Early Career",
IF(Table1[[#This Row],[Years_Experience]]&lt;=15,"Mid Career","Senior Level"))</f>
        <v>Senior Level</v>
      </c>
      <c r="T736" t="str">
        <f>IF(Table1[[#This Row],[AI_Exposure_Index]]&gt;=0.7,"High Exposure", IF(Table1[[#This Row],[AI_Exposure_Index]]&gt;=0.3,"Medium Exposure","Low Exposure"))</f>
        <v>Medium Exposure</v>
      </c>
    </row>
    <row r="737" spans="1:20" x14ac:dyDescent="0.25">
      <c r="A737" t="s">
        <v>36</v>
      </c>
      <c r="B737">
        <v>133587</v>
      </c>
      <c r="C737" s="1">
        <v>16</v>
      </c>
      <c r="D737" t="s">
        <v>38</v>
      </c>
      <c r="E737" s="7">
        <v>0.99</v>
      </c>
      <c r="F737" s="2">
        <v>0.43</v>
      </c>
      <c r="G737" s="7">
        <v>0.67</v>
      </c>
      <c r="H737" s="9" t="s">
        <v>27</v>
      </c>
      <c r="I737">
        <v>0.52</v>
      </c>
      <c r="J737">
        <v>0.49</v>
      </c>
      <c r="K737">
        <v>0.57999999999999996</v>
      </c>
      <c r="L737">
        <v>0.69</v>
      </c>
      <c r="M737">
        <v>0.11</v>
      </c>
      <c r="N737">
        <v>0.82</v>
      </c>
      <c r="O737">
        <v>0.44</v>
      </c>
      <c r="P737">
        <v>7.0000000000000007E-2</v>
      </c>
      <c r="Q737">
        <v>0.79</v>
      </c>
      <c r="R737" s="2">
        <v>0.38</v>
      </c>
      <c r="S737" t="str">
        <f>IF(Table1[[#This Row],[Years_Experience]]&lt;=5,"Early Career",
IF(Table1[[#This Row],[Years_Experience]]&lt;=15,"Mid Career","Senior Level"))</f>
        <v>Senior Level</v>
      </c>
      <c r="T737" t="str">
        <f>IF(Table1[[#This Row],[AI_Exposure_Index]]&gt;=0.7,"High Exposure", IF(Table1[[#This Row],[AI_Exposure_Index]]&gt;=0.3,"Medium Exposure","Low Exposure"))</f>
        <v>Medium Exposure</v>
      </c>
    </row>
    <row r="738" spans="1:20" x14ac:dyDescent="0.25">
      <c r="A738" t="s">
        <v>18</v>
      </c>
      <c r="B738">
        <v>140373</v>
      </c>
      <c r="C738" s="1">
        <v>5</v>
      </c>
      <c r="D738" t="s">
        <v>19</v>
      </c>
      <c r="E738" s="7">
        <v>1.38</v>
      </c>
      <c r="F738" s="2">
        <v>0.63</v>
      </c>
      <c r="G738" s="7">
        <v>0.92</v>
      </c>
      <c r="H738" s="9" t="s">
        <v>20</v>
      </c>
      <c r="I738">
        <v>0.96</v>
      </c>
      <c r="J738">
        <v>0.87</v>
      </c>
      <c r="K738">
        <v>0</v>
      </c>
      <c r="L738">
        <v>0.38</v>
      </c>
      <c r="M738">
        <v>0.82</v>
      </c>
      <c r="N738">
        <v>0.37</v>
      </c>
      <c r="O738">
        <v>0.6</v>
      </c>
      <c r="P738">
        <v>0.61</v>
      </c>
      <c r="Q738">
        <v>0.37</v>
      </c>
      <c r="R738" s="2">
        <v>0.9</v>
      </c>
      <c r="S738" t="str">
        <f>IF(Table1[[#This Row],[Years_Experience]]&lt;=5,"Early Career",
IF(Table1[[#This Row],[Years_Experience]]&lt;=15,"Mid Career","Senior Level"))</f>
        <v>Early Career</v>
      </c>
      <c r="T738" t="str">
        <f>IF(Table1[[#This Row],[AI_Exposure_Index]]&gt;=0.7,"High Exposure", IF(Table1[[#This Row],[AI_Exposure_Index]]&gt;=0.3,"Medium Exposure","Low Exposure"))</f>
        <v>Medium Exposure</v>
      </c>
    </row>
    <row r="739" spans="1:20" x14ac:dyDescent="0.25">
      <c r="A739" t="s">
        <v>29</v>
      </c>
      <c r="B739">
        <v>133080</v>
      </c>
      <c r="C739" s="1">
        <v>14</v>
      </c>
      <c r="D739" t="s">
        <v>38</v>
      </c>
      <c r="E739" s="7">
        <v>1.0900000000000001</v>
      </c>
      <c r="F739" s="2">
        <v>0.13</v>
      </c>
      <c r="G739" s="7">
        <v>0.21</v>
      </c>
      <c r="H739" s="9" t="s">
        <v>23</v>
      </c>
      <c r="I739">
        <v>0.05</v>
      </c>
      <c r="J739">
        <v>0.24</v>
      </c>
      <c r="K739">
        <v>0.8</v>
      </c>
      <c r="L739">
        <v>0.05</v>
      </c>
      <c r="M739">
        <v>0.86</v>
      </c>
      <c r="N739">
        <v>0.66</v>
      </c>
      <c r="O739">
        <v>0.43</v>
      </c>
      <c r="P739">
        <v>0.35</v>
      </c>
      <c r="Q739">
        <v>0.02</v>
      </c>
      <c r="R739" s="2">
        <v>0.83</v>
      </c>
      <c r="S739" t="str">
        <f>IF(Table1[[#This Row],[Years_Experience]]&lt;=5,"Early Career",
IF(Table1[[#This Row],[Years_Experience]]&lt;=15,"Mid Career","Senior Level"))</f>
        <v>Mid Career</v>
      </c>
      <c r="T739" t="str">
        <f>IF(Table1[[#This Row],[AI_Exposure_Index]]&gt;=0.7,"High Exposure", IF(Table1[[#This Row],[AI_Exposure_Index]]&gt;=0.3,"Medium Exposure","Low Exposure"))</f>
        <v>Low Exposure</v>
      </c>
    </row>
    <row r="740" spans="1:20" x14ac:dyDescent="0.25">
      <c r="A740" t="s">
        <v>42</v>
      </c>
      <c r="B740">
        <v>123012</v>
      </c>
      <c r="C740" s="1">
        <v>20</v>
      </c>
      <c r="D740" t="s">
        <v>22</v>
      </c>
      <c r="E740" s="7">
        <v>1.07</v>
      </c>
      <c r="F740" s="2">
        <v>0.31</v>
      </c>
      <c r="G740" s="7">
        <v>0.4</v>
      </c>
      <c r="H740" s="9" t="s">
        <v>27</v>
      </c>
      <c r="I740">
        <v>0.5</v>
      </c>
      <c r="J740">
        <v>0.81</v>
      </c>
      <c r="K740">
        <v>0.47</v>
      </c>
      <c r="L740">
        <v>0.95</v>
      </c>
      <c r="M740">
        <v>0.85</v>
      </c>
      <c r="N740">
        <v>0.33</v>
      </c>
      <c r="O740">
        <v>0.4</v>
      </c>
      <c r="P740">
        <v>0.42</v>
      </c>
      <c r="Q740">
        <v>0.63</v>
      </c>
      <c r="R740" s="2">
        <v>0.28999999999999998</v>
      </c>
      <c r="S740" t="str">
        <f>IF(Table1[[#This Row],[Years_Experience]]&lt;=5,"Early Career",
IF(Table1[[#This Row],[Years_Experience]]&lt;=15,"Mid Career","Senior Level"))</f>
        <v>Senior Level</v>
      </c>
      <c r="T740" t="str">
        <f>IF(Table1[[#This Row],[AI_Exposure_Index]]&gt;=0.7,"High Exposure", IF(Table1[[#This Row],[AI_Exposure_Index]]&gt;=0.3,"Medium Exposure","Low Exposure"))</f>
        <v>Medium Exposure</v>
      </c>
    </row>
    <row r="741" spans="1:20" x14ac:dyDescent="0.25">
      <c r="A741" t="s">
        <v>28</v>
      </c>
      <c r="B741">
        <v>76629</v>
      </c>
      <c r="C741" s="1">
        <v>11</v>
      </c>
      <c r="D741" t="s">
        <v>19</v>
      </c>
      <c r="E741" s="7">
        <v>0.9</v>
      </c>
      <c r="F741" s="2">
        <v>0.61</v>
      </c>
      <c r="G741" s="7">
        <v>0.56000000000000005</v>
      </c>
      <c r="H741" s="9" t="s">
        <v>27</v>
      </c>
      <c r="I741">
        <v>0.4</v>
      </c>
      <c r="J741">
        <v>0.82</v>
      </c>
      <c r="K741">
        <v>0.56999999999999995</v>
      </c>
      <c r="L741">
        <v>0.04</v>
      </c>
      <c r="M741">
        <v>0.18</v>
      </c>
      <c r="N741">
        <v>0.86</v>
      </c>
      <c r="O741">
        <v>0.56000000000000005</v>
      </c>
      <c r="P741">
        <v>0.95</v>
      </c>
      <c r="Q741">
        <v>7.0000000000000007E-2</v>
      </c>
      <c r="R741" s="2">
        <v>0.3</v>
      </c>
      <c r="S741" t="str">
        <f>IF(Table1[[#This Row],[Years_Experience]]&lt;=5,"Early Career",
IF(Table1[[#This Row],[Years_Experience]]&lt;=15,"Mid Career","Senior Level"))</f>
        <v>Mid Career</v>
      </c>
      <c r="T741" t="str">
        <f>IF(Table1[[#This Row],[AI_Exposure_Index]]&gt;=0.7,"High Exposure", IF(Table1[[#This Row],[AI_Exposure_Index]]&gt;=0.3,"Medium Exposure","Low Exposure"))</f>
        <v>Medium Exposure</v>
      </c>
    </row>
    <row r="742" spans="1:20" x14ac:dyDescent="0.25">
      <c r="A742" t="s">
        <v>28</v>
      </c>
      <c r="B742">
        <v>33811</v>
      </c>
      <c r="C742" s="1">
        <v>3</v>
      </c>
      <c r="D742" t="s">
        <v>22</v>
      </c>
      <c r="E742" s="7">
        <v>0.88</v>
      </c>
      <c r="F742" s="2">
        <v>0.55000000000000004</v>
      </c>
      <c r="G742" s="7">
        <v>0.36</v>
      </c>
      <c r="H742" s="9" t="s">
        <v>27</v>
      </c>
      <c r="I742">
        <v>0.64</v>
      </c>
      <c r="J742">
        <v>0.54</v>
      </c>
      <c r="K742">
        <v>0.27</v>
      </c>
      <c r="L742">
        <v>0.48</v>
      </c>
      <c r="M742">
        <v>0.75</v>
      </c>
      <c r="N742">
        <v>0.21</v>
      </c>
      <c r="O742">
        <v>0.28999999999999998</v>
      </c>
      <c r="P742">
        <v>0.35</v>
      </c>
      <c r="Q742">
        <v>0.75</v>
      </c>
      <c r="R742" s="2">
        <v>0.85</v>
      </c>
      <c r="S742" t="str">
        <f>IF(Table1[[#This Row],[Years_Experience]]&lt;=5,"Early Career",
IF(Table1[[#This Row],[Years_Experience]]&lt;=15,"Mid Career","Senior Level"))</f>
        <v>Early Career</v>
      </c>
      <c r="T742" t="str">
        <f>IF(Table1[[#This Row],[AI_Exposure_Index]]&gt;=0.7,"High Exposure", IF(Table1[[#This Row],[AI_Exposure_Index]]&gt;=0.3,"Medium Exposure","Low Exposure"))</f>
        <v>Medium Exposure</v>
      </c>
    </row>
    <row r="743" spans="1:20" x14ac:dyDescent="0.25">
      <c r="A743" t="s">
        <v>31</v>
      </c>
      <c r="B743">
        <v>95283</v>
      </c>
      <c r="C743" s="1">
        <v>4</v>
      </c>
      <c r="D743" t="s">
        <v>25</v>
      </c>
      <c r="E743" s="7">
        <v>1.39</v>
      </c>
      <c r="F743" s="2">
        <v>0.3</v>
      </c>
      <c r="G743" s="7">
        <v>0.3</v>
      </c>
      <c r="H743" s="9" t="s">
        <v>23</v>
      </c>
      <c r="I743">
        <v>0.67</v>
      </c>
      <c r="J743">
        <v>0.99</v>
      </c>
      <c r="K743">
        <v>0.66</v>
      </c>
      <c r="L743">
        <v>0.73</v>
      </c>
      <c r="M743">
        <v>0.39</v>
      </c>
      <c r="N743">
        <v>0.43</v>
      </c>
      <c r="O743">
        <v>0.14000000000000001</v>
      </c>
      <c r="P743">
        <v>0.82</v>
      </c>
      <c r="Q743">
        <v>0.93</v>
      </c>
      <c r="R743" s="2">
        <v>0.62</v>
      </c>
      <c r="S743" t="str">
        <f>IF(Table1[[#This Row],[Years_Experience]]&lt;=5,"Early Career",
IF(Table1[[#This Row],[Years_Experience]]&lt;=15,"Mid Career","Senior Level"))</f>
        <v>Early Career</v>
      </c>
      <c r="T743" t="str">
        <f>IF(Table1[[#This Row],[AI_Exposure_Index]]&gt;=0.7,"High Exposure", IF(Table1[[#This Row],[AI_Exposure_Index]]&gt;=0.3,"Medium Exposure","Low Exposure"))</f>
        <v>Medium Exposure</v>
      </c>
    </row>
    <row r="744" spans="1:20" x14ac:dyDescent="0.25">
      <c r="A744" t="s">
        <v>43</v>
      </c>
      <c r="B744">
        <v>113205</v>
      </c>
      <c r="C744" s="1">
        <v>1</v>
      </c>
      <c r="D744" t="s">
        <v>25</v>
      </c>
      <c r="E744" s="7">
        <v>0.77</v>
      </c>
      <c r="F744" s="2">
        <v>0.15</v>
      </c>
      <c r="G744" s="7">
        <v>0.11</v>
      </c>
      <c r="H744" s="9" t="s">
        <v>23</v>
      </c>
      <c r="I744">
        <v>0.61</v>
      </c>
      <c r="J744">
        <v>0.95</v>
      </c>
      <c r="K744">
        <v>0.05</v>
      </c>
      <c r="L744">
        <v>0</v>
      </c>
      <c r="M744">
        <v>0.6</v>
      </c>
      <c r="N744">
        <v>0.28000000000000003</v>
      </c>
      <c r="O744">
        <v>0.88</v>
      </c>
      <c r="P744">
        <v>0.33</v>
      </c>
      <c r="Q744">
        <v>0.28999999999999998</v>
      </c>
      <c r="R744" s="2">
        <v>0.27</v>
      </c>
      <c r="S744" t="str">
        <f>IF(Table1[[#This Row],[Years_Experience]]&lt;=5,"Early Career",
IF(Table1[[#This Row],[Years_Experience]]&lt;=15,"Mid Career","Senior Level"))</f>
        <v>Early Career</v>
      </c>
      <c r="T744" t="str">
        <f>IF(Table1[[#This Row],[AI_Exposure_Index]]&gt;=0.7,"High Exposure", IF(Table1[[#This Row],[AI_Exposure_Index]]&gt;=0.3,"Medium Exposure","Low Exposure"))</f>
        <v>Low Exposure</v>
      </c>
    </row>
    <row r="745" spans="1:20" x14ac:dyDescent="0.25">
      <c r="A745" t="s">
        <v>32</v>
      </c>
      <c r="B745">
        <v>100453</v>
      </c>
      <c r="C745" s="1">
        <v>28</v>
      </c>
      <c r="D745" t="s">
        <v>38</v>
      </c>
      <c r="E745" s="7">
        <v>0.67</v>
      </c>
      <c r="F745" s="2">
        <v>0.57999999999999996</v>
      </c>
      <c r="G745" s="7">
        <v>0.47</v>
      </c>
      <c r="H745" s="9" t="s">
        <v>27</v>
      </c>
      <c r="I745">
        <v>0.46</v>
      </c>
      <c r="J745">
        <v>0.02</v>
      </c>
      <c r="K745">
        <v>0.02</v>
      </c>
      <c r="L745">
        <v>0.52</v>
      </c>
      <c r="M745">
        <v>0.7</v>
      </c>
      <c r="N745">
        <v>0.94</v>
      </c>
      <c r="O745">
        <v>0.18</v>
      </c>
      <c r="P745">
        <v>0.1</v>
      </c>
      <c r="Q745">
        <v>0.05</v>
      </c>
      <c r="R745" s="2">
        <v>0.44</v>
      </c>
      <c r="S745" t="str">
        <f>IF(Table1[[#This Row],[Years_Experience]]&lt;=5,"Early Career",
IF(Table1[[#This Row],[Years_Experience]]&lt;=15,"Mid Career","Senior Level"))</f>
        <v>Senior Level</v>
      </c>
      <c r="T745" t="str">
        <f>IF(Table1[[#This Row],[AI_Exposure_Index]]&gt;=0.7,"High Exposure", IF(Table1[[#This Row],[AI_Exposure_Index]]&gt;=0.3,"Medium Exposure","Low Exposure"))</f>
        <v>Medium Exposure</v>
      </c>
    </row>
    <row r="746" spans="1:20" x14ac:dyDescent="0.25">
      <c r="A746" t="s">
        <v>43</v>
      </c>
      <c r="B746">
        <v>68397</v>
      </c>
      <c r="C746" s="1">
        <v>14</v>
      </c>
      <c r="D746" t="s">
        <v>19</v>
      </c>
      <c r="E746" s="7">
        <v>1.18</v>
      </c>
      <c r="F746" s="2">
        <v>0.84</v>
      </c>
      <c r="G746" s="7">
        <v>0.1</v>
      </c>
      <c r="H746" s="9" t="s">
        <v>23</v>
      </c>
      <c r="I746">
        <v>0.46</v>
      </c>
      <c r="J746">
        <v>0.91</v>
      </c>
      <c r="K746">
        <v>0.33</v>
      </c>
      <c r="L746">
        <v>0.5</v>
      </c>
      <c r="M746">
        <v>0.96</v>
      </c>
      <c r="N746">
        <v>0.73</v>
      </c>
      <c r="O746">
        <v>0.75</v>
      </c>
      <c r="P746">
        <v>0.25</v>
      </c>
      <c r="Q746">
        <v>0.41</v>
      </c>
      <c r="R746" s="2">
        <v>0.08</v>
      </c>
      <c r="S746" t="str">
        <f>IF(Table1[[#This Row],[Years_Experience]]&lt;=5,"Early Career",
IF(Table1[[#This Row],[Years_Experience]]&lt;=15,"Mid Career","Senior Level"))</f>
        <v>Mid Career</v>
      </c>
      <c r="T746" t="str">
        <f>IF(Table1[[#This Row],[AI_Exposure_Index]]&gt;=0.7,"High Exposure", IF(Table1[[#This Row],[AI_Exposure_Index]]&gt;=0.3,"Medium Exposure","Low Exposure"))</f>
        <v>High Exposure</v>
      </c>
    </row>
    <row r="747" spans="1:20" x14ac:dyDescent="0.25">
      <c r="A747" t="s">
        <v>35</v>
      </c>
      <c r="B747">
        <v>113824</v>
      </c>
      <c r="C747" s="1">
        <v>10</v>
      </c>
      <c r="D747" t="s">
        <v>38</v>
      </c>
      <c r="E747" s="7">
        <v>1.34</v>
      </c>
      <c r="F747" s="2">
        <v>0.1</v>
      </c>
      <c r="G747" s="7">
        <v>0.63</v>
      </c>
      <c r="H747" s="9" t="s">
        <v>27</v>
      </c>
      <c r="I747">
        <v>0.53</v>
      </c>
      <c r="J747">
        <v>0.14000000000000001</v>
      </c>
      <c r="K747">
        <v>0.03</v>
      </c>
      <c r="L747">
        <v>0.8</v>
      </c>
      <c r="M747">
        <v>0.6</v>
      </c>
      <c r="N747">
        <v>0.71</v>
      </c>
      <c r="O747">
        <v>0.3</v>
      </c>
      <c r="P747">
        <v>0.51</v>
      </c>
      <c r="Q747">
        <v>0.75</v>
      </c>
      <c r="R747" s="2">
        <v>0.46</v>
      </c>
      <c r="S747" t="str">
        <f>IF(Table1[[#This Row],[Years_Experience]]&lt;=5,"Early Career",
IF(Table1[[#This Row],[Years_Experience]]&lt;=15,"Mid Career","Senior Level"))</f>
        <v>Mid Career</v>
      </c>
      <c r="T747" t="str">
        <f>IF(Table1[[#This Row],[AI_Exposure_Index]]&gt;=0.7,"High Exposure", IF(Table1[[#This Row],[AI_Exposure_Index]]&gt;=0.3,"Medium Exposure","Low Exposure"))</f>
        <v>Low Exposure</v>
      </c>
    </row>
    <row r="748" spans="1:20" x14ac:dyDescent="0.25">
      <c r="A748" t="s">
        <v>36</v>
      </c>
      <c r="B748">
        <v>50758</v>
      </c>
      <c r="C748" s="1">
        <v>26</v>
      </c>
      <c r="D748" t="s">
        <v>38</v>
      </c>
      <c r="E748" s="7">
        <v>0.72</v>
      </c>
      <c r="F748" s="2">
        <v>0.79</v>
      </c>
      <c r="G748" s="7">
        <v>0.33</v>
      </c>
      <c r="H748" s="9" t="s">
        <v>27</v>
      </c>
      <c r="I748">
        <v>0.53</v>
      </c>
      <c r="J748">
        <v>0.06</v>
      </c>
      <c r="K748">
        <v>0.77</v>
      </c>
      <c r="L748">
        <v>0.72</v>
      </c>
      <c r="M748">
        <v>0.88</v>
      </c>
      <c r="N748">
        <v>0.64</v>
      </c>
      <c r="O748">
        <v>7.0000000000000007E-2</v>
      </c>
      <c r="P748">
        <v>0.25</v>
      </c>
      <c r="Q748">
        <v>0.81</v>
      </c>
      <c r="R748" s="2">
        <v>0.17</v>
      </c>
      <c r="S748" t="str">
        <f>IF(Table1[[#This Row],[Years_Experience]]&lt;=5,"Early Career",
IF(Table1[[#This Row],[Years_Experience]]&lt;=15,"Mid Career","Senior Level"))</f>
        <v>Senior Level</v>
      </c>
      <c r="T748" t="str">
        <f>IF(Table1[[#This Row],[AI_Exposure_Index]]&gt;=0.7,"High Exposure", IF(Table1[[#This Row],[AI_Exposure_Index]]&gt;=0.3,"Medium Exposure","Low Exposure"))</f>
        <v>High Exposure</v>
      </c>
    </row>
    <row r="749" spans="1:20" x14ac:dyDescent="0.25">
      <c r="A749" t="s">
        <v>30</v>
      </c>
      <c r="B749">
        <v>135900</v>
      </c>
      <c r="C749" s="1">
        <v>8</v>
      </c>
      <c r="D749" t="s">
        <v>19</v>
      </c>
      <c r="E749" s="7">
        <v>0.83</v>
      </c>
      <c r="F749" s="2">
        <v>0.78</v>
      </c>
      <c r="G749" s="7">
        <v>0.43</v>
      </c>
      <c r="H749" s="9" t="s">
        <v>27</v>
      </c>
      <c r="I749">
        <v>0.56000000000000005</v>
      </c>
      <c r="J749">
        <v>0.86</v>
      </c>
      <c r="K749">
        <v>0.22</v>
      </c>
      <c r="L749">
        <v>0.94</v>
      </c>
      <c r="M749">
        <v>0.6</v>
      </c>
      <c r="N749">
        <v>0.99</v>
      </c>
      <c r="O749">
        <v>0.09</v>
      </c>
      <c r="P749">
        <v>0.13</v>
      </c>
      <c r="Q749">
        <v>0.83</v>
      </c>
      <c r="R749" s="2">
        <v>0.86</v>
      </c>
      <c r="S749" t="str">
        <f>IF(Table1[[#This Row],[Years_Experience]]&lt;=5,"Early Career",
IF(Table1[[#This Row],[Years_Experience]]&lt;=15,"Mid Career","Senior Level"))</f>
        <v>Mid Career</v>
      </c>
      <c r="T749" t="str">
        <f>IF(Table1[[#This Row],[AI_Exposure_Index]]&gt;=0.7,"High Exposure", IF(Table1[[#This Row],[AI_Exposure_Index]]&gt;=0.3,"Medium Exposure","Low Exposure"))</f>
        <v>High Exposure</v>
      </c>
    </row>
    <row r="750" spans="1:20" x14ac:dyDescent="0.25">
      <c r="A750" t="s">
        <v>29</v>
      </c>
      <c r="B750">
        <v>133613</v>
      </c>
      <c r="C750" s="1">
        <v>11</v>
      </c>
      <c r="D750" t="s">
        <v>22</v>
      </c>
      <c r="E750" s="7">
        <v>1.37</v>
      </c>
      <c r="F750" s="2">
        <v>0.71</v>
      </c>
      <c r="G750" s="7">
        <v>0.06</v>
      </c>
      <c r="H750" s="9" t="s">
        <v>23</v>
      </c>
      <c r="I750">
        <v>0.56999999999999995</v>
      </c>
      <c r="J750">
        <v>0.85</v>
      </c>
      <c r="K750">
        <v>0.4</v>
      </c>
      <c r="L750">
        <v>0.3</v>
      </c>
      <c r="M750">
        <v>0.8</v>
      </c>
      <c r="N750">
        <v>0.34</v>
      </c>
      <c r="O750">
        <v>0</v>
      </c>
      <c r="P750">
        <v>0.96</v>
      </c>
      <c r="Q750">
        <v>0.59</v>
      </c>
      <c r="R750" s="2">
        <v>0.82</v>
      </c>
      <c r="S750" t="str">
        <f>IF(Table1[[#This Row],[Years_Experience]]&lt;=5,"Early Career",
IF(Table1[[#This Row],[Years_Experience]]&lt;=15,"Mid Career","Senior Level"))</f>
        <v>Mid Career</v>
      </c>
      <c r="T750" t="str">
        <f>IF(Table1[[#This Row],[AI_Exposure_Index]]&gt;=0.7,"High Exposure", IF(Table1[[#This Row],[AI_Exposure_Index]]&gt;=0.3,"Medium Exposure","Low Exposure"))</f>
        <v>High Exposure</v>
      </c>
    </row>
    <row r="751" spans="1:20" x14ac:dyDescent="0.25">
      <c r="A751" t="s">
        <v>32</v>
      </c>
      <c r="B751">
        <v>93115</v>
      </c>
      <c r="C751" s="1">
        <v>10</v>
      </c>
      <c r="D751" t="s">
        <v>25</v>
      </c>
      <c r="E751" s="7">
        <v>0.67</v>
      </c>
      <c r="F751" s="2">
        <v>7.0000000000000007E-2</v>
      </c>
      <c r="G751" s="7">
        <v>0.42</v>
      </c>
      <c r="H751" s="9" t="s">
        <v>27</v>
      </c>
      <c r="I751">
        <v>0.32</v>
      </c>
      <c r="J751">
        <v>0.66</v>
      </c>
      <c r="K751">
        <v>0.62</v>
      </c>
      <c r="L751">
        <v>0.49</v>
      </c>
      <c r="M751">
        <v>0.21</v>
      </c>
      <c r="N751">
        <v>0.38</v>
      </c>
      <c r="O751">
        <v>0.54</v>
      </c>
      <c r="P751">
        <v>0.47</v>
      </c>
      <c r="Q751">
        <v>0.13</v>
      </c>
      <c r="R751" s="2">
        <v>0.65</v>
      </c>
      <c r="S751" t="str">
        <f>IF(Table1[[#This Row],[Years_Experience]]&lt;=5,"Early Career",
IF(Table1[[#This Row],[Years_Experience]]&lt;=15,"Mid Career","Senior Level"))</f>
        <v>Mid Career</v>
      </c>
      <c r="T751" t="str">
        <f>IF(Table1[[#This Row],[AI_Exposure_Index]]&gt;=0.7,"High Exposure", IF(Table1[[#This Row],[AI_Exposure_Index]]&gt;=0.3,"Medium Exposure","Low Exposure"))</f>
        <v>Low Exposure</v>
      </c>
    </row>
    <row r="752" spans="1:20" x14ac:dyDescent="0.25">
      <c r="A752" t="s">
        <v>21</v>
      </c>
      <c r="B752">
        <v>129683</v>
      </c>
      <c r="C752" s="1">
        <v>11</v>
      </c>
      <c r="D752" t="s">
        <v>19</v>
      </c>
      <c r="E752" s="7">
        <v>1.21</v>
      </c>
      <c r="F752" s="2">
        <v>0.38</v>
      </c>
      <c r="G752" s="7">
        <v>0.06</v>
      </c>
      <c r="H752" s="9" t="s">
        <v>23</v>
      </c>
      <c r="I752">
        <v>0.56999999999999995</v>
      </c>
      <c r="J752">
        <v>0.33</v>
      </c>
      <c r="K752">
        <v>0.01</v>
      </c>
      <c r="L752">
        <v>0.19</v>
      </c>
      <c r="M752">
        <v>0.94</v>
      </c>
      <c r="N752">
        <v>0.52</v>
      </c>
      <c r="O752">
        <v>1</v>
      </c>
      <c r="P752">
        <v>0.52</v>
      </c>
      <c r="Q752">
        <v>0.54</v>
      </c>
      <c r="R752" s="2">
        <v>0.39</v>
      </c>
      <c r="S752" t="str">
        <f>IF(Table1[[#This Row],[Years_Experience]]&lt;=5,"Early Career",
IF(Table1[[#This Row],[Years_Experience]]&lt;=15,"Mid Career","Senior Level"))</f>
        <v>Mid Career</v>
      </c>
      <c r="T752" t="str">
        <f>IF(Table1[[#This Row],[AI_Exposure_Index]]&gt;=0.7,"High Exposure", IF(Table1[[#This Row],[AI_Exposure_Index]]&gt;=0.3,"Medium Exposure","Low Exposure"))</f>
        <v>Medium Exposure</v>
      </c>
    </row>
    <row r="753" spans="1:20" x14ac:dyDescent="0.25">
      <c r="A753" t="s">
        <v>44</v>
      </c>
      <c r="B753">
        <v>83013</v>
      </c>
      <c r="C753" s="1">
        <v>15</v>
      </c>
      <c r="D753" t="s">
        <v>38</v>
      </c>
      <c r="E753" s="7">
        <v>0.84</v>
      </c>
      <c r="F753" s="2">
        <v>0.25</v>
      </c>
      <c r="G753" s="7">
        <v>0.48</v>
      </c>
      <c r="H753" s="9" t="s">
        <v>27</v>
      </c>
      <c r="I753">
        <v>0.19</v>
      </c>
      <c r="J753">
        <v>0.22</v>
      </c>
      <c r="K753">
        <v>0.27</v>
      </c>
      <c r="L753">
        <v>0.45</v>
      </c>
      <c r="M753">
        <v>0.65</v>
      </c>
      <c r="N753">
        <v>0.86</v>
      </c>
      <c r="O753">
        <v>0.28999999999999998</v>
      </c>
      <c r="P753">
        <v>0.18</v>
      </c>
      <c r="Q753">
        <v>0.38</v>
      </c>
      <c r="R753" s="2">
        <v>0.89</v>
      </c>
      <c r="S753" t="str">
        <f>IF(Table1[[#This Row],[Years_Experience]]&lt;=5,"Early Career",
IF(Table1[[#This Row],[Years_Experience]]&lt;=15,"Mid Career","Senior Level"))</f>
        <v>Mid Career</v>
      </c>
      <c r="T753" t="str">
        <f>IF(Table1[[#This Row],[AI_Exposure_Index]]&gt;=0.7,"High Exposure", IF(Table1[[#This Row],[AI_Exposure_Index]]&gt;=0.3,"Medium Exposure","Low Exposure"))</f>
        <v>Low Exposure</v>
      </c>
    </row>
    <row r="754" spans="1:20" x14ac:dyDescent="0.25">
      <c r="A754" t="s">
        <v>31</v>
      </c>
      <c r="B754">
        <v>45233</v>
      </c>
      <c r="C754" s="1">
        <v>16</v>
      </c>
      <c r="D754" t="s">
        <v>25</v>
      </c>
      <c r="E754" s="7">
        <v>0.98</v>
      </c>
      <c r="F754" s="2">
        <v>0.68</v>
      </c>
      <c r="G754" s="7">
        <v>0.09</v>
      </c>
      <c r="H754" s="9" t="s">
        <v>23</v>
      </c>
      <c r="I754">
        <v>0.32</v>
      </c>
      <c r="J754">
        <v>0.22</v>
      </c>
      <c r="K754">
        <v>0.88</v>
      </c>
      <c r="L754">
        <v>0.48</v>
      </c>
      <c r="M754">
        <v>0.56000000000000005</v>
      </c>
      <c r="N754">
        <v>0.59</v>
      </c>
      <c r="O754">
        <v>0.64</v>
      </c>
      <c r="P754">
        <v>0.5</v>
      </c>
      <c r="Q754">
        <v>0.02</v>
      </c>
      <c r="R754" s="2">
        <v>0.33</v>
      </c>
      <c r="S754" t="str">
        <f>IF(Table1[[#This Row],[Years_Experience]]&lt;=5,"Early Career",
IF(Table1[[#This Row],[Years_Experience]]&lt;=15,"Mid Career","Senior Level"))</f>
        <v>Senior Level</v>
      </c>
      <c r="T754" t="str">
        <f>IF(Table1[[#This Row],[AI_Exposure_Index]]&gt;=0.7,"High Exposure", IF(Table1[[#This Row],[AI_Exposure_Index]]&gt;=0.3,"Medium Exposure","Low Exposure"))</f>
        <v>Medium Exposure</v>
      </c>
    </row>
    <row r="755" spans="1:20" x14ac:dyDescent="0.25">
      <c r="A755" t="s">
        <v>43</v>
      </c>
      <c r="B755">
        <v>50765</v>
      </c>
      <c r="C755" s="1">
        <v>19</v>
      </c>
      <c r="D755" t="s">
        <v>22</v>
      </c>
      <c r="E755" s="7">
        <v>0.56000000000000005</v>
      </c>
      <c r="F755" s="2">
        <v>0.68</v>
      </c>
      <c r="G755" s="7">
        <v>0.19</v>
      </c>
      <c r="H755" s="9" t="s">
        <v>23</v>
      </c>
      <c r="I755">
        <v>0.21</v>
      </c>
      <c r="J755">
        <v>0.95</v>
      </c>
      <c r="K755">
        <v>0.34</v>
      </c>
      <c r="L755">
        <v>0.33</v>
      </c>
      <c r="M755">
        <v>0.92</v>
      </c>
      <c r="N755">
        <v>0.42</v>
      </c>
      <c r="O755">
        <v>0.96</v>
      </c>
      <c r="P755">
        <v>0.02</v>
      </c>
      <c r="Q755">
        <v>0.31</v>
      </c>
      <c r="R755" s="2">
        <v>0.67</v>
      </c>
      <c r="S755" t="str">
        <f>IF(Table1[[#This Row],[Years_Experience]]&lt;=5,"Early Career",
IF(Table1[[#This Row],[Years_Experience]]&lt;=15,"Mid Career","Senior Level"))</f>
        <v>Senior Level</v>
      </c>
      <c r="T755" t="str">
        <f>IF(Table1[[#This Row],[AI_Exposure_Index]]&gt;=0.7,"High Exposure", IF(Table1[[#This Row],[AI_Exposure_Index]]&gt;=0.3,"Medium Exposure","Low Exposure"))</f>
        <v>Medium Exposure</v>
      </c>
    </row>
    <row r="756" spans="1:20" x14ac:dyDescent="0.25">
      <c r="A756" t="s">
        <v>39</v>
      </c>
      <c r="B756">
        <v>108766</v>
      </c>
      <c r="C756" s="1">
        <v>18</v>
      </c>
      <c r="D756" t="s">
        <v>38</v>
      </c>
      <c r="E756" s="7">
        <v>0.85</v>
      </c>
      <c r="F756" s="2">
        <v>0.14000000000000001</v>
      </c>
      <c r="G756" s="7">
        <v>0.8</v>
      </c>
      <c r="H756" s="9" t="s">
        <v>20</v>
      </c>
      <c r="I756">
        <v>0.51</v>
      </c>
      <c r="J756">
        <v>0.93</v>
      </c>
      <c r="K756">
        <v>0.87</v>
      </c>
      <c r="L756">
        <v>0.13</v>
      </c>
      <c r="M756">
        <v>0.17</v>
      </c>
      <c r="N756">
        <v>0.36</v>
      </c>
      <c r="O756">
        <v>0.28999999999999998</v>
      </c>
      <c r="P756">
        <v>0.61</v>
      </c>
      <c r="Q756">
        <v>0.9</v>
      </c>
      <c r="R756" s="2">
        <v>0.96</v>
      </c>
      <c r="S756" t="str">
        <f>IF(Table1[[#This Row],[Years_Experience]]&lt;=5,"Early Career",
IF(Table1[[#This Row],[Years_Experience]]&lt;=15,"Mid Career","Senior Level"))</f>
        <v>Senior Level</v>
      </c>
      <c r="T756" t="str">
        <f>IF(Table1[[#This Row],[AI_Exposure_Index]]&gt;=0.7,"High Exposure", IF(Table1[[#This Row],[AI_Exposure_Index]]&gt;=0.3,"Medium Exposure","Low Exposure"))</f>
        <v>Low Exposure</v>
      </c>
    </row>
    <row r="757" spans="1:20" x14ac:dyDescent="0.25">
      <c r="A757" t="s">
        <v>41</v>
      </c>
      <c r="B757">
        <v>64297</v>
      </c>
      <c r="C757" s="1">
        <v>16</v>
      </c>
      <c r="D757" t="s">
        <v>25</v>
      </c>
      <c r="E757" s="7">
        <v>1.03</v>
      </c>
      <c r="F757" s="2">
        <v>0.84</v>
      </c>
      <c r="G757" s="7">
        <v>0.75</v>
      </c>
      <c r="H757" s="9" t="s">
        <v>20</v>
      </c>
      <c r="I757">
        <v>0.52</v>
      </c>
      <c r="J757">
        <v>0.56000000000000005</v>
      </c>
      <c r="K757">
        <v>0.74</v>
      </c>
      <c r="L757">
        <v>0.22</v>
      </c>
      <c r="M757">
        <v>0.37</v>
      </c>
      <c r="N757">
        <v>0.36</v>
      </c>
      <c r="O757">
        <v>0.96</v>
      </c>
      <c r="P757">
        <v>0.44</v>
      </c>
      <c r="Q757">
        <v>0.76</v>
      </c>
      <c r="R757" s="2">
        <v>0.75</v>
      </c>
      <c r="S757" t="str">
        <f>IF(Table1[[#This Row],[Years_Experience]]&lt;=5,"Early Career",
IF(Table1[[#This Row],[Years_Experience]]&lt;=15,"Mid Career","Senior Level"))</f>
        <v>Senior Level</v>
      </c>
      <c r="T757" t="str">
        <f>IF(Table1[[#This Row],[AI_Exposure_Index]]&gt;=0.7,"High Exposure", IF(Table1[[#This Row],[AI_Exposure_Index]]&gt;=0.3,"Medium Exposure","Low Exposure"))</f>
        <v>High Exposure</v>
      </c>
    </row>
    <row r="758" spans="1:20" x14ac:dyDescent="0.25">
      <c r="A758" t="s">
        <v>32</v>
      </c>
      <c r="B758">
        <v>76126</v>
      </c>
      <c r="C758" s="1">
        <v>10</v>
      </c>
      <c r="D758" t="s">
        <v>25</v>
      </c>
      <c r="E758" s="7">
        <v>1.39</v>
      </c>
      <c r="F758" s="2">
        <v>0.56999999999999995</v>
      </c>
      <c r="G758" s="7">
        <v>0.49</v>
      </c>
      <c r="H758" s="9" t="s">
        <v>27</v>
      </c>
      <c r="I758">
        <v>0.95</v>
      </c>
      <c r="J758">
        <v>0.21</v>
      </c>
      <c r="K758">
        <v>7.0000000000000007E-2</v>
      </c>
      <c r="L758">
        <v>0.89</v>
      </c>
      <c r="M758">
        <v>0.85</v>
      </c>
      <c r="N758">
        <v>0.99</v>
      </c>
      <c r="O758">
        <v>0.68</v>
      </c>
      <c r="P758">
        <v>0.94</v>
      </c>
      <c r="Q758">
        <v>0.83</v>
      </c>
      <c r="R758" s="2">
        <v>0.84</v>
      </c>
      <c r="S758" t="str">
        <f>IF(Table1[[#This Row],[Years_Experience]]&lt;=5,"Early Career",
IF(Table1[[#This Row],[Years_Experience]]&lt;=15,"Mid Career","Senior Level"))</f>
        <v>Mid Career</v>
      </c>
      <c r="T758" t="str">
        <f>IF(Table1[[#This Row],[AI_Exposure_Index]]&gt;=0.7,"High Exposure", IF(Table1[[#This Row],[AI_Exposure_Index]]&gt;=0.3,"Medium Exposure","Low Exposure"))</f>
        <v>Medium Exposure</v>
      </c>
    </row>
    <row r="759" spans="1:20" x14ac:dyDescent="0.25">
      <c r="A759" t="s">
        <v>31</v>
      </c>
      <c r="B759">
        <v>112694</v>
      </c>
      <c r="C759" s="1">
        <v>27</v>
      </c>
      <c r="D759" t="s">
        <v>19</v>
      </c>
      <c r="E759" s="7">
        <v>1.43</v>
      </c>
      <c r="F759" s="2">
        <v>0.38</v>
      </c>
      <c r="G759" s="7">
        <v>0.16</v>
      </c>
      <c r="H759" s="9" t="s">
        <v>23</v>
      </c>
      <c r="I759">
        <v>0.54</v>
      </c>
      <c r="J759">
        <v>0.45</v>
      </c>
      <c r="K759">
        <v>0.56000000000000005</v>
      </c>
      <c r="L759">
        <v>0.47</v>
      </c>
      <c r="M759">
        <v>0.05</v>
      </c>
      <c r="N759">
        <v>0.88</v>
      </c>
      <c r="O759">
        <v>0.44</v>
      </c>
      <c r="P759">
        <v>0.59</v>
      </c>
      <c r="Q759">
        <v>0.14000000000000001</v>
      </c>
      <c r="R759" s="2">
        <v>0</v>
      </c>
      <c r="S759" t="str">
        <f>IF(Table1[[#This Row],[Years_Experience]]&lt;=5,"Early Career",
IF(Table1[[#This Row],[Years_Experience]]&lt;=15,"Mid Career","Senior Level"))</f>
        <v>Senior Level</v>
      </c>
      <c r="T759" t="str">
        <f>IF(Table1[[#This Row],[AI_Exposure_Index]]&gt;=0.7,"High Exposure", IF(Table1[[#This Row],[AI_Exposure_Index]]&gt;=0.3,"Medium Exposure","Low Exposure"))</f>
        <v>Medium Exposure</v>
      </c>
    </row>
    <row r="760" spans="1:20" x14ac:dyDescent="0.25">
      <c r="A760" t="s">
        <v>40</v>
      </c>
      <c r="B760">
        <v>117287</v>
      </c>
      <c r="C760" s="1">
        <v>21</v>
      </c>
      <c r="D760" t="s">
        <v>25</v>
      </c>
      <c r="E760" s="7">
        <v>0.6</v>
      </c>
      <c r="F760" s="2">
        <v>0.7</v>
      </c>
      <c r="G760" s="7">
        <v>0.28000000000000003</v>
      </c>
      <c r="H760" s="9" t="s">
        <v>23</v>
      </c>
      <c r="I760">
        <v>0.22</v>
      </c>
      <c r="J760">
        <v>0.2</v>
      </c>
      <c r="K760">
        <v>0.18</v>
      </c>
      <c r="L760">
        <v>0.01</v>
      </c>
      <c r="M760">
        <v>0.77</v>
      </c>
      <c r="N760">
        <v>0.88</v>
      </c>
      <c r="O760">
        <v>0.61</v>
      </c>
      <c r="P760">
        <v>0.19</v>
      </c>
      <c r="Q760">
        <v>0.28999999999999998</v>
      </c>
      <c r="R760" s="2">
        <v>0.48</v>
      </c>
      <c r="S760" t="str">
        <f>IF(Table1[[#This Row],[Years_Experience]]&lt;=5,"Early Career",
IF(Table1[[#This Row],[Years_Experience]]&lt;=15,"Mid Career","Senior Level"))</f>
        <v>Senior Level</v>
      </c>
      <c r="T760" t="str">
        <f>IF(Table1[[#This Row],[AI_Exposure_Index]]&gt;=0.7,"High Exposure", IF(Table1[[#This Row],[AI_Exposure_Index]]&gt;=0.3,"Medium Exposure","Low Exposure"))</f>
        <v>High Exposure</v>
      </c>
    </row>
    <row r="761" spans="1:20" x14ac:dyDescent="0.25">
      <c r="A761" t="s">
        <v>43</v>
      </c>
      <c r="B761">
        <v>31082</v>
      </c>
      <c r="C761" s="1">
        <v>12</v>
      </c>
      <c r="D761" t="s">
        <v>38</v>
      </c>
      <c r="E761" s="7">
        <v>1.23</v>
      </c>
      <c r="F761" s="2">
        <v>0.25</v>
      </c>
      <c r="G761" s="7">
        <v>0.16</v>
      </c>
      <c r="H761" s="9" t="s">
        <v>23</v>
      </c>
      <c r="I761">
        <v>0.3</v>
      </c>
      <c r="J761">
        <v>0.46</v>
      </c>
      <c r="K761">
        <v>7.0000000000000007E-2</v>
      </c>
      <c r="L761">
        <v>0.8</v>
      </c>
      <c r="M761">
        <v>0.24</v>
      </c>
      <c r="N761">
        <v>0.73</v>
      </c>
      <c r="O761">
        <v>7.0000000000000007E-2</v>
      </c>
      <c r="P761">
        <v>0.96</v>
      </c>
      <c r="Q761">
        <v>0.19</v>
      </c>
      <c r="R761" s="2">
        <v>0.88</v>
      </c>
      <c r="S761" t="str">
        <f>IF(Table1[[#This Row],[Years_Experience]]&lt;=5,"Early Career",
IF(Table1[[#This Row],[Years_Experience]]&lt;=15,"Mid Career","Senior Level"))</f>
        <v>Mid Career</v>
      </c>
      <c r="T761" t="str">
        <f>IF(Table1[[#This Row],[AI_Exposure_Index]]&gt;=0.7,"High Exposure", IF(Table1[[#This Row],[AI_Exposure_Index]]&gt;=0.3,"Medium Exposure","Low Exposure"))</f>
        <v>Low Exposure</v>
      </c>
    </row>
    <row r="762" spans="1:20" x14ac:dyDescent="0.25">
      <c r="A762" t="s">
        <v>18</v>
      </c>
      <c r="B762">
        <v>137252</v>
      </c>
      <c r="C762" s="1">
        <v>23</v>
      </c>
      <c r="D762" t="s">
        <v>38</v>
      </c>
      <c r="E762" s="7">
        <v>0.98</v>
      </c>
      <c r="F762" s="2">
        <v>0.97</v>
      </c>
      <c r="G762" s="7">
        <v>0.88</v>
      </c>
      <c r="H762" s="9" t="s">
        <v>20</v>
      </c>
      <c r="I762">
        <v>0.37</v>
      </c>
      <c r="J762">
        <v>0.18</v>
      </c>
      <c r="K762">
        <v>0.44</v>
      </c>
      <c r="L762">
        <v>0.17</v>
      </c>
      <c r="M762">
        <v>0.98</v>
      </c>
      <c r="N762">
        <v>0.1</v>
      </c>
      <c r="O762">
        <v>0.59</v>
      </c>
      <c r="P762">
        <v>0.63</v>
      </c>
      <c r="Q762">
        <v>0.54</v>
      </c>
      <c r="R762" s="2">
        <v>0.66</v>
      </c>
      <c r="S762" t="str">
        <f>IF(Table1[[#This Row],[Years_Experience]]&lt;=5,"Early Career",
IF(Table1[[#This Row],[Years_Experience]]&lt;=15,"Mid Career","Senior Level"))</f>
        <v>Senior Level</v>
      </c>
      <c r="T762" t="str">
        <f>IF(Table1[[#This Row],[AI_Exposure_Index]]&gt;=0.7,"High Exposure", IF(Table1[[#This Row],[AI_Exposure_Index]]&gt;=0.3,"Medium Exposure","Low Exposure"))</f>
        <v>High Exposure</v>
      </c>
    </row>
    <row r="763" spans="1:20" x14ac:dyDescent="0.25">
      <c r="A763" t="s">
        <v>28</v>
      </c>
      <c r="B763">
        <v>31511</v>
      </c>
      <c r="C763" s="1">
        <v>17</v>
      </c>
      <c r="D763" t="s">
        <v>38</v>
      </c>
      <c r="E763" s="7">
        <v>0.79</v>
      </c>
      <c r="F763" s="2">
        <v>0.56000000000000005</v>
      </c>
      <c r="G763" s="7">
        <v>0.68</v>
      </c>
      <c r="H763" s="9" t="s">
        <v>27</v>
      </c>
      <c r="I763">
        <v>0.76</v>
      </c>
      <c r="J763">
        <v>0.97</v>
      </c>
      <c r="K763">
        <v>0.04</v>
      </c>
      <c r="L763">
        <v>0.28999999999999998</v>
      </c>
      <c r="M763">
        <v>0.2</v>
      </c>
      <c r="N763">
        <v>0.01</v>
      </c>
      <c r="O763">
        <v>0.24</v>
      </c>
      <c r="P763">
        <v>0.68</v>
      </c>
      <c r="Q763">
        <v>0.23</v>
      </c>
      <c r="R763" s="2">
        <v>0.51</v>
      </c>
      <c r="S763" t="str">
        <f>IF(Table1[[#This Row],[Years_Experience]]&lt;=5,"Early Career",
IF(Table1[[#This Row],[Years_Experience]]&lt;=15,"Mid Career","Senior Level"))</f>
        <v>Senior Level</v>
      </c>
      <c r="T763" t="str">
        <f>IF(Table1[[#This Row],[AI_Exposure_Index]]&gt;=0.7,"High Exposure", IF(Table1[[#This Row],[AI_Exposure_Index]]&gt;=0.3,"Medium Exposure","Low Exposure"))</f>
        <v>Medium Exposure</v>
      </c>
    </row>
    <row r="764" spans="1:20" x14ac:dyDescent="0.25">
      <c r="A764" t="s">
        <v>41</v>
      </c>
      <c r="B764">
        <v>33145</v>
      </c>
      <c r="C764" s="1">
        <v>9</v>
      </c>
      <c r="D764" t="s">
        <v>19</v>
      </c>
      <c r="E764" s="7">
        <v>0.89</v>
      </c>
      <c r="F764" s="2">
        <v>0.69</v>
      </c>
      <c r="G764" s="7">
        <v>0.79</v>
      </c>
      <c r="H764" s="9" t="s">
        <v>20</v>
      </c>
      <c r="I764">
        <v>0.46</v>
      </c>
      <c r="J764">
        <v>0.18</v>
      </c>
      <c r="K764">
        <v>0.63</v>
      </c>
      <c r="L764">
        <v>0.36</v>
      </c>
      <c r="M764">
        <v>0.85</v>
      </c>
      <c r="N764">
        <v>0.76</v>
      </c>
      <c r="O764">
        <v>0.61</v>
      </c>
      <c r="P764">
        <v>0.36</v>
      </c>
      <c r="Q764">
        <v>0.21</v>
      </c>
      <c r="R764" s="2">
        <v>0.78</v>
      </c>
      <c r="S764" t="str">
        <f>IF(Table1[[#This Row],[Years_Experience]]&lt;=5,"Early Career",
IF(Table1[[#This Row],[Years_Experience]]&lt;=15,"Mid Career","Senior Level"))</f>
        <v>Mid Career</v>
      </c>
      <c r="T764" t="str">
        <f>IF(Table1[[#This Row],[AI_Exposure_Index]]&gt;=0.7,"High Exposure", IF(Table1[[#This Row],[AI_Exposure_Index]]&gt;=0.3,"Medium Exposure","Low Exposure"))</f>
        <v>Medium Exposure</v>
      </c>
    </row>
    <row r="765" spans="1:20" x14ac:dyDescent="0.25">
      <c r="A765" t="s">
        <v>26</v>
      </c>
      <c r="B765">
        <v>115642</v>
      </c>
      <c r="C765" s="1">
        <v>19</v>
      </c>
      <c r="D765" t="s">
        <v>22</v>
      </c>
      <c r="E765" s="7">
        <v>0.7</v>
      </c>
      <c r="F765" s="2">
        <v>0.22</v>
      </c>
      <c r="G765" s="7">
        <v>0.37</v>
      </c>
      <c r="H765" s="9" t="s">
        <v>27</v>
      </c>
      <c r="I765">
        <v>0.78</v>
      </c>
      <c r="J765">
        <v>0.23</v>
      </c>
      <c r="K765">
        <v>0.53</v>
      </c>
      <c r="L765">
        <v>0.45</v>
      </c>
      <c r="M765">
        <v>0.57999999999999996</v>
      </c>
      <c r="N765">
        <v>0.88</v>
      </c>
      <c r="O765">
        <v>0.87</v>
      </c>
      <c r="P765">
        <v>0.45</v>
      </c>
      <c r="Q765">
        <v>0.02</v>
      </c>
      <c r="R765" s="2">
        <v>0.43</v>
      </c>
      <c r="S765" t="str">
        <f>IF(Table1[[#This Row],[Years_Experience]]&lt;=5,"Early Career",
IF(Table1[[#This Row],[Years_Experience]]&lt;=15,"Mid Career","Senior Level"))</f>
        <v>Senior Level</v>
      </c>
      <c r="T765" t="str">
        <f>IF(Table1[[#This Row],[AI_Exposure_Index]]&gt;=0.7,"High Exposure", IF(Table1[[#This Row],[AI_Exposure_Index]]&gt;=0.3,"Medium Exposure","Low Exposure"))</f>
        <v>Low Exposure</v>
      </c>
    </row>
    <row r="766" spans="1:20" x14ac:dyDescent="0.25">
      <c r="A766" t="s">
        <v>40</v>
      </c>
      <c r="B766">
        <v>128303</v>
      </c>
      <c r="C766" s="1">
        <v>9</v>
      </c>
      <c r="D766" t="s">
        <v>38</v>
      </c>
      <c r="E766" s="7">
        <v>1.1499999999999999</v>
      </c>
      <c r="F766" s="2">
        <v>0.56000000000000005</v>
      </c>
      <c r="G766" s="7">
        <v>0.09</v>
      </c>
      <c r="H766" s="9" t="s">
        <v>23</v>
      </c>
      <c r="I766">
        <v>0.65</v>
      </c>
      <c r="J766">
        <v>0.18</v>
      </c>
      <c r="K766">
        <v>0.75</v>
      </c>
      <c r="L766">
        <v>0.34</v>
      </c>
      <c r="M766">
        <v>0.71</v>
      </c>
      <c r="N766">
        <v>0.05</v>
      </c>
      <c r="O766">
        <v>0.41</v>
      </c>
      <c r="P766">
        <v>0.71</v>
      </c>
      <c r="Q766">
        <v>0.23</v>
      </c>
      <c r="R766" s="2">
        <v>0.8</v>
      </c>
      <c r="S766" t="str">
        <f>IF(Table1[[#This Row],[Years_Experience]]&lt;=5,"Early Career",
IF(Table1[[#This Row],[Years_Experience]]&lt;=15,"Mid Career","Senior Level"))</f>
        <v>Mid Career</v>
      </c>
      <c r="T766" t="str">
        <f>IF(Table1[[#This Row],[AI_Exposure_Index]]&gt;=0.7,"High Exposure", IF(Table1[[#This Row],[AI_Exposure_Index]]&gt;=0.3,"Medium Exposure","Low Exposure"))</f>
        <v>Medium Exposure</v>
      </c>
    </row>
    <row r="767" spans="1:20" x14ac:dyDescent="0.25">
      <c r="A767" t="s">
        <v>24</v>
      </c>
      <c r="B767">
        <v>81142</v>
      </c>
      <c r="C767" s="1">
        <v>16</v>
      </c>
      <c r="D767" t="s">
        <v>38</v>
      </c>
      <c r="E767" s="7">
        <v>0.85</v>
      </c>
      <c r="F767" s="2">
        <v>0.59</v>
      </c>
      <c r="G767" s="7">
        <v>0.82</v>
      </c>
      <c r="H767" s="9" t="s">
        <v>20</v>
      </c>
      <c r="I767">
        <v>0.6</v>
      </c>
      <c r="J767">
        <v>0.47</v>
      </c>
      <c r="K767">
        <v>0.7</v>
      </c>
      <c r="L767">
        <v>0.43</v>
      </c>
      <c r="M767">
        <v>0.2</v>
      </c>
      <c r="N767">
        <v>0.21</v>
      </c>
      <c r="O767">
        <v>0.01</v>
      </c>
      <c r="P767">
        <v>0.3</v>
      </c>
      <c r="Q767">
        <v>0.75</v>
      </c>
      <c r="R767" s="2">
        <v>0.79</v>
      </c>
      <c r="S767" t="str">
        <f>IF(Table1[[#This Row],[Years_Experience]]&lt;=5,"Early Career",
IF(Table1[[#This Row],[Years_Experience]]&lt;=15,"Mid Career","Senior Level"))</f>
        <v>Senior Level</v>
      </c>
      <c r="T767" t="str">
        <f>IF(Table1[[#This Row],[AI_Exposure_Index]]&gt;=0.7,"High Exposure", IF(Table1[[#This Row],[AI_Exposure_Index]]&gt;=0.3,"Medium Exposure","Low Exposure"))</f>
        <v>Medium Exposure</v>
      </c>
    </row>
    <row r="768" spans="1:20" x14ac:dyDescent="0.25">
      <c r="A768" t="s">
        <v>21</v>
      </c>
      <c r="B768">
        <v>89817</v>
      </c>
      <c r="C768" s="1">
        <v>13</v>
      </c>
      <c r="D768" t="s">
        <v>22</v>
      </c>
      <c r="E768" s="7">
        <v>1</v>
      </c>
      <c r="F768" s="2">
        <v>0.96</v>
      </c>
      <c r="G768" s="7">
        <v>0.28000000000000003</v>
      </c>
      <c r="H768" s="9" t="s">
        <v>23</v>
      </c>
      <c r="I768">
        <v>0.71</v>
      </c>
      <c r="J768">
        <v>0.72</v>
      </c>
      <c r="K768">
        <v>0.09</v>
      </c>
      <c r="L768">
        <v>0.22</v>
      </c>
      <c r="M768">
        <v>0.01</v>
      </c>
      <c r="N768">
        <v>0.72</v>
      </c>
      <c r="O768">
        <v>0.34</v>
      </c>
      <c r="P768">
        <v>0.79</v>
      </c>
      <c r="Q768">
        <v>0.34</v>
      </c>
      <c r="R768" s="2">
        <v>0.82</v>
      </c>
      <c r="S768" t="str">
        <f>IF(Table1[[#This Row],[Years_Experience]]&lt;=5,"Early Career",
IF(Table1[[#This Row],[Years_Experience]]&lt;=15,"Mid Career","Senior Level"))</f>
        <v>Mid Career</v>
      </c>
      <c r="T768" t="str">
        <f>IF(Table1[[#This Row],[AI_Exposure_Index]]&gt;=0.7,"High Exposure", IF(Table1[[#This Row],[AI_Exposure_Index]]&gt;=0.3,"Medium Exposure","Low Exposure"))</f>
        <v>High Exposure</v>
      </c>
    </row>
    <row r="769" spans="1:20" x14ac:dyDescent="0.25">
      <c r="A769" t="s">
        <v>35</v>
      </c>
      <c r="B769">
        <v>124410</v>
      </c>
      <c r="C769" s="1">
        <v>0</v>
      </c>
      <c r="D769" t="s">
        <v>19</v>
      </c>
      <c r="E769" s="7">
        <v>0.84</v>
      </c>
      <c r="F769" s="2">
        <v>0.17</v>
      </c>
      <c r="G769" s="7">
        <v>0.46</v>
      </c>
      <c r="H769" s="9" t="s">
        <v>27</v>
      </c>
      <c r="I769">
        <v>0.35</v>
      </c>
      <c r="J769">
        <v>0.76</v>
      </c>
      <c r="K769">
        <v>0.1</v>
      </c>
      <c r="L769">
        <v>0.35</v>
      </c>
      <c r="M769">
        <v>0.84</v>
      </c>
      <c r="N769">
        <v>7.0000000000000007E-2</v>
      </c>
      <c r="O769">
        <v>0.94</v>
      </c>
      <c r="P769">
        <v>0.99</v>
      </c>
      <c r="Q769">
        <v>0.09</v>
      </c>
      <c r="R769" s="2">
        <v>0.28999999999999998</v>
      </c>
      <c r="S769" t="str">
        <f>IF(Table1[[#This Row],[Years_Experience]]&lt;=5,"Early Career",
IF(Table1[[#This Row],[Years_Experience]]&lt;=15,"Mid Career","Senior Level"))</f>
        <v>Early Career</v>
      </c>
      <c r="T769" t="str">
        <f>IF(Table1[[#This Row],[AI_Exposure_Index]]&gt;=0.7,"High Exposure", IF(Table1[[#This Row],[AI_Exposure_Index]]&gt;=0.3,"Medium Exposure","Low Exposure"))</f>
        <v>Low Exposure</v>
      </c>
    </row>
    <row r="770" spans="1:20" x14ac:dyDescent="0.25">
      <c r="A770" t="s">
        <v>42</v>
      </c>
      <c r="B770">
        <v>138139</v>
      </c>
      <c r="C770" s="1">
        <v>15</v>
      </c>
      <c r="D770" t="s">
        <v>38</v>
      </c>
      <c r="E770" s="7">
        <v>1.1000000000000001</v>
      </c>
      <c r="F770" s="2">
        <v>0.78</v>
      </c>
      <c r="G770" s="7">
        <v>0.56000000000000005</v>
      </c>
      <c r="H770" s="9" t="s">
        <v>27</v>
      </c>
      <c r="I770">
        <v>0.76</v>
      </c>
      <c r="J770">
        <v>0.12</v>
      </c>
      <c r="K770">
        <v>0.83</v>
      </c>
      <c r="L770">
        <v>0.71</v>
      </c>
      <c r="M770">
        <v>0.57999999999999996</v>
      </c>
      <c r="N770">
        <v>0.89</v>
      </c>
      <c r="O770">
        <v>0.7</v>
      </c>
      <c r="P770">
        <v>0.2</v>
      </c>
      <c r="Q770">
        <v>0.43</v>
      </c>
      <c r="R770" s="2">
        <v>0.49</v>
      </c>
      <c r="S770" t="str">
        <f>IF(Table1[[#This Row],[Years_Experience]]&lt;=5,"Early Career",
IF(Table1[[#This Row],[Years_Experience]]&lt;=15,"Mid Career","Senior Level"))</f>
        <v>Mid Career</v>
      </c>
      <c r="T770" t="str">
        <f>IF(Table1[[#This Row],[AI_Exposure_Index]]&gt;=0.7,"High Exposure", IF(Table1[[#This Row],[AI_Exposure_Index]]&gt;=0.3,"Medium Exposure","Low Exposure"))</f>
        <v>High Exposure</v>
      </c>
    </row>
    <row r="771" spans="1:20" x14ac:dyDescent="0.25">
      <c r="A771" t="s">
        <v>21</v>
      </c>
      <c r="B771">
        <v>78657</v>
      </c>
      <c r="C771" s="1">
        <v>18</v>
      </c>
      <c r="D771" t="s">
        <v>22</v>
      </c>
      <c r="E771" s="7">
        <v>0.63</v>
      </c>
      <c r="F771" s="2">
        <v>0.95</v>
      </c>
      <c r="G771" s="7">
        <v>0.22</v>
      </c>
      <c r="H771" s="9" t="s">
        <v>23</v>
      </c>
      <c r="I771">
        <v>0.51</v>
      </c>
      <c r="J771">
        <v>0.03</v>
      </c>
      <c r="K771">
        <v>0.92</v>
      </c>
      <c r="L771">
        <v>0.85</v>
      </c>
      <c r="M771">
        <v>0.52</v>
      </c>
      <c r="N771">
        <v>0.23</v>
      </c>
      <c r="O771">
        <v>0.12</v>
      </c>
      <c r="P771">
        <v>0.36</v>
      </c>
      <c r="Q771">
        <v>0.26</v>
      </c>
      <c r="R771" s="2">
        <v>0.51</v>
      </c>
      <c r="S771" t="str">
        <f>IF(Table1[[#This Row],[Years_Experience]]&lt;=5,"Early Career",
IF(Table1[[#This Row],[Years_Experience]]&lt;=15,"Mid Career","Senior Level"))</f>
        <v>Senior Level</v>
      </c>
      <c r="T771" t="str">
        <f>IF(Table1[[#This Row],[AI_Exposure_Index]]&gt;=0.7,"High Exposure", IF(Table1[[#This Row],[AI_Exposure_Index]]&gt;=0.3,"Medium Exposure","Low Exposure"))</f>
        <v>High Exposure</v>
      </c>
    </row>
    <row r="772" spans="1:20" x14ac:dyDescent="0.25">
      <c r="A772" t="s">
        <v>41</v>
      </c>
      <c r="B772">
        <v>69309</v>
      </c>
      <c r="C772" s="1">
        <v>8</v>
      </c>
      <c r="D772" t="s">
        <v>22</v>
      </c>
      <c r="E772" s="7">
        <v>1.39</v>
      </c>
      <c r="F772" s="2">
        <v>0.56999999999999995</v>
      </c>
      <c r="G772" s="7">
        <v>0.86</v>
      </c>
      <c r="H772" s="9" t="s">
        <v>20</v>
      </c>
      <c r="I772">
        <v>0.48</v>
      </c>
      <c r="J772">
        <v>0.85</v>
      </c>
      <c r="K772">
        <v>0.47</v>
      </c>
      <c r="L772">
        <v>0.87</v>
      </c>
      <c r="M772">
        <v>0.28999999999999998</v>
      </c>
      <c r="N772">
        <v>0.13</v>
      </c>
      <c r="O772">
        <v>0.86</v>
      </c>
      <c r="P772">
        <v>0.59</v>
      </c>
      <c r="Q772">
        <v>0.89</v>
      </c>
      <c r="R772" s="2">
        <v>0.94</v>
      </c>
      <c r="S772" t="str">
        <f>IF(Table1[[#This Row],[Years_Experience]]&lt;=5,"Early Career",
IF(Table1[[#This Row],[Years_Experience]]&lt;=15,"Mid Career","Senior Level"))</f>
        <v>Mid Career</v>
      </c>
      <c r="T772" t="str">
        <f>IF(Table1[[#This Row],[AI_Exposure_Index]]&gt;=0.7,"High Exposure", IF(Table1[[#This Row],[AI_Exposure_Index]]&gt;=0.3,"Medium Exposure","Low Exposure"))</f>
        <v>Medium Exposure</v>
      </c>
    </row>
    <row r="773" spans="1:20" x14ac:dyDescent="0.25">
      <c r="A773" t="s">
        <v>34</v>
      </c>
      <c r="B773">
        <v>68669</v>
      </c>
      <c r="C773" s="1">
        <v>17</v>
      </c>
      <c r="D773" t="s">
        <v>19</v>
      </c>
      <c r="E773" s="7">
        <v>1.36</v>
      </c>
      <c r="F773" s="2">
        <v>0.49</v>
      </c>
      <c r="G773" s="7">
        <v>0.34</v>
      </c>
      <c r="H773" s="9" t="s">
        <v>27</v>
      </c>
      <c r="I773">
        <v>0.45</v>
      </c>
      <c r="J773">
        <v>0.28999999999999998</v>
      </c>
      <c r="K773">
        <v>0.1</v>
      </c>
      <c r="L773">
        <v>0.76</v>
      </c>
      <c r="M773">
        <v>0.51</v>
      </c>
      <c r="N773">
        <v>0.56000000000000005</v>
      </c>
      <c r="O773">
        <v>0.41</v>
      </c>
      <c r="P773">
        <v>0.46</v>
      </c>
      <c r="Q773">
        <v>0.12</v>
      </c>
      <c r="R773" s="2">
        <v>0.67</v>
      </c>
      <c r="S773" t="str">
        <f>IF(Table1[[#This Row],[Years_Experience]]&lt;=5,"Early Career",
IF(Table1[[#This Row],[Years_Experience]]&lt;=15,"Mid Career","Senior Level"))</f>
        <v>Senior Level</v>
      </c>
      <c r="T773" t="str">
        <f>IF(Table1[[#This Row],[AI_Exposure_Index]]&gt;=0.7,"High Exposure", IF(Table1[[#This Row],[AI_Exposure_Index]]&gt;=0.3,"Medium Exposure","Low Exposure"))</f>
        <v>Medium Exposure</v>
      </c>
    </row>
    <row r="774" spans="1:20" x14ac:dyDescent="0.25">
      <c r="A774" t="s">
        <v>41</v>
      </c>
      <c r="B774">
        <v>87033</v>
      </c>
      <c r="C774" s="1">
        <v>27</v>
      </c>
      <c r="D774" t="s">
        <v>22</v>
      </c>
      <c r="E774" s="7">
        <v>0.7</v>
      </c>
      <c r="F774" s="2">
        <v>0.82</v>
      </c>
      <c r="G774" s="7">
        <v>0.75</v>
      </c>
      <c r="H774" s="9" t="s">
        <v>20</v>
      </c>
      <c r="I774">
        <v>0.65</v>
      </c>
      <c r="J774">
        <v>0.85</v>
      </c>
      <c r="K774">
        <v>0.47</v>
      </c>
      <c r="L774">
        <v>0.73</v>
      </c>
      <c r="M774">
        <v>1</v>
      </c>
      <c r="N774">
        <v>0.99</v>
      </c>
      <c r="O774">
        <v>0.74</v>
      </c>
      <c r="P774">
        <v>0.74</v>
      </c>
      <c r="Q774">
        <v>0.25</v>
      </c>
      <c r="R774" s="2">
        <v>0.83</v>
      </c>
      <c r="S774" t="str">
        <f>IF(Table1[[#This Row],[Years_Experience]]&lt;=5,"Early Career",
IF(Table1[[#This Row],[Years_Experience]]&lt;=15,"Mid Career","Senior Level"))</f>
        <v>Senior Level</v>
      </c>
      <c r="T774" t="str">
        <f>IF(Table1[[#This Row],[AI_Exposure_Index]]&gt;=0.7,"High Exposure", IF(Table1[[#This Row],[AI_Exposure_Index]]&gt;=0.3,"Medium Exposure","Low Exposure"))</f>
        <v>High Exposure</v>
      </c>
    </row>
    <row r="775" spans="1:20" x14ac:dyDescent="0.25">
      <c r="A775" t="s">
        <v>31</v>
      </c>
      <c r="B775">
        <v>80658</v>
      </c>
      <c r="C775" s="1">
        <v>5</v>
      </c>
      <c r="D775" t="s">
        <v>22</v>
      </c>
      <c r="E775" s="7">
        <v>0.57999999999999996</v>
      </c>
      <c r="F775" s="2">
        <v>0.96</v>
      </c>
      <c r="G775" s="7">
        <v>0.16</v>
      </c>
      <c r="H775" s="9" t="s">
        <v>23</v>
      </c>
      <c r="I775">
        <v>0.56000000000000005</v>
      </c>
      <c r="J775">
        <v>0.41</v>
      </c>
      <c r="K775">
        <v>0.21</v>
      </c>
      <c r="L775">
        <v>0.59</v>
      </c>
      <c r="M775">
        <v>0.76</v>
      </c>
      <c r="N775">
        <v>0.64</v>
      </c>
      <c r="O775">
        <v>0.23</v>
      </c>
      <c r="P775">
        <v>0.73</v>
      </c>
      <c r="Q775">
        <v>0.26</v>
      </c>
      <c r="R775" s="2">
        <v>0.18</v>
      </c>
      <c r="S775" t="str">
        <f>IF(Table1[[#This Row],[Years_Experience]]&lt;=5,"Early Career",
IF(Table1[[#This Row],[Years_Experience]]&lt;=15,"Mid Career","Senior Level"))</f>
        <v>Early Career</v>
      </c>
      <c r="T775" t="str">
        <f>IF(Table1[[#This Row],[AI_Exposure_Index]]&gt;=0.7,"High Exposure", IF(Table1[[#This Row],[AI_Exposure_Index]]&gt;=0.3,"Medium Exposure","Low Exposure"))</f>
        <v>High Exposure</v>
      </c>
    </row>
    <row r="776" spans="1:20" x14ac:dyDescent="0.25">
      <c r="A776" t="s">
        <v>26</v>
      </c>
      <c r="B776">
        <v>136081</v>
      </c>
      <c r="C776" s="1">
        <v>29</v>
      </c>
      <c r="D776" t="s">
        <v>25</v>
      </c>
      <c r="E776" s="7">
        <v>0.98</v>
      </c>
      <c r="F776" s="2">
        <v>0.84</v>
      </c>
      <c r="G776" s="7">
        <v>0.51</v>
      </c>
      <c r="H776" s="9" t="s">
        <v>27</v>
      </c>
      <c r="I776">
        <v>0.3</v>
      </c>
      <c r="J776">
        <v>0.49</v>
      </c>
      <c r="K776">
        <v>0.13</v>
      </c>
      <c r="L776">
        <v>0.96</v>
      </c>
      <c r="M776">
        <v>0.8</v>
      </c>
      <c r="N776">
        <v>0.67</v>
      </c>
      <c r="O776">
        <v>0.54</v>
      </c>
      <c r="P776">
        <v>0.79</v>
      </c>
      <c r="Q776">
        <v>0.49</v>
      </c>
      <c r="R776" s="2">
        <v>0.3</v>
      </c>
      <c r="S776" t="str">
        <f>IF(Table1[[#This Row],[Years_Experience]]&lt;=5,"Early Career",
IF(Table1[[#This Row],[Years_Experience]]&lt;=15,"Mid Career","Senior Level"))</f>
        <v>Senior Level</v>
      </c>
      <c r="T776" t="str">
        <f>IF(Table1[[#This Row],[AI_Exposure_Index]]&gt;=0.7,"High Exposure", IF(Table1[[#This Row],[AI_Exposure_Index]]&gt;=0.3,"Medium Exposure","Low Exposure"))</f>
        <v>High Exposure</v>
      </c>
    </row>
    <row r="777" spans="1:20" x14ac:dyDescent="0.25">
      <c r="A777" t="s">
        <v>26</v>
      </c>
      <c r="B777">
        <v>48728</v>
      </c>
      <c r="C777" s="1">
        <v>11</v>
      </c>
      <c r="D777" t="s">
        <v>38</v>
      </c>
      <c r="E777" s="7">
        <v>1.43</v>
      </c>
      <c r="F777" s="2">
        <v>0.65</v>
      </c>
      <c r="G777" s="7">
        <v>0.36</v>
      </c>
      <c r="H777" s="9" t="s">
        <v>27</v>
      </c>
      <c r="I777">
        <v>0.18</v>
      </c>
      <c r="J777">
        <v>0.43</v>
      </c>
      <c r="K777">
        <v>0.81</v>
      </c>
      <c r="L777">
        <v>0.28999999999999998</v>
      </c>
      <c r="M777">
        <v>0.25</v>
      </c>
      <c r="N777">
        <v>0.62</v>
      </c>
      <c r="O777">
        <v>0.54</v>
      </c>
      <c r="P777">
        <v>0.06</v>
      </c>
      <c r="Q777">
        <v>0.08</v>
      </c>
      <c r="R777" s="2">
        <v>0.64</v>
      </c>
      <c r="S777" t="str">
        <f>IF(Table1[[#This Row],[Years_Experience]]&lt;=5,"Early Career",
IF(Table1[[#This Row],[Years_Experience]]&lt;=15,"Mid Career","Senior Level"))</f>
        <v>Mid Career</v>
      </c>
      <c r="T777" t="str">
        <f>IF(Table1[[#This Row],[AI_Exposure_Index]]&gt;=0.7,"High Exposure", IF(Table1[[#This Row],[AI_Exposure_Index]]&gt;=0.3,"Medium Exposure","Low Exposure"))</f>
        <v>Medium Exposure</v>
      </c>
    </row>
    <row r="778" spans="1:20" x14ac:dyDescent="0.25">
      <c r="A778" t="s">
        <v>32</v>
      </c>
      <c r="B778">
        <v>52286</v>
      </c>
      <c r="C778" s="1">
        <v>15</v>
      </c>
      <c r="D778" t="s">
        <v>25</v>
      </c>
      <c r="E778" s="7">
        <v>1.18</v>
      </c>
      <c r="F778" s="2">
        <v>0.97</v>
      </c>
      <c r="G778" s="7">
        <v>0.3</v>
      </c>
      <c r="H778" s="9" t="s">
        <v>23</v>
      </c>
      <c r="I778">
        <v>0.48</v>
      </c>
      <c r="J778">
        <v>0.41</v>
      </c>
      <c r="K778">
        <v>0.11</v>
      </c>
      <c r="L778">
        <v>0.92</v>
      </c>
      <c r="M778">
        <v>0.81</v>
      </c>
      <c r="N778">
        <v>0.23</v>
      </c>
      <c r="O778">
        <v>0.26</v>
      </c>
      <c r="P778">
        <v>0.03</v>
      </c>
      <c r="Q778">
        <v>0.3</v>
      </c>
      <c r="R778" s="2">
        <v>0.57999999999999996</v>
      </c>
      <c r="S778" t="str">
        <f>IF(Table1[[#This Row],[Years_Experience]]&lt;=5,"Early Career",
IF(Table1[[#This Row],[Years_Experience]]&lt;=15,"Mid Career","Senior Level"))</f>
        <v>Mid Career</v>
      </c>
      <c r="T778" t="str">
        <f>IF(Table1[[#This Row],[AI_Exposure_Index]]&gt;=0.7,"High Exposure", IF(Table1[[#This Row],[AI_Exposure_Index]]&gt;=0.3,"Medium Exposure","Low Exposure"))</f>
        <v>High Exposure</v>
      </c>
    </row>
    <row r="779" spans="1:20" x14ac:dyDescent="0.25">
      <c r="A779" t="s">
        <v>28</v>
      </c>
      <c r="B779">
        <v>55727</v>
      </c>
      <c r="C779" s="1">
        <v>28</v>
      </c>
      <c r="D779" t="s">
        <v>22</v>
      </c>
      <c r="E779" s="7">
        <v>1.4</v>
      </c>
      <c r="F779" s="2">
        <v>0.19</v>
      </c>
      <c r="G779" s="7">
        <v>0.38</v>
      </c>
      <c r="H779" s="9" t="s">
        <v>27</v>
      </c>
      <c r="I779">
        <v>0.03</v>
      </c>
      <c r="J779">
        <v>0.02</v>
      </c>
      <c r="K779">
        <v>0.62</v>
      </c>
      <c r="L779">
        <v>0.66</v>
      </c>
      <c r="M779">
        <v>0.31</v>
      </c>
      <c r="N779">
        <v>0.32</v>
      </c>
      <c r="O779">
        <v>0.34</v>
      </c>
      <c r="P779">
        <v>0.68</v>
      </c>
      <c r="Q779">
        <v>0.06</v>
      </c>
      <c r="R779" s="2">
        <v>0.93</v>
      </c>
      <c r="S779" t="str">
        <f>IF(Table1[[#This Row],[Years_Experience]]&lt;=5,"Early Career",
IF(Table1[[#This Row],[Years_Experience]]&lt;=15,"Mid Career","Senior Level"))</f>
        <v>Senior Level</v>
      </c>
      <c r="T779" t="str">
        <f>IF(Table1[[#This Row],[AI_Exposure_Index]]&gt;=0.7,"High Exposure", IF(Table1[[#This Row],[AI_Exposure_Index]]&gt;=0.3,"Medium Exposure","Low Exposure"))</f>
        <v>Low Exposure</v>
      </c>
    </row>
    <row r="780" spans="1:20" x14ac:dyDescent="0.25">
      <c r="A780" t="s">
        <v>44</v>
      </c>
      <c r="B780">
        <v>104638</v>
      </c>
      <c r="C780" s="1">
        <v>10</v>
      </c>
      <c r="D780" t="s">
        <v>19</v>
      </c>
      <c r="E780" s="7">
        <v>0.67</v>
      </c>
      <c r="F780" s="2">
        <v>1</v>
      </c>
      <c r="G780" s="7">
        <v>0.61</v>
      </c>
      <c r="H780" s="9" t="s">
        <v>27</v>
      </c>
      <c r="I780">
        <v>0.22</v>
      </c>
      <c r="J780">
        <v>0.08</v>
      </c>
      <c r="K780">
        <v>0.87</v>
      </c>
      <c r="L780">
        <v>0.86</v>
      </c>
      <c r="M780">
        <v>0.4</v>
      </c>
      <c r="N780">
        <v>0.7</v>
      </c>
      <c r="O780">
        <v>0.56000000000000005</v>
      </c>
      <c r="P780">
        <v>0.85</v>
      </c>
      <c r="Q780">
        <v>0.32</v>
      </c>
      <c r="R780" s="2">
        <v>0.52</v>
      </c>
      <c r="S780" t="str">
        <f>IF(Table1[[#This Row],[Years_Experience]]&lt;=5,"Early Career",
IF(Table1[[#This Row],[Years_Experience]]&lt;=15,"Mid Career","Senior Level"))</f>
        <v>Mid Career</v>
      </c>
      <c r="T780" t="str">
        <f>IF(Table1[[#This Row],[AI_Exposure_Index]]&gt;=0.7,"High Exposure", IF(Table1[[#This Row],[AI_Exposure_Index]]&gt;=0.3,"Medium Exposure","Low Exposure"))</f>
        <v>High Exposure</v>
      </c>
    </row>
    <row r="781" spans="1:20" x14ac:dyDescent="0.25">
      <c r="A781" t="s">
        <v>36</v>
      </c>
      <c r="B781">
        <v>119363</v>
      </c>
      <c r="C781" s="1">
        <v>1</v>
      </c>
      <c r="D781" t="s">
        <v>22</v>
      </c>
      <c r="E781" s="7">
        <v>1.39</v>
      </c>
      <c r="F781" s="2">
        <v>0.35</v>
      </c>
      <c r="G781" s="7">
        <v>0.37</v>
      </c>
      <c r="H781" s="9" t="s">
        <v>27</v>
      </c>
      <c r="I781">
        <v>0.15</v>
      </c>
      <c r="J781">
        <v>0.57999999999999996</v>
      </c>
      <c r="K781">
        <v>0.66</v>
      </c>
      <c r="L781">
        <v>0.19</v>
      </c>
      <c r="M781">
        <v>0.39</v>
      </c>
      <c r="N781">
        <v>0.95</v>
      </c>
      <c r="O781">
        <v>0.25</v>
      </c>
      <c r="P781">
        <v>0.67</v>
      </c>
      <c r="Q781">
        <v>0.74</v>
      </c>
      <c r="R781" s="2">
        <v>0.45</v>
      </c>
      <c r="S781" t="str">
        <f>IF(Table1[[#This Row],[Years_Experience]]&lt;=5,"Early Career",
IF(Table1[[#This Row],[Years_Experience]]&lt;=15,"Mid Career","Senior Level"))</f>
        <v>Early Career</v>
      </c>
      <c r="T781" t="str">
        <f>IF(Table1[[#This Row],[AI_Exposure_Index]]&gt;=0.7,"High Exposure", IF(Table1[[#This Row],[AI_Exposure_Index]]&gt;=0.3,"Medium Exposure","Low Exposure"))</f>
        <v>Medium Exposure</v>
      </c>
    </row>
    <row r="782" spans="1:20" x14ac:dyDescent="0.25">
      <c r="A782" t="s">
        <v>24</v>
      </c>
      <c r="B782">
        <v>141597</v>
      </c>
      <c r="C782" s="1">
        <v>26</v>
      </c>
      <c r="D782" t="s">
        <v>38</v>
      </c>
      <c r="E782" s="7">
        <v>0.96</v>
      </c>
      <c r="F782" s="2">
        <v>0.74</v>
      </c>
      <c r="G782" s="7">
        <v>0.84</v>
      </c>
      <c r="H782" s="9" t="s">
        <v>20</v>
      </c>
      <c r="I782">
        <v>0.69</v>
      </c>
      <c r="J782">
        <v>0.59</v>
      </c>
      <c r="K782">
        <v>0.88</v>
      </c>
      <c r="L782">
        <v>0.36</v>
      </c>
      <c r="M782">
        <v>0.3</v>
      </c>
      <c r="N782">
        <v>0.21</v>
      </c>
      <c r="O782">
        <v>0.04</v>
      </c>
      <c r="P782">
        <v>0.04</v>
      </c>
      <c r="Q782">
        <v>0.87</v>
      </c>
      <c r="R782" s="2">
        <v>0.68</v>
      </c>
      <c r="S782" t="str">
        <f>IF(Table1[[#This Row],[Years_Experience]]&lt;=5,"Early Career",
IF(Table1[[#This Row],[Years_Experience]]&lt;=15,"Mid Career","Senior Level"))</f>
        <v>Senior Level</v>
      </c>
      <c r="T782" t="str">
        <f>IF(Table1[[#This Row],[AI_Exposure_Index]]&gt;=0.7,"High Exposure", IF(Table1[[#This Row],[AI_Exposure_Index]]&gt;=0.3,"Medium Exposure","Low Exposure"))</f>
        <v>High Exposure</v>
      </c>
    </row>
    <row r="783" spans="1:20" x14ac:dyDescent="0.25">
      <c r="A783" t="s">
        <v>44</v>
      </c>
      <c r="B783">
        <v>72756</v>
      </c>
      <c r="C783" s="1">
        <v>18</v>
      </c>
      <c r="D783" t="s">
        <v>22</v>
      </c>
      <c r="E783" s="7">
        <v>1.35</v>
      </c>
      <c r="F783" s="2">
        <v>0.61</v>
      </c>
      <c r="G783" s="7">
        <v>0.49</v>
      </c>
      <c r="H783" s="9" t="s">
        <v>27</v>
      </c>
      <c r="I783">
        <v>0.87</v>
      </c>
      <c r="J783">
        <v>0.36</v>
      </c>
      <c r="K783">
        <v>0.93</v>
      </c>
      <c r="L783">
        <v>0.7</v>
      </c>
      <c r="M783">
        <v>0.26</v>
      </c>
      <c r="N783">
        <v>0.56000000000000005</v>
      </c>
      <c r="O783">
        <v>0.53</v>
      </c>
      <c r="P783">
        <v>0.14000000000000001</v>
      </c>
      <c r="Q783">
        <v>0.59</v>
      </c>
      <c r="R783" s="2">
        <v>0.31</v>
      </c>
      <c r="S783" t="str">
        <f>IF(Table1[[#This Row],[Years_Experience]]&lt;=5,"Early Career",
IF(Table1[[#This Row],[Years_Experience]]&lt;=15,"Mid Career","Senior Level"))</f>
        <v>Senior Level</v>
      </c>
      <c r="T783" t="str">
        <f>IF(Table1[[#This Row],[AI_Exposure_Index]]&gt;=0.7,"High Exposure", IF(Table1[[#This Row],[AI_Exposure_Index]]&gt;=0.3,"Medium Exposure","Low Exposure"))</f>
        <v>Medium Exposure</v>
      </c>
    </row>
    <row r="784" spans="1:20" x14ac:dyDescent="0.25">
      <c r="A784" t="s">
        <v>21</v>
      </c>
      <c r="B784">
        <v>77774</v>
      </c>
      <c r="C784" s="1">
        <v>10</v>
      </c>
      <c r="D784" t="s">
        <v>25</v>
      </c>
      <c r="E784" s="7">
        <v>1.1399999999999999</v>
      </c>
      <c r="F784" s="2">
        <v>0.95</v>
      </c>
      <c r="G784" s="7">
        <v>0.27</v>
      </c>
      <c r="H784" s="9" t="s">
        <v>23</v>
      </c>
      <c r="I784">
        <v>0.68</v>
      </c>
      <c r="J784">
        <v>0.36</v>
      </c>
      <c r="K784">
        <v>0.51</v>
      </c>
      <c r="L784">
        <v>0.68</v>
      </c>
      <c r="M784">
        <v>0.96</v>
      </c>
      <c r="N784">
        <v>0.25</v>
      </c>
      <c r="O784">
        <v>0.87</v>
      </c>
      <c r="P784">
        <v>0.92</v>
      </c>
      <c r="Q784">
        <v>0.67</v>
      </c>
      <c r="R784" s="2">
        <v>0.93</v>
      </c>
      <c r="S784" t="str">
        <f>IF(Table1[[#This Row],[Years_Experience]]&lt;=5,"Early Career",
IF(Table1[[#This Row],[Years_Experience]]&lt;=15,"Mid Career","Senior Level"))</f>
        <v>Mid Career</v>
      </c>
      <c r="T784" t="str">
        <f>IF(Table1[[#This Row],[AI_Exposure_Index]]&gt;=0.7,"High Exposure", IF(Table1[[#This Row],[AI_Exposure_Index]]&gt;=0.3,"Medium Exposure","Low Exposure"))</f>
        <v>High Exposure</v>
      </c>
    </row>
    <row r="785" spans="1:20" x14ac:dyDescent="0.25">
      <c r="A785" t="s">
        <v>39</v>
      </c>
      <c r="B785">
        <v>119865</v>
      </c>
      <c r="C785" s="1">
        <v>12</v>
      </c>
      <c r="D785" t="s">
        <v>19</v>
      </c>
      <c r="E785" s="7">
        <v>1.2</v>
      </c>
      <c r="F785" s="2">
        <v>0.95</v>
      </c>
      <c r="G785" s="7">
        <v>0.71</v>
      </c>
      <c r="H785" s="9" t="s">
        <v>20</v>
      </c>
      <c r="I785">
        <v>0.91</v>
      </c>
      <c r="J785">
        <v>0.48</v>
      </c>
      <c r="K785">
        <v>0.46</v>
      </c>
      <c r="L785">
        <v>0.56999999999999995</v>
      </c>
      <c r="M785">
        <v>0.15</v>
      </c>
      <c r="N785">
        <v>0.47</v>
      </c>
      <c r="O785">
        <v>0.83</v>
      </c>
      <c r="P785">
        <v>0.02</v>
      </c>
      <c r="Q785">
        <v>0.27</v>
      </c>
      <c r="R785" s="2">
        <v>0</v>
      </c>
      <c r="S785" t="str">
        <f>IF(Table1[[#This Row],[Years_Experience]]&lt;=5,"Early Career",
IF(Table1[[#This Row],[Years_Experience]]&lt;=15,"Mid Career","Senior Level"))</f>
        <v>Mid Career</v>
      </c>
      <c r="T785" t="str">
        <f>IF(Table1[[#This Row],[AI_Exposure_Index]]&gt;=0.7,"High Exposure", IF(Table1[[#This Row],[AI_Exposure_Index]]&gt;=0.3,"Medium Exposure","Low Exposure"))</f>
        <v>High Exposure</v>
      </c>
    </row>
    <row r="786" spans="1:20" x14ac:dyDescent="0.25">
      <c r="A786" t="s">
        <v>29</v>
      </c>
      <c r="B786">
        <v>33692</v>
      </c>
      <c r="C786" s="1">
        <v>25</v>
      </c>
      <c r="D786" t="s">
        <v>25</v>
      </c>
      <c r="E786" s="7">
        <v>1.3</v>
      </c>
      <c r="F786" s="2">
        <v>0.73</v>
      </c>
      <c r="G786" s="7">
        <v>0.28999999999999998</v>
      </c>
      <c r="H786" s="9" t="s">
        <v>23</v>
      </c>
      <c r="I786">
        <v>0.61</v>
      </c>
      <c r="J786">
        <v>0.25</v>
      </c>
      <c r="K786">
        <v>0.92</v>
      </c>
      <c r="L786">
        <v>0.78</v>
      </c>
      <c r="M786">
        <v>0.56999999999999995</v>
      </c>
      <c r="N786">
        <v>0.7</v>
      </c>
      <c r="O786">
        <v>0.92</v>
      </c>
      <c r="P786">
        <v>0.71</v>
      </c>
      <c r="Q786">
        <v>0.37</v>
      </c>
      <c r="R786" s="2">
        <v>0.71</v>
      </c>
      <c r="S786" t="str">
        <f>IF(Table1[[#This Row],[Years_Experience]]&lt;=5,"Early Career",
IF(Table1[[#This Row],[Years_Experience]]&lt;=15,"Mid Career","Senior Level"))</f>
        <v>Senior Level</v>
      </c>
      <c r="T786" t="str">
        <f>IF(Table1[[#This Row],[AI_Exposure_Index]]&gt;=0.7,"High Exposure", IF(Table1[[#This Row],[AI_Exposure_Index]]&gt;=0.3,"Medium Exposure","Low Exposure"))</f>
        <v>High Exposure</v>
      </c>
    </row>
    <row r="787" spans="1:20" x14ac:dyDescent="0.25">
      <c r="A787" t="s">
        <v>21</v>
      </c>
      <c r="B787">
        <v>139419</v>
      </c>
      <c r="C787" s="1">
        <v>4</v>
      </c>
      <c r="D787" t="s">
        <v>22</v>
      </c>
      <c r="E787" s="7">
        <v>0.91</v>
      </c>
      <c r="F787" s="2">
        <v>0.39</v>
      </c>
      <c r="G787" s="7">
        <v>0.09</v>
      </c>
      <c r="H787" s="9" t="s">
        <v>23</v>
      </c>
      <c r="I787">
        <v>0.02</v>
      </c>
      <c r="J787">
        <v>0.13</v>
      </c>
      <c r="K787">
        <v>0.65</v>
      </c>
      <c r="L787">
        <v>0.8</v>
      </c>
      <c r="M787">
        <v>0.99</v>
      </c>
      <c r="N787">
        <v>0.35</v>
      </c>
      <c r="O787">
        <v>0.6</v>
      </c>
      <c r="P787">
        <v>0.94</v>
      </c>
      <c r="Q787">
        <v>0.17</v>
      </c>
      <c r="R787" s="2">
        <v>0.72</v>
      </c>
      <c r="S787" t="str">
        <f>IF(Table1[[#This Row],[Years_Experience]]&lt;=5,"Early Career",
IF(Table1[[#This Row],[Years_Experience]]&lt;=15,"Mid Career","Senior Level"))</f>
        <v>Early Career</v>
      </c>
      <c r="T787" t="str">
        <f>IF(Table1[[#This Row],[AI_Exposure_Index]]&gt;=0.7,"High Exposure", IF(Table1[[#This Row],[AI_Exposure_Index]]&gt;=0.3,"Medium Exposure","Low Exposure"))</f>
        <v>Medium Exposure</v>
      </c>
    </row>
    <row r="788" spans="1:20" x14ac:dyDescent="0.25">
      <c r="A788" t="s">
        <v>41</v>
      </c>
      <c r="B788">
        <v>48782</v>
      </c>
      <c r="C788" s="1">
        <v>6</v>
      </c>
      <c r="D788" t="s">
        <v>38</v>
      </c>
      <c r="E788" s="7">
        <v>1.36</v>
      </c>
      <c r="F788" s="2">
        <v>0.09</v>
      </c>
      <c r="G788" s="7">
        <v>0.9</v>
      </c>
      <c r="H788" s="9" t="s">
        <v>20</v>
      </c>
      <c r="I788">
        <v>0.03</v>
      </c>
      <c r="J788">
        <v>0.09</v>
      </c>
      <c r="K788">
        <v>0.05</v>
      </c>
      <c r="L788">
        <v>0.33</v>
      </c>
      <c r="M788">
        <v>0.51</v>
      </c>
      <c r="N788">
        <v>0.53</v>
      </c>
      <c r="O788">
        <v>0.27</v>
      </c>
      <c r="P788">
        <v>0.91</v>
      </c>
      <c r="Q788">
        <v>0.37</v>
      </c>
      <c r="R788" s="2">
        <v>0.05</v>
      </c>
      <c r="S788" t="str">
        <f>IF(Table1[[#This Row],[Years_Experience]]&lt;=5,"Early Career",
IF(Table1[[#This Row],[Years_Experience]]&lt;=15,"Mid Career","Senior Level"))</f>
        <v>Mid Career</v>
      </c>
      <c r="T788" t="str">
        <f>IF(Table1[[#This Row],[AI_Exposure_Index]]&gt;=0.7,"High Exposure", IF(Table1[[#This Row],[AI_Exposure_Index]]&gt;=0.3,"Medium Exposure","Low Exposure"))</f>
        <v>Low Exposure</v>
      </c>
    </row>
    <row r="789" spans="1:20" x14ac:dyDescent="0.25">
      <c r="A789" t="s">
        <v>39</v>
      </c>
      <c r="B789">
        <v>140349</v>
      </c>
      <c r="C789" s="1">
        <v>14</v>
      </c>
      <c r="D789" t="s">
        <v>19</v>
      </c>
      <c r="E789" s="7">
        <v>0.91</v>
      </c>
      <c r="F789" s="2">
        <v>0.53</v>
      </c>
      <c r="G789" s="7">
        <v>0.77</v>
      </c>
      <c r="H789" s="9" t="s">
        <v>20</v>
      </c>
      <c r="I789">
        <v>0.13</v>
      </c>
      <c r="J789">
        <v>0.82</v>
      </c>
      <c r="K789">
        <v>1</v>
      </c>
      <c r="L789">
        <v>0.33</v>
      </c>
      <c r="M789">
        <v>0.38</v>
      </c>
      <c r="N789">
        <v>0.62</v>
      </c>
      <c r="O789">
        <v>0.72</v>
      </c>
      <c r="P789">
        <v>0.39</v>
      </c>
      <c r="Q789">
        <v>0.9</v>
      </c>
      <c r="R789" s="2">
        <v>0.56000000000000005</v>
      </c>
      <c r="S789" t="str">
        <f>IF(Table1[[#This Row],[Years_Experience]]&lt;=5,"Early Career",
IF(Table1[[#This Row],[Years_Experience]]&lt;=15,"Mid Career","Senior Level"))</f>
        <v>Mid Career</v>
      </c>
      <c r="T789" t="str">
        <f>IF(Table1[[#This Row],[AI_Exposure_Index]]&gt;=0.7,"High Exposure", IF(Table1[[#This Row],[AI_Exposure_Index]]&gt;=0.3,"Medium Exposure","Low Exposure"))</f>
        <v>Medium Exposure</v>
      </c>
    </row>
    <row r="790" spans="1:20" x14ac:dyDescent="0.25">
      <c r="A790" t="s">
        <v>26</v>
      </c>
      <c r="B790">
        <v>80075</v>
      </c>
      <c r="C790" s="1">
        <v>22</v>
      </c>
      <c r="D790" t="s">
        <v>38</v>
      </c>
      <c r="E790" s="7">
        <v>1.45</v>
      </c>
      <c r="F790" s="2">
        <v>0.65</v>
      </c>
      <c r="G790" s="7">
        <v>0.62</v>
      </c>
      <c r="H790" s="9" t="s">
        <v>27</v>
      </c>
      <c r="I790">
        <v>0.04</v>
      </c>
      <c r="J790">
        <v>0.33</v>
      </c>
      <c r="K790">
        <v>0.47</v>
      </c>
      <c r="L790">
        <v>0.31</v>
      </c>
      <c r="M790">
        <v>0.7</v>
      </c>
      <c r="N790">
        <v>0.83</v>
      </c>
      <c r="O790">
        <v>0.73</v>
      </c>
      <c r="P790">
        <v>0.99</v>
      </c>
      <c r="Q790">
        <v>0.27</v>
      </c>
      <c r="R790" s="2">
        <v>0.87</v>
      </c>
      <c r="S790" t="str">
        <f>IF(Table1[[#This Row],[Years_Experience]]&lt;=5,"Early Career",
IF(Table1[[#This Row],[Years_Experience]]&lt;=15,"Mid Career","Senior Level"))</f>
        <v>Senior Level</v>
      </c>
      <c r="T790" t="str">
        <f>IF(Table1[[#This Row],[AI_Exposure_Index]]&gt;=0.7,"High Exposure", IF(Table1[[#This Row],[AI_Exposure_Index]]&gt;=0.3,"Medium Exposure","Low Exposure"))</f>
        <v>Medium Exposure</v>
      </c>
    </row>
    <row r="791" spans="1:20" x14ac:dyDescent="0.25">
      <c r="A791" t="s">
        <v>30</v>
      </c>
      <c r="B791">
        <v>120629</v>
      </c>
      <c r="C791" s="1">
        <v>22</v>
      </c>
      <c r="D791" t="s">
        <v>38</v>
      </c>
      <c r="E791" s="7">
        <v>1.23</v>
      </c>
      <c r="F791" s="2">
        <v>0.36</v>
      </c>
      <c r="G791" s="7">
        <v>0.34</v>
      </c>
      <c r="H791" s="9" t="s">
        <v>27</v>
      </c>
      <c r="I791">
        <v>0.79</v>
      </c>
      <c r="J791">
        <v>0.53</v>
      </c>
      <c r="K791">
        <v>0.28999999999999998</v>
      </c>
      <c r="L791">
        <v>0.66</v>
      </c>
      <c r="M791">
        <v>0.64</v>
      </c>
      <c r="N791">
        <v>0.21</v>
      </c>
      <c r="O791">
        <v>0.03</v>
      </c>
      <c r="P791">
        <v>0.43</v>
      </c>
      <c r="Q791">
        <v>0.56999999999999995</v>
      </c>
      <c r="R791" s="2">
        <v>0.88</v>
      </c>
      <c r="S791" t="str">
        <f>IF(Table1[[#This Row],[Years_Experience]]&lt;=5,"Early Career",
IF(Table1[[#This Row],[Years_Experience]]&lt;=15,"Mid Career","Senior Level"))</f>
        <v>Senior Level</v>
      </c>
      <c r="T791" t="str">
        <f>IF(Table1[[#This Row],[AI_Exposure_Index]]&gt;=0.7,"High Exposure", IF(Table1[[#This Row],[AI_Exposure_Index]]&gt;=0.3,"Medium Exposure","Low Exposure"))</f>
        <v>Medium Exposure</v>
      </c>
    </row>
    <row r="792" spans="1:20" x14ac:dyDescent="0.25">
      <c r="A792" t="s">
        <v>29</v>
      </c>
      <c r="B792">
        <v>135899</v>
      </c>
      <c r="C792" s="1">
        <v>24</v>
      </c>
      <c r="D792" t="s">
        <v>38</v>
      </c>
      <c r="E792" s="7">
        <v>1.25</v>
      </c>
      <c r="F792" s="2">
        <v>0.53</v>
      </c>
      <c r="G792" s="7">
        <v>0.16</v>
      </c>
      <c r="H792" s="9" t="s">
        <v>23</v>
      </c>
      <c r="I792">
        <v>0.75</v>
      </c>
      <c r="J792">
        <v>0.2</v>
      </c>
      <c r="K792">
        <v>0.37</v>
      </c>
      <c r="L792">
        <v>0.63</v>
      </c>
      <c r="M792">
        <v>0.02</v>
      </c>
      <c r="N792">
        <v>0.72</v>
      </c>
      <c r="O792">
        <v>0.84</v>
      </c>
      <c r="P792">
        <v>0.4</v>
      </c>
      <c r="Q792">
        <v>0.45</v>
      </c>
      <c r="R792" s="2">
        <v>0.85</v>
      </c>
      <c r="S792" t="str">
        <f>IF(Table1[[#This Row],[Years_Experience]]&lt;=5,"Early Career",
IF(Table1[[#This Row],[Years_Experience]]&lt;=15,"Mid Career","Senior Level"))</f>
        <v>Senior Level</v>
      </c>
      <c r="T792" t="str">
        <f>IF(Table1[[#This Row],[AI_Exposure_Index]]&gt;=0.7,"High Exposure", IF(Table1[[#This Row],[AI_Exposure_Index]]&gt;=0.3,"Medium Exposure","Low Exposure"))</f>
        <v>Medium Exposure</v>
      </c>
    </row>
    <row r="793" spans="1:20" x14ac:dyDescent="0.25">
      <c r="A793" t="s">
        <v>44</v>
      </c>
      <c r="B793">
        <v>115333</v>
      </c>
      <c r="C793" s="1">
        <v>1</v>
      </c>
      <c r="D793" t="s">
        <v>19</v>
      </c>
      <c r="E793" s="7">
        <v>0.82</v>
      </c>
      <c r="F793" s="2">
        <v>0.28999999999999998</v>
      </c>
      <c r="G793" s="7">
        <v>0.56999999999999995</v>
      </c>
      <c r="H793" s="9" t="s">
        <v>27</v>
      </c>
      <c r="I793">
        <v>0.56000000000000005</v>
      </c>
      <c r="J793">
        <v>0.16</v>
      </c>
      <c r="K793">
        <v>0.31</v>
      </c>
      <c r="L793">
        <v>0.9</v>
      </c>
      <c r="M793">
        <v>0.69</v>
      </c>
      <c r="N793">
        <v>0.99</v>
      </c>
      <c r="O793">
        <v>0.77</v>
      </c>
      <c r="P793">
        <v>0.94</v>
      </c>
      <c r="Q793">
        <v>0.22</v>
      </c>
      <c r="R793" s="2">
        <v>0.77</v>
      </c>
      <c r="S793" t="str">
        <f>IF(Table1[[#This Row],[Years_Experience]]&lt;=5,"Early Career",
IF(Table1[[#This Row],[Years_Experience]]&lt;=15,"Mid Career","Senior Level"))</f>
        <v>Early Career</v>
      </c>
      <c r="T793" t="str">
        <f>IF(Table1[[#This Row],[AI_Exposure_Index]]&gt;=0.7,"High Exposure", IF(Table1[[#This Row],[AI_Exposure_Index]]&gt;=0.3,"Medium Exposure","Low Exposure"))</f>
        <v>Low Exposure</v>
      </c>
    </row>
    <row r="794" spans="1:20" x14ac:dyDescent="0.25">
      <c r="A794" t="s">
        <v>30</v>
      </c>
      <c r="B794">
        <v>93908</v>
      </c>
      <c r="C794" s="1">
        <v>22</v>
      </c>
      <c r="D794" t="s">
        <v>19</v>
      </c>
      <c r="E794" s="7">
        <v>0.97</v>
      </c>
      <c r="F794" s="2">
        <v>0.67</v>
      </c>
      <c r="G794" s="7">
        <v>0.44</v>
      </c>
      <c r="H794" s="9" t="s">
        <v>27</v>
      </c>
      <c r="I794">
        <v>0.86</v>
      </c>
      <c r="J794">
        <v>0.85</v>
      </c>
      <c r="K794">
        <v>0.02</v>
      </c>
      <c r="L794">
        <v>0.61</v>
      </c>
      <c r="M794">
        <v>0.37</v>
      </c>
      <c r="N794">
        <v>0.42</v>
      </c>
      <c r="O794">
        <v>0.83</v>
      </c>
      <c r="P794">
        <v>0.31</v>
      </c>
      <c r="Q794">
        <v>0.94</v>
      </c>
      <c r="R794" s="2">
        <v>0.18</v>
      </c>
      <c r="S794" t="str">
        <f>IF(Table1[[#This Row],[Years_Experience]]&lt;=5,"Early Career",
IF(Table1[[#This Row],[Years_Experience]]&lt;=15,"Mid Career","Senior Level"))</f>
        <v>Senior Level</v>
      </c>
      <c r="T794" t="str">
        <f>IF(Table1[[#This Row],[AI_Exposure_Index]]&gt;=0.7,"High Exposure", IF(Table1[[#This Row],[AI_Exposure_Index]]&gt;=0.3,"Medium Exposure","Low Exposure"))</f>
        <v>Medium Exposure</v>
      </c>
    </row>
    <row r="795" spans="1:20" x14ac:dyDescent="0.25">
      <c r="A795" t="s">
        <v>39</v>
      </c>
      <c r="B795">
        <v>41564</v>
      </c>
      <c r="C795" s="1">
        <v>3</v>
      </c>
      <c r="D795" t="s">
        <v>19</v>
      </c>
      <c r="E795" s="7">
        <v>0.75</v>
      </c>
      <c r="F795" s="2">
        <v>0.67</v>
      </c>
      <c r="G795" s="7">
        <v>0.78</v>
      </c>
      <c r="H795" s="9" t="s">
        <v>20</v>
      </c>
      <c r="I795">
        <v>0.83</v>
      </c>
      <c r="J795">
        <v>0.76</v>
      </c>
      <c r="K795">
        <v>0.33</v>
      </c>
      <c r="L795">
        <v>0.53</v>
      </c>
      <c r="M795">
        <v>0.06</v>
      </c>
      <c r="N795">
        <v>0.21</v>
      </c>
      <c r="O795">
        <v>0.49</v>
      </c>
      <c r="P795">
        <v>0.09</v>
      </c>
      <c r="Q795">
        <v>0.84</v>
      </c>
      <c r="R795" s="2">
        <v>0.72</v>
      </c>
      <c r="S795" t="str">
        <f>IF(Table1[[#This Row],[Years_Experience]]&lt;=5,"Early Career",
IF(Table1[[#This Row],[Years_Experience]]&lt;=15,"Mid Career","Senior Level"))</f>
        <v>Early Career</v>
      </c>
      <c r="T795" t="str">
        <f>IF(Table1[[#This Row],[AI_Exposure_Index]]&gt;=0.7,"High Exposure", IF(Table1[[#This Row],[AI_Exposure_Index]]&gt;=0.3,"Medium Exposure","Low Exposure"))</f>
        <v>Medium Exposure</v>
      </c>
    </row>
    <row r="796" spans="1:20" x14ac:dyDescent="0.25">
      <c r="A796" t="s">
        <v>41</v>
      </c>
      <c r="B796">
        <v>144507</v>
      </c>
      <c r="C796" s="1">
        <v>9</v>
      </c>
      <c r="D796" t="s">
        <v>25</v>
      </c>
      <c r="E796" s="7">
        <v>1.0900000000000001</v>
      </c>
      <c r="F796" s="2">
        <v>0.56000000000000005</v>
      </c>
      <c r="G796" s="7">
        <v>0.79</v>
      </c>
      <c r="H796" s="9" t="s">
        <v>20</v>
      </c>
      <c r="I796">
        <v>0.28000000000000003</v>
      </c>
      <c r="J796">
        <v>0.27</v>
      </c>
      <c r="K796">
        <v>0.17</v>
      </c>
      <c r="L796">
        <v>0.33</v>
      </c>
      <c r="M796">
        <v>0.2</v>
      </c>
      <c r="N796">
        <v>0.63</v>
      </c>
      <c r="O796">
        <v>0.56999999999999995</v>
      </c>
      <c r="P796">
        <v>0.38</v>
      </c>
      <c r="Q796">
        <v>0.33</v>
      </c>
      <c r="R796" s="2">
        <v>0.24</v>
      </c>
      <c r="S796" t="str">
        <f>IF(Table1[[#This Row],[Years_Experience]]&lt;=5,"Early Career",
IF(Table1[[#This Row],[Years_Experience]]&lt;=15,"Mid Career","Senior Level"))</f>
        <v>Mid Career</v>
      </c>
      <c r="T796" t="str">
        <f>IF(Table1[[#This Row],[AI_Exposure_Index]]&gt;=0.7,"High Exposure", IF(Table1[[#This Row],[AI_Exposure_Index]]&gt;=0.3,"Medium Exposure","Low Exposure"))</f>
        <v>Medium Exposure</v>
      </c>
    </row>
    <row r="797" spans="1:20" x14ac:dyDescent="0.25">
      <c r="A797" t="s">
        <v>37</v>
      </c>
      <c r="B797">
        <v>147679</v>
      </c>
      <c r="C797" s="1">
        <v>29</v>
      </c>
      <c r="D797" t="s">
        <v>19</v>
      </c>
      <c r="E797" s="7">
        <v>1.19</v>
      </c>
      <c r="F797" s="2">
        <v>0.92</v>
      </c>
      <c r="G797" s="7">
        <v>0.6</v>
      </c>
      <c r="H797" s="9" t="s">
        <v>27</v>
      </c>
      <c r="I797">
        <v>0.83</v>
      </c>
      <c r="J797">
        <v>0.35</v>
      </c>
      <c r="K797">
        <v>0.06</v>
      </c>
      <c r="L797">
        <v>0.62</v>
      </c>
      <c r="M797">
        <v>0.19</v>
      </c>
      <c r="N797">
        <v>0.56999999999999995</v>
      </c>
      <c r="O797">
        <v>0.74</v>
      </c>
      <c r="P797">
        <v>0.78</v>
      </c>
      <c r="Q797">
        <v>0.3</v>
      </c>
      <c r="R797" s="2">
        <v>0.51</v>
      </c>
      <c r="S797" t="str">
        <f>IF(Table1[[#This Row],[Years_Experience]]&lt;=5,"Early Career",
IF(Table1[[#This Row],[Years_Experience]]&lt;=15,"Mid Career","Senior Level"))</f>
        <v>Senior Level</v>
      </c>
      <c r="T797" t="str">
        <f>IF(Table1[[#This Row],[AI_Exposure_Index]]&gt;=0.7,"High Exposure", IF(Table1[[#This Row],[AI_Exposure_Index]]&gt;=0.3,"Medium Exposure","Low Exposure"))</f>
        <v>High Exposure</v>
      </c>
    </row>
    <row r="798" spans="1:20" x14ac:dyDescent="0.25">
      <c r="A798" t="s">
        <v>21</v>
      </c>
      <c r="B798">
        <v>132811</v>
      </c>
      <c r="C798" s="1">
        <v>12</v>
      </c>
      <c r="D798" t="s">
        <v>19</v>
      </c>
      <c r="E798" s="7">
        <v>1.26</v>
      </c>
      <c r="F798" s="2">
        <v>0.82</v>
      </c>
      <c r="G798" s="7">
        <v>0.3</v>
      </c>
      <c r="H798" s="9" t="s">
        <v>23</v>
      </c>
      <c r="I798">
        <v>0.01</v>
      </c>
      <c r="J798">
        <v>0.44</v>
      </c>
      <c r="K798">
        <v>0.26</v>
      </c>
      <c r="L798">
        <v>0.12</v>
      </c>
      <c r="M798">
        <v>0.91</v>
      </c>
      <c r="N798">
        <v>1</v>
      </c>
      <c r="O798">
        <v>0.18</v>
      </c>
      <c r="P798">
        <v>0.04</v>
      </c>
      <c r="Q798">
        <v>0.28000000000000003</v>
      </c>
      <c r="R798" s="2">
        <v>0.83</v>
      </c>
      <c r="S798" t="str">
        <f>IF(Table1[[#This Row],[Years_Experience]]&lt;=5,"Early Career",
IF(Table1[[#This Row],[Years_Experience]]&lt;=15,"Mid Career","Senior Level"))</f>
        <v>Mid Career</v>
      </c>
      <c r="T798" t="str">
        <f>IF(Table1[[#This Row],[AI_Exposure_Index]]&gt;=0.7,"High Exposure", IF(Table1[[#This Row],[AI_Exposure_Index]]&gt;=0.3,"Medium Exposure","Low Exposure"))</f>
        <v>High Exposure</v>
      </c>
    </row>
    <row r="799" spans="1:20" x14ac:dyDescent="0.25">
      <c r="A799" t="s">
        <v>34</v>
      </c>
      <c r="B799">
        <v>54940</v>
      </c>
      <c r="C799" s="1">
        <v>26</v>
      </c>
      <c r="D799" t="s">
        <v>19</v>
      </c>
      <c r="E799" s="7">
        <v>0.55000000000000004</v>
      </c>
      <c r="F799" s="2">
        <v>0.06</v>
      </c>
      <c r="G799" s="7">
        <v>0.47</v>
      </c>
      <c r="H799" s="9" t="s">
        <v>27</v>
      </c>
      <c r="I799">
        <v>0.93</v>
      </c>
      <c r="J799">
        <v>0.28999999999999998</v>
      </c>
      <c r="K799">
        <v>0.43</v>
      </c>
      <c r="L799">
        <v>0.1</v>
      </c>
      <c r="M799">
        <v>0.49</v>
      </c>
      <c r="N799">
        <v>0.7</v>
      </c>
      <c r="O799">
        <v>0.27</v>
      </c>
      <c r="P799">
        <v>0.3</v>
      </c>
      <c r="Q799">
        <v>0.84</v>
      </c>
      <c r="R799" s="2">
        <v>0.01</v>
      </c>
      <c r="S799" t="str">
        <f>IF(Table1[[#This Row],[Years_Experience]]&lt;=5,"Early Career",
IF(Table1[[#This Row],[Years_Experience]]&lt;=15,"Mid Career","Senior Level"))</f>
        <v>Senior Level</v>
      </c>
      <c r="T799" t="str">
        <f>IF(Table1[[#This Row],[AI_Exposure_Index]]&gt;=0.7,"High Exposure", IF(Table1[[#This Row],[AI_Exposure_Index]]&gt;=0.3,"Medium Exposure","Low Exposure"))</f>
        <v>Low Exposure</v>
      </c>
    </row>
    <row r="800" spans="1:20" x14ac:dyDescent="0.25">
      <c r="A800" t="s">
        <v>26</v>
      </c>
      <c r="B800">
        <v>144326</v>
      </c>
      <c r="C800" s="1">
        <v>14</v>
      </c>
      <c r="D800" t="s">
        <v>22</v>
      </c>
      <c r="E800" s="7">
        <v>0.8</v>
      </c>
      <c r="F800" s="2">
        <v>0.39</v>
      </c>
      <c r="G800" s="7">
        <v>0.56000000000000005</v>
      </c>
      <c r="H800" s="9" t="s">
        <v>27</v>
      </c>
      <c r="I800">
        <v>0.83</v>
      </c>
      <c r="J800">
        <v>0.56000000000000005</v>
      </c>
      <c r="K800">
        <v>0.03</v>
      </c>
      <c r="L800">
        <v>0.46</v>
      </c>
      <c r="M800">
        <v>0.46</v>
      </c>
      <c r="N800">
        <v>0.54</v>
      </c>
      <c r="O800">
        <v>0.67</v>
      </c>
      <c r="P800">
        <v>0.02</v>
      </c>
      <c r="Q800">
        <v>0.5</v>
      </c>
      <c r="R800" s="2">
        <v>0.59</v>
      </c>
      <c r="S800" t="str">
        <f>IF(Table1[[#This Row],[Years_Experience]]&lt;=5,"Early Career",
IF(Table1[[#This Row],[Years_Experience]]&lt;=15,"Mid Career","Senior Level"))</f>
        <v>Mid Career</v>
      </c>
      <c r="T800" t="str">
        <f>IF(Table1[[#This Row],[AI_Exposure_Index]]&gt;=0.7,"High Exposure", IF(Table1[[#This Row],[AI_Exposure_Index]]&gt;=0.3,"Medium Exposure","Low Exposure"))</f>
        <v>Medium Exposure</v>
      </c>
    </row>
    <row r="801" spans="1:20" x14ac:dyDescent="0.25">
      <c r="A801" t="s">
        <v>43</v>
      </c>
      <c r="B801">
        <v>30511</v>
      </c>
      <c r="C801" s="1">
        <v>18</v>
      </c>
      <c r="D801" t="s">
        <v>19</v>
      </c>
      <c r="E801" s="7">
        <v>0.73</v>
      </c>
      <c r="F801" s="2">
        <v>0.67</v>
      </c>
      <c r="G801" s="7">
        <v>0.13</v>
      </c>
      <c r="H801" s="9" t="s">
        <v>23</v>
      </c>
      <c r="I801">
        <v>0.96</v>
      </c>
      <c r="J801">
        <v>0.35</v>
      </c>
      <c r="K801">
        <v>0.35</v>
      </c>
      <c r="L801">
        <v>0.6</v>
      </c>
      <c r="M801">
        <v>0.97</v>
      </c>
      <c r="N801">
        <v>0.98</v>
      </c>
      <c r="O801">
        <v>0.57999999999999996</v>
      </c>
      <c r="P801">
        <v>0</v>
      </c>
      <c r="Q801">
        <v>0.9</v>
      </c>
      <c r="R801" s="2">
        <v>0.56999999999999995</v>
      </c>
      <c r="S801" t="str">
        <f>IF(Table1[[#This Row],[Years_Experience]]&lt;=5,"Early Career",
IF(Table1[[#This Row],[Years_Experience]]&lt;=15,"Mid Career","Senior Level"))</f>
        <v>Senior Level</v>
      </c>
      <c r="T801" t="str">
        <f>IF(Table1[[#This Row],[AI_Exposure_Index]]&gt;=0.7,"High Exposure", IF(Table1[[#This Row],[AI_Exposure_Index]]&gt;=0.3,"Medium Exposure","Low Exposure"))</f>
        <v>Medium Exposure</v>
      </c>
    </row>
    <row r="802" spans="1:20" x14ac:dyDescent="0.25">
      <c r="A802" t="s">
        <v>26</v>
      </c>
      <c r="B802">
        <v>49359</v>
      </c>
      <c r="C802" s="1">
        <v>26</v>
      </c>
      <c r="D802" t="s">
        <v>38</v>
      </c>
      <c r="E802" s="7">
        <v>0.77</v>
      </c>
      <c r="F802" s="2">
        <v>0.9</v>
      </c>
      <c r="G802" s="7">
        <v>0.41</v>
      </c>
      <c r="H802" s="9" t="s">
        <v>27</v>
      </c>
      <c r="I802">
        <v>0.3</v>
      </c>
      <c r="J802">
        <v>0.61</v>
      </c>
      <c r="K802">
        <v>0.44</v>
      </c>
      <c r="L802">
        <v>0.73</v>
      </c>
      <c r="M802">
        <v>0.89</v>
      </c>
      <c r="N802">
        <v>0.67</v>
      </c>
      <c r="O802">
        <v>0.2</v>
      </c>
      <c r="P802">
        <v>0.93</v>
      </c>
      <c r="Q802">
        <v>0.26</v>
      </c>
      <c r="R802" s="2">
        <v>0.15</v>
      </c>
      <c r="S802" t="str">
        <f>IF(Table1[[#This Row],[Years_Experience]]&lt;=5,"Early Career",
IF(Table1[[#This Row],[Years_Experience]]&lt;=15,"Mid Career","Senior Level"))</f>
        <v>Senior Level</v>
      </c>
      <c r="T802" t="str">
        <f>IF(Table1[[#This Row],[AI_Exposure_Index]]&gt;=0.7,"High Exposure", IF(Table1[[#This Row],[AI_Exposure_Index]]&gt;=0.3,"Medium Exposure","Low Exposure"))</f>
        <v>High Exposure</v>
      </c>
    </row>
    <row r="803" spans="1:20" x14ac:dyDescent="0.25">
      <c r="A803" t="s">
        <v>30</v>
      </c>
      <c r="B803">
        <v>36265</v>
      </c>
      <c r="C803" s="1">
        <v>15</v>
      </c>
      <c r="D803" t="s">
        <v>25</v>
      </c>
      <c r="E803" s="7">
        <v>0.61</v>
      </c>
      <c r="F803" s="2">
        <v>0.56000000000000005</v>
      </c>
      <c r="G803" s="7">
        <v>0.36</v>
      </c>
      <c r="H803" s="9" t="s">
        <v>27</v>
      </c>
      <c r="I803">
        <v>0.3</v>
      </c>
      <c r="J803">
        <v>0.28000000000000003</v>
      </c>
      <c r="K803">
        <v>0.6</v>
      </c>
      <c r="L803">
        <v>0.82</v>
      </c>
      <c r="M803">
        <v>0.76</v>
      </c>
      <c r="N803">
        <v>0.26</v>
      </c>
      <c r="O803">
        <v>0.25</v>
      </c>
      <c r="P803">
        <v>0.97</v>
      </c>
      <c r="Q803">
        <v>0.01</v>
      </c>
      <c r="R803" s="2">
        <v>0.88</v>
      </c>
      <c r="S803" t="str">
        <f>IF(Table1[[#This Row],[Years_Experience]]&lt;=5,"Early Career",
IF(Table1[[#This Row],[Years_Experience]]&lt;=15,"Mid Career","Senior Level"))</f>
        <v>Mid Career</v>
      </c>
      <c r="T803" t="str">
        <f>IF(Table1[[#This Row],[AI_Exposure_Index]]&gt;=0.7,"High Exposure", IF(Table1[[#This Row],[AI_Exposure_Index]]&gt;=0.3,"Medium Exposure","Low Exposure"))</f>
        <v>Medium Exposure</v>
      </c>
    </row>
    <row r="804" spans="1:20" x14ac:dyDescent="0.25">
      <c r="A804" t="s">
        <v>35</v>
      </c>
      <c r="B804">
        <v>122313</v>
      </c>
      <c r="C804" s="1">
        <v>25</v>
      </c>
      <c r="D804" t="s">
        <v>19</v>
      </c>
      <c r="E804" s="7">
        <v>0.84</v>
      </c>
      <c r="F804" s="2">
        <v>0.95</v>
      </c>
      <c r="G804" s="7">
        <v>0.48</v>
      </c>
      <c r="H804" s="9" t="s">
        <v>27</v>
      </c>
      <c r="I804">
        <v>0.71</v>
      </c>
      <c r="J804">
        <v>0.59</v>
      </c>
      <c r="K804">
        <v>0.32</v>
      </c>
      <c r="L804">
        <v>0.55000000000000004</v>
      </c>
      <c r="M804">
        <v>0.73</v>
      </c>
      <c r="N804">
        <v>0.04</v>
      </c>
      <c r="O804">
        <v>0.01</v>
      </c>
      <c r="P804">
        <v>0.46</v>
      </c>
      <c r="Q804">
        <v>0.13</v>
      </c>
      <c r="R804" s="2">
        <v>0.66</v>
      </c>
      <c r="S804" t="str">
        <f>IF(Table1[[#This Row],[Years_Experience]]&lt;=5,"Early Career",
IF(Table1[[#This Row],[Years_Experience]]&lt;=15,"Mid Career","Senior Level"))</f>
        <v>Senior Level</v>
      </c>
      <c r="T804" t="str">
        <f>IF(Table1[[#This Row],[AI_Exposure_Index]]&gt;=0.7,"High Exposure", IF(Table1[[#This Row],[AI_Exposure_Index]]&gt;=0.3,"Medium Exposure","Low Exposure"))</f>
        <v>High Exposure</v>
      </c>
    </row>
    <row r="805" spans="1:20" x14ac:dyDescent="0.25">
      <c r="A805" t="s">
        <v>42</v>
      </c>
      <c r="B805">
        <v>39280</v>
      </c>
      <c r="C805" s="1">
        <v>1</v>
      </c>
      <c r="D805" t="s">
        <v>22</v>
      </c>
      <c r="E805" s="7">
        <v>0.7</v>
      </c>
      <c r="F805" s="2">
        <v>0.43</v>
      </c>
      <c r="G805" s="7">
        <v>0.52</v>
      </c>
      <c r="H805" s="9" t="s">
        <v>27</v>
      </c>
      <c r="I805">
        <v>0.12</v>
      </c>
      <c r="J805">
        <v>0.02</v>
      </c>
      <c r="K805">
        <v>0.05</v>
      </c>
      <c r="L805">
        <v>0.95</v>
      </c>
      <c r="M805">
        <v>0.14000000000000001</v>
      </c>
      <c r="N805">
        <v>0.71</v>
      </c>
      <c r="O805">
        <v>7.0000000000000007E-2</v>
      </c>
      <c r="P805">
        <v>0.11</v>
      </c>
      <c r="Q805">
        <v>0.51</v>
      </c>
      <c r="R805" s="2">
        <v>0.46</v>
      </c>
      <c r="S805" t="str">
        <f>IF(Table1[[#This Row],[Years_Experience]]&lt;=5,"Early Career",
IF(Table1[[#This Row],[Years_Experience]]&lt;=15,"Mid Career","Senior Level"))</f>
        <v>Early Career</v>
      </c>
      <c r="T805" t="str">
        <f>IF(Table1[[#This Row],[AI_Exposure_Index]]&gt;=0.7,"High Exposure", IF(Table1[[#This Row],[AI_Exposure_Index]]&gt;=0.3,"Medium Exposure","Low Exposure"))</f>
        <v>Medium Exposure</v>
      </c>
    </row>
    <row r="806" spans="1:20" x14ac:dyDescent="0.25">
      <c r="A806" t="s">
        <v>24</v>
      </c>
      <c r="B806">
        <v>80281</v>
      </c>
      <c r="C806" s="1">
        <v>26</v>
      </c>
      <c r="D806" t="s">
        <v>38</v>
      </c>
      <c r="E806" s="7">
        <v>1.28</v>
      </c>
      <c r="F806" s="2">
        <v>0.94</v>
      </c>
      <c r="G806" s="7">
        <v>0.85</v>
      </c>
      <c r="H806" s="9" t="s">
        <v>20</v>
      </c>
      <c r="I806">
        <v>0.45</v>
      </c>
      <c r="J806">
        <v>0.36</v>
      </c>
      <c r="K806">
        <v>0.95</v>
      </c>
      <c r="L806">
        <v>0.6</v>
      </c>
      <c r="M806">
        <v>0.57999999999999996</v>
      </c>
      <c r="N806">
        <v>0.23</v>
      </c>
      <c r="O806">
        <v>0.05</v>
      </c>
      <c r="P806">
        <v>0.95</v>
      </c>
      <c r="Q806">
        <v>0.31</v>
      </c>
      <c r="R806" s="2">
        <v>0.44</v>
      </c>
      <c r="S806" t="str">
        <f>IF(Table1[[#This Row],[Years_Experience]]&lt;=5,"Early Career",
IF(Table1[[#This Row],[Years_Experience]]&lt;=15,"Mid Career","Senior Level"))</f>
        <v>Senior Level</v>
      </c>
      <c r="T806" t="str">
        <f>IF(Table1[[#This Row],[AI_Exposure_Index]]&gt;=0.7,"High Exposure", IF(Table1[[#This Row],[AI_Exposure_Index]]&gt;=0.3,"Medium Exposure","Low Exposure"))</f>
        <v>High Exposure</v>
      </c>
    </row>
    <row r="807" spans="1:20" x14ac:dyDescent="0.25">
      <c r="A807" t="s">
        <v>34</v>
      </c>
      <c r="B807">
        <v>98354</v>
      </c>
      <c r="C807" s="1">
        <v>16</v>
      </c>
      <c r="D807" t="s">
        <v>25</v>
      </c>
      <c r="E807" s="7">
        <v>0.53</v>
      </c>
      <c r="F807" s="2">
        <v>0.84</v>
      </c>
      <c r="G807" s="7">
        <v>0.63</v>
      </c>
      <c r="H807" s="9" t="s">
        <v>27</v>
      </c>
      <c r="I807">
        <v>0.14000000000000001</v>
      </c>
      <c r="J807">
        <v>0.89</v>
      </c>
      <c r="K807">
        <v>0.73</v>
      </c>
      <c r="L807">
        <v>0.16</v>
      </c>
      <c r="M807">
        <v>0.56999999999999995</v>
      </c>
      <c r="N807">
        <v>0.31</v>
      </c>
      <c r="O807">
        <v>0.18</v>
      </c>
      <c r="P807">
        <v>0.86</v>
      </c>
      <c r="Q807">
        <v>0.4</v>
      </c>
      <c r="R807" s="2">
        <v>0.4</v>
      </c>
      <c r="S807" t="str">
        <f>IF(Table1[[#This Row],[Years_Experience]]&lt;=5,"Early Career",
IF(Table1[[#This Row],[Years_Experience]]&lt;=15,"Mid Career","Senior Level"))</f>
        <v>Senior Level</v>
      </c>
      <c r="T807" t="str">
        <f>IF(Table1[[#This Row],[AI_Exposure_Index]]&gt;=0.7,"High Exposure", IF(Table1[[#This Row],[AI_Exposure_Index]]&gt;=0.3,"Medium Exposure","Low Exposure"))</f>
        <v>High Exposure</v>
      </c>
    </row>
    <row r="808" spans="1:20" x14ac:dyDescent="0.25">
      <c r="A808" t="s">
        <v>28</v>
      </c>
      <c r="B808">
        <v>140951</v>
      </c>
      <c r="C808" s="1">
        <v>11</v>
      </c>
      <c r="D808" t="s">
        <v>25</v>
      </c>
      <c r="E808" s="7">
        <v>1.37</v>
      </c>
      <c r="F808" s="2">
        <v>0.38</v>
      </c>
      <c r="G808" s="7">
        <v>0.45</v>
      </c>
      <c r="H808" s="9" t="s">
        <v>27</v>
      </c>
      <c r="I808">
        <v>0.95</v>
      </c>
      <c r="J808">
        <v>0.95</v>
      </c>
      <c r="K808">
        <v>0.14000000000000001</v>
      </c>
      <c r="L808">
        <v>0.18</v>
      </c>
      <c r="M808">
        <v>0.86</v>
      </c>
      <c r="N808">
        <v>0.39</v>
      </c>
      <c r="O808">
        <v>0</v>
      </c>
      <c r="P808">
        <v>0.27</v>
      </c>
      <c r="Q808">
        <v>0.6</v>
      </c>
      <c r="R808" s="2">
        <v>0.8</v>
      </c>
      <c r="S808" t="str">
        <f>IF(Table1[[#This Row],[Years_Experience]]&lt;=5,"Early Career",
IF(Table1[[#This Row],[Years_Experience]]&lt;=15,"Mid Career","Senior Level"))</f>
        <v>Mid Career</v>
      </c>
      <c r="T808" t="str">
        <f>IF(Table1[[#This Row],[AI_Exposure_Index]]&gt;=0.7,"High Exposure", IF(Table1[[#This Row],[AI_Exposure_Index]]&gt;=0.3,"Medium Exposure","Low Exposure"))</f>
        <v>Medium Exposure</v>
      </c>
    </row>
    <row r="809" spans="1:20" x14ac:dyDescent="0.25">
      <c r="A809" t="s">
        <v>39</v>
      </c>
      <c r="B809">
        <v>145131</v>
      </c>
      <c r="C809" s="1">
        <v>22</v>
      </c>
      <c r="D809" t="s">
        <v>19</v>
      </c>
      <c r="E809" s="7">
        <v>1.42</v>
      </c>
      <c r="F809" s="2">
        <v>0.11</v>
      </c>
      <c r="G809" s="7">
        <v>0.89</v>
      </c>
      <c r="H809" s="9" t="s">
        <v>20</v>
      </c>
      <c r="I809">
        <v>0.59</v>
      </c>
      <c r="J809">
        <v>0.77</v>
      </c>
      <c r="K809">
        <v>0.43</v>
      </c>
      <c r="L809">
        <v>0.76</v>
      </c>
      <c r="M809">
        <v>0.37</v>
      </c>
      <c r="N809">
        <v>0.24</v>
      </c>
      <c r="O809">
        <v>0.73</v>
      </c>
      <c r="P809">
        <v>0.42</v>
      </c>
      <c r="Q809">
        <v>0.98</v>
      </c>
      <c r="R809" s="2">
        <v>0.35</v>
      </c>
      <c r="S809" t="str">
        <f>IF(Table1[[#This Row],[Years_Experience]]&lt;=5,"Early Career",
IF(Table1[[#This Row],[Years_Experience]]&lt;=15,"Mid Career","Senior Level"))</f>
        <v>Senior Level</v>
      </c>
      <c r="T809" t="str">
        <f>IF(Table1[[#This Row],[AI_Exposure_Index]]&gt;=0.7,"High Exposure", IF(Table1[[#This Row],[AI_Exposure_Index]]&gt;=0.3,"Medium Exposure","Low Exposure"))</f>
        <v>Low Exposure</v>
      </c>
    </row>
    <row r="810" spans="1:20" x14ac:dyDescent="0.25">
      <c r="A810" t="s">
        <v>43</v>
      </c>
      <c r="B810">
        <v>51529</v>
      </c>
      <c r="C810" s="1">
        <v>7</v>
      </c>
      <c r="D810" t="s">
        <v>38</v>
      </c>
      <c r="E810" s="7">
        <v>0.74</v>
      </c>
      <c r="F810" s="2">
        <v>0.93</v>
      </c>
      <c r="G810" s="7">
        <v>0.25</v>
      </c>
      <c r="H810" s="9" t="s">
        <v>23</v>
      </c>
      <c r="I810">
        <v>0.43</v>
      </c>
      <c r="J810">
        <v>0.92</v>
      </c>
      <c r="K810">
        <v>0.45</v>
      </c>
      <c r="L810">
        <v>0.74</v>
      </c>
      <c r="M810">
        <v>0.47</v>
      </c>
      <c r="N810">
        <v>0.23</v>
      </c>
      <c r="O810">
        <v>0.2</v>
      </c>
      <c r="P810">
        <v>0.43</v>
      </c>
      <c r="Q810">
        <v>0.76</v>
      </c>
      <c r="R810" s="2">
        <v>0.61</v>
      </c>
      <c r="S810" t="str">
        <f>IF(Table1[[#This Row],[Years_Experience]]&lt;=5,"Early Career",
IF(Table1[[#This Row],[Years_Experience]]&lt;=15,"Mid Career","Senior Level"))</f>
        <v>Mid Career</v>
      </c>
      <c r="T810" t="str">
        <f>IF(Table1[[#This Row],[AI_Exposure_Index]]&gt;=0.7,"High Exposure", IF(Table1[[#This Row],[AI_Exposure_Index]]&gt;=0.3,"Medium Exposure","Low Exposure"))</f>
        <v>High Exposure</v>
      </c>
    </row>
    <row r="811" spans="1:20" x14ac:dyDescent="0.25">
      <c r="A811" t="s">
        <v>39</v>
      </c>
      <c r="B811">
        <v>30594</v>
      </c>
      <c r="C811" s="1">
        <v>25</v>
      </c>
      <c r="D811" t="s">
        <v>19</v>
      </c>
      <c r="E811" s="7">
        <v>0.98</v>
      </c>
      <c r="F811" s="2">
        <v>0.28000000000000003</v>
      </c>
      <c r="G811" s="7">
        <v>0.71</v>
      </c>
      <c r="H811" s="9" t="s">
        <v>20</v>
      </c>
      <c r="I811">
        <v>0.82</v>
      </c>
      <c r="J811">
        <v>0.99</v>
      </c>
      <c r="K811">
        <v>0.41</v>
      </c>
      <c r="L811">
        <v>0.01</v>
      </c>
      <c r="M811">
        <v>0.17</v>
      </c>
      <c r="N811">
        <v>0.65</v>
      </c>
      <c r="O811">
        <v>0.61</v>
      </c>
      <c r="P811">
        <v>0.79</v>
      </c>
      <c r="Q811">
        <v>0.25</v>
      </c>
      <c r="R811" s="2">
        <v>0.76</v>
      </c>
      <c r="S811" t="str">
        <f>IF(Table1[[#This Row],[Years_Experience]]&lt;=5,"Early Career",
IF(Table1[[#This Row],[Years_Experience]]&lt;=15,"Mid Career","Senior Level"))</f>
        <v>Senior Level</v>
      </c>
      <c r="T811" t="str">
        <f>IF(Table1[[#This Row],[AI_Exposure_Index]]&gt;=0.7,"High Exposure", IF(Table1[[#This Row],[AI_Exposure_Index]]&gt;=0.3,"Medium Exposure","Low Exposure"))</f>
        <v>Low Exposure</v>
      </c>
    </row>
    <row r="812" spans="1:20" x14ac:dyDescent="0.25">
      <c r="A812" t="s">
        <v>39</v>
      </c>
      <c r="B812">
        <v>142770</v>
      </c>
      <c r="C812" s="1">
        <v>22</v>
      </c>
      <c r="D812" t="s">
        <v>19</v>
      </c>
      <c r="E812" s="7">
        <v>1.05</v>
      </c>
      <c r="F812" s="2">
        <v>0.32</v>
      </c>
      <c r="G812" s="7">
        <v>0.74</v>
      </c>
      <c r="H812" s="9" t="s">
        <v>20</v>
      </c>
      <c r="I812">
        <v>0.45</v>
      </c>
      <c r="J812">
        <v>0.88</v>
      </c>
      <c r="K812">
        <v>0.42</v>
      </c>
      <c r="L812">
        <v>0.84</v>
      </c>
      <c r="M812">
        <v>0.59</v>
      </c>
      <c r="N812">
        <v>0.19</v>
      </c>
      <c r="O812">
        <v>0.57999999999999996</v>
      </c>
      <c r="P812">
        <v>0.51</v>
      </c>
      <c r="Q812">
        <v>0.4</v>
      </c>
      <c r="R812" s="2">
        <v>0.12</v>
      </c>
      <c r="S812" t="str">
        <f>IF(Table1[[#This Row],[Years_Experience]]&lt;=5,"Early Career",
IF(Table1[[#This Row],[Years_Experience]]&lt;=15,"Mid Career","Senior Level"))</f>
        <v>Senior Level</v>
      </c>
      <c r="T812" t="str">
        <f>IF(Table1[[#This Row],[AI_Exposure_Index]]&gt;=0.7,"High Exposure", IF(Table1[[#This Row],[AI_Exposure_Index]]&gt;=0.3,"Medium Exposure","Low Exposure"))</f>
        <v>Medium Exposure</v>
      </c>
    </row>
    <row r="813" spans="1:20" x14ac:dyDescent="0.25">
      <c r="A813" t="s">
        <v>44</v>
      </c>
      <c r="B813">
        <v>122995</v>
      </c>
      <c r="C813" s="1">
        <v>5</v>
      </c>
      <c r="D813" t="s">
        <v>25</v>
      </c>
      <c r="E813" s="7">
        <v>0.6</v>
      </c>
      <c r="F813" s="2">
        <v>7.0000000000000007E-2</v>
      </c>
      <c r="G813" s="7">
        <v>0.47</v>
      </c>
      <c r="H813" s="9" t="s">
        <v>27</v>
      </c>
      <c r="I813">
        <v>0.31</v>
      </c>
      <c r="J813">
        <v>0.93</v>
      </c>
      <c r="K813">
        <v>0.38</v>
      </c>
      <c r="L813">
        <v>0.76</v>
      </c>
      <c r="M813">
        <v>0.53</v>
      </c>
      <c r="N813">
        <v>0.7</v>
      </c>
      <c r="O813">
        <v>0.26</v>
      </c>
      <c r="P813">
        <v>0.94</v>
      </c>
      <c r="Q813">
        <v>0.53</v>
      </c>
      <c r="R813" s="2">
        <v>0.83</v>
      </c>
      <c r="S813" t="str">
        <f>IF(Table1[[#This Row],[Years_Experience]]&lt;=5,"Early Career",
IF(Table1[[#This Row],[Years_Experience]]&lt;=15,"Mid Career","Senior Level"))</f>
        <v>Early Career</v>
      </c>
      <c r="T813" t="str">
        <f>IF(Table1[[#This Row],[AI_Exposure_Index]]&gt;=0.7,"High Exposure", IF(Table1[[#This Row],[AI_Exposure_Index]]&gt;=0.3,"Medium Exposure","Low Exposure"))</f>
        <v>Low Exposure</v>
      </c>
    </row>
    <row r="814" spans="1:20" x14ac:dyDescent="0.25">
      <c r="A814" t="s">
        <v>21</v>
      </c>
      <c r="B814">
        <v>137126</v>
      </c>
      <c r="C814" s="1">
        <v>7</v>
      </c>
      <c r="D814" t="s">
        <v>19</v>
      </c>
      <c r="E814" s="7">
        <v>1.17</v>
      </c>
      <c r="F814" s="2">
        <v>0.1</v>
      </c>
      <c r="G814" s="7">
        <v>0.05</v>
      </c>
      <c r="H814" s="9" t="s">
        <v>23</v>
      </c>
      <c r="I814">
        <v>0.48</v>
      </c>
      <c r="J814">
        <v>0.19</v>
      </c>
      <c r="K814">
        <v>0.63</v>
      </c>
      <c r="L814">
        <v>0.98</v>
      </c>
      <c r="M814">
        <v>0.46</v>
      </c>
      <c r="N814">
        <v>0.82</v>
      </c>
      <c r="O814">
        <v>0.51</v>
      </c>
      <c r="P814">
        <v>0.5</v>
      </c>
      <c r="Q814">
        <v>0.93</v>
      </c>
      <c r="R814" s="2">
        <v>0.89</v>
      </c>
      <c r="S814" t="str">
        <f>IF(Table1[[#This Row],[Years_Experience]]&lt;=5,"Early Career",
IF(Table1[[#This Row],[Years_Experience]]&lt;=15,"Mid Career","Senior Level"))</f>
        <v>Mid Career</v>
      </c>
      <c r="T814" t="str">
        <f>IF(Table1[[#This Row],[AI_Exposure_Index]]&gt;=0.7,"High Exposure", IF(Table1[[#This Row],[AI_Exposure_Index]]&gt;=0.3,"Medium Exposure","Low Exposure"))</f>
        <v>Low Exposure</v>
      </c>
    </row>
    <row r="815" spans="1:20" x14ac:dyDescent="0.25">
      <c r="A815" t="s">
        <v>33</v>
      </c>
      <c r="B815">
        <v>44372</v>
      </c>
      <c r="C815" s="1">
        <v>26</v>
      </c>
      <c r="D815" t="s">
        <v>38</v>
      </c>
      <c r="E815" s="7">
        <v>0.8</v>
      </c>
      <c r="F815" s="2">
        <v>0.12</v>
      </c>
      <c r="G815" s="7">
        <v>0.94</v>
      </c>
      <c r="H815" s="9" t="s">
        <v>20</v>
      </c>
      <c r="I815">
        <v>0.63</v>
      </c>
      <c r="J815">
        <v>0.55000000000000004</v>
      </c>
      <c r="K815">
        <v>0.71</v>
      </c>
      <c r="L815">
        <v>0.42</v>
      </c>
      <c r="M815">
        <v>0.76</v>
      </c>
      <c r="N815">
        <v>0.39</v>
      </c>
      <c r="O815">
        <v>0.83</v>
      </c>
      <c r="P815">
        <v>0.27</v>
      </c>
      <c r="Q815">
        <v>0.28000000000000003</v>
      </c>
      <c r="R815" s="2">
        <v>0.52</v>
      </c>
      <c r="S815" t="str">
        <f>IF(Table1[[#This Row],[Years_Experience]]&lt;=5,"Early Career",
IF(Table1[[#This Row],[Years_Experience]]&lt;=15,"Mid Career","Senior Level"))</f>
        <v>Senior Level</v>
      </c>
      <c r="T815" t="str">
        <f>IF(Table1[[#This Row],[AI_Exposure_Index]]&gt;=0.7,"High Exposure", IF(Table1[[#This Row],[AI_Exposure_Index]]&gt;=0.3,"Medium Exposure","Low Exposure"))</f>
        <v>Low Exposure</v>
      </c>
    </row>
    <row r="816" spans="1:20" x14ac:dyDescent="0.25">
      <c r="A816" t="s">
        <v>43</v>
      </c>
      <c r="B816">
        <v>53795</v>
      </c>
      <c r="C816" s="1">
        <v>7</v>
      </c>
      <c r="D816" t="s">
        <v>19</v>
      </c>
      <c r="E816" s="7">
        <v>0.86</v>
      </c>
      <c r="F816" s="2">
        <v>0.65</v>
      </c>
      <c r="G816" s="7">
        <v>0.11</v>
      </c>
      <c r="H816" s="9" t="s">
        <v>23</v>
      </c>
      <c r="I816">
        <v>0.47</v>
      </c>
      <c r="J816">
        <v>0.56000000000000005</v>
      </c>
      <c r="K816">
        <v>0.14000000000000001</v>
      </c>
      <c r="L816">
        <v>0.56000000000000005</v>
      </c>
      <c r="M816">
        <v>0.32</v>
      </c>
      <c r="N816">
        <v>0.39</v>
      </c>
      <c r="O816">
        <v>0.28000000000000003</v>
      </c>
      <c r="P816">
        <v>0.93</v>
      </c>
      <c r="Q816">
        <v>0.68</v>
      </c>
      <c r="R816" s="2">
        <v>0.26</v>
      </c>
      <c r="S816" t="str">
        <f>IF(Table1[[#This Row],[Years_Experience]]&lt;=5,"Early Career",
IF(Table1[[#This Row],[Years_Experience]]&lt;=15,"Mid Career","Senior Level"))</f>
        <v>Mid Career</v>
      </c>
      <c r="T816" t="str">
        <f>IF(Table1[[#This Row],[AI_Exposure_Index]]&gt;=0.7,"High Exposure", IF(Table1[[#This Row],[AI_Exposure_Index]]&gt;=0.3,"Medium Exposure","Low Exposure"))</f>
        <v>Medium Exposure</v>
      </c>
    </row>
    <row r="817" spans="1:20" x14ac:dyDescent="0.25">
      <c r="A817" t="s">
        <v>18</v>
      </c>
      <c r="B817">
        <v>80697</v>
      </c>
      <c r="C817" s="1">
        <v>15</v>
      </c>
      <c r="D817" t="s">
        <v>38</v>
      </c>
      <c r="E817" s="7">
        <v>0.9</v>
      </c>
      <c r="F817" s="2">
        <v>0.85</v>
      </c>
      <c r="G817" s="7">
        <v>0.91</v>
      </c>
      <c r="H817" s="9" t="s">
        <v>20</v>
      </c>
      <c r="I817">
        <v>0.15</v>
      </c>
      <c r="J817">
        <v>0.82</v>
      </c>
      <c r="K817">
        <v>0.54</v>
      </c>
      <c r="L817">
        <v>0.22</v>
      </c>
      <c r="M817">
        <v>0.41</v>
      </c>
      <c r="N817">
        <v>0.99</v>
      </c>
      <c r="O817">
        <v>0.78</v>
      </c>
      <c r="P817">
        <v>0.57999999999999996</v>
      </c>
      <c r="Q817">
        <v>0.12</v>
      </c>
      <c r="R817" s="2">
        <v>0.42</v>
      </c>
      <c r="S817" t="str">
        <f>IF(Table1[[#This Row],[Years_Experience]]&lt;=5,"Early Career",
IF(Table1[[#This Row],[Years_Experience]]&lt;=15,"Mid Career","Senior Level"))</f>
        <v>Mid Career</v>
      </c>
      <c r="T817" t="str">
        <f>IF(Table1[[#This Row],[AI_Exposure_Index]]&gt;=0.7,"High Exposure", IF(Table1[[#This Row],[AI_Exposure_Index]]&gt;=0.3,"Medium Exposure","Low Exposure"))</f>
        <v>High Exposure</v>
      </c>
    </row>
    <row r="818" spans="1:20" x14ac:dyDescent="0.25">
      <c r="A818" t="s">
        <v>37</v>
      </c>
      <c r="B818">
        <v>118078</v>
      </c>
      <c r="C818" s="1">
        <v>13</v>
      </c>
      <c r="D818" t="s">
        <v>22</v>
      </c>
      <c r="E818" s="7">
        <v>1.04</v>
      </c>
      <c r="F818" s="2">
        <v>7.0000000000000007E-2</v>
      </c>
      <c r="G818" s="7">
        <v>0.66</v>
      </c>
      <c r="H818" s="9" t="s">
        <v>27</v>
      </c>
      <c r="I818">
        <v>0.68</v>
      </c>
      <c r="J818">
        <v>0.25</v>
      </c>
      <c r="K818">
        <v>0.56999999999999995</v>
      </c>
      <c r="L818">
        <v>0.94</v>
      </c>
      <c r="M818">
        <v>0.72</v>
      </c>
      <c r="N818">
        <v>0.69</v>
      </c>
      <c r="O818">
        <v>0.97</v>
      </c>
      <c r="P818">
        <v>0.8</v>
      </c>
      <c r="Q818">
        <v>0.14000000000000001</v>
      </c>
      <c r="R818" s="2">
        <v>0.35</v>
      </c>
      <c r="S818" t="str">
        <f>IF(Table1[[#This Row],[Years_Experience]]&lt;=5,"Early Career",
IF(Table1[[#This Row],[Years_Experience]]&lt;=15,"Mid Career","Senior Level"))</f>
        <v>Mid Career</v>
      </c>
      <c r="T818" t="str">
        <f>IF(Table1[[#This Row],[AI_Exposure_Index]]&gt;=0.7,"High Exposure", IF(Table1[[#This Row],[AI_Exposure_Index]]&gt;=0.3,"Medium Exposure","Low Exposure"))</f>
        <v>Low Exposure</v>
      </c>
    </row>
    <row r="819" spans="1:20" x14ac:dyDescent="0.25">
      <c r="A819" t="s">
        <v>43</v>
      </c>
      <c r="B819">
        <v>125773</v>
      </c>
      <c r="C819" s="1">
        <v>28</v>
      </c>
      <c r="D819" t="s">
        <v>19</v>
      </c>
      <c r="E819" s="7">
        <v>0.61</v>
      </c>
      <c r="F819" s="2">
        <v>0.49</v>
      </c>
      <c r="G819" s="7">
        <v>0.16</v>
      </c>
      <c r="H819" s="9" t="s">
        <v>23</v>
      </c>
      <c r="I819">
        <v>0.7</v>
      </c>
      <c r="J819">
        <v>1</v>
      </c>
      <c r="K819">
        <v>0.32</v>
      </c>
      <c r="L819">
        <v>0.51</v>
      </c>
      <c r="M819">
        <v>0.88</v>
      </c>
      <c r="N819">
        <v>0.36</v>
      </c>
      <c r="O819">
        <v>0.11</v>
      </c>
      <c r="P819">
        <v>0.95</v>
      </c>
      <c r="Q819">
        <v>0.49</v>
      </c>
      <c r="R819" s="2">
        <v>0.5</v>
      </c>
      <c r="S819" t="str">
        <f>IF(Table1[[#This Row],[Years_Experience]]&lt;=5,"Early Career",
IF(Table1[[#This Row],[Years_Experience]]&lt;=15,"Mid Career","Senior Level"))</f>
        <v>Senior Level</v>
      </c>
      <c r="T819" t="str">
        <f>IF(Table1[[#This Row],[AI_Exposure_Index]]&gt;=0.7,"High Exposure", IF(Table1[[#This Row],[AI_Exposure_Index]]&gt;=0.3,"Medium Exposure","Low Exposure"))</f>
        <v>Medium Exposure</v>
      </c>
    </row>
    <row r="820" spans="1:20" x14ac:dyDescent="0.25">
      <c r="A820" t="s">
        <v>36</v>
      </c>
      <c r="B820">
        <v>93766</v>
      </c>
      <c r="C820" s="1">
        <v>10</v>
      </c>
      <c r="D820" t="s">
        <v>22</v>
      </c>
      <c r="E820" s="7">
        <v>1.43</v>
      </c>
      <c r="F820" s="2">
        <v>0</v>
      </c>
      <c r="G820" s="7">
        <v>0.44</v>
      </c>
      <c r="H820" s="9" t="s">
        <v>27</v>
      </c>
      <c r="I820">
        <v>0.4</v>
      </c>
      <c r="J820">
        <v>0.17</v>
      </c>
      <c r="K820">
        <v>0.38</v>
      </c>
      <c r="L820">
        <v>0.8</v>
      </c>
      <c r="M820">
        <v>0.8</v>
      </c>
      <c r="N820">
        <v>0.94</v>
      </c>
      <c r="O820">
        <v>0.4</v>
      </c>
      <c r="P820">
        <v>0.71</v>
      </c>
      <c r="Q820">
        <v>0.51</v>
      </c>
      <c r="R820" s="2">
        <v>0.8</v>
      </c>
      <c r="S820" t="str">
        <f>IF(Table1[[#This Row],[Years_Experience]]&lt;=5,"Early Career",
IF(Table1[[#This Row],[Years_Experience]]&lt;=15,"Mid Career","Senior Level"))</f>
        <v>Mid Career</v>
      </c>
      <c r="T820" t="str">
        <f>IF(Table1[[#This Row],[AI_Exposure_Index]]&gt;=0.7,"High Exposure", IF(Table1[[#This Row],[AI_Exposure_Index]]&gt;=0.3,"Medium Exposure","Low Exposure"))</f>
        <v>Low Exposure</v>
      </c>
    </row>
    <row r="821" spans="1:20" x14ac:dyDescent="0.25">
      <c r="A821" t="s">
        <v>41</v>
      </c>
      <c r="B821">
        <v>105569</v>
      </c>
      <c r="C821" s="1">
        <v>0</v>
      </c>
      <c r="D821" t="s">
        <v>38</v>
      </c>
      <c r="E821" s="7">
        <v>0.84</v>
      </c>
      <c r="F821" s="2">
        <v>0.37</v>
      </c>
      <c r="G821" s="7">
        <v>0.76</v>
      </c>
      <c r="H821" s="9" t="s">
        <v>20</v>
      </c>
      <c r="I821">
        <v>0.57999999999999996</v>
      </c>
      <c r="J821">
        <v>0.96</v>
      </c>
      <c r="K821">
        <v>0.2</v>
      </c>
      <c r="L821">
        <v>0.1</v>
      </c>
      <c r="M821">
        <v>0.12</v>
      </c>
      <c r="N821">
        <v>0.78</v>
      </c>
      <c r="O821">
        <v>0.35</v>
      </c>
      <c r="P821">
        <v>0.22</v>
      </c>
      <c r="Q821">
        <v>0.35</v>
      </c>
      <c r="R821" s="2">
        <v>0.65</v>
      </c>
      <c r="S821" t="str">
        <f>IF(Table1[[#This Row],[Years_Experience]]&lt;=5,"Early Career",
IF(Table1[[#This Row],[Years_Experience]]&lt;=15,"Mid Career","Senior Level"))</f>
        <v>Early Career</v>
      </c>
      <c r="T821" t="str">
        <f>IF(Table1[[#This Row],[AI_Exposure_Index]]&gt;=0.7,"High Exposure", IF(Table1[[#This Row],[AI_Exposure_Index]]&gt;=0.3,"Medium Exposure","Low Exposure"))</f>
        <v>Medium Exposure</v>
      </c>
    </row>
    <row r="822" spans="1:20" x14ac:dyDescent="0.25">
      <c r="A822" t="s">
        <v>31</v>
      </c>
      <c r="B822">
        <v>45782</v>
      </c>
      <c r="C822" s="1">
        <v>19</v>
      </c>
      <c r="D822" t="s">
        <v>38</v>
      </c>
      <c r="E822" s="7">
        <v>0.84</v>
      </c>
      <c r="F822" s="2">
        <v>0.74</v>
      </c>
      <c r="G822" s="7">
        <v>0.16</v>
      </c>
      <c r="H822" s="9" t="s">
        <v>23</v>
      </c>
      <c r="I822">
        <v>0.1</v>
      </c>
      <c r="J822">
        <v>7.0000000000000007E-2</v>
      </c>
      <c r="K822">
        <v>0.46</v>
      </c>
      <c r="L822">
        <v>0.3</v>
      </c>
      <c r="M822">
        <v>0.61</v>
      </c>
      <c r="N822">
        <v>0.04</v>
      </c>
      <c r="O822">
        <v>0.12</v>
      </c>
      <c r="P822">
        <v>0.87</v>
      </c>
      <c r="Q822">
        <v>0.56999999999999995</v>
      </c>
      <c r="R822" s="2">
        <v>0.71</v>
      </c>
      <c r="S822" t="str">
        <f>IF(Table1[[#This Row],[Years_Experience]]&lt;=5,"Early Career",
IF(Table1[[#This Row],[Years_Experience]]&lt;=15,"Mid Career","Senior Level"))</f>
        <v>Senior Level</v>
      </c>
      <c r="T822" t="str">
        <f>IF(Table1[[#This Row],[AI_Exposure_Index]]&gt;=0.7,"High Exposure", IF(Table1[[#This Row],[AI_Exposure_Index]]&gt;=0.3,"Medium Exposure","Low Exposure"))</f>
        <v>High Exposure</v>
      </c>
    </row>
    <row r="823" spans="1:20" x14ac:dyDescent="0.25">
      <c r="A823" t="s">
        <v>24</v>
      </c>
      <c r="B823">
        <v>127288</v>
      </c>
      <c r="C823" s="1">
        <v>12</v>
      </c>
      <c r="D823" t="s">
        <v>25</v>
      </c>
      <c r="E823" s="7">
        <v>1.26</v>
      </c>
      <c r="F823" s="2">
        <v>0.46</v>
      </c>
      <c r="G823" s="7">
        <v>0.83</v>
      </c>
      <c r="H823" s="9" t="s">
        <v>20</v>
      </c>
      <c r="I823">
        <v>0.22</v>
      </c>
      <c r="J823">
        <v>0.34</v>
      </c>
      <c r="K823">
        <v>0.49</v>
      </c>
      <c r="L823">
        <v>0.32</v>
      </c>
      <c r="M823">
        <v>0.34</v>
      </c>
      <c r="N823">
        <v>0.34</v>
      </c>
      <c r="O823">
        <v>0.12</v>
      </c>
      <c r="P823">
        <v>0.08</v>
      </c>
      <c r="Q823">
        <v>0.05</v>
      </c>
      <c r="R823" s="2">
        <v>0.11</v>
      </c>
      <c r="S823" t="str">
        <f>IF(Table1[[#This Row],[Years_Experience]]&lt;=5,"Early Career",
IF(Table1[[#This Row],[Years_Experience]]&lt;=15,"Mid Career","Senior Level"))</f>
        <v>Mid Career</v>
      </c>
      <c r="T823" t="str">
        <f>IF(Table1[[#This Row],[AI_Exposure_Index]]&gt;=0.7,"High Exposure", IF(Table1[[#This Row],[AI_Exposure_Index]]&gt;=0.3,"Medium Exposure","Low Exposure"))</f>
        <v>Medium Exposure</v>
      </c>
    </row>
    <row r="824" spans="1:20" x14ac:dyDescent="0.25">
      <c r="A824" t="s">
        <v>18</v>
      </c>
      <c r="B824">
        <v>107865</v>
      </c>
      <c r="C824" s="1">
        <v>2</v>
      </c>
      <c r="D824" t="s">
        <v>19</v>
      </c>
      <c r="E824" s="7">
        <v>0.69</v>
      </c>
      <c r="F824" s="2">
        <v>0.59</v>
      </c>
      <c r="G824" s="7">
        <v>0.92</v>
      </c>
      <c r="H824" s="9" t="s">
        <v>20</v>
      </c>
      <c r="I824">
        <v>0.81</v>
      </c>
      <c r="J824">
        <v>0.52</v>
      </c>
      <c r="K824">
        <v>0.72</v>
      </c>
      <c r="L824">
        <v>0.37</v>
      </c>
      <c r="M824">
        <v>0.04</v>
      </c>
      <c r="N824">
        <v>0.9</v>
      </c>
      <c r="O824">
        <v>0.13</v>
      </c>
      <c r="P824">
        <v>0.95</v>
      </c>
      <c r="Q824">
        <v>0.56999999999999995</v>
      </c>
      <c r="R824" s="2">
        <v>0.31</v>
      </c>
      <c r="S824" t="str">
        <f>IF(Table1[[#This Row],[Years_Experience]]&lt;=5,"Early Career",
IF(Table1[[#This Row],[Years_Experience]]&lt;=15,"Mid Career","Senior Level"))</f>
        <v>Early Career</v>
      </c>
      <c r="T824" t="str">
        <f>IF(Table1[[#This Row],[AI_Exposure_Index]]&gt;=0.7,"High Exposure", IF(Table1[[#This Row],[AI_Exposure_Index]]&gt;=0.3,"Medium Exposure","Low Exposure"))</f>
        <v>Medium Exposure</v>
      </c>
    </row>
    <row r="825" spans="1:20" x14ac:dyDescent="0.25">
      <c r="A825" t="s">
        <v>29</v>
      </c>
      <c r="B825">
        <v>75986</v>
      </c>
      <c r="C825" s="1">
        <v>27</v>
      </c>
      <c r="D825" t="s">
        <v>22</v>
      </c>
      <c r="E825" s="7">
        <v>0.52</v>
      </c>
      <c r="F825" s="2">
        <v>0.5</v>
      </c>
      <c r="G825" s="7">
        <v>0.14000000000000001</v>
      </c>
      <c r="H825" s="9" t="s">
        <v>23</v>
      </c>
      <c r="I825">
        <v>0.74</v>
      </c>
      <c r="J825">
        <v>0.51</v>
      </c>
      <c r="K825">
        <v>0.24</v>
      </c>
      <c r="L825">
        <v>0.34</v>
      </c>
      <c r="M825">
        <v>0.86</v>
      </c>
      <c r="N825">
        <v>0.53</v>
      </c>
      <c r="O825">
        <v>0.53</v>
      </c>
      <c r="P825">
        <v>0.96</v>
      </c>
      <c r="Q825">
        <v>0.32</v>
      </c>
      <c r="R825" s="2">
        <v>0.48</v>
      </c>
      <c r="S825" t="str">
        <f>IF(Table1[[#This Row],[Years_Experience]]&lt;=5,"Early Career",
IF(Table1[[#This Row],[Years_Experience]]&lt;=15,"Mid Career","Senior Level"))</f>
        <v>Senior Level</v>
      </c>
      <c r="T825" t="str">
        <f>IF(Table1[[#This Row],[AI_Exposure_Index]]&gt;=0.7,"High Exposure", IF(Table1[[#This Row],[AI_Exposure_Index]]&gt;=0.3,"Medium Exposure","Low Exposure"))</f>
        <v>Medium Exposure</v>
      </c>
    </row>
    <row r="826" spans="1:20" x14ac:dyDescent="0.25">
      <c r="A826" t="s">
        <v>32</v>
      </c>
      <c r="B826">
        <v>60276</v>
      </c>
      <c r="C826" s="1">
        <v>19</v>
      </c>
      <c r="D826" t="s">
        <v>19</v>
      </c>
      <c r="E826" s="7">
        <v>0.77</v>
      </c>
      <c r="F826" s="2">
        <v>0.76</v>
      </c>
      <c r="G826" s="7">
        <v>0.36</v>
      </c>
      <c r="H826" s="9" t="s">
        <v>27</v>
      </c>
      <c r="I826">
        <v>0.7</v>
      </c>
      <c r="J826">
        <v>0.26</v>
      </c>
      <c r="K826">
        <v>0.92</v>
      </c>
      <c r="L826">
        <v>0.13</v>
      </c>
      <c r="M826">
        <v>0.32</v>
      </c>
      <c r="N826">
        <v>0.05</v>
      </c>
      <c r="O826">
        <v>0.7</v>
      </c>
      <c r="P826">
        <v>0.89</v>
      </c>
      <c r="Q826">
        <v>0.64</v>
      </c>
      <c r="R826" s="2">
        <v>0.94</v>
      </c>
      <c r="S826" t="str">
        <f>IF(Table1[[#This Row],[Years_Experience]]&lt;=5,"Early Career",
IF(Table1[[#This Row],[Years_Experience]]&lt;=15,"Mid Career","Senior Level"))</f>
        <v>Senior Level</v>
      </c>
      <c r="T826" t="str">
        <f>IF(Table1[[#This Row],[AI_Exposure_Index]]&gt;=0.7,"High Exposure", IF(Table1[[#This Row],[AI_Exposure_Index]]&gt;=0.3,"Medium Exposure","Low Exposure"))</f>
        <v>High Exposure</v>
      </c>
    </row>
    <row r="827" spans="1:20" x14ac:dyDescent="0.25">
      <c r="A827" t="s">
        <v>28</v>
      </c>
      <c r="B827">
        <v>137294</v>
      </c>
      <c r="C827" s="1">
        <v>2</v>
      </c>
      <c r="D827" t="s">
        <v>25</v>
      </c>
      <c r="E827" s="7">
        <v>1.34</v>
      </c>
      <c r="F827" s="2">
        <v>0.09</v>
      </c>
      <c r="G827" s="7">
        <v>0.64</v>
      </c>
      <c r="H827" s="9" t="s">
        <v>27</v>
      </c>
      <c r="I827">
        <v>0.83</v>
      </c>
      <c r="J827">
        <v>0.8</v>
      </c>
      <c r="K827">
        <v>0.36</v>
      </c>
      <c r="L827">
        <v>0.22</v>
      </c>
      <c r="M827">
        <v>0.93</v>
      </c>
      <c r="N827">
        <v>0.31</v>
      </c>
      <c r="O827">
        <v>0.4</v>
      </c>
      <c r="P827">
        <v>0.7</v>
      </c>
      <c r="Q827">
        <v>0.28999999999999998</v>
      </c>
      <c r="R827" s="2">
        <v>0.82</v>
      </c>
      <c r="S827" t="str">
        <f>IF(Table1[[#This Row],[Years_Experience]]&lt;=5,"Early Career",
IF(Table1[[#This Row],[Years_Experience]]&lt;=15,"Mid Career","Senior Level"))</f>
        <v>Early Career</v>
      </c>
      <c r="T827" t="str">
        <f>IF(Table1[[#This Row],[AI_Exposure_Index]]&gt;=0.7,"High Exposure", IF(Table1[[#This Row],[AI_Exposure_Index]]&gt;=0.3,"Medium Exposure","Low Exposure"))</f>
        <v>Low Exposure</v>
      </c>
    </row>
    <row r="828" spans="1:20" x14ac:dyDescent="0.25">
      <c r="A828" t="s">
        <v>37</v>
      </c>
      <c r="B828">
        <v>147272</v>
      </c>
      <c r="C828" s="1">
        <v>3</v>
      </c>
      <c r="D828" t="s">
        <v>22</v>
      </c>
      <c r="E828" s="7">
        <v>1.1000000000000001</v>
      </c>
      <c r="F828" s="2">
        <v>0.79</v>
      </c>
      <c r="G828" s="7">
        <v>0.53</v>
      </c>
      <c r="H828" s="9" t="s">
        <v>27</v>
      </c>
      <c r="I828">
        <v>0.46</v>
      </c>
      <c r="J828">
        <v>0.28000000000000003</v>
      </c>
      <c r="K828">
        <v>0.46</v>
      </c>
      <c r="L828">
        <v>0.45</v>
      </c>
      <c r="M828">
        <v>0.57999999999999996</v>
      </c>
      <c r="N828">
        <v>0.28000000000000003</v>
      </c>
      <c r="O828">
        <v>0.08</v>
      </c>
      <c r="P828">
        <v>0.15</v>
      </c>
      <c r="Q828">
        <v>0.7</v>
      </c>
      <c r="R828" s="2">
        <v>0.02</v>
      </c>
      <c r="S828" t="str">
        <f>IF(Table1[[#This Row],[Years_Experience]]&lt;=5,"Early Career",
IF(Table1[[#This Row],[Years_Experience]]&lt;=15,"Mid Career","Senior Level"))</f>
        <v>Early Career</v>
      </c>
      <c r="T828" t="str">
        <f>IF(Table1[[#This Row],[AI_Exposure_Index]]&gt;=0.7,"High Exposure", IF(Table1[[#This Row],[AI_Exposure_Index]]&gt;=0.3,"Medium Exposure","Low Exposure"))</f>
        <v>High Exposure</v>
      </c>
    </row>
    <row r="829" spans="1:20" x14ac:dyDescent="0.25">
      <c r="A829" t="s">
        <v>30</v>
      </c>
      <c r="B829">
        <v>45819</v>
      </c>
      <c r="C829" s="1">
        <v>24</v>
      </c>
      <c r="D829" t="s">
        <v>22</v>
      </c>
      <c r="E829" s="7">
        <v>0.98</v>
      </c>
      <c r="F829" s="2">
        <v>0.62</v>
      </c>
      <c r="G829" s="7">
        <v>0.46</v>
      </c>
      <c r="H829" s="9" t="s">
        <v>27</v>
      </c>
      <c r="I829">
        <v>0.99</v>
      </c>
      <c r="J829">
        <v>0.82</v>
      </c>
      <c r="K829">
        <v>0.43</v>
      </c>
      <c r="L829">
        <v>0.73</v>
      </c>
      <c r="M829">
        <v>0.27</v>
      </c>
      <c r="N829">
        <v>0.1</v>
      </c>
      <c r="O829">
        <v>0.35</v>
      </c>
      <c r="P829">
        <v>0.4</v>
      </c>
      <c r="Q829">
        <v>0.02</v>
      </c>
      <c r="R829" s="2">
        <v>0.81</v>
      </c>
      <c r="S829" t="str">
        <f>IF(Table1[[#This Row],[Years_Experience]]&lt;=5,"Early Career",
IF(Table1[[#This Row],[Years_Experience]]&lt;=15,"Mid Career","Senior Level"))</f>
        <v>Senior Level</v>
      </c>
      <c r="T829" t="str">
        <f>IF(Table1[[#This Row],[AI_Exposure_Index]]&gt;=0.7,"High Exposure", IF(Table1[[#This Row],[AI_Exposure_Index]]&gt;=0.3,"Medium Exposure","Low Exposure"))</f>
        <v>Medium Exposure</v>
      </c>
    </row>
    <row r="830" spans="1:20" x14ac:dyDescent="0.25">
      <c r="A830" t="s">
        <v>29</v>
      </c>
      <c r="B830">
        <v>36473</v>
      </c>
      <c r="C830" s="1">
        <v>18</v>
      </c>
      <c r="D830" t="s">
        <v>38</v>
      </c>
      <c r="E830" s="7">
        <v>0.56999999999999995</v>
      </c>
      <c r="F830" s="2">
        <v>0.57999999999999996</v>
      </c>
      <c r="G830" s="7">
        <v>0.09</v>
      </c>
      <c r="H830" s="9" t="s">
        <v>23</v>
      </c>
      <c r="I830">
        <v>0.89</v>
      </c>
      <c r="J830">
        <v>0.61</v>
      </c>
      <c r="K830">
        <v>0.95</v>
      </c>
      <c r="L830">
        <v>1</v>
      </c>
      <c r="M830">
        <v>0.37</v>
      </c>
      <c r="N830">
        <v>0.3</v>
      </c>
      <c r="O830">
        <v>0.86</v>
      </c>
      <c r="P830">
        <v>1</v>
      </c>
      <c r="Q830">
        <v>0.63</v>
      </c>
      <c r="R830" s="2">
        <v>0.8</v>
      </c>
      <c r="S830" t="str">
        <f>IF(Table1[[#This Row],[Years_Experience]]&lt;=5,"Early Career",
IF(Table1[[#This Row],[Years_Experience]]&lt;=15,"Mid Career","Senior Level"))</f>
        <v>Senior Level</v>
      </c>
      <c r="T830" t="str">
        <f>IF(Table1[[#This Row],[AI_Exposure_Index]]&gt;=0.7,"High Exposure", IF(Table1[[#This Row],[AI_Exposure_Index]]&gt;=0.3,"Medium Exposure","Low Exposure"))</f>
        <v>Medium Exposure</v>
      </c>
    </row>
    <row r="831" spans="1:20" x14ac:dyDescent="0.25">
      <c r="A831" t="s">
        <v>39</v>
      </c>
      <c r="B831">
        <v>62556</v>
      </c>
      <c r="C831" s="1">
        <v>27</v>
      </c>
      <c r="D831" t="s">
        <v>19</v>
      </c>
      <c r="E831" s="7">
        <v>1.07</v>
      </c>
      <c r="F831" s="2">
        <v>0.36</v>
      </c>
      <c r="G831" s="7">
        <v>0.91</v>
      </c>
      <c r="H831" s="9" t="s">
        <v>20</v>
      </c>
      <c r="I831">
        <v>0.69</v>
      </c>
      <c r="J831">
        <v>0.02</v>
      </c>
      <c r="K831">
        <v>0.34</v>
      </c>
      <c r="L831">
        <v>0.14000000000000001</v>
      </c>
      <c r="M831">
        <v>0.23</v>
      </c>
      <c r="N831">
        <v>0.91</v>
      </c>
      <c r="O831">
        <v>0.04</v>
      </c>
      <c r="P831">
        <v>0.22</v>
      </c>
      <c r="Q831">
        <v>0.31</v>
      </c>
      <c r="R831" s="2">
        <v>0.62</v>
      </c>
      <c r="S831" t="str">
        <f>IF(Table1[[#This Row],[Years_Experience]]&lt;=5,"Early Career",
IF(Table1[[#This Row],[Years_Experience]]&lt;=15,"Mid Career","Senior Level"))</f>
        <v>Senior Level</v>
      </c>
      <c r="T831" t="str">
        <f>IF(Table1[[#This Row],[AI_Exposure_Index]]&gt;=0.7,"High Exposure", IF(Table1[[#This Row],[AI_Exposure_Index]]&gt;=0.3,"Medium Exposure","Low Exposure"))</f>
        <v>Medium Exposure</v>
      </c>
    </row>
    <row r="832" spans="1:20" x14ac:dyDescent="0.25">
      <c r="A832" t="s">
        <v>21</v>
      </c>
      <c r="B832">
        <v>88209</v>
      </c>
      <c r="C832" s="1">
        <v>7</v>
      </c>
      <c r="D832" t="s">
        <v>38</v>
      </c>
      <c r="E832" s="7">
        <v>0.66</v>
      </c>
      <c r="F832" s="2">
        <v>0.22</v>
      </c>
      <c r="G832" s="7">
        <v>0.11</v>
      </c>
      <c r="H832" s="9" t="s">
        <v>23</v>
      </c>
      <c r="I832">
        <v>0.5</v>
      </c>
      <c r="J832">
        <v>0.27</v>
      </c>
      <c r="K832">
        <v>0.95</v>
      </c>
      <c r="L832">
        <v>0.46</v>
      </c>
      <c r="M832">
        <v>0.06</v>
      </c>
      <c r="N832">
        <v>0.73</v>
      </c>
      <c r="O832">
        <v>0.33</v>
      </c>
      <c r="P832">
        <v>0.65</v>
      </c>
      <c r="Q832">
        <v>0.28000000000000003</v>
      </c>
      <c r="R832" s="2">
        <v>0.56999999999999995</v>
      </c>
      <c r="S832" t="str">
        <f>IF(Table1[[#This Row],[Years_Experience]]&lt;=5,"Early Career",
IF(Table1[[#This Row],[Years_Experience]]&lt;=15,"Mid Career","Senior Level"))</f>
        <v>Mid Career</v>
      </c>
      <c r="T832" t="str">
        <f>IF(Table1[[#This Row],[AI_Exposure_Index]]&gt;=0.7,"High Exposure", IF(Table1[[#This Row],[AI_Exposure_Index]]&gt;=0.3,"Medium Exposure","Low Exposure"))</f>
        <v>Low Exposure</v>
      </c>
    </row>
    <row r="833" spans="1:20" x14ac:dyDescent="0.25">
      <c r="A833" t="s">
        <v>35</v>
      </c>
      <c r="B833">
        <v>147067</v>
      </c>
      <c r="C833" s="1">
        <v>23</v>
      </c>
      <c r="D833" t="s">
        <v>22</v>
      </c>
      <c r="E833" s="7">
        <v>0.76</v>
      </c>
      <c r="F833" s="2">
        <v>0.93</v>
      </c>
      <c r="G833" s="7">
        <v>0.43</v>
      </c>
      <c r="H833" s="9" t="s">
        <v>27</v>
      </c>
      <c r="I833">
        <v>0.46</v>
      </c>
      <c r="J833">
        <v>0.93</v>
      </c>
      <c r="K833">
        <v>0.9</v>
      </c>
      <c r="L833">
        <v>0.09</v>
      </c>
      <c r="M833">
        <v>0.13</v>
      </c>
      <c r="N833">
        <v>0.5</v>
      </c>
      <c r="O833">
        <v>0.11</v>
      </c>
      <c r="P833">
        <v>0.35</v>
      </c>
      <c r="Q833">
        <v>0.15</v>
      </c>
      <c r="R833" s="2">
        <v>0.64</v>
      </c>
      <c r="S833" t="str">
        <f>IF(Table1[[#This Row],[Years_Experience]]&lt;=5,"Early Career",
IF(Table1[[#This Row],[Years_Experience]]&lt;=15,"Mid Career","Senior Level"))</f>
        <v>Senior Level</v>
      </c>
      <c r="T833" t="str">
        <f>IF(Table1[[#This Row],[AI_Exposure_Index]]&gt;=0.7,"High Exposure", IF(Table1[[#This Row],[AI_Exposure_Index]]&gt;=0.3,"Medium Exposure","Low Exposure"))</f>
        <v>High Exposure</v>
      </c>
    </row>
    <row r="834" spans="1:20" x14ac:dyDescent="0.25">
      <c r="A834" t="s">
        <v>35</v>
      </c>
      <c r="B834">
        <v>38699</v>
      </c>
      <c r="C834" s="1">
        <v>3</v>
      </c>
      <c r="D834" t="s">
        <v>25</v>
      </c>
      <c r="E834" s="7">
        <v>0.88</v>
      </c>
      <c r="F834" s="2">
        <v>1</v>
      </c>
      <c r="G834" s="7">
        <v>0.54</v>
      </c>
      <c r="H834" s="9" t="s">
        <v>27</v>
      </c>
      <c r="I834">
        <v>0.86</v>
      </c>
      <c r="J834">
        <v>0.12</v>
      </c>
      <c r="K834">
        <v>0.69</v>
      </c>
      <c r="L834">
        <v>0.41</v>
      </c>
      <c r="M834">
        <v>0.21</v>
      </c>
      <c r="N834">
        <v>0.4</v>
      </c>
      <c r="O834">
        <v>0.08</v>
      </c>
      <c r="P834">
        <v>0.7</v>
      </c>
      <c r="Q834">
        <v>0.25</v>
      </c>
      <c r="R834" s="2">
        <v>0.31</v>
      </c>
      <c r="S834" t="str">
        <f>IF(Table1[[#This Row],[Years_Experience]]&lt;=5,"Early Career",
IF(Table1[[#This Row],[Years_Experience]]&lt;=15,"Mid Career","Senior Level"))</f>
        <v>Early Career</v>
      </c>
      <c r="T834" t="str">
        <f>IF(Table1[[#This Row],[AI_Exposure_Index]]&gt;=0.7,"High Exposure", IF(Table1[[#This Row],[AI_Exposure_Index]]&gt;=0.3,"Medium Exposure","Low Exposure"))</f>
        <v>High Exposure</v>
      </c>
    </row>
    <row r="835" spans="1:20" x14ac:dyDescent="0.25">
      <c r="A835" t="s">
        <v>36</v>
      </c>
      <c r="B835">
        <v>107593</v>
      </c>
      <c r="C835" s="1">
        <v>25</v>
      </c>
      <c r="D835" t="s">
        <v>19</v>
      </c>
      <c r="E835" s="7">
        <v>0.99</v>
      </c>
      <c r="F835" s="2">
        <v>0.86</v>
      </c>
      <c r="G835" s="7">
        <v>0.53</v>
      </c>
      <c r="H835" s="9" t="s">
        <v>27</v>
      </c>
      <c r="I835">
        <v>0.56999999999999995</v>
      </c>
      <c r="J835">
        <v>0.41</v>
      </c>
      <c r="K835">
        <v>0.19</v>
      </c>
      <c r="L835">
        <v>0.75</v>
      </c>
      <c r="M835">
        <v>0.13</v>
      </c>
      <c r="N835">
        <v>0.1</v>
      </c>
      <c r="O835">
        <v>0.71</v>
      </c>
      <c r="P835">
        <v>0.21</v>
      </c>
      <c r="Q835">
        <v>0.31</v>
      </c>
      <c r="R835" s="2">
        <v>0.48</v>
      </c>
      <c r="S835" t="str">
        <f>IF(Table1[[#This Row],[Years_Experience]]&lt;=5,"Early Career",
IF(Table1[[#This Row],[Years_Experience]]&lt;=15,"Mid Career","Senior Level"))</f>
        <v>Senior Level</v>
      </c>
      <c r="T835" t="str">
        <f>IF(Table1[[#This Row],[AI_Exposure_Index]]&gt;=0.7,"High Exposure", IF(Table1[[#This Row],[AI_Exposure_Index]]&gt;=0.3,"Medium Exposure","Low Exposure"))</f>
        <v>High Exposure</v>
      </c>
    </row>
    <row r="836" spans="1:20" x14ac:dyDescent="0.25">
      <c r="A836" t="s">
        <v>18</v>
      </c>
      <c r="B836">
        <v>75076</v>
      </c>
      <c r="C836" s="1">
        <v>18</v>
      </c>
      <c r="D836" t="s">
        <v>22</v>
      </c>
      <c r="E836" s="7">
        <v>1.1200000000000001</v>
      </c>
      <c r="F836" s="2">
        <v>0.71</v>
      </c>
      <c r="G836" s="7">
        <v>0.86</v>
      </c>
      <c r="H836" s="9" t="s">
        <v>20</v>
      </c>
      <c r="I836">
        <v>0.71</v>
      </c>
      <c r="J836">
        <v>0.28999999999999998</v>
      </c>
      <c r="K836">
        <v>0.32</v>
      </c>
      <c r="L836">
        <v>0.44</v>
      </c>
      <c r="M836">
        <v>0.31</v>
      </c>
      <c r="N836">
        <v>0.98</v>
      </c>
      <c r="O836">
        <v>0.81</v>
      </c>
      <c r="P836">
        <v>0.16</v>
      </c>
      <c r="Q836">
        <v>0.01</v>
      </c>
      <c r="R836" s="2">
        <v>0.04</v>
      </c>
      <c r="S836" t="str">
        <f>IF(Table1[[#This Row],[Years_Experience]]&lt;=5,"Early Career",
IF(Table1[[#This Row],[Years_Experience]]&lt;=15,"Mid Career","Senior Level"))</f>
        <v>Senior Level</v>
      </c>
      <c r="T836" t="str">
        <f>IF(Table1[[#This Row],[AI_Exposure_Index]]&gt;=0.7,"High Exposure", IF(Table1[[#This Row],[AI_Exposure_Index]]&gt;=0.3,"Medium Exposure","Low Exposure"))</f>
        <v>High Exposure</v>
      </c>
    </row>
    <row r="837" spans="1:20" x14ac:dyDescent="0.25">
      <c r="A837" t="s">
        <v>26</v>
      </c>
      <c r="B837">
        <v>91743</v>
      </c>
      <c r="C837" s="1">
        <v>6</v>
      </c>
      <c r="D837" t="s">
        <v>38</v>
      </c>
      <c r="E837" s="7">
        <v>1.03</v>
      </c>
      <c r="F837" s="2">
        <v>0.11</v>
      </c>
      <c r="G837" s="7">
        <v>0.64</v>
      </c>
      <c r="H837" s="9" t="s">
        <v>27</v>
      </c>
      <c r="I837">
        <v>0.74</v>
      </c>
      <c r="J837">
        <v>0.22</v>
      </c>
      <c r="K837">
        <v>0.4</v>
      </c>
      <c r="L837">
        <v>0.51</v>
      </c>
      <c r="M837">
        <v>0.81</v>
      </c>
      <c r="N837">
        <v>0.84</v>
      </c>
      <c r="O837">
        <v>0.91</v>
      </c>
      <c r="P837">
        <v>0.51</v>
      </c>
      <c r="Q837">
        <v>0.69</v>
      </c>
      <c r="R837" s="2">
        <v>0.11</v>
      </c>
      <c r="S837" t="str">
        <f>IF(Table1[[#This Row],[Years_Experience]]&lt;=5,"Early Career",
IF(Table1[[#This Row],[Years_Experience]]&lt;=15,"Mid Career","Senior Level"))</f>
        <v>Mid Career</v>
      </c>
      <c r="T837" t="str">
        <f>IF(Table1[[#This Row],[AI_Exposure_Index]]&gt;=0.7,"High Exposure", IF(Table1[[#This Row],[AI_Exposure_Index]]&gt;=0.3,"Medium Exposure","Low Exposure"))</f>
        <v>Low Exposure</v>
      </c>
    </row>
    <row r="838" spans="1:20" x14ac:dyDescent="0.25">
      <c r="A838" t="s">
        <v>37</v>
      </c>
      <c r="B838">
        <v>80924</v>
      </c>
      <c r="C838" s="1">
        <v>10</v>
      </c>
      <c r="D838" t="s">
        <v>22</v>
      </c>
      <c r="E838" s="7">
        <v>0.93</v>
      </c>
      <c r="F838" s="2">
        <v>0.25</v>
      </c>
      <c r="G838" s="7">
        <v>0.55000000000000004</v>
      </c>
      <c r="H838" s="9" t="s">
        <v>27</v>
      </c>
      <c r="I838">
        <v>0.26</v>
      </c>
      <c r="J838">
        <v>0.05</v>
      </c>
      <c r="K838">
        <v>0.01</v>
      </c>
      <c r="L838">
        <v>0.02</v>
      </c>
      <c r="M838">
        <v>0.01</v>
      </c>
      <c r="N838">
        <v>0.11</v>
      </c>
      <c r="O838">
        <v>0.24</v>
      </c>
      <c r="P838">
        <v>0.22</v>
      </c>
      <c r="Q838">
        <v>0.99</v>
      </c>
      <c r="R838" s="2">
        <v>0.31</v>
      </c>
      <c r="S838" t="str">
        <f>IF(Table1[[#This Row],[Years_Experience]]&lt;=5,"Early Career",
IF(Table1[[#This Row],[Years_Experience]]&lt;=15,"Mid Career","Senior Level"))</f>
        <v>Mid Career</v>
      </c>
      <c r="T838" t="str">
        <f>IF(Table1[[#This Row],[AI_Exposure_Index]]&gt;=0.7,"High Exposure", IF(Table1[[#This Row],[AI_Exposure_Index]]&gt;=0.3,"Medium Exposure","Low Exposure"))</f>
        <v>Low Exposure</v>
      </c>
    </row>
    <row r="839" spans="1:20" x14ac:dyDescent="0.25">
      <c r="A839" t="s">
        <v>21</v>
      </c>
      <c r="B839">
        <v>72500</v>
      </c>
      <c r="C839" s="1">
        <v>19</v>
      </c>
      <c r="D839" t="s">
        <v>22</v>
      </c>
      <c r="E839" s="7">
        <v>1.36</v>
      </c>
      <c r="F839" s="2">
        <v>0.55000000000000004</v>
      </c>
      <c r="G839" s="7">
        <v>0.22</v>
      </c>
      <c r="H839" s="9" t="s">
        <v>23</v>
      </c>
      <c r="I839">
        <v>0.3</v>
      </c>
      <c r="J839">
        <v>0.56000000000000005</v>
      </c>
      <c r="K839">
        <v>0.71</v>
      </c>
      <c r="L839">
        <v>0.73</v>
      </c>
      <c r="M839">
        <v>0.67</v>
      </c>
      <c r="N839">
        <v>0.87</v>
      </c>
      <c r="O839">
        <v>0.87</v>
      </c>
      <c r="P839">
        <v>0.57999999999999996</v>
      </c>
      <c r="Q839">
        <v>0.43</v>
      </c>
      <c r="R839" s="2">
        <v>0.64</v>
      </c>
      <c r="S839" t="str">
        <f>IF(Table1[[#This Row],[Years_Experience]]&lt;=5,"Early Career",
IF(Table1[[#This Row],[Years_Experience]]&lt;=15,"Mid Career","Senior Level"))</f>
        <v>Senior Level</v>
      </c>
      <c r="T839" t="str">
        <f>IF(Table1[[#This Row],[AI_Exposure_Index]]&gt;=0.7,"High Exposure", IF(Table1[[#This Row],[AI_Exposure_Index]]&gt;=0.3,"Medium Exposure","Low Exposure"))</f>
        <v>Medium Exposure</v>
      </c>
    </row>
    <row r="840" spans="1:20" x14ac:dyDescent="0.25">
      <c r="A840" t="s">
        <v>36</v>
      </c>
      <c r="B840">
        <v>52380</v>
      </c>
      <c r="C840" s="1">
        <v>16</v>
      </c>
      <c r="D840" t="s">
        <v>22</v>
      </c>
      <c r="E840" s="7">
        <v>1.49</v>
      </c>
      <c r="F840" s="2">
        <v>0.01</v>
      </c>
      <c r="G840" s="7">
        <v>0.37</v>
      </c>
      <c r="H840" s="9" t="s">
        <v>27</v>
      </c>
      <c r="I840">
        <v>0.47</v>
      </c>
      <c r="J840">
        <v>0.87</v>
      </c>
      <c r="K840">
        <v>0.23</v>
      </c>
      <c r="L840">
        <v>0.48</v>
      </c>
      <c r="M840">
        <v>0.13</v>
      </c>
      <c r="N840">
        <v>0.4</v>
      </c>
      <c r="O840">
        <v>0.18</v>
      </c>
      <c r="P840">
        <v>0.36</v>
      </c>
      <c r="Q840">
        <v>0.37</v>
      </c>
      <c r="R840" s="2">
        <v>0.99</v>
      </c>
      <c r="S840" t="str">
        <f>IF(Table1[[#This Row],[Years_Experience]]&lt;=5,"Early Career",
IF(Table1[[#This Row],[Years_Experience]]&lt;=15,"Mid Career","Senior Level"))</f>
        <v>Senior Level</v>
      </c>
      <c r="T840" t="str">
        <f>IF(Table1[[#This Row],[AI_Exposure_Index]]&gt;=0.7,"High Exposure", IF(Table1[[#This Row],[AI_Exposure_Index]]&gt;=0.3,"Medium Exposure","Low Exposure"))</f>
        <v>Low Exposure</v>
      </c>
    </row>
    <row r="841" spans="1:20" x14ac:dyDescent="0.25">
      <c r="A841" t="s">
        <v>37</v>
      </c>
      <c r="B841">
        <v>34355</v>
      </c>
      <c r="C841" s="1">
        <v>5</v>
      </c>
      <c r="D841" t="s">
        <v>38</v>
      </c>
      <c r="E841" s="7">
        <v>1.23</v>
      </c>
      <c r="F841" s="2">
        <v>0.11</v>
      </c>
      <c r="G841" s="7">
        <v>0.32</v>
      </c>
      <c r="H841" s="9" t="s">
        <v>27</v>
      </c>
      <c r="I841">
        <v>0.03</v>
      </c>
      <c r="J841">
        <v>0.11</v>
      </c>
      <c r="K841">
        <v>0.97</v>
      </c>
      <c r="L841">
        <v>0.94</v>
      </c>
      <c r="M841">
        <v>0.19</v>
      </c>
      <c r="N841">
        <v>0.16</v>
      </c>
      <c r="O841">
        <v>0.24</v>
      </c>
      <c r="P841">
        <v>0.52</v>
      </c>
      <c r="Q841">
        <v>0.56999999999999995</v>
      </c>
      <c r="R841" s="2">
        <v>0.22</v>
      </c>
      <c r="S841" t="str">
        <f>IF(Table1[[#This Row],[Years_Experience]]&lt;=5,"Early Career",
IF(Table1[[#This Row],[Years_Experience]]&lt;=15,"Mid Career","Senior Level"))</f>
        <v>Early Career</v>
      </c>
      <c r="T841" t="str">
        <f>IF(Table1[[#This Row],[AI_Exposure_Index]]&gt;=0.7,"High Exposure", IF(Table1[[#This Row],[AI_Exposure_Index]]&gt;=0.3,"Medium Exposure","Low Exposure"))</f>
        <v>Low Exposure</v>
      </c>
    </row>
    <row r="842" spans="1:20" x14ac:dyDescent="0.25">
      <c r="A842" t="s">
        <v>34</v>
      </c>
      <c r="B842">
        <v>32035</v>
      </c>
      <c r="C842" s="1">
        <v>15</v>
      </c>
      <c r="D842" t="s">
        <v>19</v>
      </c>
      <c r="E842" s="7">
        <v>1.42</v>
      </c>
      <c r="F842" s="2">
        <v>0.31</v>
      </c>
      <c r="G842" s="7">
        <v>0.56000000000000005</v>
      </c>
      <c r="H842" s="9" t="s">
        <v>27</v>
      </c>
      <c r="I842">
        <v>0.44</v>
      </c>
      <c r="J842">
        <v>0.79</v>
      </c>
      <c r="K842">
        <v>0.82</v>
      </c>
      <c r="L842">
        <v>0.28999999999999998</v>
      </c>
      <c r="M842">
        <v>0.34</v>
      </c>
      <c r="N842">
        <v>0.94</v>
      </c>
      <c r="O842">
        <v>0.16</v>
      </c>
      <c r="P842">
        <v>0.04</v>
      </c>
      <c r="Q842">
        <v>0.45</v>
      </c>
      <c r="R842" s="2">
        <v>0.8</v>
      </c>
      <c r="S842" t="str">
        <f>IF(Table1[[#This Row],[Years_Experience]]&lt;=5,"Early Career",
IF(Table1[[#This Row],[Years_Experience]]&lt;=15,"Mid Career","Senior Level"))</f>
        <v>Mid Career</v>
      </c>
      <c r="T842" t="str">
        <f>IF(Table1[[#This Row],[AI_Exposure_Index]]&gt;=0.7,"High Exposure", IF(Table1[[#This Row],[AI_Exposure_Index]]&gt;=0.3,"Medium Exposure","Low Exposure"))</f>
        <v>Medium Exposure</v>
      </c>
    </row>
    <row r="843" spans="1:20" x14ac:dyDescent="0.25">
      <c r="A843" t="s">
        <v>32</v>
      </c>
      <c r="B843">
        <v>32665</v>
      </c>
      <c r="C843" s="1">
        <v>17</v>
      </c>
      <c r="D843" t="s">
        <v>22</v>
      </c>
      <c r="E843" s="7">
        <v>1.03</v>
      </c>
      <c r="F843" s="2">
        <v>0.92</v>
      </c>
      <c r="G843" s="7">
        <v>0.34</v>
      </c>
      <c r="H843" s="9" t="s">
        <v>27</v>
      </c>
      <c r="I843">
        <v>0.59</v>
      </c>
      <c r="J843">
        <v>0.78</v>
      </c>
      <c r="K843">
        <v>0.09</v>
      </c>
      <c r="L843">
        <v>0.17</v>
      </c>
      <c r="M843">
        <v>0.01</v>
      </c>
      <c r="N843">
        <v>0.59</v>
      </c>
      <c r="O843">
        <v>0.89</v>
      </c>
      <c r="P843">
        <v>0.67</v>
      </c>
      <c r="Q843">
        <v>0.98</v>
      </c>
      <c r="R843" s="2">
        <v>0.06</v>
      </c>
      <c r="S843" t="str">
        <f>IF(Table1[[#This Row],[Years_Experience]]&lt;=5,"Early Career",
IF(Table1[[#This Row],[Years_Experience]]&lt;=15,"Mid Career","Senior Level"))</f>
        <v>Senior Level</v>
      </c>
      <c r="T843" t="str">
        <f>IF(Table1[[#This Row],[AI_Exposure_Index]]&gt;=0.7,"High Exposure", IF(Table1[[#This Row],[AI_Exposure_Index]]&gt;=0.3,"Medium Exposure","Low Exposure"))</f>
        <v>High Exposure</v>
      </c>
    </row>
    <row r="844" spans="1:20" x14ac:dyDescent="0.25">
      <c r="A844" t="s">
        <v>28</v>
      </c>
      <c r="B844">
        <v>100739</v>
      </c>
      <c r="C844" s="1">
        <v>14</v>
      </c>
      <c r="D844" t="s">
        <v>38</v>
      </c>
      <c r="E844" s="7">
        <v>0.81</v>
      </c>
      <c r="F844" s="2">
        <v>0.81</v>
      </c>
      <c r="G844" s="7">
        <v>0.69</v>
      </c>
      <c r="H844" s="9" t="s">
        <v>27</v>
      </c>
      <c r="I844">
        <v>0.28999999999999998</v>
      </c>
      <c r="J844">
        <v>0.89</v>
      </c>
      <c r="K844">
        <v>0.88</v>
      </c>
      <c r="L844">
        <v>0.76</v>
      </c>
      <c r="M844">
        <v>0.56000000000000005</v>
      </c>
      <c r="N844">
        <v>0.12</v>
      </c>
      <c r="O844">
        <v>0.53</v>
      </c>
      <c r="P844">
        <v>0.36</v>
      </c>
      <c r="Q844">
        <v>0.79</v>
      </c>
      <c r="R844" s="2">
        <v>0.76</v>
      </c>
      <c r="S844" t="str">
        <f>IF(Table1[[#This Row],[Years_Experience]]&lt;=5,"Early Career",
IF(Table1[[#This Row],[Years_Experience]]&lt;=15,"Mid Career","Senior Level"))</f>
        <v>Mid Career</v>
      </c>
      <c r="T844" t="str">
        <f>IF(Table1[[#This Row],[AI_Exposure_Index]]&gt;=0.7,"High Exposure", IF(Table1[[#This Row],[AI_Exposure_Index]]&gt;=0.3,"Medium Exposure","Low Exposure"))</f>
        <v>High Exposure</v>
      </c>
    </row>
    <row r="845" spans="1:20" x14ac:dyDescent="0.25">
      <c r="A845" t="s">
        <v>40</v>
      </c>
      <c r="B845">
        <v>128560</v>
      </c>
      <c r="C845" s="1">
        <v>24</v>
      </c>
      <c r="D845" t="s">
        <v>19</v>
      </c>
      <c r="E845" s="7">
        <v>0.98</v>
      </c>
      <c r="F845" s="2">
        <v>0.71</v>
      </c>
      <c r="G845" s="7">
        <v>0.2</v>
      </c>
      <c r="H845" s="9" t="s">
        <v>23</v>
      </c>
      <c r="I845">
        <v>0.99</v>
      </c>
      <c r="J845">
        <v>0.6</v>
      </c>
      <c r="K845">
        <v>0.79</v>
      </c>
      <c r="L845">
        <v>0.73</v>
      </c>
      <c r="M845">
        <v>0.7</v>
      </c>
      <c r="N845">
        <v>0.72</v>
      </c>
      <c r="O845">
        <v>0.45</v>
      </c>
      <c r="P845">
        <v>0.47</v>
      </c>
      <c r="Q845">
        <v>0.47</v>
      </c>
      <c r="R845" s="2">
        <v>0.03</v>
      </c>
      <c r="S845" t="str">
        <f>IF(Table1[[#This Row],[Years_Experience]]&lt;=5,"Early Career",
IF(Table1[[#This Row],[Years_Experience]]&lt;=15,"Mid Career","Senior Level"))</f>
        <v>Senior Level</v>
      </c>
      <c r="T845" t="str">
        <f>IF(Table1[[#This Row],[AI_Exposure_Index]]&gt;=0.7,"High Exposure", IF(Table1[[#This Row],[AI_Exposure_Index]]&gt;=0.3,"Medium Exposure","Low Exposure"))</f>
        <v>High Exposure</v>
      </c>
    </row>
    <row r="846" spans="1:20" x14ac:dyDescent="0.25">
      <c r="A846" t="s">
        <v>36</v>
      </c>
      <c r="B846">
        <v>59974</v>
      </c>
      <c r="C846" s="1">
        <v>11</v>
      </c>
      <c r="D846" t="s">
        <v>19</v>
      </c>
      <c r="E846" s="7">
        <v>1.39</v>
      </c>
      <c r="F846" s="2">
        <v>0.15</v>
      </c>
      <c r="G846" s="7">
        <v>0.41</v>
      </c>
      <c r="H846" s="9" t="s">
        <v>27</v>
      </c>
      <c r="I846">
        <v>0.14000000000000001</v>
      </c>
      <c r="J846">
        <v>0.12</v>
      </c>
      <c r="K846">
        <v>0.7</v>
      </c>
      <c r="L846">
        <v>0.01</v>
      </c>
      <c r="M846">
        <v>0.47</v>
      </c>
      <c r="N846">
        <v>0.12</v>
      </c>
      <c r="O846">
        <v>0.85</v>
      </c>
      <c r="P846">
        <v>0.96</v>
      </c>
      <c r="Q846">
        <v>0.96</v>
      </c>
      <c r="R846" s="2">
        <v>0.44</v>
      </c>
      <c r="S846" t="str">
        <f>IF(Table1[[#This Row],[Years_Experience]]&lt;=5,"Early Career",
IF(Table1[[#This Row],[Years_Experience]]&lt;=15,"Mid Career","Senior Level"))</f>
        <v>Mid Career</v>
      </c>
      <c r="T846" t="str">
        <f>IF(Table1[[#This Row],[AI_Exposure_Index]]&gt;=0.7,"High Exposure", IF(Table1[[#This Row],[AI_Exposure_Index]]&gt;=0.3,"Medium Exposure","Low Exposure"))</f>
        <v>Low Exposure</v>
      </c>
    </row>
    <row r="847" spans="1:20" x14ac:dyDescent="0.25">
      <c r="A847" t="s">
        <v>31</v>
      </c>
      <c r="B847">
        <v>90521</v>
      </c>
      <c r="C847" s="1">
        <v>1</v>
      </c>
      <c r="D847" t="s">
        <v>25</v>
      </c>
      <c r="E847" s="7">
        <v>0.85</v>
      </c>
      <c r="F847" s="2">
        <v>0.6</v>
      </c>
      <c r="G847" s="7">
        <v>0.16</v>
      </c>
      <c r="H847" s="9" t="s">
        <v>23</v>
      </c>
      <c r="I847">
        <v>0.06</v>
      </c>
      <c r="J847">
        <v>0.8</v>
      </c>
      <c r="K847">
        <v>0.24</v>
      </c>
      <c r="L847">
        <v>0.46</v>
      </c>
      <c r="M847">
        <v>0.48</v>
      </c>
      <c r="N847">
        <v>0.56000000000000005</v>
      </c>
      <c r="O847">
        <v>0.82</v>
      </c>
      <c r="P847">
        <v>0.69</v>
      </c>
      <c r="Q847">
        <v>0.66</v>
      </c>
      <c r="R847" s="2">
        <v>0.53</v>
      </c>
      <c r="S847" t="str">
        <f>IF(Table1[[#This Row],[Years_Experience]]&lt;=5,"Early Career",
IF(Table1[[#This Row],[Years_Experience]]&lt;=15,"Mid Career","Senior Level"))</f>
        <v>Early Career</v>
      </c>
      <c r="T847" t="str">
        <f>IF(Table1[[#This Row],[AI_Exposure_Index]]&gt;=0.7,"High Exposure", IF(Table1[[#This Row],[AI_Exposure_Index]]&gt;=0.3,"Medium Exposure","Low Exposure"))</f>
        <v>Medium Exposure</v>
      </c>
    </row>
    <row r="848" spans="1:20" x14ac:dyDescent="0.25">
      <c r="A848" t="s">
        <v>26</v>
      </c>
      <c r="B848">
        <v>66476</v>
      </c>
      <c r="C848" s="1">
        <v>11</v>
      </c>
      <c r="D848" t="s">
        <v>19</v>
      </c>
      <c r="E848" s="7">
        <v>1.46</v>
      </c>
      <c r="F848" s="2">
        <v>0.4</v>
      </c>
      <c r="G848" s="7">
        <v>0.7</v>
      </c>
      <c r="H848" s="9" t="s">
        <v>27</v>
      </c>
      <c r="I848">
        <v>0.73</v>
      </c>
      <c r="J848">
        <v>0.23</v>
      </c>
      <c r="K848">
        <v>0.1</v>
      </c>
      <c r="L848">
        <v>0.41</v>
      </c>
      <c r="M848">
        <v>0.86</v>
      </c>
      <c r="N848">
        <v>0.72</v>
      </c>
      <c r="O848">
        <v>0.88</v>
      </c>
      <c r="P848">
        <v>0.62</v>
      </c>
      <c r="Q848">
        <v>0.13</v>
      </c>
      <c r="R848" s="2">
        <v>0.11</v>
      </c>
      <c r="S848" t="str">
        <f>IF(Table1[[#This Row],[Years_Experience]]&lt;=5,"Early Career",
IF(Table1[[#This Row],[Years_Experience]]&lt;=15,"Mid Career","Senior Level"))</f>
        <v>Mid Career</v>
      </c>
      <c r="T848" t="str">
        <f>IF(Table1[[#This Row],[AI_Exposure_Index]]&gt;=0.7,"High Exposure", IF(Table1[[#This Row],[AI_Exposure_Index]]&gt;=0.3,"Medium Exposure","Low Exposure"))</f>
        <v>Medium Exposure</v>
      </c>
    </row>
    <row r="849" spans="1:20" x14ac:dyDescent="0.25">
      <c r="A849" t="s">
        <v>26</v>
      </c>
      <c r="B849">
        <v>82271</v>
      </c>
      <c r="C849" s="1">
        <v>11</v>
      </c>
      <c r="D849" t="s">
        <v>22</v>
      </c>
      <c r="E849" s="7">
        <v>1.23</v>
      </c>
      <c r="F849" s="2">
        <v>0.24</v>
      </c>
      <c r="G849" s="7">
        <v>0.56999999999999995</v>
      </c>
      <c r="H849" s="9" t="s">
        <v>27</v>
      </c>
      <c r="I849">
        <v>0.32</v>
      </c>
      <c r="J849">
        <v>0.18</v>
      </c>
      <c r="K849">
        <v>0.1</v>
      </c>
      <c r="L849">
        <v>0.74</v>
      </c>
      <c r="M849">
        <v>0.45</v>
      </c>
      <c r="N849">
        <v>0.32</v>
      </c>
      <c r="O849">
        <v>0.86</v>
      </c>
      <c r="P849">
        <v>0.59</v>
      </c>
      <c r="Q849">
        <v>0.52</v>
      </c>
      <c r="R849" s="2">
        <v>0.74</v>
      </c>
      <c r="S849" t="str">
        <f>IF(Table1[[#This Row],[Years_Experience]]&lt;=5,"Early Career",
IF(Table1[[#This Row],[Years_Experience]]&lt;=15,"Mid Career","Senior Level"))</f>
        <v>Mid Career</v>
      </c>
      <c r="T849" t="str">
        <f>IF(Table1[[#This Row],[AI_Exposure_Index]]&gt;=0.7,"High Exposure", IF(Table1[[#This Row],[AI_Exposure_Index]]&gt;=0.3,"Medium Exposure","Low Exposure"))</f>
        <v>Low Exposure</v>
      </c>
    </row>
    <row r="850" spans="1:20" x14ac:dyDescent="0.25">
      <c r="A850" t="s">
        <v>42</v>
      </c>
      <c r="B850">
        <v>33743</v>
      </c>
      <c r="C850" s="1">
        <v>23</v>
      </c>
      <c r="D850" t="s">
        <v>19</v>
      </c>
      <c r="E850" s="7">
        <v>0.94</v>
      </c>
      <c r="F850" s="2">
        <v>0.69</v>
      </c>
      <c r="G850" s="7">
        <v>0.45</v>
      </c>
      <c r="H850" s="9" t="s">
        <v>27</v>
      </c>
      <c r="I850">
        <v>0.77</v>
      </c>
      <c r="J850">
        <v>0.52</v>
      </c>
      <c r="K850">
        <v>0.7</v>
      </c>
      <c r="L850">
        <v>0.89</v>
      </c>
      <c r="M850">
        <v>0.92</v>
      </c>
      <c r="N850">
        <v>0.28000000000000003</v>
      </c>
      <c r="O850">
        <v>0.19</v>
      </c>
      <c r="P850">
        <v>0.26</v>
      </c>
      <c r="Q850">
        <v>0.75</v>
      </c>
      <c r="R850" s="2">
        <v>0.37</v>
      </c>
      <c r="S850" t="str">
        <f>IF(Table1[[#This Row],[Years_Experience]]&lt;=5,"Early Career",
IF(Table1[[#This Row],[Years_Experience]]&lt;=15,"Mid Career","Senior Level"))</f>
        <v>Senior Level</v>
      </c>
      <c r="T850" t="str">
        <f>IF(Table1[[#This Row],[AI_Exposure_Index]]&gt;=0.7,"High Exposure", IF(Table1[[#This Row],[AI_Exposure_Index]]&gt;=0.3,"Medium Exposure","Low Exposure"))</f>
        <v>Medium Exposure</v>
      </c>
    </row>
    <row r="851" spans="1:20" x14ac:dyDescent="0.25">
      <c r="A851" t="s">
        <v>44</v>
      </c>
      <c r="B851">
        <v>111256</v>
      </c>
      <c r="C851" s="1">
        <v>7</v>
      </c>
      <c r="D851" t="s">
        <v>22</v>
      </c>
      <c r="E851" s="7">
        <v>0.83</v>
      </c>
      <c r="F851" s="2">
        <v>0.1</v>
      </c>
      <c r="G851" s="7">
        <v>0.35</v>
      </c>
      <c r="H851" s="9" t="s">
        <v>27</v>
      </c>
      <c r="I851">
        <v>0.16</v>
      </c>
      <c r="J851">
        <v>0.68</v>
      </c>
      <c r="K851">
        <v>0.02</v>
      </c>
      <c r="L851">
        <v>0.12</v>
      </c>
      <c r="M851">
        <v>0.84</v>
      </c>
      <c r="N851">
        <v>0.84</v>
      </c>
      <c r="O851">
        <v>0.33</v>
      </c>
      <c r="P851">
        <v>0.09</v>
      </c>
      <c r="Q851">
        <v>0.7</v>
      </c>
      <c r="R851" s="2">
        <v>0.36</v>
      </c>
      <c r="S851" t="str">
        <f>IF(Table1[[#This Row],[Years_Experience]]&lt;=5,"Early Career",
IF(Table1[[#This Row],[Years_Experience]]&lt;=15,"Mid Career","Senior Level"))</f>
        <v>Mid Career</v>
      </c>
      <c r="T851" t="str">
        <f>IF(Table1[[#This Row],[AI_Exposure_Index]]&gt;=0.7,"High Exposure", IF(Table1[[#This Row],[AI_Exposure_Index]]&gt;=0.3,"Medium Exposure","Low Exposure"))</f>
        <v>Low Exposure</v>
      </c>
    </row>
    <row r="852" spans="1:20" x14ac:dyDescent="0.25">
      <c r="A852" t="s">
        <v>26</v>
      </c>
      <c r="B852">
        <v>132859</v>
      </c>
      <c r="C852" s="1">
        <v>26</v>
      </c>
      <c r="D852" t="s">
        <v>19</v>
      </c>
      <c r="E852" s="7">
        <v>0.64</v>
      </c>
      <c r="F852" s="2">
        <v>0.16</v>
      </c>
      <c r="G852" s="7">
        <v>0.54</v>
      </c>
      <c r="H852" s="9" t="s">
        <v>27</v>
      </c>
      <c r="I852">
        <v>0.9</v>
      </c>
      <c r="J852">
        <v>0.79</v>
      </c>
      <c r="K852">
        <v>0.55000000000000004</v>
      </c>
      <c r="L852">
        <v>0.42</v>
      </c>
      <c r="M852">
        <v>0.62</v>
      </c>
      <c r="N852">
        <v>0.44</v>
      </c>
      <c r="O852">
        <v>0.25</v>
      </c>
      <c r="P852">
        <v>0.68</v>
      </c>
      <c r="Q852">
        <v>0.87</v>
      </c>
      <c r="R852" s="2">
        <v>0.37</v>
      </c>
      <c r="S852" t="str">
        <f>IF(Table1[[#This Row],[Years_Experience]]&lt;=5,"Early Career",
IF(Table1[[#This Row],[Years_Experience]]&lt;=15,"Mid Career","Senior Level"))</f>
        <v>Senior Level</v>
      </c>
      <c r="T852" t="str">
        <f>IF(Table1[[#This Row],[AI_Exposure_Index]]&gt;=0.7,"High Exposure", IF(Table1[[#This Row],[AI_Exposure_Index]]&gt;=0.3,"Medium Exposure","Low Exposure"))</f>
        <v>Low Exposure</v>
      </c>
    </row>
    <row r="853" spans="1:20" x14ac:dyDescent="0.25">
      <c r="A853" t="s">
        <v>29</v>
      </c>
      <c r="B853">
        <v>99810</v>
      </c>
      <c r="C853" s="1">
        <v>10</v>
      </c>
      <c r="D853" t="s">
        <v>25</v>
      </c>
      <c r="E853" s="7">
        <v>0.9</v>
      </c>
      <c r="F853" s="2">
        <v>0.43</v>
      </c>
      <c r="G853" s="7">
        <v>0.06</v>
      </c>
      <c r="H853" s="9" t="s">
        <v>23</v>
      </c>
      <c r="I853">
        <v>0.7</v>
      </c>
      <c r="J853">
        <v>0.81</v>
      </c>
      <c r="K853">
        <v>0.66</v>
      </c>
      <c r="L853">
        <v>0.15</v>
      </c>
      <c r="M853">
        <v>0.1</v>
      </c>
      <c r="N853">
        <v>0.56999999999999995</v>
      </c>
      <c r="O853">
        <v>0.4</v>
      </c>
      <c r="P853">
        <v>0.43</v>
      </c>
      <c r="Q853">
        <v>0.97</v>
      </c>
      <c r="R853" s="2">
        <v>0.72</v>
      </c>
      <c r="S853" t="str">
        <f>IF(Table1[[#This Row],[Years_Experience]]&lt;=5,"Early Career",
IF(Table1[[#This Row],[Years_Experience]]&lt;=15,"Mid Career","Senior Level"))</f>
        <v>Mid Career</v>
      </c>
      <c r="T853" t="str">
        <f>IF(Table1[[#This Row],[AI_Exposure_Index]]&gt;=0.7,"High Exposure", IF(Table1[[#This Row],[AI_Exposure_Index]]&gt;=0.3,"Medium Exposure","Low Exposure"))</f>
        <v>Medium Exposure</v>
      </c>
    </row>
    <row r="854" spans="1:20" x14ac:dyDescent="0.25">
      <c r="A854" t="s">
        <v>34</v>
      </c>
      <c r="B854">
        <v>90360</v>
      </c>
      <c r="C854" s="1">
        <v>6</v>
      </c>
      <c r="D854" t="s">
        <v>19</v>
      </c>
      <c r="E854" s="7">
        <v>0.53</v>
      </c>
      <c r="F854" s="2">
        <v>0.02</v>
      </c>
      <c r="G854" s="7">
        <v>0.56999999999999995</v>
      </c>
      <c r="H854" s="9" t="s">
        <v>27</v>
      </c>
      <c r="I854">
        <v>0.84</v>
      </c>
      <c r="J854">
        <v>0.71</v>
      </c>
      <c r="K854">
        <v>0.41</v>
      </c>
      <c r="L854">
        <v>0.03</v>
      </c>
      <c r="M854">
        <v>0.97</v>
      </c>
      <c r="N854">
        <v>0.99</v>
      </c>
      <c r="O854">
        <v>0.55000000000000004</v>
      </c>
      <c r="P854">
        <v>7.0000000000000007E-2</v>
      </c>
      <c r="Q854">
        <v>0.54</v>
      </c>
      <c r="R854" s="2">
        <v>0.89</v>
      </c>
      <c r="S854" t="str">
        <f>IF(Table1[[#This Row],[Years_Experience]]&lt;=5,"Early Career",
IF(Table1[[#This Row],[Years_Experience]]&lt;=15,"Mid Career","Senior Level"))</f>
        <v>Mid Career</v>
      </c>
      <c r="T854" t="str">
        <f>IF(Table1[[#This Row],[AI_Exposure_Index]]&gt;=0.7,"High Exposure", IF(Table1[[#This Row],[AI_Exposure_Index]]&gt;=0.3,"Medium Exposure","Low Exposure"))</f>
        <v>Low Exposure</v>
      </c>
    </row>
    <row r="855" spans="1:20" x14ac:dyDescent="0.25">
      <c r="A855" t="s">
        <v>29</v>
      </c>
      <c r="B855">
        <v>130290</v>
      </c>
      <c r="C855" s="1">
        <v>4</v>
      </c>
      <c r="D855" t="s">
        <v>25</v>
      </c>
      <c r="E855" s="7">
        <v>0.57999999999999996</v>
      </c>
      <c r="F855" s="2">
        <v>0.72</v>
      </c>
      <c r="G855" s="7">
        <v>0.08</v>
      </c>
      <c r="H855" s="9" t="s">
        <v>23</v>
      </c>
      <c r="I855">
        <v>0.13</v>
      </c>
      <c r="J855">
        <v>0.9</v>
      </c>
      <c r="K855">
        <v>0.53</v>
      </c>
      <c r="L855">
        <v>0.79</v>
      </c>
      <c r="M855">
        <v>0.12</v>
      </c>
      <c r="N855">
        <v>0.93</v>
      </c>
      <c r="O855">
        <v>0.82</v>
      </c>
      <c r="P855">
        <v>0.22</v>
      </c>
      <c r="Q855">
        <v>0.87</v>
      </c>
      <c r="R855" s="2">
        <v>0.26</v>
      </c>
      <c r="S855" t="str">
        <f>IF(Table1[[#This Row],[Years_Experience]]&lt;=5,"Early Career",
IF(Table1[[#This Row],[Years_Experience]]&lt;=15,"Mid Career","Senior Level"))</f>
        <v>Early Career</v>
      </c>
      <c r="T855" t="str">
        <f>IF(Table1[[#This Row],[AI_Exposure_Index]]&gt;=0.7,"High Exposure", IF(Table1[[#This Row],[AI_Exposure_Index]]&gt;=0.3,"Medium Exposure","Low Exposure"))</f>
        <v>High Exposure</v>
      </c>
    </row>
    <row r="856" spans="1:20" x14ac:dyDescent="0.25">
      <c r="A856" t="s">
        <v>33</v>
      </c>
      <c r="B856">
        <v>105656</v>
      </c>
      <c r="C856" s="1">
        <v>22</v>
      </c>
      <c r="D856" t="s">
        <v>38</v>
      </c>
      <c r="E856" s="7">
        <v>0.67</v>
      </c>
      <c r="F856" s="2">
        <v>0.84</v>
      </c>
      <c r="G856" s="7">
        <v>0.72</v>
      </c>
      <c r="H856" s="9" t="s">
        <v>20</v>
      </c>
      <c r="I856">
        <v>0.4</v>
      </c>
      <c r="J856">
        <v>0.57999999999999996</v>
      </c>
      <c r="K856">
        <v>0.85</v>
      </c>
      <c r="L856">
        <v>0.97</v>
      </c>
      <c r="M856">
        <v>0.44</v>
      </c>
      <c r="N856">
        <v>0.06</v>
      </c>
      <c r="O856">
        <v>0.75</v>
      </c>
      <c r="P856">
        <v>0.56999999999999995</v>
      </c>
      <c r="Q856">
        <v>0.45</v>
      </c>
      <c r="R856" s="2">
        <v>0.31</v>
      </c>
      <c r="S856" t="str">
        <f>IF(Table1[[#This Row],[Years_Experience]]&lt;=5,"Early Career",
IF(Table1[[#This Row],[Years_Experience]]&lt;=15,"Mid Career","Senior Level"))</f>
        <v>Senior Level</v>
      </c>
      <c r="T856" t="str">
        <f>IF(Table1[[#This Row],[AI_Exposure_Index]]&gt;=0.7,"High Exposure", IF(Table1[[#This Row],[AI_Exposure_Index]]&gt;=0.3,"Medium Exposure","Low Exposure"))</f>
        <v>High Exposure</v>
      </c>
    </row>
    <row r="857" spans="1:20" x14ac:dyDescent="0.25">
      <c r="A857" t="s">
        <v>40</v>
      </c>
      <c r="B857">
        <v>107982</v>
      </c>
      <c r="C857" s="1">
        <v>0</v>
      </c>
      <c r="D857" t="s">
        <v>19</v>
      </c>
      <c r="E857" s="7">
        <v>1.26</v>
      </c>
      <c r="F857" s="2">
        <v>0.34</v>
      </c>
      <c r="G857" s="7">
        <v>0.19</v>
      </c>
      <c r="H857" s="9" t="s">
        <v>23</v>
      </c>
      <c r="I857">
        <v>0.88</v>
      </c>
      <c r="J857">
        <v>0.54</v>
      </c>
      <c r="K857">
        <v>0.24</v>
      </c>
      <c r="L857">
        <v>0.85</v>
      </c>
      <c r="M857">
        <v>0.56000000000000005</v>
      </c>
      <c r="N857">
        <v>0.21</v>
      </c>
      <c r="O857">
        <v>0.62</v>
      </c>
      <c r="P857">
        <v>0.36</v>
      </c>
      <c r="Q857">
        <v>0.84</v>
      </c>
      <c r="R857" s="2">
        <v>0.45</v>
      </c>
      <c r="S857" t="str">
        <f>IF(Table1[[#This Row],[Years_Experience]]&lt;=5,"Early Career",
IF(Table1[[#This Row],[Years_Experience]]&lt;=15,"Mid Career","Senior Level"))</f>
        <v>Early Career</v>
      </c>
      <c r="T857" t="str">
        <f>IF(Table1[[#This Row],[AI_Exposure_Index]]&gt;=0.7,"High Exposure", IF(Table1[[#This Row],[AI_Exposure_Index]]&gt;=0.3,"Medium Exposure","Low Exposure"))</f>
        <v>Medium Exposure</v>
      </c>
    </row>
    <row r="858" spans="1:20" x14ac:dyDescent="0.25">
      <c r="A858" t="s">
        <v>44</v>
      </c>
      <c r="B858">
        <v>33970</v>
      </c>
      <c r="C858" s="1">
        <v>13</v>
      </c>
      <c r="D858" t="s">
        <v>22</v>
      </c>
      <c r="E858" s="7">
        <v>0.9</v>
      </c>
      <c r="F858" s="2">
        <v>0.1</v>
      </c>
      <c r="G858" s="7">
        <v>0.69</v>
      </c>
      <c r="H858" s="9" t="s">
        <v>27</v>
      </c>
      <c r="I858">
        <v>0.81</v>
      </c>
      <c r="J858">
        <v>0.16</v>
      </c>
      <c r="K858">
        <v>0.28000000000000003</v>
      </c>
      <c r="L858">
        <v>0.33</v>
      </c>
      <c r="M858">
        <v>0.65</v>
      </c>
      <c r="N858">
        <v>0.76</v>
      </c>
      <c r="O858">
        <v>0.75</v>
      </c>
      <c r="P858">
        <v>0.51</v>
      </c>
      <c r="Q858">
        <v>0.81</v>
      </c>
      <c r="R858" s="2">
        <v>0.44</v>
      </c>
      <c r="S858" t="str">
        <f>IF(Table1[[#This Row],[Years_Experience]]&lt;=5,"Early Career",
IF(Table1[[#This Row],[Years_Experience]]&lt;=15,"Mid Career","Senior Level"))</f>
        <v>Mid Career</v>
      </c>
      <c r="T858" t="str">
        <f>IF(Table1[[#This Row],[AI_Exposure_Index]]&gt;=0.7,"High Exposure", IF(Table1[[#This Row],[AI_Exposure_Index]]&gt;=0.3,"Medium Exposure","Low Exposure"))</f>
        <v>Low Exposure</v>
      </c>
    </row>
    <row r="859" spans="1:20" x14ac:dyDescent="0.25">
      <c r="A859" t="s">
        <v>41</v>
      </c>
      <c r="B859">
        <v>71753</v>
      </c>
      <c r="C859" s="1">
        <v>26</v>
      </c>
      <c r="D859" t="s">
        <v>22</v>
      </c>
      <c r="E859" s="7">
        <v>1.45</v>
      </c>
      <c r="F859" s="2">
        <v>0.56000000000000005</v>
      </c>
      <c r="G859" s="7">
        <v>0.9</v>
      </c>
      <c r="H859" s="9" t="s">
        <v>20</v>
      </c>
      <c r="I859">
        <v>0.57999999999999996</v>
      </c>
      <c r="J859">
        <v>0.65</v>
      </c>
      <c r="K859">
        <v>0.93</v>
      </c>
      <c r="L859">
        <v>0.43</v>
      </c>
      <c r="M859">
        <v>0.33</v>
      </c>
      <c r="N859">
        <v>0.98</v>
      </c>
      <c r="O859">
        <v>0.86</v>
      </c>
      <c r="P859">
        <v>0.32</v>
      </c>
      <c r="Q859">
        <v>0.46</v>
      </c>
      <c r="R859" s="2">
        <v>0.42</v>
      </c>
      <c r="S859" t="str">
        <f>IF(Table1[[#This Row],[Years_Experience]]&lt;=5,"Early Career",
IF(Table1[[#This Row],[Years_Experience]]&lt;=15,"Mid Career","Senior Level"))</f>
        <v>Senior Level</v>
      </c>
      <c r="T859" t="str">
        <f>IF(Table1[[#This Row],[AI_Exposure_Index]]&gt;=0.7,"High Exposure", IF(Table1[[#This Row],[AI_Exposure_Index]]&gt;=0.3,"Medium Exposure","Low Exposure"))</f>
        <v>Medium Exposure</v>
      </c>
    </row>
    <row r="860" spans="1:20" x14ac:dyDescent="0.25">
      <c r="A860" t="s">
        <v>37</v>
      </c>
      <c r="B860">
        <v>104354</v>
      </c>
      <c r="C860" s="1">
        <v>6</v>
      </c>
      <c r="D860" t="s">
        <v>19</v>
      </c>
      <c r="E860" s="7">
        <v>0.9</v>
      </c>
      <c r="F860" s="2">
        <v>0.96</v>
      </c>
      <c r="G860" s="7">
        <v>0.65</v>
      </c>
      <c r="H860" s="9" t="s">
        <v>27</v>
      </c>
      <c r="I860">
        <v>0.19</v>
      </c>
      <c r="J860">
        <v>0.55000000000000004</v>
      </c>
      <c r="K860">
        <v>0.02</v>
      </c>
      <c r="L860">
        <v>0.76</v>
      </c>
      <c r="M860">
        <v>0.57999999999999996</v>
      </c>
      <c r="N860">
        <v>0.63</v>
      </c>
      <c r="O860">
        <v>0.05</v>
      </c>
      <c r="P860">
        <v>0.21</v>
      </c>
      <c r="Q860">
        <v>7.0000000000000007E-2</v>
      </c>
      <c r="R860" s="2">
        <v>0.28999999999999998</v>
      </c>
      <c r="S860" t="str">
        <f>IF(Table1[[#This Row],[Years_Experience]]&lt;=5,"Early Career",
IF(Table1[[#This Row],[Years_Experience]]&lt;=15,"Mid Career","Senior Level"))</f>
        <v>Mid Career</v>
      </c>
      <c r="T860" t="str">
        <f>IF(Table1[[#This Row],[AI_Exposure_Index]]&gt;=0.7,"High Exposure", IF(Table1[[#This Row],[AI_Exposure_Index]]&gt;=0.3,"Medium Exposure","Low Exposure"))</f>
        <v>High Exposure</v>
      </c>
    </row>
    <row r="861" spans="1:20" x14ac:dyDescent="0.25">
      <c r="A861" t="s">
        <v>24</v>
      </c>
      <c r="B861">
        <v>35280</v>
      </c>
      <c r="C861" s="1">
        <v>20</v>
      </c>
      <c r="D861" t="s">
        <v>38</v>
      </c>
      <c r="E861" s="7">
        <v>0.75</v>
      </c>
      <c r="F861" s="2">
        <v>0.44</v>
      </c>
      <c r="G861" s="7">
        <v>0.89</v>
      </c>
      <c r="H861" s="9" t="s">
        <v>20</v>
      </c>
      <c r="I861">
        <v>0.63</v>
      </c>
      <c r="J861">
        <v>0.77</v>
      </c>
      <c r="K861">
        <v>0.32</v>
      </c>
      <c r="L861">
        <v>0.74</v>
      </c>
      <c r="M861">
        <v>0.86</v>
      </c>
      <c r="N861">
        <v>0.35</v>
      </c>
      <c r="O861">
        <v>0.34</v>
      </c>
      <c r="P861">
        <v>0.9</v>
      </c>
      <c r="Q861">
        <v>0.05</v>
      </c>
      <c r="R861" s="2">
        <v>0.35</v>
      </c>
      <c r="S861" t="str">
        <f>IF(Table1[[#This Row],[Years_Experience]]&lt;=5,"Early Career",
IF(Table1[[#This Row],[Years_Experience]]&lt;=15,"Mid Career","Senior Level"))</f>
        <v>Senior Level</v>
      </c>
      <c r="T861" t="str">
        <f>IF(Table1[[#This Row],[AI_Exposure_Index]]&gt;=0.7,"High Exposure", IF(Table1[[#This Row],[AI_Exposure_Index]]&gt;=0.3,"Medium Exposure","Low Exposure"))</f>
        <v>Medium Exposure</v>
      </c>
    </row>
    <row r="862" spans="1:20" x14ac:dyDescent="0.25">
      <c r="A862" t="s">
        <v>21</v>
      </c>
      <c r="B862">
        <v>116545</v>
      </c>
      <c r="C862" s="1">
        <v>27</v>
      </c>
      <c r="D862" t="s">
        <v>38</v>
      </c>
      <c r="E862" s="7">
        <v>0.61</v>
      </c>
      <c r="F862" s="2">
        <v>0.03</v>
      </c>
      <c r="G862" s="7">
        <v>0.16</v>
      </c>
      <c r="H862" s="9" t="s">
        <v>23</v>
      </c>
      <c r="I862">
        <v>0.69</v>
      </c>
      <c r="J862">
        <v>0.28999999999999998</v>
      </c>
      <c r="K862">
        <v>0.85</v>
      </c>
      <c r="L862">
        <v>0.44</v>
      </c>
      <c r="M862">
        <v>0.97</v>
      </c>
      <c r="N862">
        <v>0.95</v>
      </c>
      <c r="O862">
        <v>0.77</v>
      </c>
      <c r="P862">
        <v>0.93</v>
      </c>
      <c r="Q862">
        <v>0.71</v>
      </c>
      <c r="R862" s="2">
        <v>0.9</v>
      </c>
      <c r="S862" t="str">
        <f>IF(Table1[[#This Row],[Years_Experience]]&lt;=5,"Early Career",
IF(Table1[[#This Row],[Years_Experience]]&lt;=15,"Mid Career","Senior Level"))</f>
        <v>Senior Level</v>
      </c>
      <c r="T862" t="str">
        <f>IF(Table1[[#This Row],[AI_Exposure_Index]]&gt;=0.7,"High Exposure", IF(Table1[[#This Row],[AI_Exposure_Index]]&gt;=0.3,"Medium Exposure","Low Exposure"))</f>
        <v>Low Exposure</v>
      </c>
    </row>
    <row r="863" spans="1:20" x14ac:dyDescent="0.25">
      <c r="A863" t="s">
        <v>29</v>
      </c>
      <c r="B863">
        <v>131041</v>
      </c>
      <c r="C863" s="1">
        <v>12</v>
      </c>
      <c r="D863" t="s">
        <v>38</v>
      </c>
      <c r="E863" s="7">
        <v>1.25</v>
      </c>
      <c r="F863" s="2">
        <v>0.35</v>
      </c>
      <c r="G863" s="7">
        <v>0.16</v>
      </c>
      <c r="H863" s="9" t="s">
        <v>23</v>
      </c>
      <c r="I863">
        <v>0.84</v>
      </c>
      <c r="J863">
        <v>0.88</v>
      </c>
      <c r="K863">
        <v>0.3</v>
      </c>
      <c r="L863">
        <v>0.82</v>
      </c>
      <c r="M863">
        <v>0.15</v>
      </c>
      <c r="N863">
        <v>0.33</v>
      </c>
      <c r="O863">
        <v>0.52</v>
      </c>
      <c r="P863">
        <v>0.23</v>
      </c>
      <c r="Q863">
        <v>0.57999999999999996</v>
      </c>
      <c r="R863" s="2">
        <v>0.57999999999999996</v>
      </c>
      <c r="S863" t="str">
        <f>IF(Table1[[#This Row],[Years_Experience]]&lt;=5,"Early Career",
IF(Table1[[#This Row],[Years_Experience]]&lt;=15,"Mid Career","Senior Level"))</f>
        <v>Mid Career</v>
      </c>
      <c r="T863" t="str">
        <f>IF(Table1[[#This Row],[AI_Exposure_Index]]&gt;=0.7,"High Exposure", IF(Table1[[#This Row],[AI_Exposure_Index]]&gt;=0.3,"Medium Exposure","Low Exposure"))</f>
        <v>Medium Exposure</v>
      </c>
    </row>
    <row r="864" spans="1:20" x14ac:dyDescent="0.25">
      <c r="A864" t="s">
        <v>26</v>
      </c>
      <c r="B864">
        <v>134087</v>
      </c>
      <c r="C864" s="1">
        <v>23</v>
      </c>
      <c r="D864" t="s">
        <v>38</v>
      </c>
      <c r="E864" s="7">
        <v>1.1299999999999999</v>
      </c>
      <c r="F864" s="2">
        <v>0.8</v>
      </c>
      <c r="G864" s="7">
        <v>0.43</v>
      </c>
      <c r="H864" s="9" t="s">
        <v>27</v>
      </c>
      <c r="I864">
        <v>0.23</v>
      </c>
      <c r="J864">
        <v>0.88</v>
      </c>
      <c r="K864">
        <v>0.84</v>
      </c>
      <c r="L864">
        <v>0.23</v>
      </c>
      <c r="M864">
        <v>0.04</v>
      </c>
      <c r="N864">
        <v>0.8</v>
      </c>
      <c r="O864">
        <v>0.62</v>
      </c>
      <c r="P864">
        <v>0.1</v>
      </c>
      <c r="Q864">
        <v>0.59</v>
      </c>
      <c r="R864" s="2">
        <v>0.45</v>
      </c>
      <c r="S864" t="str">
        <f>IF(Table1[[#This Row],[Years_Experience]]&lt;=5,"Early Career",
IF(Table1[[#This Row],[Years_Experience]]&lt;=15,"Mid Career","Senior Level"))</f>
        <v>Senior Level</v>
      </c>
      <c r="T864" t="str">
        <f>IF(Table1[[#This Row],[AI_Exposure_Index]]&gt;=0.7,"High Exposure", IF(Table1[[#This Row],[AI_Exposure_Index]]&gt;=0.3,"Medium Exposure","Low Exposure"))</f>
        <v>High Exposure</v>
      </c>
    </row>
    <row r="865" spans="1:20" x14ac:dyDescent="0.25">
      <c r="A865" t="s">
        <v>29</v>
      </c>
      <c r="B865">
        <v>90985</v>
      </c>
      <c r="C865" s="1">
        <v>20</v>
      </c>
      <c r="D865" t="s">
        <v>22</v>
      </c>
      <c r="E865" s="7">
        <v>0.95</v>
      </c>
      <c r="F865" s="2">
        <v>0.21</v>
      </c>
      <c r="G865" s="7">
        <v>0.09</v>
      </c>
      <c r="H865" s="9" t="s">
        <v>23</v>
      </c>
      <c r="I865">
        <v>0.96</v>
      </c>
      <c r="J865">
        <v>0.78</v>
      </c>
      <c r="K865">
        <v>0.74</v>
      </c>
      <c r="L865">
        <v>0.69</v>
      </c>
      <c r="M865">
        <v>0.42</v>
      </c>
      <c r="N865">
        <v>0.92</v>
      </c>
      <c r="O865">
        <v>7.0000000000000007E-2</v>
      </c>
      <c r="P865">
        <v>0.8</v>
      </c>
      <c r="Q865">
        <v>0.22</v>
      </c>
      <c r="R865" s="2">
        <v>0.32</v>
      </c>
      <c r="S865" t="str">
        <f>IF(Table1[[#This Row],[Years_Experience]]&lt;=5,"Early Career",
IF(Table1[[#This Row],[Years_Experience]]&lt;=15,"Mid Career","Senior Level"))</f>
        <v>Senior Level</v>
      </c>
      <c r="T865" t="str">
        <f>IF(Table1[[#This Row],[AI_Exposure_Index]]&gt;=0.7,"High Exposure", IF(Table1[[#This Row],[AI_Exposure_Index]]&gt;=0.3,"Medium Exposure","Low Exposure"))</f>
        <v>Low Exposure</v>
      </c>
    </row>
    <row r="866" spans="1:20" x14ac:dyDescent="0.25">
      <c r="A866" t="s">
        <v>41</v>
      </c>
      <c r="B866">
        <v>118257</v>
      </c>
      <c r="C866" s="1">
        <v>6</v>
      </c>
      <c r="D866" t="s">
        <v>38</v>
      </c>
      <c r="E866" s="7">
        <v>1.34</v>
      </c>
      <c r="F866" s="2">
        <v>0.78</v>
      </c>
      <c r="G866" s="7">
        <v>0.85</v>
      </c>
      <c r="H866" s="9" t="s">
        <v>20</v>
      </c>
      <c r="I866">
        <v>0.4</v>
      </c>
      <c r="J866">
        <v>0.95</v>
      </c>
      <c r="K866">
        <v>0.25</v>
      </c>
      <c r="L866">
        <v>0.8</v>
      </c>
      <c r="M866">
        <v>0.61</v>
      </c>
      <c r="N866">
        <v>0.38</v>
      </c>
      <c r="O866">
        <v>0</v>
      </c>
      <c r="P866">
        <v>0.45</v>
      </c>
      <c r="Q866">
        <v>0.28000000000000003</v>
      </c>
      <c r="R866" s="2">
        <v>0.1</v>
      </c>
      <c r="S866" t="str">
        <f>IF(Table1[[#This Row],[Years_Experience]]&lt;=5,"Early Career",
IF(Table1[[#This Row],[Years_Experience]]&lt;=15,"Mid Career","Senior Level"))</f>
        <v>Mid Career</v>
      </c>
      <c r="T866" t="str">
        <f>IF(Table1[[#This Row],[AI_Exposure_Index]]&gt;=0.7,"High Exposure", IF(Table1[[#This Row],[AI_Exposure_Index]]&gt;=0.3,"Medium Exposure","Low Exposure"))</f>
        <v>High Exposure</v>
      </c>
    </row>
    <row r="867" spans="1:20" x14ac:dyDescent="0.25">
      <c r="A867" t="s">
        <v>31</v>
      </c>
      <c r="B867">
        <v>134294</v>
      </c>
      <c r="C867" s="1">
        <v>23</v>
      </c>
      <c r="D867" t="s">
        <v>38</v>
      </c>
      <c r="E867" s="7">
        <v>1.1100000000000001</v>
      </c>
      <c r="F867" s="2">
        <v>0.35</v>
      </c>
      <c r="G867" s="7">
        <v>0.26</v>
      </c>
      <c r="H867" s="9" t="s">
        <v>23</v>
      </c>
      <c r="I867">
        <v>0.18</v>
      </c>
      <c r="J867">
        <v>0.42</v>
      </c>
      <c r="K867">
        <v>0.39</v>
      </c>
      <c r="L867">
        <v>0.51</v>
      </c>
      <c r="M867">
        <v>0.81</v>
      </c>
      <c r="N867">
        <v>0.55000000000000004</v>
      </c>
      <c r="O867">
        <v>0.85</v>
      </c>
      <c r="P867">
        <v>0.52</v>
      </c>
      <c r="Q867">
        <v>0.6</v>
      </c>
      <c r="R867" s="2">
        <v>0.44</v>
      </c>
      <c r="S867" t="str">
        <f>IF(Table1[[#This Row],[Years_Experience]]&lt;=5,"Early Career",
IF(Table1[[#This Row],[Years_Experience]]&lt;=15,"Mid Career","Senior Level"))</f>
        <v>Senior Level</v>
      </c>
      <c r="T867" t="str">
        <f>IF(Table1[[#This Row],[AI_Exposure_Index]]&gt;=0.7,"High Exposure", IF(Table1[[#This Row],[AI_Exposure_Index]]&gt;=0.3,"Medium Exposure","Low Exposure"))</f>
        <v>Medium Exposure</v>
      </c>
    </row>
    <row r="868" spans="1:20" x14ac:dyDescent="0.25">
      <c r="A868" t="s">
        <v>35</v>
      </c>
      <c r="B868">
        <v>55666</v>
      </c>
      <c r="C868" s="1">
        <v>18</v>
      </c>
      <c r="D868" t="s">
        <v>38</v>
      </c>
      <c r="E868" s="7">
        <v>1.1399999999999999</v>
      </c>
      <c r="F868" s="2">
        <v>0.92</v>
      </c>
      <c r="G868" s="7">
        <v>0.63</v>
      </c>
      <c r="H868" s="9" t="s">
        <v>27</v>
      </c>
      <c r="I868">
        <v>0.06</v>
      </c>
      <c r="J868">
        <v>0.91</v>
      </c>
      <c r="K868">
        <v>0.19</v>
      </c>
      <c r="L868">
        <v>0.26</v>
      </c>
      <c r="M868">
        <v>0.05</v>
      </c>
      <c r="N868">
        <v>0.97</v>
      </c>
      <c r="O868">
        <v>0.85</v>
      </c>
      <c r="P868">
        <v>0.91</v>
      </c>
      <c r="Q868">
        <v>0.85</v>
      </c>
      <c r="R868" s="2">
        <v>0.48</v>
      </c>
      <c r="S868" t="str">
        <f>IF(Table1[[#This Row],[Years_Experience]]&lt;=5,"Early Career",
IF(Table1[[#This Row],[Years_Experience]]&lt;=15,"Mid Career","Senior Level"))</f>
        <v>Senior Level</v>
      </c>
      <c r="T868" t="str">
        <f>IF(Table1[[#This Row],[AI_Exposure_Index]]&gt;=0.7,"High Exposure", IF(Table1[[#This Row],[AI_Exposure_Index]]&gt;=0.3,"Medium Exposure","Low Exposure"))</f>
        <v>High Exposure</v>
      </c>
    </row>
    <row r="869" spans="1:20" x14ac:dyDescent="0.25">
      <c r="A869" t="s">
        <v>18</v>
      </c>
      <c r="B869">
        <v>71516</v>
      </c>
      <c r="C869" s="1">
        <v>25</v>
      </c>
      <c r="D869" t="s">
        <v>25</v>
      </c>
      <c r="E869" s="7">
        <v>1</v>
      </c>
      <c r="F869" s="2">
        <v>0.97</v>
      </c>
      <c r="G869" s="7">
        <v>0.74</v>
      </c>
      <c r="H869" s="9" t="s">
        <v>20</v>
      </c>
      <c r="I869">
        <v>0.66</v>
      </c>
      <c r="J869">
        <v>0.98</v>
      </c>
      <c r="K869">
        <v>0.87</v>
      </c>
      <c r="L869">
        <v>0.86</v>
      </c>
      <c r="M869">
        <v>0.93</v>
      </c>
      <c r="N869">
        <v>0.89</v>
      </c>
      <c r="O869">
        <v>0.78</v>
      </c>
      <c r="P869">
        <v>0.72</v>
      </c>
      <c r="Q869">
        <v>0.26</v>
      </c>
      <c r="R869" s="2">
        <v>0.62</v>
      </c>
      <c r="S869" t="str">
        <f>IF(Table1[[#This Row],[Years_Experience]]&lt;=5,"Early Career",
IF(Table1[[#This Row],[Years_Experience]]&lt;=15,"Mid Career","Senior Level"))</f>
        <v>Senior Level</v>
      </c>
      <c r="T869" t="str">
        <f>IF(Table1[[#This Row],[AI_Exposure_Index]]&gt;=0.7,"High Exposure", IF(Table1[[#This Row],[AI_Exposure_Index]]&gt;=0.3,"Medium Exposure","Low Exposure"))</f>
        <v>High Exposure</v>
      </c>
    </row>
    <row r="870" spans="1:20" x14ac:dyDescent="0.25">
      <c r="A870" t="s">
        <v>43</v>
      </c>
      <c r="B870">
        <v>48226</v>
      </c>
      <c r="C870" s="1">
        <v>18</v>
      </c>
      <c r="D870" t="s">
        <v>38</v>
      </c>
      <c r="E870" s="7">
        <v>0.99</v>
      </c>
      <c r="F870" s="2">
        <v>0.86</v>
      </c>
      <c r="G870" s="7">
        <v>0.08</v>
      </c>
      <c r="H870" s="9" t="s">
        <v>23</v>
      </c>
      <c r="I870">
        <v>0</v>
      </c>
      <c r="J870">
        <v>0.68</v>
      </c>
      <c r="K870">
        <v>0.55000000000000004</v>
      </c>
      <c r="L870">
        <v>0.33</v>
      </c>
      <c r="M870">
        <v>0.17</v>
      </c>
      <c r="N870">
        <v>0.47</v>
      </c>
      <c r="O870">
        <v>0.1</v>
      </c>
      <c r="P870">
        <v>0.34</v>
      </c>
      <c r="Q870">
        <v>0.38</v>
      </c>
      <c r="R870" s="2">
        <v>0.47</v>
      </c>
      <c r="S870" t="str">
        <f>IF(Table1[[#This Row],[Years_Experience]]&lt;=5,"Early Career",
IF(Table1[[#This Row],[Years_Experience]]&lt;=15,"Mid Career","Senior Level"))</f>
        <v>Senior Level</v>
      </c>
      <c r="T870" t="str">
        <f>IF(Table1[[#This Row],[AI_Exposure_Index]]&gt;=0.7,"High Exposure", IF(Table1[[#This Row],[AI_Exposure_Index]]&gt;=0.3,"Medium Exposure","Low Exposure"))</f>
        <v>High Exposure</v>
      </c>
    </row>
    <row r="871" spans="1:20" x14ac:dyDescent="0.25">
      <c r="A871" t="s">
        <v>29</v>
      </c>
      <c r="B871">
        <v>60011</v>
      </c>
      <c r="C871" s="1">
        <v>16</v>
      </c>
      <c r="D871" t="s">
        <v>19</v>
      </c>
      <c r="E871" s="7">
        <v>1.35</v>
      </c>
      <c r="F871" s="2">
        <v>0.26</v>
      </c>
      <c r="G871" s="7">
        <v>0.14000000000000001</v>
      </c>
      <c r="H871" s="9" t="s">
        <v>23</v>
      </c>
      <c r="I871">
        <v>0.23</v>
      </c>
      <c r="J871">
        <v>0.18</v>
      </c>
      <c r="K871">
        <v>0.32</v>
      </c>
      <c r="L871">
        <v>7.0000000000000007E-2</v>
      </c>
      <c r="M871">
        <v>0.03</v>
      </c>
      <c r="N871">
        <v>0.61</v>
      </c>
      <c r="O871">
        <v>0.62</v>
      </c>
      <c r="P871">
        <v>0.53</v>
      </c>
      <c r="Q871">
        <v>0.76</v>
      </c>
      <c r="R871" s="2">
        <v>0.04</v>
      </c>
      <c r="S871" t="str">
        <f>IF(Table1[[#This Row],[Years_Experience]]&lt;=5,"Early Career",
IF(Table1[[#This Row],[Years_Experience]]&lt;=15,"Mid Career","Senior Level"))</f>
        <v>Senior Level</v>
      </c>
      <c r="T871" t="str">
        <f>IF(Table1[[#This Row],[AI_Exposure_Index]]&gt;=0.7,"High Exposure", IF(Table1[[#This Row],[AI_Exposure_Index]]&gt;=0.3,"Medium Exposure","Low Exposure"))</f>
        <v>Low Exposure</v>
      </c>
    </row>
    <row r="872" spans="1:20" x14ac:dyDescent="0.25">
      <c r="A872" t="s">
        <v>42</v>
      </c>
      <c r="B872">
        <v>136979</v>
      </c>
      <c r="C872" s="1">
        <v>15</v>
      </c>
      <c r="D872" t="s">
        <v>19</v>
      </c>
      <c r="E872" s="7">
        <v>1.43</v>
      </c>
      <c r="F872" s="2">
        <v>0.86</v>
      </c>
      <c r="G872" s="7">
        <v>0.34</v>
      </c>
      <c r="H872" s="9" t="s">
        <v>27</v>
      </c>
      <c r="I872">
        <v>0.11</v>
      </c>
      <c r="J872">
        <v>0.03</v>
      </c>
      <c r="K872">
        <v>0.1</v>
      </c>
      <c r="L872">
        <v>0.21</v>
      </c>
      <c r="M872">
        <v>0.97</v>
      </c>
      <c r="N872">
        <v>0.67</v>
      </c>
      <c r="O872">
        <v>0.78</v>
      </c>
      <c r="P872">
        <v>0.78</v>
      </c>
      <c r="Q872">
        <v>0.54</v>
      </c>
      <c r="R872" s="2">
        <v>0.8</v>
      </c>
      <c r="S872" t="str">
        <f>IF(Table1[[#This Row],[Years_Experience]]&lt;=5,"Early Career",
IF(Table1[[#This Row],[Years_Experience]]&lt;=15,"Mid Career","Senior Level"))</f>
        <v>Mid Career</v>
      </c>
      <c r="T872" t="str">
        <f>IF(Table1[[#This Row],[AI_Exposure_Index]]&gt;=0.7,"High Exposure", IF(Table1[[#This Row],[AI_Exposure_Index]]&gt;=0.3,"Medium Exposure","Low Exposure"))</f>
        <v>High Exposure</v>
      </c>
    </row>
    <row r="873" spans="1:20" x14ac:dyDescent="0.25">
      <c r="A873" t="s">
        <v>24</v>
      </c>
      <c r="B873">
        <v>85215</v>
      </c>
      <c r="C873" s="1">
        <v>21</v>
      </c>
      <c r="D873" t="s">
        <v>38</v>
      </c>
      <c r="E873" s="7">
        <v>1.06</v>
      </c>
      <c r="F873" s="2">
        <v>0.31</v>
      </c>
      <c r="G873" s="7">
        <v>0.83</v>
      </c>
      <c r="H873" s="9" t="s">
        <v>20</v>
      </c>
      <c r="I873">
        <v>0.82</v>
      </c>
      <c r="J873">
        <v>0.98</v>
      </c>
      <c r="K873">
        <v>0.41</v>
      </c>
      <c r="L873">
        <v>0.76</v>
      </c>
      <c r="M873">
        <v>0.1</v>
      </c>
      <c r="N873">
        <v>0.78</v>
      </c>
      <c r="O873">
        <v>0.37</v>
      </c>
      <c r="P873">
        <v>0.04</v>
      </c>
      <c r="Q873">
        <v>0.36</v>
      </c>
      <c r="R873" s="2">
        <v>0.61</v>
      </c>
      <c r="S873" t="str">
        <f>IF(Table1[[#This Row],[Years_Experience]]&lt;=5,"Early Career",
IF(Table1[[#This Row],[Years_Experience]]&lt;=15,"Mid Career","Senior Level"))</f>
        <v>Senior Level</v>
      </c>
      <c r="T873" t="str">
        <f>IF(Table1[[#This Row],[AI_Exposure_Index]]&gt;=0.7,"High Exposure", IF(Table1[[#This Row],[AI_Exposure_Index]]&gt;=0.3,"Medium Exposure","Low Exposure"))</f>
        <v>Medium Exposure</v>
      </c>
    </row>
    <row r="874" spans="1:20" x14ac:dyDescent="0.25">
      <c r="A874" t="s">
        <v>26</v>
      </c>
      <c r="B874">
        <v>107255</v>
      </c>
      <c r="C874" s="1">
        <v>21</v>
      </c>
      <c r="D874" t="s">
        <v>38</v>
      </c>
      <c r="E874" s="7">
        <v>0.57999999999999996</v>
      </c>
      <c r="F874" s="2">
        <v>0.92</v>
      </c>
      <c r="G874" s="7">
        <v>0.67</v>
      </c>
      <c r="H874" s="9" t="s">
        <v>27</v>
      </c>
      <c r="I874">
        <v>0.71</v>
      </c>
      <c r="J874">
        <v>0.33</v>
      </c>
      <c r="K874">
        <v>0.39</v>
      </c>
      <c r="L874">
        <v>0.74</v>
      </c>
      <c r="M874">
        <v>0.6</v>
      </c>
      <c r="N874">
        <v>0.67</v>
      </c>
      <c r="O874">
        <v>0.39</v>
      </c>
      <c r="P874">
        <v>0.49</v>
      </c>
      <c r="Q874">
        <v>0.99</v>
      </c>
      <c r="R874" s="2">
        <v>0.21</v>
      </c>
      <c r="S874" t="str">
        <f>IF(Table1[[#This Row],[Years_Experience]]&lt;=5,"Early Career",
IF(Table1[[#This Row],[Years_Experience]]&lt;=15,"Mid Career","Senior Level"))</f>
        <v>Senior Level</v>
      </c>
      <c r="T874" t="str">
        <f>IF(Table1[[#This Row],[AI_Exposure_Index]]&gt;=0.7,"High Exposure", IF(Table1[[#This Row],[AI_Exposure_Index]]&gt;=0.3,"Medium Exposure","Low Exposure"))</f>
        <v>High Exposure</v>
      </c>
    </row>
    <row r="875" spans="1:20" x14ac:dyDescent="0.25">
      <c r="A875" t="s">
        <v>39</v>
      </c>
      <c r="B875">
        <v>70821</v>
      </c>
      <c r="C875" s="1">
        <v>27</v>
      </c>
      <c r="D875" t="s">
        <v>25</v>
      </c>
      <c r="E875" s="7">
        <v>1.27</v>
      </c>
      <c r="F875" s="2">
        <v>0.28999999999999998</v>
      </c>
      <c r="G875" s="7">
        <v>0.89</v>
      </c>
      <c r="H875" s="9" t="s">
        <v>20</v>
      </c>
      <c r="I875">
        <v>0.28999999999999998</v>
      </c>
      <c r="J875">
        <v>0.08</v>
      </c>
      <c r="K875">
        <v>0.01</v>
      </c>
      <c r="L875">
        <v>0.43</v>
      </c>
      <c r="M875">
        <v>0.41</v>
      </c>
      <c r="N875">
        <v>0.99</v>
      </c>
      <c r="O875">
        <v>0.47</v>
      </c>
      <c r="P875">
        <v>0.26</v>
      </c>
      <c r="Q875">
        <v>0.89</v>
      </c>
      <c r="R875" s="2">
        <v>0.49</v>
      </c>
      <c r="S875" t="str">
        <f>IF(Table1[[#This Row],[Years_Experience]]&lt;=5,"Early Career",
IF(Table1[[#This Row],[Years_Experience]]&lt;=15,"Mid Career","Senior Level"))</f>
        <v>Senior Level</v>
      </c>
      <c r="T875" t="str">
        <f>IF(Table1[[#This Row],[AI_Exposure_Index]]&gt;=0.7,"High Exposure", IF(Table1[[#This Row],[AI_Exposure_Index]]&gt;=0.3,"Medium Exposure","Low Exposure"))</f>
        <v>Low Exposure</v>
      </c>
    </row>
    <row r="876" spans="1:20" x14ac:dyDescent="0.25">
      <c r="A876" t="s">
        <v>33</v>
      </c>
      <c r="B876">
        <v>133185</v>
      </c>
      <c r="C876" s="1">
        <v>18</v>
      </c>
      <c r="D876" t="s">
        <v>19</v>
      </c>
      <c r="E876" s="7">
        <v>0.88</v>
      </c>
      <c r="F876" s="2">
        <v>0.1</v>
      </c>
      <c r="G876" s="7">
        <v>0.94</v>
      </c>
      <c r="H876" s="9" t="s">
        <v>20</v>
      </c>
      <c r="I876">
        <v>0.59</v>
      </c>
      <c r="J876">
        <v>0.34</v>
      </c>
      <c r="K876">
        <v>0.63</v>
      </c>
      <c r="L876">
        <v>0.91</v>
      </c>
      <c r="M876">
        <v>0.27</v>
      </c>
      <c r="N876">
        <v>0.51</v>
      </c>
      <c r="O876">
        <v>0.96</v>
      </c>
      <c r="P876">
        <v>0.17</v>
      </c>
      <c r="Q876">
        <v>0.72</v>
      </c>
      <c r="R876" s="2">
        <v>0.61</v>
      </c>
      <c r="S876" t="str">
        <f>IF(Table1[[#This Row],[Years_Experience]]&lt;=5,"Early Career",
IF(Table1[[#This Row],[Years_Experience]]&lt;=15,"Mid Career","Senior Level"))</f>
        <v>Senior Level</v>
      </c>
      <c r="T876" t="str">
        <f>IF(Table1[[#This Row],[AI_Exposure_Index]]&gt;=0.7,"High Exposure", IF(Table1[[#This Row],[AI_Exposure_Index]]&gt;=0.3,"Medium Exposure","Low Exposure"))</f>
        <v>Low Exposure</v>
      </c>
    </row>
    <row r="877" spans="1:20" x14ac:dyDescent="0.25">
      <c r="A877" t="s">
        <v>24</v>
      </c>
      <c r="B877">
        <v>107929</v>
      </c>
      <c r="C877" s="1">
        <v>6</v>
      </c>
      <c r="D877" t="s">
        <v>19</v>
      </c>
      <c r="E877" s="7">
        <v>0.81</v>
      </c>
      <c r="F877" s="2">
        <v>0.35</v>
      </c>
      <c r="G877" s="7">
        <v>0.87</v>
      </c>
      <c r="H877" s="9" t="s">
        <v>20</v>
      </c>
      <c r="I877">
        <v>0.22</v>
      </c>
      <c r="J877">
        <v>0.42</v>
      </c>
      <c r="K877">
        <v>0.19</v>
      </c>
      <c r="L877">
        <v>0.01</v>
      </c>
      <c r="M877">
        <v>0.97</v>
      </c>
      <c r="N877">
        <v>0.43</v>
      </c>
      <c r="O877">
        <v>0.97</v>
      </c>
      <c r="P877">
        <v>0.14000000000000001</v>
      </c>
      <c r="Q877">
        <v>0.59</v>
      </c>
      <c r="R877" s="2">
        <v>0.2</v>
      </c>
      <c r="S877" t="str">
        <f>IF(Table1[[#This Row],[Years_Experience]]&lt;=5,"Early Career",
IF(Table1[[#This Row],[Years_Experience]]&lt;=15,"Mid Career","Senior Level"))</f>
        <v>Mid Career</v>
      </c>
      <c r="T877" t="str">
        <f>IF(Table1[[#This Row],[AI_Exposure_Index]]&gt;=0.7,"High Exposure", IF(Table1[[#This Row],[AI_Exposure_Index]]&gt;=0.3,"Medium Exposure","Low Exposure"))</f>
        <v>Medium Exposure</v>
      </c>
    </row>
    <row r="878" spans="1:20" x14ac:dyDescent="0.25">
      <c r="A878" t="s">
        <v>18</v>
      </c>
      <c r="B878">
        <v>49523</v>
      </c>
      <c r="C878" s="1">
        <v>29</v>
      </c>
      <c r="D878" t="s">
        <v>19</v>
      </c>
      <c r="E878" s="7">
        <v>1.2</v>
      </c>
      <c r="F878" s="2">
        <v>0.57999999999999996</v>
      </c>
      <c r="G878" s="7">
        <v>0.86</v>
      </c>
      <c r="H878" s="9" t="s">
        <v>20</v>
      </c>
      <c r="I878">
        <v>0.05</v>
      </c>
      <c r="J878">
        <v>0.1</v>
      </c>
      <c r="K878">
        <v>0.13</v>
      </c>
      <c r="L878">
        <v>0.09</v>
      </c>
      <c r="M878">
        <v>0.18</v>
      </c>
      <c r="N878">
        <v>0.69</v>
      </c>
      <c r="O878">
        <v>0.83</v>
      </c>
      <c r="P878">
        <v>0.41</v>
      </c>
      <c r="Q878">
        <v>0.69</v>
      </c>
      <c r="R878" s="2">
        <v>0.2</v>
      </c>
      <c r="S878" t="str">
        <f>IF(Table1[[#This Row],[Years_Experience]]&lt;=5,"Early Career",
IF(Table1[[#This Row],[Years_Experience]]&lt;=15,"Mid Career","Senior Level"))</f>
        <v>Senior Level</v>
      </c>
      <c r="T878" t="str">
        <f>IF(Table1[[#This Row],[AI_Exposure_Index]]&gt;=0.7,"High Exposure", IF(Table1[[#This Row],[AI_Exposure_Index]]&gt;=0.3,"Medium Exposure","Low Exposure"))</f>
        <v>Medium Exposure</v>
      </c>
    </row>
    <row r="879" spans="1:20" x14ac:dyDescent="0.25">
      <c r="A879" t="s">
        <v>24</v>
      </c>
      <c r="B879">
        <v>88188</v>
      </c>
      <c r="C879" s="1">
        <v>24</v>
      </c>
      <c r="D879" t="s">
        <v>25</v>
      </c>
      <c r="E879" s="7">
        <v>1.35</v>
      </c>
      <c r="F879" s="2">
        <v>0.35</v>
      </c>
      <c r="G879" s="7">
        <v>0.94</v>
      </c>
      <c r="H879" s="9" t="s">
        <v>20</v>
      </c>
      <c r="I879">
        <v>0.86</v>
      </c>
      <c r="J879">
        <v>7.0000000000000007E-2</v>
      </c>
      <c r="K879">
        <v>0.65</v>
      </c>
      <c r="L879">
        <v>0.12</v>
      </c>
      <c r="M879">
        <v>0.01</v>
      </c>
      <c r="N879">
        <v>0.05</v>
      </c>
      <c r="O879">
        <v>0.92</v>
      </c>
      <c r="P879">
        <v>0.91</v>
      </c>
      <c r="Q879">
        <v>0.23</v>
      </c>
      <c r="R879" s="2">
        <v>0.55000000000000004</v>
      </c>
      <c r="S879" t="str">
        <f>IF(Table1[[#This Row],[Years_Experience]]&lt;=5,"Early Career",
IF(Table1[[#This Row],[Years_Experience]]&lt;=15,"Mid Career","Senior Level"))</f>
        <v>Senior Level</v>
      </c>
      <c r="T879" t="str">
        <f>IF(Table1[[#This Row],[AI_Exposure_Index]]&gt;=0.7,"High Exposure", IF(Table1[[#This Row],[AI_Exposure_Index]]&gt;=0.3,"Medium Exposure","Low Exposure"))</f>
        <v>Medium Exposure</v>
      </c>
    </row>
    <row r="880" spans="1:20" x14ac:dyDescent="0.25">
      <c r="A880" t="s">
        <v>40</v>
      </c>
      <c r="B880">
        <v>77969</v>
      </c>
      <c r="C880" s="1">
        <v>6</v>
      </c>
      <c r="D880" t="s">
        <v>38</v>
      </c>
      <c r="E880" s="7">
        <v>0.89</v>
      </c>
      <c r="F880" s="2">
        <v>0.5</v>
      </c>
      <c r="G880" s="7">
        <v>0.17</v>
      </c>
      <c r="H880" s="9" t="s">
        <v>23</v>
      </c>
      <c r="I880">
        <v>0.79</v>
      </c>
      <c r="J880">
        <v>0.48</v>
      </c>
      <c r="K880">
        <v>0.78</v>
      </c>
      <c r="L880">
        <v>0.43</v>
      </c>
      <c r="M880">
        <v>0.25</v>
      </c>
      <c r="N880">
        <v>0.33</v>
      </c>
      <c r="O880">
        <v>0.08</v>
      </c>
      <c r="P880">
        <v>0.5</v>
      </c>
      <c r="Q880">
        <v>0.15</v>
      </c>
      <c r="R880" s="2">
        <v>0.81</v>
      </c>
      <c r="S880" t="str">
        <f>IF(Table1[[#This Row],[Years_Experience]]&lt;=5,"Early Career",
IF(Table1[[#This Row],[Years_Experience]]&lt;=15,"Mid Career","Senior Level"))</f>
        <v>Mid Career</v>
      </c>
      <c r="T880" t="str">
        <f>IF(Table1[[#This Row],[AI_Exposure_Index]]&gt;=0.7,"High Exposure", IF(Table1[[#This Row],[AI_Exposure_Index]]&gt;=0.3,"Medium Exposure","Low Exposure"))</f>
        <v>Medium Exposure</v>
      </c>
    </row>
    <row r="881" spans="1:20" x14ac:dyDescent="0.25">
      <c r="A881" t="s">
        <v>35</v>
      </c>
      <c r="B881">
        <v>149528</v>
      </c>
      <c r="C881" s="1">
        <v>12</v>
      </c>
      <c r="D881" t="s">
        <v>19</v>
      </c>
      <c r="E881" s="7">
        <v>1.45</v>
      </c>
      <c r="F881" s="2">
        <v>0.77</v>
      </c>
      <c r="G881" s="7">
        <v>0.64</v>
      </c>
      <c r="H881" s="9" t="s">
        <v>27</v>
      </c>
      <c r="I881">
        <v>0.95</v>
      </c>
      <c r="J881">
        <v>0.56999999999999995</v>
      </c>
      <c r="K881">
        <v>0.17</v>
      </c>
      <c r="L881">
        <v>0.94</v>
      </c>
      <c r="M881">
        <v>0.87</v>
      </c>
      <c r="N881">
        <v>0.86</v>
      </c>
      <c r="O881">
        <v>0.69</v>
      </c>
      <c r="P881">
        <v>0.62</v>
      </c>
      <c r="Q881">
        <v>0.01</v>
      </c>
      <c r="R881" s="2">
        <v>0.75</v>
      </c>
      <c r="S881" t="str">
        <f>IF(Table1[[#This Row],[Years_Experience]]&lt;=5,"Early Career",
IF(Table1[[#This Row],[Years_Experience]]&lt;=15,"Mid Career","Senior Level"))</f>
        <v>Mid Career</v>
      </c>
      <c r="T881" t="str">
        <f>IF(Table1[[#This Row],[AI_Exposure_Index]]&gt;=0.7,"High Exposure", IF(Table1[[#This Row],[AI_Exposure_Index]]&gt;=0.3,"Medium Exposure","Low Exposure"))</f>
        <v>High Exposure</v>
      </c>
    </row>
    <row r="882" spans="1:20" x14ac:dyDescent="0.25">
      <c r="A882" t="s">
        <v>35</v>
      </c>
      <c r="B882">
        <v>85416</v>
      </c>
      <c r="C882" s="1">
        <v>27</v>
      </c>
      <c r="D882" t="s">
        <v>25</v>
      </c>
      <c r="E882" s="7">
        <v>1.05</v>
      </c>
      <c r="F882" s="2">
        <v>0.26</v>
      </c>
      <c r="G882" s="7">
        <v>0.48</v>
      </c>
      <c r="H882" s="9" t="s">
        <v>27</v>
      </c>
      <c r="I882">
        <v>0.02</v>
      </c>
      <c r="J882">
        <v>0.82</v>
      </c>
      <c r="K882">
        <v>0.88</v>
      </c>
      <c r="L882">
        <v>0.68</v>
      </c>
      <c r="M882">
        <v>0.54</v>
      </c>
      <c r="N882">
        <v>0.96</v>
      </c>
      <c r="O882">
        <v>0.12</v>
      </c>
      <c r="P882">
        <v>0.74</v>
      </c>
      <c r="Q882">
        <v>0.13</v>
      </c>
      <c r="R882" s="2">
        <v>0.38</v>
      </c>
      <c r="S882" t="str">
        <f>IF(Table1[[#This Row],[Years_Experience]]&lt;=5,"Early Career",
IF(Table1[[#This Row],[Years_Experience]]&lt;=15,"Mid Career","Senior Level"))</f>
        <v>Senior Level</v>
      </c>
      <c r="T882" t="str">
        <f>IF(Table1[[#This Row],[AI_Exposure_Index]]&gt;=0.7,"High Exposure", IF(Table1[[#This Row],[AI_Exposure_Index]]&gt;=0.3,"Medium Exposure","Low Exposure"))</f>
        <v>Low Exposure</v>
      </c>
    </row>
    <row r="883" spans="1:20" x14ac:dyDescent="0.25">
      <c r="A883" t="s">
        <v>29</v>
      </c>
      <c r="B883">
        <v>50491</v>
      </c>
      <c r="C883" s="1">
        <v>14</v>
      </c>
      <c r="D883" t="s">
        <v>25</v>
      </c>
      <c r="E883" s="7">
        <v>0.5</v>
      </c>
      <c r="F883" s="2">
        <v>0.74</v>
      </c>
      <c r="G883" s="7">
        <v>0.12</v>
      </c>
      <c r="H883" s="9" t="s">
        <v>23</v>
      </c>
      <c r="I883">
        <v>0.54</v>
      </c>
      <c r="J883">
        <v>0.53</v>
      </c>
      <c r="K883">
        <v>0.64</v>
      </c>
      <c r="L883">
        <v>0.3</v>
      </c>
      <c r="M883">
        <v>0.54</v>
      </c>
      <c r="N883">
        <v>0.19</v>
      </c>
      <c r="O883">
        <v>0.19</v>
      </c>
      <c r="P883">
        <v>0.57999999999999996</v>
      </c>
      <c r="Q883">
        <v>0.69</v>
      </c>
      <c r="R883" s="2">
        <v>0.12</v>
      </c>
      <c r="S883" t="str">
        <f>IF(Table1[[#This Row],[Years_Experience]]&lt;=5,"Early Career",
IF(Table1[[#This Row],[Years_Experience]]&lt;=15,"Mid Career","Senior Level"))</f>
        <v>Mid Career</v>
      </c>
      <c r="T883" t="str">
        <f>IF(Table1[[#This Row],[AI_Exposure_Index]]&gt;=0.7,"High Exposure", IF(Table1[[#This Row],[AI_Exposure_Index]]&gt;=0.3,"Medium Exposure","Low Exposure"))</f>
        <v>High Exposure</v>
      </c>
    </row>
    <row r="884" spans="1:20" x14ac:dyDescent="0.25">
      <c r="A884" t="s">
        <v>32</v>
      </c>
      <c r="B884">
        <v>105955</v>
      </c>
      <c r="C884" s="1">
        <v>11</v>
      </c>
      <c r="D884" t="s">
        <v>38</v>
      </c>
      <c r="E884" s="7">
        <v>0.77</v>
      </c>
      <c r="F884" s="2">
        <v>0.56999999999999995</v>
      </c>
      <c r="G884" s="7">
        <v>0.46</v>
      </c>
      <c r="H884" s="9" t="s">
        <v>27</v>
      </c>
      <c r="I884">
        <v>0.4</v>
      </c>
      <c r="J884">
        <v>0.18</v>
      </c>
      <c r="K884">
        <v>0</v>
      </c>
      <c r="L884">
        <v>0.85</v>
      </c>
      <c r="M884">
        <v>0.72</v>
      </c>
      <c r="N884">
        <v>0.69</v>
      </c>
      <c r="O884">
        <v>0.55000000000000004</v>
      </c>
      <c r="P884">
        <v>0.7</v>
      </c>
      <c r="Q884">
        <v>0.94</v>
      </c>
      <c r="R884" s="2">
        <v>0.67</v>
      </c>
      <c r="S884" t="str">
        <f>IF(Table1[[#This Row],[Years_Experience]]&lt;=5,"Early Career",
IF(Table1[[#This Row],[Years_Experience]]&lt;=15,"Mid Career","Senior Level"))</f>
        <v>Mid Career</v>
      </c>
      <c r="T884" t="str">
        <f>IF(Table1[[#This Row],[AI_Exposure_Index]]&gt;=0.7,"High Exposure", IF(Table1[[#This Row],[AI_Exposure_Index]]&gt;=0.3,"Medium Exposure","Low Exposure"))</f>
        <v>Medium Exposure</v>
      </c>
    </row>
    <row r="885" spans="1:20" x14ac:dyDescent="0.25">
      <c r="A885" t="s">
        <v>32</v>
      </c>
      <c r="B885">
        <v>97519</v>
      </c>
      <c r="C885" s="1">
        <v>26</v>
      </c>
      <c r="D885" t="s">
        <v>25</v>
      </c>
      <c r="E885" s="7">
        <v>0.94</v>
      </c>
      <c r="F885" s="2">
        <v>0.56999999999999995</v>
      </c>
      <c r="G885" s="7">
        <v>0.52</v>
      </c>
      <c r="H885" s="9" t="s">
        <v>27</v>
      </c>
      <c r="I885">
        <v>0.52</v>
      </c>
      <c r="J885">
        <v>0.86</v>
      </c>
      <c r="K885">
        <v>0.65</v>
      </c>
      <c r="L885">
        <v>0.19</v>
      </c>
      <c r="M885">
        <v>0.06</v>
      </c>
      <c r="N885">
        <v>0.42</v>
      </c>
      <c r="O885">
        <v>0.02</v>
      </c>
      <c r="P885">
        <v>0.32</v>
      </c>
      <c r="Q885">
        <v>0.37</v>
      </c>
      <c r="R885" s="2">
        <v>0.38</v>
      </c>
      <c r="S885" t="str">
        <f>IF(Table1[[#This Row],[Years_Experience]]&lt;=5,"Early Career",
IF(Table1[[#This Row],[Years_Experience]]&lt;=15,"Mid Career","Senior Level"))</f>
        <v>Senior Level</v>
      </c>
      <c r="T885" t="str">
        <f>IF(Table1[[#This Row],[AI_Exposure_Index]]&gt;=0.7,"High Exposure", IF(Table1[[#This Row],[AI_Exposure_Index]]&gt;=0.3,"Medium Exposure","Low Exposure"))</f>
        <v>Medium Exposure</v>
      </c>
    </row>
    <row r="886" spans="1:20" x14ac:dyDescent="0.25">
      <c r="A886" t="s">
        <v>36</v>
      </c>
      <c r="B886">
        <v>74775</v>
      </c>
      <c r="C886" s="1">
        <v>17</v>
      </c>
      <c r="D886" t="s">
        <v>22</v>
      </c>
      <c r="E886" s="7">
        <v>0.77</v>
      </c>
      <c r="F886" s="2">
        <v>0.3</v>
      </c>
      <c r="G886" s="7">
        <v>0.35</v>
      </c>
      <c r="H886" s="9" t="s">
        <v>27</v>
      </c>
      <c r="I886">
        <v>0.51</v>
      </c>
      <c r="J886">
        <v>0.15</v>
      </c>
      <c r="K886">
        <v>0.62</v>
      </c>
      <c r="L886">
        <v>0.16</v>
      </c>
      <c r="M886">
        <v>0.57999999999999996</v>
      </c>
      <c r="N886">
        <v>0.83</v>
      </c>
      <c r="O886">
        <v>0.04</v>
      </c>
      <c r="P886">
        <v>0.42</v>
      </c>
      <c r="Q886">
        <v>0.46</v>
      </c>
      <c r="R886" s="2">
        <v>0.79</v>
      </c>
      <c r="S886" t="str">
        <f>IF(Table1[[#This Row],[Years_Experience]]&lt;=5,"Early Career",
IF(Table1[[#This Row],[Years_Experience]]&lt;=15,"Mid Career","Senior Level"))</f>
        <v>Senior Level</v>
      </c>
      <c r="T886" t="str">
        <f>IF(Table1[[#This Row],[AI_Exposure_Index]]&gt;=0.7,"High Exposure", IF(Table1[[#This Row],[AI_Exposure_Index]]&gt;=0.3,"Medium Exposure","Low Exposure"))</f>
        <v>Medium Exposure</v>
      </c>
    </row>
    <row r="887" spans="1:20" x14ac:dyDescent="0.25">
      <c r="A887" t="s">
        <v>40</v>
      </c>
      <c r="B887">
        <v>116437</v>
      </c>
      <c r="C887" s="1">
        <v>21</v>
      </c>
      <c r="D887" t="s">
        <v>22</v>
      </c>
      <c r="E887" s="7">
        <v>1.29</v>
      </c>
      <c r="F887" s="2">
        <v>0.56999999999999995</v>
      </c>
      <c r="G887" s="7">
        <v>0.19</v>
      </c>
      <c r="H887" s="9" t="s">
        <v>23</v>
      </c>
      <c r="I887">
        <v>0.36</v>
      </c>
      <c r="J887">
        <v>0.09</v>
      </c>
      <c r="K887">
        <v>0.73</v>
      </c>
      <c r="L887">
        <v>0.87</v>
      </c>
      <c r="M887">
        <v>0.97</v>
      </c>
      <c r="N887">
        <v>0.93</v>
      </c>
      <c r="O887">
        <v>0.8</v>
      </c>
      <c r="P887">
        <v>0.64</v>
      </c>
      <c r="Q887">
        <v>0.78</v>
      </c>
      <c r="R887" s="2">
        <v>0.43</v>
      </c>
      <c r="S887" t="str">
        <f>IF(Table1[[#This Row],[Years_Experience]]&lt;=5,"Early Career",
IF(Table1[[#This Row],[Years_Experience]]&lt;=15,"Mid Career","Senior Level"))</f>
        <v>Senior Level</v>
      </c>
      <c r="T887" t="str">
        <f>IF(Table1[[#This Row],[AI_Exposure_Index]]&gt;=0.7,"High Exposure", IF(Table1[[#This Row],[AI_Exposure_Index]]&gt;=0.3,"Medium Exposure","Low Exposure"))</f>
        <v>Medium Exposure</v>
      </c>
    </row>
    <row r="888" spans="1:20" x14ac:dyDescent="0.25">
      <c r="A888" t="s">
        <v>29</v>
      </c>
      <c r="B888">
        <v>112201</v>
      </c>
      <c r="C888" s="1">
        <v>21</v>
      </c>
      <c r="D888" t="s">
        <v>38</v>
      </c>
      <c r="E888" s="7">
        <v>0.83</v>
      </c>
      <c r="F888" s="2">
        <v>0.35</v>
      </c>
      <c r="G888" s="7">
        <v>0.24</v>
      </c>
      <c r="H888" s="9" t="s">
        <v>23</v>
      </c>
      <c r="I888">
        <v>0.45</v>
      </c>
      <c r="J888">
        <v>0.21</v>
      </c>
      <c r="K888">
        <v>0.2</v>
      </c>
      <c r="L888">
        <v>0.86</v>
      </c>
      <c r="M888">
        <v>0.68</v>
      </c>
      <c r="N888">
        <v>0.55000000000000004</v>
      </c>
      <c r="O888">
        <v>0.4</v>
      </c>
      <c r="P888">
        <v>0.43</v>
      </c>
      <c r="Q888">
        <v>0.06</v>
      </c>
      <c r="R888" s="2">
        <v>0.45</v>
      </c>
      <c r="S888" t="str">
        <f>IF(Table1[[#This Row],[Years_Experience]]&lt;=5,"Early Career",
IF(Table1[[#This Row],[Years_Experience]]&lt;=15,"Mid Career","Senior Level"))</f>
        <v>Senior Level</v>
      </c>
      <c r="T888" t="str">
        <f>IF(Table1[[#This Row],[AI_Exposure_Index]]&gt;=0.7,"High Exposure", IF(Table1[[#This Row],[AI_Exposure_Index]]&gt;=0.3,"Medium Exposure","Low Exposure"))</f>
        <v>Medium Exposure</v>
      </c>
    </row>
    <row r="889" spans="1:20" x14ac:dyDescent="0.25">
      <c r="A889" t="s">
        <v>43</v>
      </c>
      <c r="B889">
        <v>91134</v>
      </c>
      <c r="C889" s="1">
        <v>17</v>
      </c>
      <c r="D889" t="s">
        <v>38</v>
      </c>
      <c r="E889" s="7">
        <v>0.88</v>
      </c>
      <c r="F889" s="2">
        <v>0.39</v>
      </c>
      <c r="G889" s="7">
        <v>0.05</v>
      </c>
      <c r="H889" s="9" t="s">
        <v>23</v>
      </c>
      <c r="I889">
        <v>0.46</v>
      </c>
      <c r="J889">
        <v>0.03</v>
      </c>
      <c r="K889">
        <v>0.56999999999999995</v>
      </c>
      <c r="L889">
        <v>0.51</v>
      </c>
      <c r="M889">
        <v>0.84</v>
      </c>
      <c r="N889">
        <v>0.57999999999999996</v>
      </c>
      <c r="O889">
        <v>0.32</v>
      </c>
      <c r="P889">
        <v>0.52</v>
      </c>
      <c r="Q889">
        <v>0.7</v>
      </c>
      <c r="R889" s="2">
        <v>0.09</v>
      </c>
      <c r="S889" t="str">
        <f>IF(Table1[[#This Row],[Years_Experience]]&lt;=5,"Early Career",
IF(Table1[[#This Row],[Years_Experience]]&lt;=15,"Mid Career","Senior Level"))</f>
        <v>Senior Level</v>
      </c>
      <c r="T889" t="str">
        <f>IF(Table1[[#This Row],[AI_Exposure_Index]]&gt;=0.7,"High Exposure", IF(Table1[[#This Row],[AI_Exposure_Index]]&gt;=0.3,"Medium Exposure","Low Exposure"))</f>
        <v>Medium Exposure</v>
      </c>
    </row>
    <row r="890" spans="1:20" x14ac:dyDescent="0.25">
      <c r="A890" t="s">
        <v>36</v>
      </c>
      <c r="B890">
        <v>76647</v>
      </c>
      <c r="C890" s="1">
        <v>22</v>
      </c>
      <c r="D890" t="s">
        <v>22</v>
      </c>
      <c r="E890" s="7">
        <v>0.8</v>
      </c>
      <c r="F890" s="2">
        <v>0.92</v>
      </c>
      <c r="G890" s="7">
        <v>0.55000000000000004</v>
      </c>
      <c r="H890" s="9" t="s">
        <v>27</v>
      </c>
      <c r="I890">
        <v>0.82</v>
      </c>
      <c r="J890">
        <v>0.51</v>
      </c>
      <c r="K890">
        <v>0.72</v>
      </c>
      <c r="L890">
        <v>0.31</v>
      </c>
      <c r="M890">
        <v>0.31</v>
      </c>
      <c r="N890">
        <v>0.67</v>
      </c>
      <c r="O890">
        <v>0.71</v>
      </c>
      <c r="P890">
        <v>0.94</v>
      </c>
      <c r="Q890">
        <v>0.22</v>
      </c>
      <c r="R890" s="2">
        <v>0.47</v>
      </c>
      <c r="S890" t="str">
        <f>IF(Table1[[#This Row],[Years_Experience]]&lt;=5,"Early Career",
IF(Table1[[#This Row],[Years_Experience]]&lt;=15,"Mid Career","Senior Level"))</f>
        <v>Senior Level</v>
      </c>
      <c r="T890" t="str">
        <f>IF(Table1[[#This Row],[AI_Exposure_Index]]&gt;=0.7,"High Exposure", IF(Table1[[#This Row],[AI_Exposure_Index]]&gt;=0.3,"Medium Exposure","Low Exposure"))</f>
        <v>High Exposure</v>
      </c>
    </row>
    <row r="891" spans="1:20" x14ac:dyDescent="0.25">
      <c r="A891" t="s">
        <v>29</v>
      </c>
      <c r="B891">
        <v>138197</v>
      </c>
      <c r="C891" s="1">
        <v>12</v>
      </c>
      <c r="D891" t="s">
        <v>38</v>
      </c>
      <c r="E891" s="7">
        <v>0.9</v>
      </c>
      <c r="F891" s="2">
        <v>0.08</v>
      </c>
      <c r="G891" s="7">
        <v>0.14000000000000001</v>
      </c>
      <c r="H891" s="9" t="s">
        <v>23</v>
      </c>
      <c r="I891">
        <v>0.27</v>
      </c>
      <c r="J891">
        <v>0.3</v>
      </c>
      <c r="K891">
        <v>0.36</v>
      </c>
      <c r="L891">
        <v>0.99</v>
      </c>
      <c r="M891">
        <v>0.78</v>
      </c>
      <c r="N891">
        <v>7.0000000000000007E-2</v>
      </c>
      <c r="O891">
        <v>0.87</v>
      </c>
      <c r="P891">
        <v>0.63</v>
      </c>
      <c r="Q891">
        <v>0.89</v>
      </c>
      <c r="R891" s="2">
        <v>0.34</v>
      </c>
      <c r="S891" t="str">
        <f>IF(Table1[[#This Row],[Years_Experience]]&lt;=5,"Early Career",
IF(Table1[[#This Row],[Years_Experience]]&lt;=15,"Mid Career","Senior Level"))</f>
        <v>Mid Career</v>
      </c>
      <c r="T891" t="str">
        <f>IF(Table1[[#This Row],[AI_Exposure_Index]]&gt;=0.7,"High Exposure", IF(Table1[[#This Row],[AI_Exposure_Index]]&gt;=0.3,"Medium Exposure","Low Exposure"))</f>
        <v>Low Exposure</v>
      </c>
    </row>
    <row r="892" spans="1:20" x14ac:dyDescent="0.25">
      <c r="A892" t="s">
        <v>35</v>
      </c>
      <c r="B892">
        <v>76413</v>
      </c>
      <c r="C892" s="1">
        <v>18</v>
      </c>
      <c r="D892" t="s">
        <v>38</v>
      </c>
      <c r="E892" s="7">
        <v>0.77</v>
      </c>
      <c r="F892" s="2">
        <v>0.9</v>
      </c>
      <c r="G892" s="7">
        <v>0.67</v>
      </c>
      <c r="H892" s="9" t="s">
        <v>27</v>
      </c>
      <c r="I892">
        <v>0.83</v>
      </c>
      <c r="J892">
        <v>0.98</v>
      </c>
      <c r="K892">
        <v>0.32</v>
      </c>
      <c r="L892">
        <v>0.24</v>
      </c>
      <c r="M892">
        <v>0.33</v>
      </c>
      <c r="N892">
        <v>0.95</v>
      </c>
      <c r="O892">
        <v>0.33</v>
      </c>
      <c r="P892">
        <v>0.56999999999999995</v>
      </c>
      <c r="Q892">
        <v>0.4</v>
      </c>
      <c r="R892" s="2">
        <v>0.4</v>
      </c>
      <c r="S892" t="str">
        <f>IF(Table1[[#This Row],[Years_Experience]]&lt;=5,"Early Career",
IF(Table1[[#This Row],[Years_Experience]]&lt;=15,"Mid Career","Senior Level"))</f>
        <v>Senior Level</v>
      </c>
      <c r="T892" t="str">
        <f>IF(Table1[[#This Row],[AI_Exposure_Index]]&gt;=0.7,"High Exposure", IF(Table1[[#This Row],[AI_Exposure_Index]]&gt;=0.3,"Medium Exposure","Low Exposure"))</f>
        <v>High Exposure</v>
      </c>
    </row>
    <row r="893" spans="1:20" x14ac:dyDescent="0.25">
      <c r="A893" t="s">
        <v>29</v>
      </c>
      <c r="B893">
        <v>112604</v>
      </c>
      <c r="C893" s="1">
        <v>20</v>
      </c>
      <c r="D893" t="s">
        <v>38</v>
      </c>
      <c r="E893" s="7">
        <v>1.35</v>
      </c>
      <c r="F893" s="2">
        <v>0.54</v>
      </c>
      <c r="G893" s="7">
        <v>0.06</v>
      </c>
      <c r="H893" s="9" t="s">
        <v>23</v>
      </c>
      <c r="I893">
        <v>0.89</v>
      </c>
      <c r="J893">
        <v>0.67</v>
      </c>
      <c r="K893">
        <v>0.62</v>
      </c>
      <c r="L893">
        <v>0.63</v>
      </c>
      <c r="M893">
        <v>0.3</v>
      </c>
      <c r="N893">
        <v>0.42</v>
      </c>
      <c r="O893">
        <v>0.8</v>
      </c>
      <c r="P893">
        <v>0.31</v>
      </c>
      <c r="Q893">
        <v>0.47</v>
      </c>
      <c r="R893" s="2">
        <v>0.02</v>
      </c>
      <c r="S893" t="str">
        <f>IF(Table1[[#This Row],[Years_Experience]]&lt;=5,"Early Career",
IF(Table1[[#This Row],[Years_Experience]]&lt;=15,"Mid Career","Senior Level"))</f>
        <v>Senior Level</v>
      </c>
      <c r="T893" t="str">
        <f>IF(Table1[[#This Row],[AI_Exposure_Index]]&gt;=0.7,"High Exposure", IF(Table1[[#This Row],[AI_Exposure_Index]]&gt;=0.3,"Medium Exposure","Low Exposure"))</f>
        <v>Medium Exposure</v>
      </c>
    </row>
    <row r="894" spans="1:20" x14ac:dyDescent="0.25">
      <c r="A894" t="s">
        <v>29</v>
      </c>
      <c r="B894">
        <v>61478</v>
      </c>
      <c r="C894" s="1">
        <v>7</v>
      </c>
      <c r="D894" t="s">
        <v>38</v>
      </c>
      <c r="E894" s="7">
        <v>1.03</v>
      </c>
      <c r="F894" s="2">
        <v>0.42</v>
      </c>
      <c r="G894" s="7">
        <v>0.08</v>
      </c>
      <c r="H894" s="9" t="s">
        <v>23</v>
      </c>
      <c r="I894">
        <v>0.99</v>
      </c>
      <c r="J894">
        <v>0.3</v>
      </c>
      <c r="K894">
        <v>0.63</v>
      </c>
      <c r="L894">
        <v>0.57999999999999996</v>
      </c>
      <c r="M894">
        <v>0.79</v>
      </c>
      <c r="N894">
        <v>0.28999999999999998</v>
      </c>
      <c r="O894">
        <v>0.76</v>
      </c>
      <c r="P894">
        <v>0.38</v>
      </c>
      <c r="Q894">
        <v>0.41</v>
      </c>
      <c r="R894" s="2">
        <v>0.67</v>
      </c>
      <c r="S894" t="str">
        <f>IF(Table1[[#This Row],[Years_Experience]]&lt;=5,"Early Career",
IF(Table1[[#This Row],[Years_Experience]]&lt;=15,"Mid Career","Senior Level"))</f>
        <v>Mid Career</v>
      </c>
      <c r="T894" t="str">
        <f>IF(Table1[[#This Row],[AI_Exposure_Index]]&gt;=0.7,"High Exposure", IF(Table1[[#This Row],[AI_Exposure_Index]]&gt;=0.3,"Medium Exposure","Low Exposure"))</f>
        <v>Medium Exposure</v>
      </c>
    </row>
    <row r="895" spans="1:20" x14ac:dyDescent="0.25">
      <c r="A895" t="s">
        <v>18</v>
      </c>
      <c r="B895">
        <v>92402</v>
      </c>
      <c r="C895" s="1">
        <v>27</v>
      </c>
      <c r="D895" t="s">
        <v>25</v>
      </c>
      <c r="E895" s="7">
        <v>1.4</v>
      </c>
      <c r="F895" s="2">
        <v>0.67</v>
      </c>
      <c r="G895" s="7">
        <v>0.77</v>
      </c>
      <c r="H895" s="9" t="s">
        <v>20</v>
      </c>
      <c r="I895">
        <v>0.9</v>
      </c>
      <c r="J895">
        <v>0.13</v>
      </c>
      <c r="K895">
        <v>0.66</v>
      </c>
      <c r="L895">
        <v>0.55000000000000004</v>
      </c>
      <c r="M895">
        <v>0.49</v>
      </c>
      <c r="N895">
        <v>0.31</v>
      </c>
      <c r="O895">
        <v>0.5</v>
      </c>
      <c r="P895">
        <v>0.16</v>
      </c>
      <c r="Q895">
        <v>0.37</v>
      </c>
      <c r="R895" s="2">
        <v>0.1</v>
      </c>
      <c r="S895" t="str">
        <f>IF(Table1[[#This Row],[Years_Experience]]&lt;=5,"Early Career",
IF(Table1[[#This Row],[Years_Experience]]&lt;=15,"Mid Career","Senior Level"))</f>
        <v>Senior Level</v>
      </c>
      <c r="T895" t="str">
        <f>IF(Table1[[#This Row],[AI_Exposure_Index]]&gt;=0.7,"High Exposure", IF(Table1[[#This Row],[AI_Exposure_Index]]&gt;=0.3,"Medium Exposure","Low Exposure"))</f>
        <v>Medium Exposure</v>
      </c>
    </row>
    <row r="896" spans="1:20" x14ac:dyDescent="0.25">
      <c r="A896" t="s">
        <v>32</v>
      </c>
      <c r="B896">
        <v>65319</v>
      </c>
      <c r="C896" s="1">
        <v>18</v>
      </c>
      <c r="D896" t="s">
        <v>25</v>
      </c>
      <c r="E896" s="7">
        <v>0.66</v>
      </c>
      <c r="F896" s="2">
        <v>0.1</v>
      </c>
      <c r="G896" s="7">
        <v>0.33</v>
      </c>
      <c r="H896" s="9" t="s">
        <v>27</v>
      </c>
      <c r="I896">
        <v>0.38</v>
      </c>
      <c r="J896">
        <v>0.84</v>
      </c>
      <c r="K896">
        <v>0.91</v>
      </c>
      <c r="L896">
        <v>7.0000000000000007E-2</v>
      </c>
      <c r="M896">
        <v>0.63</v>
      </c>
      <c r="N896">
        <v>0.68</v>
      </c>
      <c r="O896">
        <v>0.53</v>
      </c>
      <c r="P896">
        <v>0.67</v>
      </c>
      <c r="Q896">
        <v>0.23</v>
      </c>
      <c r="R896" s="2">
        <v>0.49</v>
      </c>
      <c r="S896" t="str">
        <f>IF(Table1[[#This Row],[Years_Experience]]&lt;=5,"Early Career",
IF(Table1[[#This Row],[Years_Experience]]&lt;=15,"Mid Career","Senior Level"))</f>
        <v>Senior Level</v>
      </c>
      <c r="T896" t="str">
        <f>IF(Table1[[#This Row],[AI_Exposure_Index]]&gt;=0.7,"High Exposure", IF(Table1[[#This Row],[AI_Exposure_Index]]&gt;=0.3,"Medium Exposure","Low Exposure"))</f>
        <v>Low Exposure</v>
      </c>
    </row>
    <row r="897" spans="1:20" x14ac:dyDescent="0.25">
      <c r="A897" t="s">
        <v>39</v>
      </c>
      <c r="B897">
        <v>58830</v>
      </c>
      <c r="C897" s="1">
        <v>28</v>
      </c>
      <c r="D897" t="s">
        <v>22</v>
      </c>
      <c r="E897" s="7">
        <v>1.1299999999999999</v>
      </c>
      <c r="F897" s="2">
        <v>0.09</v>
      </c>
      <c r="G897" s="7">
        <v>0.82</v>
      </c>
      <c r="H897" s="9" t="s">
        <v>20</v>
      </c>
      <c r="I897">
        <v>0.28000000000000003</v>
      </c>
      <c r="J897">
        <v>0.47</v>
      </c>
      <c r="K897">
        <v>0.78</v>
      </c>
      <c r="L897">
        <v>0.8</v>
      </c>
      <c r="M897">
        <v>0.65</v>
      </c>
      <c r="N897">
        <v>0.47</v>
      </c>
      <c r="O897">
        <v>0.57999999999999996</v>
      </c>
      <c r="P897">
        <v>0.39</v>
      </c>
      <c r="Q897">
        <v>0.13</v>
      </c>
      <c r="R897" s="2">
        <v>0.39</v>
      </c>
      <c r="S897" t="str">
        <f>IF(Table1[[#This Row],[Years_Experience]]&lt;=5,"Early Career",
IF(Table1[[#This Row],[Years_Experience]]&lt;=15,"Mid Career","Senior Level"))</f>
        <v>Senior Level</v>
      </c>
      <c r="T897" t="str">
        <f>IF(Table1[[#This Row],[AI_Exposure_Index]]&gt;=0.7,"High Exposure", IF(Table1[[#This Row],[AI_Exposure_Index]]&gt;=0.3,"Medium Exposure","Low Exposure"))</f>
        <v>Low Exposure</v>
      </c>
    </row>
    <row r="898" spans="1:20" x14ac:dyDescent="0.25">
      <c r="A898" t="s">
        <v>29</v>
      </c>
      <c r="B898">
        <v>59328</v>
      </c>
      <c r="C898" s="1">
        <v>16</v>
      </c>
      <c r="D898" t="s">
        <v>38</v>
      </c>
      <c r="E898" s="7">
        <v>1.37</v>
      </c>
      <c r="F898" s="2">
        <v>0.9</v>
      </c>
      <c r="G898" s="7">
        <v>0.27</v>
      </c>
      <c r="H898" s="9" t="s">
        <v>23</v>
      </c>
      <c r="I898">
        <v>0.27</v>
      </c>
      <c r="J898">
        <v>0.03</v>
      </c>
      <c r="K898">
        <v>0.26</v>
      </c>
      <c r="L898">
        <v>0.28000000000000003</v>
      </c>
      <c r="M898">
        <v>0.91</v>
      </c>
      <c r="N898">
        <v>0.65</v>
      </c>
      <c r="O898">
        <v>0.08</v>
      </c>
      <c r="P898">
        <v>0.14000000000000001</v>
      </c>
      <c r="Q898">
        <v>0.16</v>
      </c>
      <c r="R898" s="2">
        <v>0.63</v>
      </c>
      <c r="S898" t="str">
        <f>IF(Table1[[#This Row],[Years_Experience]]&lt;=5,"Early Career",
IF(Table1[[#This Row],[Years_Experience]]&lt;=15,"Mid Career","Senior Level"))</f>
        <v>Senior Level</v>
      </c>
      <c r="T898" t="str">
        <f>IF(Table1[[#This Row],[AI_Exposure_Index]]&gt;=0.7,"High Exposure", IF(Table1[[#This Row],[AI_Exposure_Index]]&gt;=0.3,"Medium Exposure","Low Exposure"))</f>
        <v>High Exposure</v>
      </c>
    </row>
    <row r="899" spans="1:20" x14ac:dyDescent="0.25">
      <c r="A899" t="s">
        <v>31</v>
      </c>
      <c r="B899">
        <v>36123</v>
      </c>
      <c r="C899" s="1">
        <v>21</v>
      </c>
      <c r="D899" t="s">
        <v>25</v>
      </c>
      <c r="E899" s="7">
        <v>1.44</v>
      </c>
      <c r="F899" s="2">
        <v>0.86</v>
      </c>
      <c r="G899" s="7">
        <v>0.1</v>
      </c>
      <c r="H899" s="9" t="s">
        <v>23</v>
      </c>
      <c r="I899">
        <v>0.31</v>
      </c>
      <c r="J899">
        <v>0.24</v>
      </c>
      <c r="K899">
        <v>0.36</v>
      </c>
      <c r="L899">
        <v>0.91</v>
      </c>
      <c r="M899">
        <v>0.57999999999999996</v>
      </c>
      <c r="N899">
        <v>0.74</v>
      </c>
      <c r="O899">
        <v>0.49</v>
      </c>
      <c r="P899">
        <v>0.03</v>
      </c>
      <c r="Q899">
        <v>0.06</v>
      </c>
      <c r="R899" s="2">
        <v>0.54</v>
      </c>
      <c r="S899" t="str">
        <f>IF(Table1[[#This Row],[Years_Experience]]&lt;=5,"Early Career",
IF(Table1[[#This Row],[Years_Experience]]&lt;=15,"Mid Career","Senior Level"))</f>
        <v>Senior Level</v>
      </c>
      <c r="T899" t="str">
        <f>IF(Table1[[#This Row],[AI_Exposure_Index]]&gt;=0.7,"High Exposure", IF(Table1[[#This Row],[AI_Exposure_Index]]&gt;=0.3,"Medium Exposure","Low Exposure"))</f>
        <v>High Exposure</v>
      </c>
    </row>
    <row r="900" spans="1:20" x14ac:dyDescent="0.25">
      <c r="A900" t="s">
        <v>37</v>
      </c>
      <c r="B900">
        <v>66587</v>
      </c>
      <c r="C900" s="1">
        <v>4</v>
      </c>
      <c r="D900" t="s">
        <v>25</v>
      </c>
      <c r="E900" s="7">
        <v>1.22</v>
      </c>
      <c r="F900" s="2">
        <v>0.22</v>
      </c>
      <c r="G900" s="7">
        <v>0.62</v>
      </c>
      <c r="H900" s="9" t="s">
        <v>27</v>
      </c>
      <c r="I900">
        <v>0.41</v>
      </c>
      <c r="J900">
        <v>0.75</v>
      </c>
      <c r="K900">
        <v>0.4</v>
      </c>
      <c r="L900">
        <v>0.68</v>
      </c>
      <c r="M900">
        <v>0.76</v>
      </c>
      <c r="N900">
        <v>0.99</v>
      </c>
      <c r="O900">
        <v>0.35</v>
      </c>
      <c r="P900">
        <v>0.41</v>
      </c>
      <c r="Q900">
        <v>0.17</v>
      </c>
      <c r="R900" s="2">
        <v>0.2</v>
      </c>
      <c r="S900" t="str">
        <f>IF(Table1[[#This Row],[Years_Experience]]&lt;=5,"Early Career",
IF(Table1[[#This Row],[Years_Experience]]&lt;=15,"Mid Career","Senior Level"))</f>
        <v>Early Career</v>
      </c>
      <c r="T900" t="str">
        <f>IF(Table1[[#This Row],[AI_Exposure_Index]]&gt;=0.7,"High Exposure", IF(Table1[[#This Row],[AI_Exposure_Index]]&gt;=0.3,"Medium Exposure","Low Exposure"))</f>
        <v>Low Exposure</v>
      </c>
    </row>
    <row r="901" spans="1:20" x14ac:dyDescent="0.25">
      <c r="A901" t="s">
        <v>36</v>
      </c>
      <c r="B901">
        <v>51951</v>
      </c>
      <c r="C901" s="1">
        <v>7</v>
      </c>
      <c r="D901" t="s">
        <v>38</v>
      </c>
      <c r="E901" s="7">
        <v>0.56999999999999995</v>
      </c>
      <c r="F901" s="2">
        <v>0.57999999999999996</v>
      </c>
      <c r="G901" s="7">
        <v>0.32</v>
      </c>
      <c r="H901" s="9" t="s">
        <v>27</v>
      </c>
      <c r="I901">
        <v>0.06</v>
      </c>
      <c r="J901">
        <v>0.94</v>
      </c>
      <c r="K901">
        <v>0.85</v>
      </c>
      <c r="L901">
        <v>0.84</v>
      </c>
      <c r="M901">
        <v>0.92</v>
      </c>
      <c r="N901">
        <v>0.51</v>
      </c>
      <c r="O901">
        <v>0.25</v>
      </c>
      <c r="P901">
        <v>0.4</v>
      </c>
      <c r="Q901">
        <v>0.72</v>
      </c>
      <c r="R901" s="2">
        <v>0.88</v>
      </c>
      <c r="S901" t="str">
        <f>IF(Table1[[#This Row],[Years_Experience]]&lt;=5,"Early Career",
IF(Table1[[#This Row],[Years_Experience]]&lt;=15,"Mid Career","Senior Level"))</f>
        <v>Mid Career</v>
      </c>
      <c r="T901" t="str">
        <f>IF(Table1[[#This Row],[AI_Exposure_Index]]&gt;=0.7,"High Exposure", IF(Table1[[#This Row],[AI_Exposure_Index]]&gt;=0.3,"Medium Exposure","Low Exposure"))</f>
        <v>Medium Exposure</v>
      </c>
    </row>
    <row r="902" spans="1:20" x14ac:dyDescent="0.25">
      <c r="A902" t="s">
        <v>39</v>
      </c>
      <c r="B902">
        <v>37804</v>
      </c>
      <c r="C902" s="1">
        <v>10</v>
      </c>
      <c r="D902" t="s">
        <v>38</v>
      </c>
      <c r="E902" s="7">
        <v>0.85</v>
      </c>
      <c r="F902" s="2">
        <v>0.45</v>
      </c>
      <c r="G902" s="7">
        <v>0.91</v>
      </c>
      <c r="H902" s="9" t="s">
        <v>20</v>
      </c>
      <c r="I902">
        <v>0.76</v>
      </c>
      <c r="J902">
        <v>0.32</v>
      </c>
      <c r="K902">
        <v>0.1</v>
      </c>
      <c r="L902">
        <v>7.0000000000000007E-2</v>
      </c>
      <c r="M902">
        <v>0.09</v>
      </c>
      <c r="N902">
        <v>0.57999999999999996</v>
      </c>
      <c r="O902">
        <v>0.05</v>
      </c>
      <c r="P902">
        <v>0.34</v>
      </c>
      <c r="Q902">
        <v>0.75</v>
      </c>
      <c r="R902" s="2">
        <v>0.28999999999999998</v>
      </c>
      <c r="S902" t="str">
        <f>IF(Table1[[#This Row],[Years_Experience]]&lt;=5,"Early Career",
IF(Table1[[#This Row],[Years_Experience]]&lt;=15,"Mid Career","Senior Level"))</f>
        <v>Mid Career</v>
      </c>
      <c r="T902" t="str">
        <f>IF(Table1[[#This Row],[AI_Exposure_Index]]&gt;=0.7,"High Exposure", IF(Table1[[#This Row],[AI_Exposure_Index]]&gt;=0.3,"Medium Exposure","Low Exposure"))</f>
        <v>Medium Exposure</v>
      </c>
    </row>
    <row r="903" spans="1:20" x14ac:dyDescent="0.25">
      <c r="A903" t="s">
        <v>18</v>
      </c>
      <c r="B903">
        <v>40349</v>
      </c>
      <c r="C903" s="1">
        <v>7</v>
      </c>
      <c r="D903" t="s">
        <v>25</v>
      </c>
      <c r="E903" s="7">
        <v>0.75</v>
      </c>
      <c r="F903" s="2">
        <v>0.75</v>
      </c>
      <c r="G903" s="7">
        <v>0.88</v>
      </c>
      <c r="H903" s="9" t="s">
        <v>20</v>
      </c>
      <c r="I903">
        <v>0.75</v>
      </c>
      <c r="J903">
        <v>0.4</v>
      </c>
      <c r="K903">
        <v>0.21</v>
      </c>
      <c r="L903">
        <v>0.52</v>
      </c>
      <c r="M903">
        <v>0.92</v>
      </c>
      <c r="N903">
        <v>0.64</v>
      </c>
      <c r="O903">
        <v>0.17</v>
      </c>
      <c r="P903">
        <v>0.68</v>
      </c>
      <c r="Q903">
        <v>0.43</v>
      </c>
      <c r="R903" s="2">
        <v>0.59</v>
      </c>
      <c r="S903" t="str">
        <f>IF(Table1[[#This Row],[Years_Experience]]&lt;=5,"Early Career",
IF(Table1[[#This Row],[Years_Experience]]&lt;=15,"Mid Career","Senior Level"))</f>
        <v>Mid Career</v>
      </c>
      <c r="T903" t="str">
        <f>IF(Table1[[#This Row],[AI_Exposure_Index]]&gt;=0.7,"High Exposure", IF(Table1[[#This Row],[AI_Exposure_Index]]&gt;=0.3,"Medium Exposure","Low Exposure"))</f>
        <v>High Exposure</v>
      </c>
    </row>
    <row r="904" spans="1:20" x14ac:dyDescent="0.25">
      <c r="A904" t="s">
        <v>36</v>
      </c>
      <c r="B904">
        <v>136203</v>
      </c>
      <c r="C904" s="1">
        <v>9</v>
      </c>
      <c r="D904" t="s">
        <v>22</v>
      </c>
      <c r="E904" s="7">
        <v>1.31</v>
      </c>
      <c r="F904" s="2">
        <v>0.51</v>
      </c>
      <c r="G904" s="7">
        <v>0.59</v>
      </c>
      <c r="H904" s="9" t="s">
        <v>27</v>
      </c>
      <c r="I904">
        <v>0.62</v>
      </c>
      <c r="J904">
        <v>0.15</v>
      </c>
      <c r="K904">
        <v>0.84</v>
      </c>
      <c r="L904">
        <v>0.94</v>
      </c>
      <c r="M904">
        <v>0.14000000000000001</v>
      </c>
      <c r="N904">
        <v>0.49</v>
      </c>
      <c r="O904">
        <v>0.26</v>
      </c>
      <c r="P904">
        <v>0.75</v>
      </c>
      <c r="Q904">
        <v>0.72</v>
      </c>
      <c r="R904" s="2">
        <v>0.14000000000000001</v>
      </c>
      <c r="S904" t="str">
        <f>IF(Table1[[#This Row],[Years_Experience]]&lt;=5,"Early Career",
IF(Table1[[#This Row],[Years_Experience]]&lt;=15,"Mid Career","Senior Level"))</f>
        <v>Mid Career</v>
      </c>
      <c r="T904" t="str">
        <f>IF(Table1[[#This Row],[AI_Exposure_Index]]&gt;=0.7,"High Exposure", IF(Table1[[#This Row],[AI_Exposure_Index]]&gt;=0.3,"Medium Exposure","Low Exposure"))</f>
        <v>Medium Exposure</v>
      </c>
    </row>
    <row r="905" spans="1:20" x14ac:dyDescent="0.25">
      <c r="A905" t="s">
        <v>30</v>
      </c>
      <c r="B905">
        <v>86317</v>
      </c>
      <c r="C905" s="1">
        <v>10</v>
      </c>
      <c r="D905" t="s">
        <v>38</v>
      </c>
      <c r="E905" s="7">
        <v>1.3</v>
      </c>
      <c r="F905" s="2">
        <v>0.18</v>
      </c>
      <c r="G905" s="7">
        <v>0.48</v>
      </c>
      <c r="H905" s="9" t="s">
        <v>27</v>
      </c>
      <c r="I905">
        <v>0.33</v>
      </c>
      <c r="J905">
        <v>0.16</v>
      </c>
      <c r="K905">
        <v>0.17</v>
      </c>
      <c r="L905">
        <v>0.66</v>
      </c>
      <c r="M905">
        <v>0.55000000000000004</v>
      </c>
      <c r="N905">
        <v>0.12</v>
      </c>
      <c r="O905">
        <v>0.11</v>
      </c>
      <c r="P905">
        <v>7.0000000000000007E-2</v>
      </c>
      <c r="Q905">
        <v>0.74</v>
      </c>
      <c r="R905" s="2">
        <v>0.71</v>
      </c>
      <c r="S905" t="str">
        <f>IF(Table1[[#This Row],[Years_Experience]]&lt;=5,"Early Career",
IF(Table1[[#This Row],[Years_Experience]]&lt;=15,"Mid Career","Senior Level"))</f>
        <v>Mid Career</v>
      </c>
      <c r="T905" t="str">
        <f>IF(Table1[[#This Row],[AI_Exposure_Index]]&gt;=0.7,"High Exposure", IF(Table1[[#This Row],[AI_Exposure_Index]]&gt;=0.3,"Medium Exposure","Low Exposure"))</f>
        <v>Low Exposure</v>
      </c>
    </row>
    <row r="906" spans="1:20" x14ac:dyDescent="0.25">
      <c r="A906" t="s">
        <v>43</v>
      </c>
      <c r="B906">
        <v>117385</v>
      </c>
      <c r="C906" s="1">
        <v>11</v>
      </c>
      <c r="D906" t="s">
        <v>25</v>
      </c>
      <c r="E906" s="7">
        <v>0.57999999999999996</v>
      </c>
      <c r="F906" s="2">
        <v>0.56000000000000005</v>
      </c>
      <c r="G906" s="7">
        <v>0.28000000000000003</v>
      </c>
      <c r="H906" s="9" t="s">
        <v>23</v>
      </c>
      <c r="I906">
        <v>0.91</v>
      </c>
      <c r="J906">
        <v>0.7</v>
      </c>
      <c r="K906">
        <v>0.93</v>
      </c>
      <c r="L906">
        <v>0.81</v>
      </c>
      <c r="M906">
        <v>0.83</v>
      </c>
      <c r="N906">
        <v>0.56999999999999995</v>
      </c>
      <c r="O906">
        <v>0.31</v>
      </c>
      <c r="P906">
        <v>0.22</v>
      </c>
      <c r="Q906">
        <v>0.33</v>
      </c>
      <c r="R906" s="2">
        <v>0.63</v>
      </c>
      <c r="S906" t="str">
        <f>IF(Table1[[#This Row],[Years_Experience]]&lt;=5,"Early Career",
IF(Table1[[#This Row],[Years_Experience]]&lt;=15,"Mid Career","Senior Level"))</f>
        <v>Mid Career</v>
      </c>
      <c r="T906" t="str">
        <f>IF(Table1[[#This Row],[AI_Exposure_Index]]&gt;=0.7,"High Exposure", IF(Table1[[#This Row],[AI_Exposure_Index]]&gt;=0.3,"Medium Exposure","Low Exposure"))</f>
        <v>Medium Exposure</v>
      </c>
    </row>
    <row r="907" spans="1:20" x14ac:dyDescent="0.25">
      <c r="A907" t="s">
        <v>35</v>
      </c>
      <c r="B907">
        <v>109841</v>
      </c>
      <c r="C907" s="1">
        <v>8</v>
      </c>
      <c r="D907" t="s">
        <v>22</v>
      </c>
      <c r="E907" s="7">
        <v>0.97</v>
      </c>
      <c r="F907" s="2">
        <v>0.26</v>
      </c>
      <c r="G907" s="7">
        <v>0.39</v>
      </c>
      <c r="H907" s="9" t="s">
        <v>27</v>
      </c>
      <c r="I907">
        <v>0.59</v>
      </c>
      <c r="J907">
        <v>0.92</v>
      </c>
      <c r="K907">
        <v>0.75</v>
      </c>
      <c r="L907">
        <v>0.67</v>
      </c>
      <c r="M907">
        <v>0.57999999999999996</v>
      </c>
      <c r="N907">
        <v>0.49</v>
      </c>
      <c r="O907">
        <v>0.19</v>
      </c>
      <c r="P907">
        <v>0.89</v>
      </c>
      <c r="Q907">
        <v>0.25</v>
      </c>
      <c r="R907" s="2">
        <v>0.09</v>
      </c>
      <c r="S907" t="str">
        <f>IF(Table1[[#This Row],[Years_Experience]]&lt;=5,"Early Career",
IF(Table1[[#This Row],[Years_Experience]]&lt;=15,"Mid Career","Senior Level"))</f>
        <v>Mid Career</v>
      </c>
      <c r="T907" t="str">
        <f>IF(Table1[[#This Row],[AI_Exposure_Index]]&gt;=0.7,"High Exposure", IF(Table1[[#This Row],[AI_Exposure_Index]]&gt;=0.3,"Medium Exposure","Low Exposure"))</f>
        <v>Low Exposure</v>
      </c>
    </row>
    <row r="908" spans="1:20" x14ac:dyDescent="0.25">
      <c r="A908" t="s">
        <v>43</v>
      </c>
      <c r="B908">
        <v>95197</v>
      </c>
      <c r="C908" s="1">
        <v>6</v>
      </c>
      <c r="D908" t="s">
        <v>25</v>
      </c>
      <c r="E908" s="7">
        <v>0.87</v>
      </c>
      <c r="F908" s="2">
        <v>0.18</v>
      </c>
      <c r="G908" s="7">
        <v>0.06</v>
      </c>
      <c r="H908" s="9" t="s">
        <v>23</v>
      </c>
      <c r="I908">
        <v>0.14000000000000001</v>
      </c>
      <c r="J908">
        <v>0.17</v>
      </c>
      <c r="K908">
        <v>0.05</v>
      </c>
      <c r="L908">
        <v>0.66</v>
      </c>
      <c r="M908">
        <v>0.84</v>
      </c>
      <c r="N908">
        <v>0.37</v>
      </c>
      <c r="O908">
        <v>0.87</v>
      </c>
      <c r="P908">
        <v>0.21</v>
      </c>
      <c r="Q908">
        <v>0.33</v>
      </c>
      <c r="R908" s="2">
        <v>0.15</v>
      </c>
      <c r="S908" t="str">
        <f>IF(Table1[[#This Row],[Years_Experience]]&lt;=5,"Early Career",
IF(Table1[[#This Row],[Years_Experience]]&lt;=15,"Mid Career","Senior Level"))</f>
        <v>Mid Career</v>
      </c>
      <c r="T908" t="str">
        <f>IF(Table1[[#This Row],[AI_Exposure_Index]]&gt;=0.7,"High Exposure", IF(Table1[[#This Row],[AI_Exposure_Index]]&gt;=0.3,"Medium Exposure","Low Exposure"))</f>
        <v>Low Exposure</v>
      </c>
    </row>
    <row r="909" spans="1:20" x14ac:dyDescent="0.25">
      <c r="A909" t="s">
        <v>32</v>
      </c>
      <c r="B909">
        <v>93410</v>
      </c>
      <c r="C909" s="1">
        <v>4</v>
      </c>
      <c r="D909" t="s">
        <v>19</v>
      </c>
      <c r="E909" s="7">
        <v>1.1100000000000001</v>
      </c>
      <c r="F909" s="2">
        <v>0.42</v>
      </c>
      <c r="G909" s="7">
        <v>0.6</v>
      </c>
      <c r="H909" s="9" t="s">
        <v>27</v>
      </c>
      <c r="I909">
        <v>0.55000000000000004</v>
      </c>
      <c r="J909">
        <v>0.63</v>
      </c>
      <c r="K909">
        <v>0.94</v>
      </c>
      <c r="L909">
        <v>0.3</v>
      </c>
      <c r="M909">
        <v>0.36</v>
      </c>
      <c r="N909">
        <v>0.72</v>
      </c>
      <c r="O909">
        <v>0.61</v>
      </c>
      <c r="P909">
        <v>0.18</v>
      </c>
      <c r="Q909">
        <v>0.38</v>
      </c>
      <c r="R909" s="2">
        <v>0.47</v>
      </c>
      <c r="S909" t="str">
        <f>IF(Table1[[#This Row],[Years_Experience]]&lt;=5,"Early Career",
IF(Table1[[#This Row],[Years_Experience]]&lt;=15,"Mid Career","Senior Level"))</f>
        <v>Early Career</v>
      </c>
      <c r="T909" t="str">
        <f>IF(Table1[[#This Row],[AI_Exposure_Index]]&gt;=0.7,"High Exposure", IF(Table1[[#This Row],[AI_Exposure_Index]]&gt;=0.3,"Medium Exposure","Low Exposure"))</f>
        <v>Medium Exposure</v>
      </c>
    </row>
    <row r="910" spans="1:20" x14ac:dyDescent="0.25">
      <c r="A910" t="s">
        <v>42</v>
      </c>
      <c r="B910">
        <v>104225</v>
      </c>
      <c r="C910" s="1">
        <v>17</v>
      </c>
      <c r="D910" t="s">
        <v>25</v>
      </c>
      <c r="E910" s="7">
        <v>1.42</v>
      </c>
      <c r="F910" s="2">
        <v>0.18</v>
      </c>
      <c r="G910" s="7">
        <v>0.6</v>
      </c>
      <c r="H910" s="9" t="s">
        <v>27</v>
      </c>
      <c r="I910">
        <v>0.48</v>
      </c>
      <c r="J910">
        <v>0.68</v>
      </c>
      <c r="K910">
        <v>0.9</v>
      </c>
      <c r="L910">
        <v>0.14000000000000001</v>
      </c>
      <c r="M910">
        <v>0.25</v>
      </c>
      <c r="N910">
        <v>0.54</v>
      </c>
      <c r="O910">
        <v>0.8</v>
      </c>
      <c r="P910">
        <v>0.04</v>
      </c>
      <c r="Q910">
        <v>0.98</v>
      </c>
      <c r="R910" s="2">
        <v>0.45</v>
      </c>
      <c r="S910" t="str">
        <f>IF(Table1[[#This Row],[Years_Experience]]&lt;=5,"Early Career",
IF(Table1[[#This Row],[Years_Experience]]&lt;=15,"Mid Career","Senior Level"))</f>
        <v>Senior Level</v>
      </c>
      <c r="T910" t="str">
        <f>IF(Table1[[#This Row],[AI_Exposure_Index]]&gt;=0.7,"High Exposure", IF(Table1[[#This Row],[AI_Exposure_Index]]&gt;=0.3,"Medium Exposure","Low Exposure"))</f>
        <v>Low Exposure</v>
      </c>
    </row>
    <row r="911" spans="1:20" x14ac:dyDescent="0.25">
      <c r="A911" t="s">
        <v>29</v>
      </c>
      <c r="B911">
        <v>67499</v>
      </c>
      <c r="C911" s="1">
        <v>1</v>
      </c>
      <c r="D911" t="s">
        <v>19</v>
      </c>
      <c r="E911" s="7">
        <v>0.67</v>
      </c>
      <c r="F911" s="2">
        <v>0.28999999999999998</v>
      </c>
      <c r="G911" s="7">
        <v>0.25</v>
      </c>
      <c r="H911" s="9" t="s">
        <v>23</v>
      </c>
      <c r="I911">
        <v>0.96</v>
      </c>
      <c r="J911">
        <v>0.41</v>
      </c>
      <c r="K911">
        <v>0.95</v>
      </c>
      <c r="L911">
        <v>0.82</v>
      </c>
      <c r="M911">
        <v>0.48</v>
      </c>
      <c r="N911">
        <v>0.67</v>
      </c>
      <c r="O911">
        <v>0.43</v>
      </c>
      <c r="P911">
        <v>0.56000000000000005</v>
      </c>
      <c r="Q911">
        <v>0.06</v>
      </c>
      <c r="R911" s="2">
        <v>0.7</v>
      </c>
      <c r="S911" t="str">
        <f>IF(Table1[[#This Row],[Years_Experience]]&lt;=5,"Early Career",
IF(Table1[[#This Row],[Years_Experience]]&lt;=15,"Mid Career","Senior Level"))</f>
        <v>Early Career</v>
      </c>
      <c r="T911" t="str">
        <f>IF(Table1[[#This Row],[AI_Exposure_Index]]&gt;=0.7,"High Exposure", IF(Table1[[#This Row],[AI_Exposure_Index]]&gt;=0.3,"Medium Exposure","Low Exposure"))</f>
        <v>Low Exposure</v>
      </c>
    </row>
    <row r="912" spans="1:20" x14ac:dyDescent="0.25">
      <c r="A912" t="s">
        <v>30</v>
      </c>
      <c r="B912">
        <v>130537</v>
      </c>
      <c r="C912" s="1">
        <v>23</v>
      </c>
      <c r="D912" t="s">
        <v>38</v>
      </c>
      <c r="E912" s="7">
        <v>1.0900000000000001</v>
      </c>
      <c r="F912" s="2">
        <v>0.16</v>
      </c>
      <c r="G912" s="7">
        <v>0.66</v>
      </c>
      <c r="H912" s="9" t="s">
        <v>27</v>
      </c>
      <c r="I912">
        <v>0.11</v>
      </c>
      <c r="J912">
        <v>0.47</v>
      </c>
      <c r="K912">
        <v>0.75</v>
      </c>
      <c r="L912">
        <v>0.61</v>
      </c>
      <c r="M912">
        <v>0.1</v>
      </c>
      <c r="N912">
        <v>0.4</v>
      </c>
      <c r="O912">
        <v>0.51</v>
      </c>
      <c r="P912">
        <v>1</v>
      </c>
      <c r="Q912">
        <v>0.18</v>
      </c>
      <c r="R912" s="2">
        <v>0.98</v>
      </c>
      <c r="S912" t="str">
        <f>IF(Table1[[#This Row],[Years_Experience]]&lt;=5,"Early Career",
IF(Table1[[#This Row],[Years_Experience]]&lt;=15,"Mid Career","Senior Level"))</f>
        <v>Senior Level</v>
      </c>
      <c r="T912" t="str">
        <f>IF(Table1[[#This Row],[AI_Exposure_Index]]&gt;=0.7,"High Exposure", IF(Table1[[#This Row],[AI_Exposure_Index]]&gt;=0.3,"Medium Exposure","Low Exposure"))</f>
        <v>Low Exposure</v>
      </c>
    </row>
    <row r="913" spans="1:20" x14ac:dyDescent="0.25">
      <c r="A913" t="s">
        <v>39</v>
      </c>
      <c r="B913">
        <v>118627</v>
      </c>
      <c r="C913" s="1">
        <v>16</v>
      </c>
      <c r="D913" t="s">
        <v>25</v>
      </c>
      <c r="E913" s="7">
        <v>0.91</v>
      </c>
      <c r="F913" s="2">
        <v>0.2</v>
      </c>
      <c r="G913" s="7">
        <v>0.85</v>
      </c>
      <c r="H913" s="9" t="s">
        <v>20</v>
      </c>
      <c r="I913">
        <v>0.21</v>
      </c>
      <c r="J913">
        <v>0.28999999999999998</v>
      </c>
      <c r="K913">
        <v>0.85</v>
      </c>
      <c r="L913">
        <v>1</v>
      </c>
      <c r="M913">
        <v>0.32</v>
      </c>
      <c r="N913">
        <v>0.15</v>
      </c>
      <c r="O913">
        <v>0.79</v>
      </c>
      <c r="P913">
        <v>0.6</v>
      </c>
      <c r="Q913">
        <v>0.1</v>
      </c>
      <c r="R913" s="2">
        <v>0.95</v>
      </c>
      <c r="S913" t="str">
        <f>IF(Table1[[#This Row],[Years_Experience]]&lt;=5,"Early Career",
IF(Table1[[#This Row],[Years_Experience]]&lt;=15,"Mid Career","Senior Level"))</f>
        <v>Senior Level</v>
      </c>
      <c r="T913" t="str">
        <f>IF(Table1[[#This Row],[AI_Exposure_Index]]&gt;=0.7,"High Exposure", IF(Table1[[#This Row],[AI_Exposure_Index]]&gt;=0.3,"Medium Exposure","Low Exposure"))</f>
        <v>Low Exposure</v>
      </c>
    </row>
    <row r="914" spans="1:20" x14ac:dyDescent="0.25">
      <c r="A914" t="s">
        <v>26</v>
      </c>
      <c r="B914">
        <v>99074</v>
      </c>
      <c r="C914" s="1">
        <v>21</v>
      </c>
      <c r="D914" t="s">
        <v>19</v>
      </c>
      <c r="E914" s="7">
        <v>0.92</v>
      </c>
      <c r="F914" s="2">
        <v>0.63</v>
      </c>
      <c r="G914" s="7">
        <v>0.52</v>
      </c>
      <c r="H914" s="9" t="s">
        <v>27</v>
      </c>
      <c r="I914">
        <v>0.21</v>
      </c>
      <c r="J914">
        <v>0.69</v>
      </c>
      <c r="K914">
        <v>0.96</v>
      </c>
      <c r="L914">
        <v>0.46</v>
      </c>
      <c r="M914">
        <v>0.52</v>
      </c>
      <c r="N914">
        <v>0.24</v>
      </c>
      <c r="O914">
        <v>0.89</v>
      </c>
      <c r="P914">
        <v>0.97</v>
      </c>
      <c r="Q914">
        <v>0.79</v>
      </c>
      <c r="R914" s="2">
        <v>0.54</v>
      </c>
      <c r="S914" t="str">
        <f>IF(Table1[[#This Row],[Years_Experience]]&lt;=5,"Early Career",
IF(Table1[[#This Row],[Years_Experience]]&lt;=15,"Mid Career","Senior Level"))</f>
        <v>Senior Level</v>
      </c>
      <c r="T914" t="str">
        <f>IF(Table1[[#This Row],[AI_Exposure_Index]]&gt;=0.7,"High Exposure", IF(Table1[[#This Row],[AI_Exposure_Index]]&gt;=0.3,"Medium Exposure","Low Exposure"))</f>
        <v>Medium Exposure</v>
      </c>
    </row>
    <row r="915" spans="1:20" x14ac:dyDescent="0.25">
      <c r="A915" t="s">
        <v>32</v>
      </c>
      <c r="B915">
        <v>71716</v>
      </c>
      <c r="C915" s="1">
        <v>0</v>
      </c>
      <c r="D915" t="s">
        <v>38</v>
      </c>
      <c r="E915" s="7">
        <v>0.98</v>
      </c>
      <c r="F915" s="2">
        <v>0.15</v>
      </c>
      <c r="G915" s="7">
        <v>0.52</v>
      </c>
      <c r="H915" s="9" t="s">
        <v>27</v>
      </c>
      <c r="I915">
        <v>0.49</v>
      </c>
      <c r="J915">
        <v>0.8</v>
      </c>
      <c r="K915">
        <v>0.67</v>
      </c>
      <c r="L915">
        <v>0.13</v>
      </c>
      <c r="M915">
        <v>0.35</v>
      </c>
      <c r="N915">
        <v>0.34</v>
      </c>
      <c r="O915">
        <v>0.56999999999999995</v>
      </c>
      <c r="P915">
        <v>0.28999999999999998</v>
      </c>
      <c r="Q915">
        <v>0.12</v>
      </c>
      <c r="R915" s="2">
        <v>0.65</v>
      </c>
      <c r="S915" t="str">
        <f>IF(Table1[[#This Row],[Years_Experience]]&lt;=5,"Early Career",
IF(Table1[[#This Row],[Years_Experience]]&lt;=15,"Mid Career","Senior Level"))</f>
        <v>Early Career</v>
      </c>
      <c r="T915" t="str">
        <f>IF(Table1[[#This Row],[AI_Exposure_Index]]&gt;=0.7,"High Exposure", IF(Table1[[#This Row],[AI_Exposure_Index]]&gt;=0.3,"Medium Exposure","Low Exposure"))</f>
        <v>Low Exposure</v>
      </c>
    </row>
    <row r="916" spans="1:20" x14ac:dyDescent="0.25">
      <c r="A916" t="s">
        <v>31</v>
      </c>
      <c r="B916">
        <v>132033</v>
      </c>
      <c r="C916" s="1">
        <v>21</v>
      </c>
      <c r="D916" t="s">
        <v>22</v>
      </c>
      <c r="E916" s="7">
        <v>1.47</v>
      </c>
      <c r="F916" s="2">
        <v>0.93</v>
      </c>
      <c r="G916" s="7">
        <v>0.25</v>
      </c>
      <c r="H916" s="9" t="s">
        <v>23</v>
      </c>
      <c r="I916">
        <v>0.14000000000000001</v>
      </c>
      <c r="J916">
        <v>0.85</v>
      </c>
      <c r="K916">
        <v>0.4</v>
      </c>
      <c r="L916">
        <v>0.73</v>
      </c>
      <c r="M916">
        <v>0.53</v>
      </c>
      <c r="N916">
        <v>0.83</v>
      </c>
      <c r="O916">
        <v>0.43</v>
      </c>
      <c r="P916">
        <v>0.06</v>
      </c>
      <c r="Q916">
        <v>0.56000000000000005</v>
      </c>
      <c r="R916" s="2">
        <v>0.17</v>
      </c>
      <c r="S916" t="str">
        <f>IF(Table1[[#This Row],[Years_Experience]]&lt;=5,"Early Career",
IF(Table1[[#This Row],[Years_Experience]]&lt;=15,"Mid Career","Senior Level"))</f>
        <v>Senior Level</v>
      </c>
      <c r="T916" t="str">
        <f>IF(Table1[[#This Row],[AI_Exposure_Index]]&gt;=0.7,"High Exposure", IF(Table1[[#This Row],[AI_Exposure_Index]]&gt;=0.3,"Medium Exposure","Low Exposure"))</f>
        <v>High Exposure</v>
      </c>
    </row>
    <row r="917" spans="1:20" x14ac:dyDescent="0.25">
      <c r="A917" t="s">
        <v>40</v>
      </c>
      <c r="B917">
        <v>40715</v>
      </c>
      <c r="C917" s="1">
        <v>11</v>
      </c>
      <c r="D917" t="s">
        <v>19</v>
      </c>
      <c r="E917" s="7">
        <v>1.05</v>
      </c>
      <c r="F917" s="2">
        <v>0.53</v>
      </c>
      <c r="G917" s="7">
        <v>0.28000000000000003</v>
      </c>
      <c r="H917" s="9" t="s">
        <v>23</v>
      </c>
      <c r="I917">
        <v>0.62</v>
      </c>
      <c r="J917">
        <v>0.3</v>
      </c>
      <c r="K917">
        <v>0.3</v>
      </c>
      <c r="L917">
        <v>0.5</v>
      </c>
      <c r="M917">
        <v>0.87</v>
      </c>
      <c r="N917">
        <v>0.79</v>
      </c>
      <c r="O917">
        <v>0.96</v>
      </c>
      <c r="P917">
        <v>7.0000000000000007E-2</v>
      </c>
      <c r="Q917">
        <v>0.27</v>
      </c>
      <c r="R917" s="2">
        <v>0.08</v>
      </c>
      <c r="S917" t="str">
        <f>IF(Table1[[#This Row],[Years_Experience]]&lt;=5,"Early Career",
IF(Table1[[#This Row],[Years_Experience]]&lt;=15,"Mid Career","Senior Level"))</f>
        <v>Mid Career</v>
      </c>
      <c r="T917" t="str">
        <f>IF(Table1[[#This Row],[AI_Exposure_Index]]&gt;=0.7,"High Exposure", IF(Table1[[#This Row],[AI_Exposure_Index]]&gt;=0.3,"Medium Exposure","Low Exposure"))</f>
        <v>Medium Exposure</v>
      </c>
    </row>
    <row r="918" spans="1:20" x14ac:dyDescent="0.25">
      <c r="A918" t="s">
        <v>21</v>
      </c>
      <c r="B918">
        <v>77553</v>
      </c>
      <c r="C918" s="1">
        <v>23</v>
      </c>
      <c r="D918" t="s">
        <v>22</v>
      </c>
      <c r="E918" s="7">
        <v>0.6</v>
      </c>
      <c r="F918" s="2">
        <v>0.14000000000000001</v>
      </c>
      <c r="G918" s="7">
        <v>0.19</v>
      </c>
      <c r="H918" s="9" t="s">
        <v>23</v>
      </c>
      <c r="I918">
        <v>0.41</v>
      </c>
      <c r="J918">
        <v>0.72</v>
      </c>
      <c r="K918">
        <v>0.49</v>
      </c>
      <c r="L918">
        <v>0.43</v>
      </c>
      <c r="M918">
        <v>0.43</v>
      </c>
      <c r="N918">
        <v>0.87</v>
      </c>
      <c r="O918">
        <v>0.4</v>
      </c>
      <c r="P918">
        <v>0.33</v>
      </c>
      <c r="Q918">
        <v>0.34</v>
      </c>
      <c r="R918" s="2">
        <v>0.2</v>
      </c>
      <c r="S918" t="str">
        <f>IF(Table1[[#This Row],[Years_Experience]]&lt;=5,"Early Career",
IF(Table1[[#This Row],[Years_Experience]]&lt;=15,"Mid Career","Senior Level"))</f>
        <v>Senior Level</v>
      </c>
      <c r="T918" t="str">
        <f>IF(Table1[[#This Row],[AI_Exposure_Index]]&gt;=0.7,"High Exposure", IF(Table1[[#This Row],[AI_Exposure_Index]]&gt;=0.3,"Medium Exposure","Low Exposure"))</f>
        <v>Low Exposure</v>
      </c>
    </row>
    <row r="919" spans="1:20" x14ac:dyDescent="0.25">
      <c r="A919" t="s">
        <v>28</v>
      </c>
      <c r="B919">
        <v>36861</v>
      </c>
      <c r="C919" s="1">
        <v>14</v>
      </c>
      <c r="D919" t="s">
        <v>19</v>
      </c>
      <c r="E919" s="7">
        <v>1.41</v>
      </c>
      <c r="F919" s="2">
        <v>0.15</v>
      </c>
      <c r="G919" s="7">
        <v>0.41</v>
      </c>
      <c r="H919" s="9" t="s">
        <v>27</v>
      </c>
      <c r="I919">
        <v>0.9</v>
      </c>
      <c r="J919">
        <v>0.79</v>
      </c>
      <c r="K919">
        <v>0.57999999999999996</v>
      </c>
      <c r="L919">
        <v>0.67</v>
      </c>
      <c r="M919">
        <v>0.33</v>
      </c>
      <c r="N919">
        <v>0.56999999999999995</v>
      </c>
      <c r="O919">
        <v>0.28999999999999998</v>
      </c>
      <c r="P919">
        <v>0.4</v>
      </c>
      <c r="Q919">
        <v>0.76</v>
      </c>
      <c r="R919" s="2">
        <v>0.24</v>
      </c>
      <c r="S919" t="str">
        <f>IF(Table1[[#This Row],[Years_Experience]]&lt;=5,"Early Career",
IF(Table1[[#This Row],[Years_Experience]]&lt;=15,"Mid Career","Senior Level"))</f>
        <v>Mid Career</v>
      </c>
      <c r="T919" t="str">
        <f>IF(Table1[[#This Row],[AI_Exposure_Index]]&gt;=0.7,"High Exposure", IF(Table1[[#This Row],[AI_Exposure_Index]]&gt;=0.3,"Medium Exposure","Low Exposure"))</f>
        <v>Low Exposure</v>
      </c>
    </row>
    <row r="920" spans="1:20" x14ac:dyDescent="0.25">
      <c r="A920" t="s">
        <v>26</v>
      </c>
      <c r="B920">
        <v>70154</v>
      </c>
      <c r="C920" s="1">
        <v>27</v>
      </c>
      <c r="D920" t="s">
        <v>22</v>
      </c>
      <c r="E920" s="7">
        <v>1.03</v>
      </c>
      <c r="F920" s="2">
        <v>0.38</v>
      </c>
      <c r="G920" s="7">
        <v>0.68</v>
      </c>
      <c r="H920" s="9" t="s">
        <v>27</v>
      </c>
      <c r="I920">
        <v>0.68</v>
      </c>
      <c r="J920">
        <v>0.65</v>
      </c>
      <c r="K920">
        <v>0.71</v>
      </c>
      <c r="L920">
        <v>0.92</v>
      </c>
      <c r="M920">
        <v>0.25</v>
      </c>
      <c r="N920">
        <v>0.61</v>
      </c>
      <c r="O920">
        <v>0.4</v>
      </c>
      <c r="P920">
        <v>0.01</v>
      </c>
      <c r="Q920">
        <v>0.13</v>
      </c>
      <c r="R920" s="2">
        <v>0.32</v>
      </c>
      <c r="S920" t="str">
        <f>IF(Table1[[#This Row],[Years_Experience]]&lt;=5,"Early Career",
IF(Table1[[#This Row],[Years_Experience]]&lt;=15,"Mid Career","Senior Level"))</f>
        <v>Senior Level</v>
      </c>
      <c r="T920" t="str">
        <f>IF(Table1[[#This Row],[AI_Exposure_Index]]&gt;=0.7,"High Exposure", IF(Table1[[#This Row],[AI_Exposure_Index]]&gt;=0.3,"Medium Exposure","Low Exposure"))</f>
        <v>Medium Exposure</v>
      </c>
    </row>
    <row r="921" spans="1:20" x14ac:dyDescent="0.25">
      <c r="A921" t="s">
        <v>24</v>
      </c>
      <c r="B921">
        <v>93576</v>
      </c>
      <c r="C921" s="1">
        <v>13</v>
      </c>
      <c r="D921" t="s">
        <v>25</v>
      </c>
      <c r="E921" s="7">
        <v>1.03</v>
      </c>
      <c r="F921" s="2">
        <v>0.82</v>
      </c>
      <c r="G921" s="7">
        <v>0.78</v>
      </c>
      <c r="H921" s="9" t="s">
        <v>20</v>
      </c>
      <c r="I921">
        <v>0.66</v>
      </c>
      <c r="J921">
        <v>0.72</v>
      </c>
      <c r="K921">
        <v>0.56000000000000005</v>
      </c>
      <c r="L921">
        <v>0.06</v>
      </c>
      <c r="M921">
        <v>0.17</v>
      </c>
      <c r="N921">
        <v>0.28999999999999998</v>
      </c>
      <c r="O921">
        <v>0.28000000000000003</v>
      </c>
      <c r="P921">
        <v>0.67</v>
      </c>
      <c r="Q921">
        <v>0.02</v>
      </c>
      <c r="R921" s="2">
        <v>0.76</v>
      </c>
      <c r="S921" t="str">
        <f>IF(Table1[[#This Row],[Years_Experience]]&lt;=5,"Early Career",
IF(Table1[[#This Row],[Years_Experience]]&lt;=15,"Mid Career","Senior Level"))</f>
        <v>Mid Career</v>
      </c>
      <c r="T921" t="str">
        <f>IF(Table1[[#This Row],[AI_Exposure_Index]]&gt;=0.7,"High Exposure", IF(Table1[[#This Row],[AI_Exposure_Index]]&gt;=0.3,"Medium Exposure","Low Exposure"))</f>
        <v>High Exposure</v>
      </c>
    </row>
    <row r="922" spans="1:20" x14ac:dyDescent="0.25">
      <c r="A922" t="s">
        <v>31</v>
      </c>
      <c r="B922">
        <v>127294</v>
      </c>
      <c r="C922" s="1">
        <v>11</v>
      </c>
      <c r="D922" t="s">
        <v>22</v>
      </c>
      <c r="E922" s="7">
        <v>1.03</v>
      </c>
      <c r="F922" s="2">
        <v>0.31</v>
      </c>
      <c r="G922" s="7">
        <v>0.1</v>
      </c>
      <c r="H922" s="9" t="s">
        <v>23</v>
      </c>
      <c r="I922">
        <v>0.88</v>
      </c>
      <c r="J922">
        <v>0.09</v>
      </c>
      <c r="K922">
        <v>0.44</v>
      </c>
      <c r="L922">
        <v>0.85</v>
      </c>
      <c r="M922">
        <v>0.62</v>
      </c>
      <c r="N922">
        <v>0.28999999999999998</v>
      </c>
      <c r="O922">
        <v>0.42</v>
      </c>
      <c r="P922">
        <v>0.71</v>
      </c>
      <c r="Q922">
        <v>0.97</v>
      </c>
      <c r="R922" s="2">
        <v>0.89</v>
      </c>
      <c r="S922" t="str">
        <f>IF(Table1[[#This Row],[Years_Experience]]&lt;=5,"Early Career",
IF(Table1[[#This Row],[Years_Experience]]&lt;=15,"Mid Career","Senior Level"))</f>
        <v>Mid Career</v>
      </c>
      <c r="T922" t="str">
        <f>IF(Table1[[#This Row],[AI_Exposure_Index]]&gt;=0.7,"High Exposure", IF(Table1[[#This Row],[AI_Exposure_Index]]&gt;=0.3,"Medium Exposure","Low Exposure"))</f>
        <v>Medium Exposure</v>
      </c>
    </row>
    <row r="923" spans="1:20" x14ac:dyDescent="0.25">
      <c r="A923" t="s">
        <v>35</v>
      </c>
      <c r="B923">
        <v>139875</v>
      </c>
      <c r="C923" s="1">
        <v>5</v>
      </c>
      <c r="D923" t="s">
        <v>38</v>
      </c>
      <c r="E923" s="7">
        <v>0.5</v>
      </c>
      <c r="F923" s="2">
        <v>1</v>
      </c>
      <c r="G923" s="7">
        <v>0.31</v>
      </c>
      <c r="H923" s="9" t="s">
        <v>27</v>
      </c>
      <c r="I923">
        <v>0.82</v>
      </c>
      <c r="J923">
        <v>0.2</v>
      </c>
      <c r="K923">
        <v>0.06</v>
      </c>
      <c r="L923">
        <v>0.24</v>
      </c>
      <c r="M923">
        <v>0.43</v>
      </c>
      <c r="N923">
        <v>0.73</v>
      </c>
      <c r="O923">
        <v>0.62</v>
      </c>
      <c r="P923">
        <v>0.24</v>
      </c>
      <c r="Q923">
        <v>0.5</v>
      </c>
      <c r="R923" s="2">
        <v>0.93</v>
      </c>
      <c r="S923" t="str">
        <f>IF(Table1[[#This Row],[Years_Experience]]&lt;=5,"Early Career",
IF(Table1[[#This Row],[Years_Experience]]&lt;=15,"Mid Career","Senior Level"))</f>
        <v>Early Career</v>
      </c>
      <c r="T923" t="str">
        <f>IF(Table1[[#This Row],[AI_Exposure_Index]]&gt;=0.7,"High Exposure", IF(Table1[[#This Row],[AI_Exposure_Index]]&gt;=0.3,"Medium Exposure","Low Exposure"))</f>
        <v>High Exposure</v>
      </c>
    </row>
    <row r="924" spans="1:20" x14ac:dyDescent="0.25">
      <c r="A924" t="s">
        <v>18</v>
      </c>
      <c r="B924">
        <v>52925</v>
      </c>
      <c r="C924" s="1">
        <v>15</v>
      </c>
      <c r="D924" t="s">
        <v>25</v>
      </c>
      <c r="E924" s="7">
        <v>1.48</v>
      </c>
      <c r="F924" s="2">
        <v>0.32</v>
      </c>
      <c r="G924" s="7">
        <v>0.88</v>
      </c>
      <c r="H924" s="9" t="s">
        <v>20</v>
      </c>
      <c r="I924">
        <v>0.06</v>
      </c>
      <c r="J924">
        <v>0.04</v>
      </c>
      <c r="K924">
        <v>0.17</v>
      </c>
      <c r="L924">
        <v>0.73</v>
      </c>
      <c r="M924">
        <v>0.18</v>
      </c>
      <c r="N924">
        <v>0.51</v>
      </c>
      <c r="O924">
        <v>0.09</v>
      </c>
      <c r="P924">
        <v>0.92</v>
      </c>
      <c r="Q924">
        <v>0.34</v>
      </c>
      <c r="R924" s="2">
        <v>0.91</v>
      </c>
      <c r="S924" t="str">
        <f>IF(Table1[[#This Row],[Years_Experience]]&lt;=5,"Early Career",
IF(Table1[[#This Row],[Years_Experience]]&lt;=15,"Mid Career","Senior Level"))</f>
        <v>Mid Career</v>
      </c>
      <c r="T924" t="str">
        <f>IF(Table1[[#This Row],[AI_Exposure_Index]]&gt;=0.7,"High Exposure", IF(Table1[[#This Row],[AI_Exposure_Index]]&gt;=0.3,"Medium Exposure","Low Exposure"))</f>
        <v>Medium Exposure</v>
      </c>
    </row>
    <row r="925" spans="1:20" x14ac:dyDescent="0.25">
      <c r="A925" t="s">
        <v>31</v>
      </c>
      <c r="B925">
        <v>119779</v>
      </c>
      <c r="C925" s="1">
        <v>1</v>
      </c>
      <c r="D925" t="s">
        <v>38</v>
      </c>
      <c r="E925" s="7">
        <v>0.96</v>
      </c>
      <c r="F925" s="2">
        <v>0.01</v>
      </c>
      <c r="G925" s="7">
        <v>0.06</v>
      </c>
      <c r="H925" s="9" t="s">
        <v>23</v>
      </c>
      <c r="I925">
        <v>0.91</v>
      </c>
      <c r="J925">
        <v>0.52</v>
      </c>
      <c r="K925">
        <v>7.0000000000000007E-2</v>
      </c>
      <c r="L925">
        <v>0.11</v>
      </c>
      <c r="M925">
        <v>0.38</v>
      </c>
      <c r="N925">
        <v>0.94</v>
      </c>
      <c r="O925">
        <v>0.69</v>
      </c>
      <c r="P925">
        <v>0.87</v>
      </c>
      <c r="Q925">
        <v>0.37</v>
      </c>
      <c r="R925" s="2">
        <v>0.04</v>
      </c>
      <c r="S925" t="str">
        <f>IF(Table1[[#This Row],[Years_Experience]]&lt;=5,"Early Career",
IF(Table1[[#This Row],[Years_Experience]]&lt;=15,"Mid Career","Senior Level"))</f>
        <v>Early Career</v>
      </c>
      <c r="T925" t="str">
        <f>IF(Table1[[#This Row],[AI_Exposure_Index]]&gt;=0.7,"High Exposure", IF(Table1[[#This Row],[AI_Exposure_Index]]&gt;=0.3,"Medium Exposure","Low Exposure"))</f>
        <v>Low Exposure</v>
      </c>
    </row>
    <row r="926" spans="1:20" x14ac:dyDescent="0.25">
      <c r="A926" t="s">
        <v>31</v>
      </c>
      <c r="B926">
        <v>87702</v>
      </c>
      <c r="C926" s="1">
        <v>15</v>
      </c>
      <c r="D926" t="s">
        <v>22</v>
      </c>
      <c r="E926" s="7">
        <v>1.45</v>
      </c>
      <c r="F926" s="2">
        <v>0.02</v>
      </c>
      <c r="G926" s="7">
        <v>0.14000000000000001</v>
      </c>
      <c r="H926" s="9" t="s">
        <v>23</v>
      </c>
      <c r="I926">
        <v>0.01</v>
      </c>
      <c r="J926">
        <v>0.69</v>
      </c>
      <c r="K926">
        <v>0.98</v>
      </c>
      <c r="L926">
        <v>0.97</v>
      </c>
      <c r="M926">
        <v>0.16</v>
      </c>
      <c r="N926">
        <v>0.18</v>
      </c>
      <c r="O926">
        <v>0.56999999999999995</v>
      </c>
      <c r="P926">
        <v>0.64</v>
      </c>
      <c r="Q926">
        <v>0.74</v>
      </c>
      <c r="R926" s="2">
        <v>0.18</v>
      </c>
      <c r="S926" t="str">
        <f>IF(Table1[[#This Row],[Years_Experience]]&lt;=5,"Early Career",
IF(Table1[[#This Row],[Years_Experience]]&lt;=15,"Mid Career","Senior Level"))</f>
        <v>Mid Career</v>
      </c>
      <c r="T926" t="str">
        <f>IF(Table1[[#This Row],[AI_Exposure_Index]]&gt;=0.7,"High Exposure", IF(Table1[[#This Row],[AI_Exposure_Index]]&gt;=0.3,"Medium Exposure","Low Exposure"))</f>
        <v>Low Exposure</v>
      </c>
    </row>
    <row r="927" spans="1:20" x14ac:dyDescent="0.25">
      <c r="A927" t="s">
        <v>36</v>
      </c>
      <c r="B927">
        <v>127556</v>
      </c>
      <c r="C927" s="1">
        <v>8</v>
      </c>
      <c r="D927" t="s">
        <v>25</v>
      </c>
      <c r="E927" s="7">
        <v>1.35</v>
      </c>
      <c r="F927" s="2">
        <v>0.64</v>
      </c>
      <c r="G927" s="7">
        <v>0.52</v>
      </c>
      <c r="H927" s="9" t="s">
        <v>27</v>
      </c>
      <c r="I927">
        <v>0.41</v>
      </c>
      <c r="J927">
        <v>0.98</v>
      </c>
      <c r="K927">
        <v>0.57999999999999996</v>
      </c>
      <c r="L927">
        <v>0.87</v>
      </c>
      <c r="M927">
        <v>0.95</v>
      </c>
      <c r="N927">
        <v>0.68</v>
      </c>
      <c r="O927">
        <v>0.55000000000000004</v>
      </c>
      <c r="P927">
        <v>0</v>
      </c>
      <c r="Q927">
        <v>0.04</v>
      </c>
      <c r="R927" s="2">
        <v>0.2</v>
      </c>
      <c r="S927" t="str">
        <f>IF(Table1[[#This Row],[Years_Experience]]&lt;=5,"Early Career",
IF(Table1[[#This Row],[Years_Experience]]&lt;=15,"Mid Career","Senior Level"))</f>
        <v>Mid Career</v>
      </c>
      <c r="T927" t="str">
        <f>IF(Table1[[#This Row],[AI_Exposure_Index]]&gt;=0.7,"High Exposure", IF(Table1[[#This Row],[AI_Exposure_Index]]&gt;=0.3,"Medium Exposure","Low Exposure"))</f>
        <v>Medium Exposure</v>
      </c>
    </row>
    <row r="928" spans="1:20" x14ac:dyDescent="0.25">
      <c r="A928" t="s">
        <v>21</v>
      </c>
      <c r="B928">
        <v>46289</v>
      </c>
      <c r="C928" s="1">
        <v>22</v>
      </c>
      <c r="D928" t="s">
        <v>19</v>
      </c>
      <c r="E928" s="7">
        <v>0.8</v>
      </c>
      <c r="F928" s="2">
        <v>0.25</v>
      </c>
      <c r="G928" s="7">
        <v>0.14000000000000001</v>
      </c>
      <c r="H928" s="9" t="s">
        <v>23</v>
      </c>
      <c r="I928">
        <v>0.42</v>
      </c>
      <c r="J928">
        <v>0.1</v>
      </c>
      <c r="K928">
        <v>0.04</v>
      </c>
      <c r="L928">
        <v>0.67</v>
      </c>
      <c r="M928">
        <v>0.54</v>
      </c>
      <c r="N928">
        <v>0.44</v>
      </c>
      <c r="O928">
        <v>0.63</v>
      </c>
      <c r="P928">
        <v>0.83</v>
      </c>
      <c r="Q928">
        <v>0.43</v>
      </c>
      <c r="R928" s="2">
        <v>0.64</v>
      </c>
      <c r="S928" t="str">
        <f>IF(Table1[[#This Row],[Years_Experience]]&lt;=5,"Early Career",
IF(Table1[[#This Row],[Years_Experience]]&lt;=15,"Mid Career","Senior Level"))</f>
        <v>Senior Level</v>
      </c>
      <c r="T928" t="str">
        <f>IF(Table1[[#This Row],[AI_Exposure_Index]]&gt;=0.7,"High Exposure", IF(Table1[[#This Row],[AI_Exposure_Index]]&gt;=0.3,"Medium Exposure","Low Exposure"))</f>
        <v>Low Exposure</v>
      </c>
    </row>
    <row r="929" spans="1:20" x14ac:dyDescent="0.25">
      <c r="A929" t="s">
        <v>39</v>
      </c>
      <c r="B929">
        <v>115823</v>
      </c>
      <c r="C929" s="1">
        <v>29</v>
      </c>
      <c r="D929" t="s">
        <v>19</v>
      </c>
      <c r="E929" s="7">
        <v>0.93</v>
      </c>
      <c r="F929" s="2">
        <v>0.84</v>
      </c>
      <c r="G929" s="7">
        <v>0.86</v>
      </c>
      <c r="H929" s="9" t="s">
        <v>20</v>
      </c>
      <c r="I929">
        <v>0.18</v>
      </c>
      <c r="J929">
        <v>0.56000000000000005</v>
      </c>
      <c r="K929">
        <v>0.98</v>
      </c>
      <c r="L929">
        <v>0.52</v>
      </c>
      <c r="M929">
        <v>0.93</v>
      </c>
      <c r="N929">
        <v>0.41</v>
      </c>
      <c r="O929">
        <v>1</v>
      </c>
      <c r="P929">
        <v>0.57999999999999996</v>
      </c>
      <c r="Q929">
        <v>0.04</v>
      </c>
      <c r="R929" s="2">
        <v>0.59</v>
      </c>
      <c r="S929" t="str">
        <f>IF(Table1[[#This Row],[Years_Experience]]&lt;=5,"Early Career",
IF(Table1[[#This Row],[Years_Experience]]&lt;=15,"Mid Career","Senior Level"))</f>
        <v>Senior Level</v>
      </c>
      <c r="T929" t="str">
        <f>IF(Table1[[#This Row],[AI_Exposure_Index]]&gt;=0.7,"High Exposure", IF(Table1[[#This Row],[AI_Exposure_Index]]&gt;=0.3,"Medium Exposure","Low Exposure"))</f>
        <v>High Exposure</v>
      </c>
    </row>
    <row r="930" spans="1:20" x14ac:dyDescent="0.25">
      <c r="A930" t="s">
        <v>24</v>
      </c>
      <c r="B930">
        <v>55966</v>
      </c>
      <c r="C930" s="1">
        <v>27</v>
      </c>
      <c r="D930" t="s">
        <v>22</v>
      </c>
      <c r="E930" s="7">
        <v>1.32</v>
      </c>
      <c r="F930" s="2">
        <v>0.03</v>
      </c>
      <c r="G930" s="7">
        <v>0.77</v>
      </c>
      <c r="H930" s="9" t="s">
        <v>20</v>
      </c>
      <c r="I930">
        <v>0.8</v>
      </c>
      <c r="J930">
        <v>0.28999999999999998</v>
      </c>
      <c r="K930">
        <v>0.19</v>
      </c>
      <c r="L930">
        <v>0.97</v>
      </c>
      <c r="M930">
        <v>0.36</v>
      </c>
      <c r="N930">
        <v>0.6</v>
      </c>
      <c r="O930">
        <v>0.61</v>
      </c>
      <c r="P930">
        <v>0.56000000000000005</v>
      </c>
      <c r="Q930">
        <v>0.91</v>
      </c>
      <c r="R930" s="2">
        <v>0.67</v>
      </c>
      <c r="S930" t="str">
        <f>IF(Table1[[#This Row],[Years_Experience]]&lt;=5,"Early Career",
IF(Table1[[#This Row],[Years_Experience]]&lt;=15,"Mid Career","Senior Level"))</f>
        <v>Senior Level</v>
      </c>
      <c r="T930" t="str">
        <f>IF(Table1[[#This Row],[AI_Exposure_Index]]&gt;=0.7,"High Exposure", IF(Table1[[#This Row],[AI_Exposure_Index]]&gt;=0.3,"Medium Exposure","Low Exposure"))</f>
        <v>Low Exposure</v>
      </c>
    </row>
    <row r="931" spans="1:20" x14ac:dyDescent="0.25">
      <c r="A931" t="s">
        <v>32</v>
      </c>
      <c r="B931">
        <v>98560</v>
      </c>
      <c r="C931" s="1">
        <v>23</v>
      </c>
      <c r="D931" t="s">
        <v>38</v>
      </c>
      <c r="E931" s="7">
        <v>0.68</v>
      </c>
      <c r="F931" s="2">
        <v>0.86</v>
      </c>
      <c r="G931" s="7">
        <v>0.52</v>
      </c>
      <c r="H931" s="9" t="s">
        <v>27</v>
      </c>
      <c r="I931">
        <v>0.95</v>
      </c>
      <c r="J931">
        <v>0.63</v>
      </c>
      <c r="K931">
        <v>0.82</v>
      </c>
      <c r="L931">
        <v>0.65</v>
      </c>
      <c r="M931">
        <v>0.84</v>
      </c>
      <c r="N931">
        <v>0.94</v>
      </c>
      <c r="O931">
        <v>0.27</v>
      </c>
      <c r="P931">
        <v>0.17</v>
      </c>
      <c r="Q931">
        <v>0.48</v>
      </c>
      <c r="R931" s="2">
        <v>0.7</v>
      </c>
      <c r="S931" t="str">
        <f>IF(Table1[[#This Row],[Years_Experience]]&lt;=5,"Early Career",
IF(Table1[[#This Row],[Years_Experience]]&lt;=15,"Mid Career","Senior Level"))</f>
        <v>Senior Level</v>
      </c>
      <c r="T931" t="str">
        <f>IF(Table1[[#This Row],[AI_Exposure_Index]]&gt;=0.7,"High Exposure", IF(Table1[[#This Row],[AI_Exposure_Index]]&gt;=0.3,"Medium Exposure","Low Exposure"))</f>
        <v>High Exposure</v>
      </c>
    </row>
    <row r="932" spans="1:20" x14ac:dyDescent="0.25">
      <c r="A932" t="s">
        <v>24</v>
      </c>
      <c r="B932">
        <v>109023</v>
      </c>
      <c r="C932" s="1">
        <v>28</v>
      </c>
      <c r="D932" t="s">
        <v>38</v>
      </c>
      <c r="E932" s="7">
        <v>0.84</v>
      </c>
      <c r="F932" s="2">
        <v>0</v>
      </c>
      <c r="G932" s="7">
        <v>0.94</v>
      </c>
      <c r="H932" s="9" t="s">
        <v>20</v>
      </c>
      <c r="I932">
        <v>0.69</v>
      </c>
      <c r="J932">
        <v>0.4</v>
      </c>
      <c r="K932">
        <v>0.19</v>
      </c>
      <c r="L932">
        <v>0.36</v>
      </c>
      <c r="M932">
        <v>0.17</v>
      </c>
      <c r="N932">
        <v>0.11</v>
      </c>
      <c r="O932">
        <v>0.91</v>
      </c>
      <c r="P932">
        <v>1</v>
      </c>
      <c r="Q932">
        <v>0.16</v>
      </c>
      <c r="R932" s="2">
        <v>0.05</v>
      </c>
      <c r="S932" t="str">
        <f>IF(Table1[[#This Row],[Years_Experience]]&lt;=5,"Early Career",
IF(Table1[[#This Row],[Years_Experience]]&lt;=15,"Mid Career","Senior Level"))</f>
        <v>Senior Level</v>
      </c>
      <c r="T932" t="str">
        <f>IF(Table1[[#This Row],[AI_Exposure_Index]]&gt;=0.7,"High Exposure", IF(Table1[[#This Row],[AI_Exposure_Index]]&gt;=0.3,"Medium Exposure","Low Exposure"))</f>
        <v>Low Exposure</v>
      </c>
    </row>
    <row r="933" spans="1:20" x14ac:dyDescent="0.25">
      <c r="A933" t="s">
        <v>30</v>
      </c>
      <c r="B933">
        <v>112455</v>
      </c>
      <c r="C933" s="1">
        <v>28</v>
      </c>
      <c r="D933" t="s">
        <v>22</v>
      </c>
      <c r="E933" s="7">
        <v>0.7</v>
      </c>
      <c r="F933" s="2">
        <v>0.46</v>
      </c>
      <c r="G933" s="7">
        <v>0.42</v>
      </c>
      <c r="H933" s="9" t="s">
        <v>27</v>
      </c>
      <c r="I933">
        <v>0.2</v>
      </c>
      <c r="J933">
        <v>0.77</v>
      </c>
      <c r="K933">
        <v>0.71</v>
      </c>
      <c r="L933">
        <v>0.63</v>
      </c>
      <c r="M933">
        <v>0.39</v>
      </c>
      <c r="N933">
        <v>0.91</v>
      </c>
      <c r="O933">
        <v>0.97</v>
      </c>
      <c r="P933">
        <v>0.17</v>
      </c>
      <c r="Q933">
        <v>0.22</v>
      </c>
      <c r="R933" s="2">
        <v>0.53</v>
      </c>
      <c r="S933" t="str">
        <f>IF(Table1[[#This Row],[Years_Experience]]&lt;=5,"Early Career",
IF(Table1[[#This Row],[Years_Experience]]&lt;=15,"Mid Career","Senior Level"))</f>
        <v>Senior Level</v>
      </c>
      <c r="T933" t="str">
        <f>IF(Table1[[#This Row],[AI_Exposure_Index]]&gt;=0.7,"High Exposure", IF(Table1[[#This Row],[AI_Exposure_Index]]&gt;=0.3,"Medium Exposure","Low Exposure"))</f>
        <v>Medium Exposure</v>
      </c>
    </row>
    <row r="934" spans="1:20" x14ac:dyDescent="0.25">
      <c r="A934" t="s">
        <v>18</v>
      </c>
      <c r="B934">
        <v>42930</v>
      </c>
      <c r="C934" s="1">
        <v>13</v>
      </c>
      <c r="D934" t="s">
        <v>38</v>
      </c>
      <c r="E934" s="7">
        <v>1.08</v>
      </c>
      <c r="F934" s="2">
        <v>0.44</v>
      </c>
      <c r="G934" s="7">
        <v>0.83</v>
      </c>
      <c r="H934" s="9" t="s">
        <v>20</v>
      </c>
      <c r="I934">
        <v>0.33</v>
      </c>
      <c r="J934">
        <v>0.54</v>
      </c>
      <c r="K934">
        <v>0.96</v>
      </c>
      <c r="L934">
        <v>0.21</v>
      </c>
      <c r="M934">
        <v>0.65</v>
      </c>
      <c r="N934">
        <v>0.04</v>
      </c>
      <c r="O934">
        <v>7.0000000000000007E-2</v>
      </c>
      <c r="P934">
        <v>0.55000000000000004</v>
      </c>
      <c r="Q934">
        <v>0.1</v>
      </c>
      <c r="R934" s="2">
        <v>0.02</v>
      </c>
      <c r="S934" t="str">
        <f>IF(Table1[[#This Row],[Years_Experience]]&lt;=5,"Early Career",
IF(Table1[[#This Row],[Years_Experience]]&lt;=15,"Mid Career","Senior Level"))</f>
        <v>Mid Career</v>
      </c>
      <c r="T934" t="str">
        <f>IF(Table1[[#This Row],[AI_Exposure_Index]]&gt;=0.7,"High Exposure", IF(Table1[[#This Row],[AI_Exposure_Index]]&gt;=0.3,"Medium Exposure","Low Exposure"))</f>
        <v>Medium Exposure</v>
      </c>
    </row>
    <row r="935" spans="1:20" x14ac:dyDescent="0.25">
      <c r="A935" t="s">
        <v>35</v>
      </c>
      <c r="B935">
        <v>48065</v>
      </c>
      <c r="C935" s="1">
        <v>14</v>
      </c>
      <c r="D935" t="s">
        <v>22</v>
      </c>
      <c r="E935" s="7">
        <v>1.2</v>
      </c>
      <c r="F935" s="2">
        <v>0.56000000000000005</v>
      </c>
      <c r="G935" s="7">
        <v>0.38</v>
      </c>
      <c r="H935" s="9" t="s">
        <v>27</v>
      </c>
      <c r="I935">
        <v>0.67</v>
      </c>
      <c r="J935">
        <v>0.18</v>
      </c>
      <c r="K935">
        <v>0.61</v>
      </c>
      <c r="L935">
        <v>0.41</v>
      </c>
      <c r="M935">
        <v>0.65</v>
      </c>
      <c r="N935">
        <v>1</v>
      </c>
      <c r="O935">
        <v>0.94</v>
      </c>
      <c r="P935">
        <v>0</v>
      </c>
      <c r="Q935">
        <v>0.89</v>
      </c>
      <c r="R935" s="2">
        <v>7.0000000000000007E-2</v>
      </c>
      <c r="S935" t="str">
        <f>IF(Table1[[#This Row],[Years_Experience]]&lt;=5,"Early Career",
IF(Table1[[#This Row],[Years_Experience]]&lt;=15,"Mid Career","Senior Level"))</f>
        <v>Mid Career</v>
      </c>
      <c r="T935" t="str">
        <f>IF(Table1[[#This Row],[AI_Exposure_Index]]&gt;=0.7,"High Exposure", IF(Table1[[#This Row],[AI_Exposure_Index]]&gt;=0.3,"Medium Exposure","Low Exposure"))</f>
        <v>Medium Exposure</v>
      </c>
    </row>
    <row r="936" spans="1:20" x14ac:dyDescent="0.25">
      <c r="A936" t="s">
        <v>30</v>
      </c>
      <c r="B936">
        <v>86422</v>
      </c>
      <c r="C936" s="1">
        <v>12</v>
      </c>
      <c r="D936" t="s">
        <v>38</v>
      </c>
      <c r="E936" s="7">
        <v>0.88</v>
      </c>
      <c r="F936" s="2">
        <v>0.28000000000000003</v>
      </c>
      <c r="G936" s="7">
        <v>0.34</v>
      </c>
      <c r="H936" s="9" t="s">
        <v>27</v>
      </c>
      <c r="I936">
        <v>0.11</v>
      </c>
      <c r="J936">
        <v>0.73</v>
      </c>
      <c r="K936">
        <v>0.94</v>
      </c>
      <c r="L936">
        <v>0.61</v>
      </c>
      <c r="M936">
        <v>0.72</v>
      </c>
      <c r="N936">
        <v>0.76</v>
      </c>
      <c r="O936">
        <v>0.26</v>
      </c>
      <c r="P936">
        <v>0.05</v>
      </c>
      <c r="Q936">
        <v>0</v>
      </c>
      <c r="R936" s="2">
        <v>0.35</v>
      </c>
      <c r="S936" t="str">
        <f>IF(Table1[[#This Row],[Years_Experience]]&lt;=5,"Early Career",
IF(Table1[[#This Row],[Years_Experience]]&lt;=15,"Mid Career","Senior Level"))</f>
        <v>Mid Career</v>
      </c>
      <c r="T936" t="str">
        <f>IF(Table1[[#This Row],[AI_Exposure_Index]]&gt;=0.7,"High Exposure", IF(Table1[[#This Row],[AI_Exposure_Index]]&gt;=0.3,"Medium Exposure","Low Exposure"))</f>
        <v>Low Exposure</v>
      </c>
    </row>
    <row r="937" spans="1:20" x14ac:dyDescent="0.25">
      <c r="A937" t="s">
        <v>31</v>
      </c>
      <c r="B937">
        <v>69305</v>
      </c>
      <c r="C937" s="1">
        <v>21</v>
      </c>
      <c r="D937" t="s">
        <v>22</v>
      </c>
      <c r="E937" s="7">
        <v>0.68</v>
      </c>
      <c r="F937" s="2">
        <v>0.06</v>
      </c>
      <c r="G937" s="7">
        <v>0.08</v>
      </c>
      <c r="H937" s="9" t="s">
        <v>23</v>
      </c>
      <c r="I937">
        <v>0.91</v>
      </c>
      <c r="J937">
        <v>0.14000000000000001</v>
      </c>
      <c r="K937">
        <v>0.54</v>
      </c>
      <c r="L937">
        <v>0.59</v>
      </c>
      <c r="M937">
        <v>0.54</v>
      </c>
      <c r="N937">
        <v>0.1</v>
      </c>
      <c r="O937">
        <v>0.32</v>
      </c>
      <c r="P937">
        <v>0.05</v>
      </c>
      <c r="Q937">
        <v>0.4</v>
      </c>
      <c r="R937" s="2">
        <v>0.19</v>
      </c>
      <c r="S937" t="str">
        <f>IF(Table1[[#This Row],[Years_Experience]]&lt;=5,"Early Career",
IF(Table1[[#This Row],[Years_Experience]]&lt;=15,"Mid Career","Senior Level"))</f>
        <v>Senior Level</v>
      </c>
      <c r="T937" t="str">
        <f>IF(Table1[[#This Row],[AI_Exposure_Index]]&gt;=0.7,"High Exposure", IF(Table1[[#This Row],[AI_Exposure_Index]]&gt;=0.3,"Medium Exposure","Low Exposure"))</f>
        <v>Low Exposure</v>
      </c>
    </row>
    <row r="938" spans="1:20" x14ac:dyDescent="0.25">
      <c r="A938" t="s">
        <v>33</v>
      </c>
      <c r="B938">
        <v>105355</v>
      </c>
      <c r="C938" s="1">
        <v>9</v>
      </c>
      <c r="D938" t="s">
        <v>25</v>
      </c>
      <c r="E938" s="7">
        <v>1.03</v>
      </c>
      <c r="F938" s="2">
        <v>0.69</v>
      </c>
      <c r="G938" s="7">
        <v>0.81</v>
      </c>
      <c r="H938" s="9" t="s">
        <v>20</v>
      </c>
      <c r="I938">
        <v>0.39</v>
      </c>
      <c r="J938">
        <v>0.84</v>
      </c>
      <c r="K938">
        <v>0.22</v>
      </c>
      <c r="L938">
        <v>0.73</v>
      </c>
      <c r="M938">
        <v>0.76</v>
      </c>
      <c r="N938">
        <v>0.42</v>
      </c>
      <c r="O938">
        <v>0.3</v>
      </c>
      <c r="P938">
        <v>0.47</v>
      </c>
      <c r="Q938">
        <v>0.09</v>
      </c>
      <c r="R938" s="2">
        <v>0.05</v>
      </c>
      <c r="S938" t="str">
        <f>IF(Table1[[#This Row],[Years_Experience]]&lt;=5,"Early Career",
IF(Table1[[#This Row],[Years_Experience]]&lt;=15,"Mid Career","Senior Level"))</f>
        <v>Mid Career</v>
      </c>
      <c r="T938" t="str">
        <f>IF(Table1[[#This Row],[AI_Exposure_Index]]&gt;=0.7,"High Exposure", IF(Table1[[#This Row],[AI_Exposure_Index]]&gt;=0.3,"Medium Exposure","Low Exposure"))</f>
        <v>Medium Exposure</v>
      </c>
    </row>
    <row r="939" spans="1:20" x14ac:dyDescent="0.25">
      <c r="A939" t="s">
        <v>18</v>
      </c>
      <c r="B939">
        <v>31776</v>
      </c>
      <c r="C939" s="1">
        <v>7</v>
      </c>
      <c r="D939" t="s">
        <v>38</v>
      </c>
      <c r="E939" s="7">
        <v>1</v>
      </c>
      <c r="F939" s="2">
        <v>0.19</v>
      </c>
      <c r="G939" s="7">
        <v>0.91</v>
      </c>
      <c r="H939" s="9" t="s">
        <v>20</v>
      </c>
      <c r="I939">
        <v>0.24</v>
      </c>
      <c r="J939">
        <v>0.94</v>
      </c>
      <c r="K939">
        <v>0.95</v>
      </c>
      <c r="L939">
        <v>0.96</v>
      </c>
      <c r="M939">
        <v>0.84</v>
      </c>
      <c r="N939">
        <v>0.36</v>
      </c>
      <c r="O939">
        <v>7.0000000000000007E-2</v>
      </c>
      <c r="P939">
        <v>0.56999999999999995</v>
      </c>
      <c r="Q939">
        <v>0.56000000000000005</v>
      </c>
      <c r="R939" s="2">
        <v>0.85</v>
      </c>
      <c r="S939" t="str">
        <f>IF(Table1[[#This Row],[Years_Experience]]&lt;=5,"Early Career",
IF(Table1[[#This Row],[Years_Experience]]&lt;=15,"Mid Career","Senior Level"))</f>
        <v>Mid Career</v>
      </c>
      <c r="T939" t="str">
        <f>IF(Table1[[#This Row],[AI_Exposure_Index]]&gt;=0.7,"High Exposure", IF(Table1[[#This Row],[AI_Exposure_Index]]&gt;=0.3,"Medium Exposure","Low Exposure"))</f>
        <v>Low Exposure</v>
      </c>
    </row>
    <row r="940" spans="1:20" x14ac:dyDescent="0.25">
      <c r="A940" t="s">
        <v>42</v>
      </c>
      <c r="B940">
        <v>113187</v>
      </c>
      <c r="C940" s="1">
        <v>14</v>
      </c>
      <c r="D940" t="s">
        <v>38</v>
      </c>
      <c r="E940" s="7">
        <v>0.85</v>
      </c>
      <c r="F940" s="2">
        <v>0.51</v>
      </c>
      <c r="G940" s="7">
        <v>0.37</v>
      </c>
      <c r="H940" s="9" t="s">
        <v>27</v>
      </c>
      <c r="I940">
        <v>0</v>
      </c>
      <c r="J940">
        <v>0.51</v>
      </c>
      <c r="K940">
        <v>0.56000000000000005</v>
      </c>
      <c r="L940">
        <v>0.82</v>
      </c>
      <c r="M940">
        <v>0.5</v>
      </c>
      <c r="N940">
        <v>0.92</v>
      </c>
      <c r="O940">
        <v>0.63</v>
      </c>
      <c r="P940">
        <v>0.84</v>
      </c>
      <c r="Q940">
        <v>0.15</v>
      </c>
      <c r="R940" s="2">
        <v>0.86</v>
      </c>
      <c r="S940" t="str">
        <f>IF(Table1[[#This Row],[Years_Experience]]&lt;=5,"Early Career",
IF(Table1[[#This Row],[Years_Experience]]&lt;=15,"Mid Career","Senior Level"))</f>
        <v>Mid Career</v>
      </c>
      <c r="T940" t="str">
        <f>IF(Table1[[#This Row],[AI_Exposure_Index]]&gt;=0.7,"High Exposure", IF(Table1[[#This Row],[AI_Exposure_Index]]&gt;=0.3,"Medium Exposure","Low Exposure"))</f>
        <v>Medium Exposure</v>
      </c>
    </row>
    <row r="941" spans="1:20" x14ac:dyDescent="0.25">
      <c r="A941" t="s">
        <v>18</v>
      </c>
      <c r="B941">
        <v>44937</v>
      </c>
      <c r="C941" s="1">
        <v>26</v>
      </c>
      <c r="D941" t="s">
        <v>38</v>
      </c>
      <c r="E941" s="7">
        <v>0.69</v>
      </c>
      <c r="F941" s="2">
        <v>0.17</v>
      </c>
      <c r="G941" s="7">
        <v>0.93</v>
      </c>
      <c r="H941" s="9" t="s">
        <v>20</v>
      </c>
      <c r="I941">
        <v>0.03</v>
      </c>
      <c r="J941">
        <v>0.46</v>
      </c>
      <c r="K941">
        <v>0.31</v>
      </c>
      <c r="L941">
        <v>0.67</v>
      </c>
      <c r="M941">
        <v>0.84</v>
      </c>
      <c r="N941">
        <v>0.36</v>
      </c>
      <c r="O941">
        <v>0.43</v>
      </c>
      <c r="P941">
        <v>0.98</v>
      </c>
      <c r="Q941">
        <v>0.78</v>
      </c>
      <c r="R941" s="2">
        <v>0.9</v>
      </c>
      <c r="S941" t="str">
        <f>IF(Table1[[#This Row],[Years_Experience]]&lt;=5,"Early Career",
IF(Table1[[#This Row],[Years_Experience]]&lt;=15,"Mid Career","Senior Level"))</f>
        <v>Senior Level</v>
      </c>
      <c r="T941" t="str">
        <f>IF(Table1[[#This Row],[AI_Exposure_Index]]&gt;=0.7,"High Exposure", IF(Table1[[#This Row],[AI_Exposure_Index]]&gt;=0.3,"Medium Exposure","Low Exposure"))</f>
        <v>Low Exposure</v>
      </c>
    </row>
    <row r="942" spans="1:20" x14ac:dyDescent="0.25">
      <c r="A942" t="s">
        <v>39</v>
      </c>
      <c r="B942">
        <v>77259</v>
      </c>
      <c r="C942" s="1">
        <v>23</v>
      </c>
      <c r="D942" t="s">
        <v>19</v>
      </c>
      <c r="E942" s="7">
        <v>0.91</v>
      </c>
      <c r="F942" s="2">
        <v>0.23</v>
      </c>
      <c r="G942" s="7">
        <v>0.88</v>
      </c>
      <c r="H942" s="9" t="s">
        <v>20</v>
      </c>
      <c r="I942">
        <v>0.11</v>
      </c>
      <c r="J942">
        <v>0.27</v>
      </c>
      <c r="K942">
        <v>0.05</v>
      </c>
      <c r="L942">
        <v>0.43</v>
      </c>
      <c r="M942">
        <v>0.83</v>
      </c>
      <c r="N942">
        <v>0.02</v>
      </c>
      <c r="O942">
        <v>0.68</v>
      </c>
      <c r="P942">
        <v>0.93</v>
      </c>
      <c r="Q942">
        <v>0.24</v>
      </c>
      <c r="R942" s="2">
        <v>0.69</v>
      </c>
      <c r="S942" t="str">
        <f>IF(Table1[[#This Row],[Years_Experience]]&lt;=5,"Early Career",
IF(Table1[[#This Row],[Years_Experience]]&lt;=15,"Mid Career","Senior Level"))</f>
        <v>Senior Level</v>
      </c>
      <c r="T942" t="str">
        <f>IF(Table1[[#This Row],[AI_Exposure_Index]]&gt;=0.7,"High Exposure", IF(Table1[[#This Row],[AI_Exposure_Index]]&gt;=0.3,"Medium Exposure","Low Exposure"))</f>
        <v>Low Exposure</v>
      </c>
    </row>
    <row r="943" spans="1:20" x14ac:dyDescent="0.25">
      <c r="A943" t="s">
        <v>26</v>
      </c>
      <c r="B943">
        <v>48225</v>
      </c>
      <c r="C943" s="1">
        <v>11</v>
      </c>
      <c r="D943" t="s">
        <v>25</v>
      </c>
      <c r="E943" s="7">
        <v>0.73</v>
      </c>
      <c r="F943" s="2">
        <v>0.96</v>
      </c>
      <c r="G943" s="7">
        <v>0.34</v>
      </c>
      <c r="H943" s="9" t="s">
        <v>27</v>
      </c>
      <c r="I943">
        <v>0.15</v>
      </c>
      <c r="J943">
        <v>0.7</v>
      </c>
      <c r="K943">
        <v>0.73</v>
      </c>
      <c r="L943">
        <v>0.67</v>
      </c>
      <c r="M943">
        <v>0.34</v>
      </c>
      <c r="N943">
        <v>0.17</v>
      </c>
      <c r="O943">
        <v>0.57999999999999996</v>
      </c>
      <c r="P943">
        <v>0.48</v>
      </c>
      <c r="Q943">
        <v>0.73</v>
      </c>
      <c r="R943" s="2">
        <v>0.44</v>
      </c>
      <c r="S943" t="str">
        <f>IF(Table1[[#This Row],[Years_Experience]]&lt;=5,"Early Career",
IF(Table1[[#This Row],[Years_Experience]]&lt;=15,"Mid Career","Senior Level"))</f>
        <v>Mid Career</v>
      </c>
      <c r="T943" t="str">
        <f>IF(Table1[[#This Row],[AI_Exposure_Index]]&gt;=0.7,"High Exposure", IF(Table1[[#This Row],[AI_Exposure_Index]]&gt;=0.3,"Medium Exposure","Low Exposure"))</f>
        <v>High Exposure</v>
      </c>
    </row>
    <row r="944" spans="1:20" x14ac:dyDescent="0.25">
      <c r="A944" t="s">
        <v>43</v>
      </c>
      <c r="B944">
        <v>101519</v>
      </c>
      <c r="C944" s="1">
        <v>10</v>
      </c>
      <c r="D944" t="s">
        <v>25</v>
      </c>
      <c r="E944" s="7">
        <v>0.71</v>
      </c>
      <c r="F944" s="2">
        <v>0.28999999999999998</v>
      </c>
      <c r="G944" s="7">
        <v>0.12</v>
      </c>
      <c r="H944" s="9" t="s">
        <v>23</v>
      </c>
      <c r="I944">
        <v>0.09</v>
      </c>
      <c r="J944">
        <v>0.35</v>
      </c>
      <c r="K944">
        <v>0.04</v>
      </c>
      <c r="L944">
        <v>0.19</v>
      </c>
      <c r="M944">
        <v>0.75</v>
      </c>
      <c r="N944">
        <v>0.33</v>
      </c>
      <c r="O944">
        <v>0.67</v>
      </c>
      <c r="P944">
        <v>0.72</v>
      </c>
      <c r="Q944">
        <v>0.57999999999999996</v>
      </c>
      <c r="R944" s="2">
        <v>0.96</v>
      </c>
      <c r="S944" t="str">
        <f>IF(Table1[[#This Row],[Years_Experience]]&lt;=5,"Early Career",
IF(Table1[[#This Row],[Years_Experience]]&lt;=15,"Mid Career","Senior Level"))</f>
        <v>Mid Career</v>
      </c>
      <c r="T944" t="str">
        <f>IF(Table1[[#This Row],[AI_Exposure_Index]]&gt;=0.7,"High Exposure", IF(Table1[[#This Row],[AI_Exposure_Index]]&gt;=0.3,"Medium Exposure","Low Exposure"))</f>
        <v>Low Exposure</v>
      </c>
    </row>
    <row r="945" spans="1:20" x14ac:dyDescent="0.25">
      <c r="A945" t="s">
        <v>37</v>
      </c>
      <c r="B945">
        <v>100994</v>
      </c>
      <c r="C945" s="1">
        <v>10</v>
      </c>
      <c r="D945" t="s">
        <v>19</v>
      </c>
      <c r="E945" s="7">
        <v>1.46</v>
      </c>
      <c r="F945" s="2">
        <v>0.74</v>
      </c>
      <c r="G945" s="7">
        <v>0.64</v>
      </c>
      <c r="H945" s="9" t="s">
        <v>27</v>
      </c>
      <c r="I945">
        <v>0.17</v>
      </c>
      <c r="J945">
        <v>0.33</v>
      </c>
      <c r="K945">
        <v>0.17</v>
      </c>
      <c r="L945">
        <v>0.6</v>
      </c>
      <c r="M945">
        <v>0.71</v>
      </c>
      <c r="N945">
        <v>0.32</v>
      </c>
      <c r="O945">
        <v>0.54</v>
      </c>
      <c r="P945">
        <v>0.69</v>
      </c>
      <c r="Q945">
        <v>0.42</v>
      </c>
      <c r="R945" s="2">
        <v>0.85</v>
      </c>
      <c r="S945" t="str">
        <f>IF(Table1[[#This Row],[Years_Experience]]&lt;=5,"Early Career",
IF(Table1[[#This Row],[Years_Experience]]&lt;=15,"Mid Career","Senior Level"))</f>
        <v>Mid Career</v>
      </c>
      <c r="T945" t="str">
        <f>IF(Table1[[#This Row],[AI_Exposure_Index]]&gt;=0.7,"High Exposure", IF(Table1[[#This Row],[AI_Exposure_Index]]&gt;=0.3,"Medium Exposure","Low Exposure"))</f>
        <v>High Exposure</v>
      </c>
    </row>
    <row r="946" spans="1:20" x14ac:dyDescent="0.25">
      <c r="A946" t="s">
        <v>33</v>
      </c>
      <c r="B946">
        <v>49450</v>
      </c>
      <c r="C946" s="1">
        <v>20</v>
      </c>
      <c r="D946" t="s">
        <v>22</v>
      </c>
      <c r="E946" s="7">
        <v>1.1200000000000001</v>
      </c>
      <c r="F946" s="2">
        <v>0.06</v>
      </c>
      <c r="G946" s="7">
        <v>0.76</v>
      </c>
      <c r="H946" s="9" t="s">
        <v>20</v>
      </c>
      <c r="I946">
        <v>0.56000000000000005</v>
      </c>
      <c r="J946">
        <v>0.96</v>
      </c>
      <c r="K946">
        <v>0.88</v>
      </c>
      <c r="L946">
        <v>0.4</v>
      </c>
      <c r="M946">
        <v>0.28999999999999998</v>
      </c>
      <c r="N946">
        <v>0.23</v>
      </c>
      <c r="O946">
        <v>0.53</v>
      </c>
      <c r="P946">
        <v>0.11</v>
      </c>
      <c r="Q946">
        <v>0.55000000000000004</v>
      </c>
      <c r="R946" s="2">
        <v>0</v>
      </c>
      <c r="S946" t="str">
        <f>IF(Table1[[#This Row],[Years_Experience]]&lt;=5,"Early Career",
IF(Table1[[#This Row],[Years_Experience]]&lt;=15,"Mid Career","Senior Level"))</f>
        <v>Senior Level</v>
      </c>
      <c r="T946" t="str">
        <f>IF(Table1[[#This Row],[AI_Exposure_Index]]&gt;=0.7,"High Exposure", IF(Table1[[#This Row],[AI_Exposure_Index]]&gt;=0.3,"Medium Exposure","Low Exposure"))</f>
        <v>Low Exposure</v>
      </c>
    </row>
    <row r="947" spans="1:20" x14ac:dyDescent="0.25">
      <c r="A947" t="s">
        <v>37</v>
      </c>
      <c r="B947">
        <v>148585</v>
      </c>
      <c r="C947" s="1">
        <v>8</v>
      </c>
      <c r="D947" t="s">
        <v>38</v>
      </c>
      <c r="E947" s="7">
        <v>1.47</v>
      </c>
      <c r="F947" s="2">
        <v>0.22</v>
      </c>
      <c r="G947" s="7">
        <v>0.59</v>
      </c>
      <c r="H947" s="9" t="s">
        <v>27</v>
      </c>
      <c r="I947">
        <v>0.35</v>
      </c>
      <c r="J947">
        <v>0.09</v>
      </c>
      <c r="K947">
        <v>0.52</v>
      </c>
      <c r="L947">
        <v>0.21</v>
      </c>
      <c r="M947">
        <v>0.54</v>
      </c>
      <c r="N947">
        <v>0.84</v>
      </c>
      <c r="O947">
        <v>0.62</v>
      </c>
      <c r="P947">
        <v>0.63</v>
      </c>
      <c r="Q947">
        <v>0.54</v>
      </c>
      <c r="R947" s="2">
        <v>0.93</v>
      </c>
      <c r="S947" t="str">
        <f>IF(Table1[[#This Row],[Years_Experience]]&lt;=5,"Early Career",
IF(Table1[[#This Row],[Years_Experience]]&lt;=15,"Mid Career","Senior Level"))</f>
        <v>Mid Career</v>
      </c>
      <c r="T947" t="str">
        <f>IF(Table1[[#This Row],[AI_Exposure_Index]]&gt;=0.7,"High Exposure", IF(Table1[[#This Row],[AI_Exposure_Index]]&gt;=0.3,"Medium Exposure","Low Exposure"))</f>
        <v>Low Exposure</v>
      </c>
    </row>
    <row r="948" spans="1:20" x14ac:dyDescent="0.25">
      <c r="A948" t="s">
        <v>33</v>
      </c>
      <c r="B948">
        <v>106970</v>
      </c>
      <c r="C948" s="1">
        <v>29</v>
      </c>
      <c r="D948" t="s">
        <v>22</v>
      </c>
      <c r="E948" s="7">
        <v>0.81</v>
      </c>
      <c r="F948" s="2">
        <v>0.51</v>
      </c>
      <c r="G948" s="7">
        <v>0.81</v>
      </c>
      <c r="H948" s="9" t="s">
        <v>20</v>
      </c>
      <c r="I948">
        <v>0.19</v>
      </c>
      <c r="J948">
        <v>0.64</v>
      </c>
      <c r="K948">
        <v>0.5</v>
      </c>
      <c r="L948">
        <v>0.1</v>
      </c>
      <c r="M948">
        <v>0.2</v>
      </c>
      <c r="N948">
        <v>0.48</v>
      </c>
      <c r="O948">
        <v>0.89</v>
      </c>
      <c r="P948">
        <v>0.56999999999999995</v>
      </c>
      <c r="Q948">
        <v>0.68</v>
      </c>
      <c r="R948" s="2">
        <v>0.34</v>
      </c>
      <c r="S948" t="str">
        <f>IF(Table1[[#This Row],[Years_Experience]]&lt;=5,"Early Career",
IF(Table1[[#This Row],[Years_Experience]]&lt;=15,"Mid Career","Senior Level"))</f>
        <v>Senior Level</v>
      </c>
      <c r="T948" t="str">
        <f>IF(Table1[[#This Row],[AI_Exposure_Index]]&gt;=0.7,"High Exposure", IF(Table1[[#This Row],[AI_Exposure_Index]]&gt;=0.3,"Medium Exposure","Low Exposure"))</f>
        <v>Medium Exposure</v>
      </c>
    </row>
    <row r="949" spans="1:20" x14ac:dyDescent="0.25">
      <c r="A949" t="s">
        <v>33</v>
      </c>
      <c r="B949">
        <v>31112</v>
      </c>
      <c r="C949" s="1">
        <v>25</v>
      </c>
      <c r="D949" t="s">
        <v>25</v>
      </c>
      <c r="E949" s="7">
        <v>1.1599999999999999</v>
      </c>
      <c r="F949" s="2">
        <v>0.45</v>
      </c>
      <c r="G949" s="7">
        <v>0.71</v>
      </c>
      <c r="H949" s="9" t="s">
        <v>20</v>
      </c>
      <c r="I949">
        <v>0.49</v>
      </c>
      <c r="J949">
        <v>0.3</v>
      </c>
      <c r="K949">
        <v>0.33</v>
      </c>
      <c r="L949">
        <v>0.96</v>
      </c>
      <c r="M949">
        <v>0.18</v>
      </c>
      <c r="N949">
        <v>0.31</v>
      </c>
      <c r="O949">
        <v>0.51</v>
      </c>
      <c r="P949">
        <v>0.86</v>
      </c>
      <c r="Q949">
        <v>0.42</v>
      </c>
      <c r="R949" s="2">
        <v>0.74</v>
      </c>
      <c r="S949" t="str">
        <f>IF(Table1[[#This Row],[Years_Experience]]&lt;=5,"Early Career",
IF(Table1[[#This Row],[Years_Experience]]&lt;=15,"Mid Career","Senior Level"))</f>
        <v>Senior Level</v>
      </c>
      <c r="T949" t="str">
        <f>IF(Table1[[#This Row],[AI_Exposure_Index]]&gt;=0.7,"High Exposure", IF(Table1[[#This Row],[AI_Exposure_Index]]&gt;=0.3,"Medium Exposure","Low Exposure"))</f>
        <v>Medium Exposure</v>
      </c>
    </row>
    <row r="950" spans="1:20" x14ac:dyDescent="0.25">
      <c r="A950" t="s">
        <v>21</v>
      </c>
      <c r="B950">
        <v>117351</v>
      </c>
      <c r="C950" s="1">
        <v>15</v>
      </c>
      <c r="D950" t="s">
        <v>19</v>
      </c>
      <c r="E950" s="7">
        <v>0.89</v>
      </c>
      <c r="F950" s="2">
        <v>0.31</v>
      </c>
      <c r="G950" s="7">
        <v>0.14000000000000001</v>
      </c>
      <c r="H950" s="9" t="s">
        <v>23</v>
      </c>
      <c r="I950">
        <v>0.83</v>
      </c>
      <c r="J950">
        <v>0.04</v>
      </c>
      <c r="K950">
        <v>0.31</v>
      </c>
      <c r="L950">
        <v>0.68</v>
      </c>
      <c r="M950">
        <v>0.56999999999999995</v>
      </c>
      <c r="N950">
        <v>0.44</v>
      </c>
      <c r="O950">
        <v>0.54</v>
      </c>
      <c r="P950">
        <v>0.2</v>
      </c>
      <c r="Q950">
        <v>0.43</v>
      </c>
      <c r="R950" s="2">
        <v>0.5</v>
      </c>
      <c r="S950" t="str">
        <f>IF(Table1[[#This Row],[Years_Experience]]&lt;=5,"Early Career",
IF(Table1[[#This Row],[Years_Experience]]&lt;=15,"Mid Career","Senior Level"))</f>
        <v>Mid Career</v>
      </c>
      <c r="T950" t="str">
        <f>IF(Table1[[#This Row],[AI_Exposure_Index]]&gt;=0.7,"High Exposure", IF(Table1[[#This Row],[AI_Exposure_Index]]&gt;=0.3,"Medium Exposure","Low Exposure"))</f>
        <v>Medium Exposure</v>
      </c>
    </row>
    <row r="951" spans="1:20" x14ac:dyDescent="0.25">
      <c r="A951" t="s">
        <v>29</v>
      </c>
      <c r="B951">
        <v>51661</v>
      </c>
      <c r="C951" s="1">
        <v>1</v>
      </c>
      <c r="D951" t="s">
        <v>38</v>
      </c>
      <c r="E951" s="7">
        <v>1.37</v>
      </c>
      <c r="F951" s="2">
        <v>0.26</v>
      </c>
      <c r="G951" s="7">
        <v>0.21</v>
      </c>
      <c r="H951" s="9" t="s">
        <v>23</v>
      </c>
      <c r="I951">
        <v>0.02</v>
      </c>
      <c r="J951">
        <v>0.72</v>
      </c>
      <c r="K951">
        <v>0.04</v>
      </c>
      <c r="L951">
        <v>1</v>
      </c>
      <c r="M951">
        <v>0.87</v>
      </c>
      <c r="N951">
        <v>0.3</v>
      </c>
      <c r="O951">
        <v>0.26</v>
      </c>
      <c r="P951">
        <v>0.38</v>
      </c>
      <c r="Q951">
        <v>0.36</v>
      </c>
      <c r="R951" s="2">
        <v>0.37</v>
      </c>
      <c r="S951" t="str">
        <f>IF(Table1[[#This Row],[Years_Experience]]&lt;=5,"Early Career",
IF(Table1[[#This Row],[Years_Experience]]&lt;=15,"Mid Career","Senior Level"))</f>
        <v>Early Career</v>
      </c>
      <c r="T951" t="str">
        <f>IF(Table1[[#This Row],[AI_Exposure_Index]]&gt;=0.7,"High Exposure", IF(Table1[[#This Row],[AI_Exposure_Index]]&gt;=0.3,"Medium Exposure","Low Exposure"))</f>
        <v>Low Exposure</v>
      </c>
    </row>
    <row r="952" spans="1:20" x14ac:dyDescent="0.25">
      <c r="A952" t="s">
        <v>37</v>
      </c>
      <c r="B952">
        <v>67443</v>
      </c>
      <c r="C952" s="1">
        <v>12</v>
      </c>
      <c r="D952" t="s">
        <v>22</v>
      </c>
      <c r="E952" s="7">
        <v>1.24</v>
      </c>
      <c r="F952" s="2">
        <v>0.65</v>
      </c>
      <c r="G952" s="7">
        <v>0.3</v>
      </c>
      <c r="H952" s="9" t="s">
        <v>23</v>
      </c>
      <c r="I952">
        <v>0.63</v>
      </c>
      <c r="J952">
        <v>0.59</v>
      </c>
      <c r="K952">
        <v>0.54</v>
      </c>
      <c r="L952">
        <v>0.79</v>
      </c>
      <c r="M952">
        <v>0.56000000000000005</v>
      </c>
      <c r="N952">
        <v>0.86</v>
      </c>
      <c r="O952">
        <v>0.23</v>
      </c>
      <c r="P952">
        <v>0.81</v>
      </c>
      <c r="Q952">
        <v>0.18</v>
      </c>
      <c r="R952" s="2">
        <v>0.81</v>
      </c>
      <c r="S952" t="str">
        <f>IF(Table1[[#This Row],[Years_Experience]]&lt;=5,"Early Career",
IF(Table1[[#This Row],[Years_Experience]]&lt;=15,"Mid Career","Senior Level"))</f>
        <v>Mid Career</v>
      </c>
      <c r="T952" t="str">
        <f>IF(Table1[[#This Row],[AI_Exposure_Index]]&gt;=0.7,"High Exposure", IF(Table1[[#This Row],[AI_Exposure_Index]]&gt;=0.3,"Medium Exposure","Low Exposure"))</f>
        <v>Medium Exposure</v>
      </c>
    </row>
    <row r="953" spans="1:20" x14ac:dyDescent="0.25">
      <c r="A953" t="s">
        <v>34</v>
      </c>
      <c r="B953">
        <v>44234</v>
      </c>
      <c r="C953" s="1">
        <v>4</v>
      </c>
      <c r="D953" t="s">
        <v>38</v>
      </c>
      <c r="E953" s="7">
        <v>1.03</v>
      </c>
      <c r="F953" s="2">
        <v>0.34</v>
      </c>
      <c r="G953" s="7">
        <v>0.56000000000000005</v>
      </c>
      <c r="H953" s="9" t="s">
        <v>27</v>
      </c>
      <c r="I953">
        <v>0.08</v>
      </c>
      <c r="J953">
        <v>0.49</v>
      </c>
      <c r="K953">
        <v>0.36</v>
      </c>
      <c r="L953">
        <v>0.87</v>
      </c>
      <c r="M953">
        <v>0.88</v>
      </c>
      <c r="N953">
        <v>0.7</v>
      </c>
      <c r="O953">
        <v>0.66</v>
      </c>
      <c r="P953">
        <v>0.73</v>
      </c>
      <c r="Q953">
        <v>0.37</v>
      </c>
      <c r="R953" s="2">
        <v>0.4</v>
      </c>
      <c r="S953" t="str">
        <f>IF(Table1[[#This Row],[Years_Experience]]&lt;=5,"Early Career",
IF(Table1[[#This Row],[Years_Experience]]&lt;=15,"Mid Career","Senior Level"))</f>
        <v>Early Career</v>
      </c>
      <c r="T953" t="str">
        <f>IF(Table1[[#This Row],[AI_Exposure_Index]]&gt;=0.7,"High Exposure", IF(Table1[[#This Row],[AI_Exposure_Index]]&gt;=0.3,"Medium Exposure","Low Exposure"))</f>
        <v>Medium Exposure</v>
      </c>
    </row>
    <row r="954" spans="1:20" x14ac:dyDescent="0.25">
      <c r="A954" t="s">
        <v>26</v>
      </c>
      <c r="B954">
        <v>134383</v>
      </c>
      <c r="C954" s="1">
        <v>0</v>
      </c>
      <c r="D954" t="s">
        <v>25</v>
      </c>
      <c r="E954" s="7">
        <v>1.22</v>
      </c>
      <c r="F954" s="2">
        <v>0.94</v>
      </c>
      <c r="G954" s="7">
        <v>0.52</v>
      </c>
      <c r="H954" s="9" t="s">
        <v>27</v>
      </c>
      <c r="I954">
        <v>0.77</v>
      </c>
      <c r="J954">
        <v>0.37</v>
      </c>
      <c r="K954">
        <v>0.73</v>
      </c>
      <c r="L954">
        <v>0.41</v>
      </c>
      <c r="M954">
        <v>0.28000000000000003</v>
      </c>
      <c r="N954">
        <v>0.61</v>
      </c>
      <c r="O954">
        <v>0.69</v>
      </c>
      <c r="P954">
        <v>0.46</v>
      </c>
      <c r="Q954">
        <v>0.56999999999999995</v>
      </c>
      <c r="R954" s="2">
        <v>0.69</v>
      </c>
      <c r="S954" t="str">
        <f>IF(Table1[[#This Row],[Years_Experience]]&lt;=5,"Early Career",
IF(Table1[[#This Row],[Years_Experience]]&lt;=15,"Mid Career","Senior Level"))</f>
        <v>Early Career</v>
      </c>
      <c r="T954" t="str">
        <f>IF(Table1[[#This Row],[AI_Exposure_Index]]&gt;=0.7,"High Exposure", IF(Table1[[#This Row],[AI_Exposure_Index]]&gt;=0.3,"Medium Exposure","Low Exposure"))</f>
        <v>High Exposure</v>
      </c>
    </row>
    <row r="955" spans="1:20" x14ac:dyDescent="0.25">
      <c r="A955" t="s">
        <v>18</v>
      </c>
      <c r="B955">
        <v>72320</v>
      </c>
      <c r="C955" s="1">
        <v>6</v>
      </c>
      <c r="D955" t="s">
        <v>25</v>
      </c>
      <c r="E955" s="7">
        <v>0.85</v>
      </c>
      <c r="F955" s="2">
        <v>0.9</v>
      </c>
      <c r="G955" s="7">
        <v>0.94</v>
      </c>
      <c r="H955" s="9" t="s">
        <v>20</v>
      </c>
      <c r="I955">
        <v>0.64</v>
      </c>
      <c r="J955">
        <v>0.79</v>
      </c>
      <c r="K955">
        <v>0.7</v>
      </c>
      <c r="L955">
        <v>0.21</v>
      </c>
      <c r="M955">
        <v>7.0000000000000007E-2</v>
      </c>
      <c r="N955">
        <v>0.73</v>
      </c>
      <c r="O955">
        <v>0.51</v>
      </c>
      <c r="P955">
        <v>0.7</v>
      </c>
      <c r="Q955">
        <v>0.48</v>
      </c>
      <c r="R955" s="2">
        <v>0.31</v>
      </c>
      <c r="S955" t="str">
        <f>IF(Table1[[#This Row],[Years_Experience]]&lt;=5,"Early Career",
IF(Table1[[#This Row],[Years_Experience]]&lt;=15,"Mid Career","Senior Level"))</f>
        <v>Mid Career</v>
      </c>
      <c r="T955" t="str">
        <f>IF(Table1[[#This Row],[AI_Exposure_Index]]&gt;=0.7,"High Exposure", IF(Table1[[#This Row],[AI_Exposure_Index]]&gt;=0.3,"Medium Exposure","Low Exposure"))</f>
        <v>High Exposure</v>
      </c>
    </row>
    <row r="956" spans="1:20" x14ac:dyDescent="0.25">
      <c r="A956" t="s">
        <v>33</v>
      </c>
      <c r="B956">
        <v>91196</v>
      </c>
      <c r="C956" s="1">
        <v>11</v>
      </c>
      <c r="D956" t="s">
        <v>38</v>
      </c>
      <c r="E956" s="7">
        <v>0.78</v>
      </c>
      <c r="F956" s="2">
        <v>0.73</v>
      </c>
      <c r="G956" s="7">
        <v>0.88</v>
      </c>
      <c r="H956" s="9" t="s">
        <v>20</v>
      </c>
      <c r="I956">
        <v>0.38</v>
      </c>
      <c r="J956">
        <v>0.77</v>
      </c>
      <c r="K956">
        <v>0.14000000000000001</v>
      </c>
      <c r="L956">
        <v>0.2</v>
      </c>
      <c r="M956">
        <v>0.69</v>
      </c>
      <c r="N956">
        <v>0.56000000000000005</v>
      </c>
      <c r="O956">
        <v>0.2</v>
      </c>
      <c r="P956">
        <v>0.9</v>
      </c>
      <c r="Q956">
        <v>0.28000000000000003</v>
      </c>
      <c r="R956" s="2">
        <v>0.42</v>
      </c>
      <c r="S956" t="str">
        <f>IF(Table1[[#This Row],[Years_Experience]]&lt;=5,"Early Career",
IF(Table1[[#This Row],[Years_Experience]]&lt;=15,"Mid Career","Senior Level"))</f>
        <v>Mid Career</v>
      </c>
      <c r="T956" t="str">
        <f>IF(Table1[[#This Row],[AI_Exposure_Index]]&gt;=0.7,"High Exposure", IF(Table1[[#This Row],[AI_Exposure_Index]]&gt;=0.3,"Medium Exposure","Low Exposure"))</f>
        <v>High Exposure</v>
      </c>
    </row>
    <row r="957" spans="1:20" x14ac:dyDescent="0.25">
      <c r="A957" t="s">
        <v>18</v>
      </c>
      <c r="B957">
        <v>104861</v>
      </c>
      <c r="C957" s="1">
        <v>0</v>
      </c>
      <c r="D957" t="s">
        <v>38</v>
      </c>
      <c r="E957" s="7">
        <v>0.99</v>
      </c>
      <c r="F957" s="2">
        <v>0.39</v>
      </c>
      <c r="G957" s="7">
        <v>0.77</v>
      </c>
      <c r="H957" s="9" t="s">
        <v>20</v>
      </c>
      <c r="I957">
        <v>0.77</v>
      </c>
      <c r="J957">
        <v>0.39</v>
      </c>
      <c r="K957">
        <v>0.73</v>
      </c>
      <c r="L957">
        <v>0.21</v>
      </c>
      <c r="M957">
        <v>0.38</v>
      </c>
      <c r="N957">
        <v>0.01</v>
      </c>
      <c r="O957">
        <v>0.76</v>
      </c>
      <c r="P957">
        <v>0.63</v>
      </c>
      <c r="Q957">
        <v>0.82</v>
      </c>
      <c r="R957" s="2">
        <v>0.46</v>
      </c>
      <c r="S957" t="str">
        <f>IF(Table1[[#This Row],[Years_Experience]]&lt;=5,"Early Career",
IF(Table1[[#This Row],[Years_Experience]]&lt;=15,"Mid Career","Senior Level"))</f>
        <v>Early Career</v>
      </c>
      <c r="T957" t="str">
        <f>IF(Table1[[#This Row],[AI_Exposure_Index]]&gt;=0.7,"High Exposure", IF(Table1[[#This Row],[AI_Exposure_Index]]&gt;=0.3,"Medium Exposure","Low Exposure"))</f>
        <v>Medium Exposure</v>
      </c>
    </row>
    <row r="958" spans="1:20" x14ac:dyDescent="0.25">
      <c r="A958" t="s">
        <v>32</v>
      </c>
      <c r="B958">
        <v>148169</v>
      </c>
      <c r="C958" s="1">
        <v>20</v>
      </c>
      <c r="D958" t="s">
        <v>22</v>
      </c>
      <c r="E958" s="7">
        <v>0.5</v>
      </c>
      <c r="F958" s="2">
        <v>0.65</v>
      </c>
      <c r="G958" s="7">
        <v>0.4</v>
      </c>
      <c r="H958" s="9" t="s">
        <v>27</v>
      </c>
      <c r="I958">
        <v>0.49</v>
      </c>
      <c r="J958">
        <v>0.62</v>
      </c>
      <c r="K958">
        <v>7.0000000000000007E-2</v>
      </c>
      <c r="L958">
        <v>0.71</v>
      </c>
      <c r="M958">
        <v>0.54</v>
      </c>
      <c r="N958">
        <v>0.53</v>
      </c>
      <c r="O958">
        <v>0.28999999999999998</v>
      </c>
      <c r="P958">
        <v>0.59</v>
      </c>
      <c r="Q958">
        <v>0.03</v>
      </c>
      <c r="R958" s="2">
        <v>0.06</v>
      </c>
      <c r="S958" t="str">
        <f>IF(Table1[[#This Row],[Years_Experience]]&lt;=5,"Early Career",
IF(Table1[[#This Row],[Years_Experience]]&lt;=15,"Mid Career","Senior Level"))</f>
        <v>Senior Level</v>
      </c>
      <c r="T958" t="str">
        <f>IF(Table1[[#This Row],[AI_Exposure_Index]]&gt;=0.7,"High Exposure", IF(Table1[[#This Row],[AI_Exposure_Index]]&gt;=0.3,"Medium Exposure","Low Exposure"))</f>
        <v>Medium Exposure</v>
      </c>
    </row>
    <row r="959" spans="1:20" x14ac:dyDescent="0.25">
      <c r="A959" t="s">
        <v>42</v>
      </c>
      <c r="B959">
        <v>89630</v>
      </c>
      <c r="C959" s="1">
        <v>13</v>
      </c>
      <c r="D959" t="s">
        <v>25</v>
      </c>
      <c r="E959" s="7">
        <v>0.85</v>
      </c>
      <c r="F959" s="2">
        <v>0.32</v>
      </c>
      <c r="G959" s="7">
        <v>0.38</v>
      </c>
      <c r="H959" s="9" t="s">
        <v>27</v>
      </c>
      <c r="I959">
        <v>0.45</v>
      </c>
      <c r="J959">
        <v>0.05</v>
      </c>
      <c r="K959">
        <v>0.3</v>
      </c>
      <c r="L959">
        <v>0.53</v>
      </c>
      <c r="M959">
        <v>0.47</v>
      </c>
      <c r="N959">
        <v>1</v>
      </c>
      <c r="O959">
        <v>0.39</v>
      </c>
      <c r="P959">
        <v>0.39</v>
      </c>
      <c r="Q959">
        <v>0.5</v>
      </c>
      <c r="R959" s="2">
        <v>0.19</v>
      </c>
      <c r="S959" t="str">
        <f>IF(Table1[[#This Row],[Years_Experience]]&lt;=5,"Early Career",
IF(Table1[[#This Row],[Years_Experience]]&lt;=15,"Mid Career","Senior Level"))</f>
        <v>Mid Career</v>
      </c>
      <c r="T959" t="str">
        <f>IF(Table1[[#This Row],[AI_Exposure_Index]]&gt;=0.7,"High Exposure", IF(Table1[[#This Row],[AI_Exposure_Index]]&gt;=0.3,"Medium Exposure","Low Exposure"))</f>
        <v>Medium Exposure</v>
      </c>
    </row>
    <row r="960" spans="1:20" x14ac:dyDescent="0.25">
      <c r="A960" t="s">
        <v>30</v>
      </c>
      <c r="B960">
        <v>127435</v>
      </c>
      <c r="C960" s="1">
        <v>3</v>
      </c>
      <c r="D960" t="s">
        <v>22</v>
      </c>
      <c r="E960" s="7">
        <v>0.69</v>
      </c>
      <c r="F960" s="2">
        <v>0.56999999999999995</v>
      </c>
      <c r="G960" s="7">
        <v>0.62</v>
      </c>
      <c r="H960" s="9" t="s">
        <v>27</v>
      </c>
      <c r="I960">
        <v>0.03</v>
      </c>
      <c r="J960">
        <v>0.98</v>
      </c>
      <c r="K960">
        <v>0.87</v>
      </c>
      <c r="L960">
        <v>0.57999999999999996</v>
      </c>
      <c r="M960">
        <v>0.11</v>
      </c>
      <c r="N960">
        <v>0.22</v>
      </c>
      <c r="O960">
        <v>0.28000000000000003</v>
      </c>
      <c r="P960">
        <v>0.24</v>
      </c>
      <c r="Q960">
        <v>0.5</v>
      </c>
      <c r="R960" s="2">
        <v>0.94</v>
      </c>
      <c r="S960" t="str">
        <f>IF(Table1[[#This Row],[Years_Experience]]&lt;=5,"Early Career",
IF(Table1[[#This Row],[Years_Experience]]&lt;=15,"Mid Career","Senior Level"))</f>
        <v>Early Career</v>
      </c>
      <c r="T960" t="str">
        <f>IF(Table1[[#This Row],[AI_Exposure_Index]]&gt;=0.7,"High Exposure", IF(Table1[[#This Row],[AI_Exposure_Index]]&gt;=0.3,"Medium Exposure","Low Exposure"))</f>
        <v>Medium Exposure</v>
      </c>
    </row>
    <row r="961" spans="1:20" x14ac:dyDescent="0.25">
      <c r="A961" t="s">
        <v>30</v>
      </c>
      <c r="B961">
        <v>114845</v>
      </c>
      <c r="C961" s="1">
        <v>4</v>
      </c>
      <c r="D961" t="s">
        <v>38</v>
      </c>
      <c r="E961" s="7">
        <v>1.19</v>
      </c>
      <c r="F961" s="2">
        <v>0.66</v>
      </c>
      <c r="G961" s="7">
        <v>0.65</v>
      </c>
      <c r="H961" s="9" t="s">
        <v>27</v>
      </c>
      <c r="I961">
        <v>0.03</v>
      </c>
      <c r="J961">
        <v>0.4</v>
      </c>
      <c r="K961">
        <v>0.78</v>
      </c>
      <c r="L961">
        <v>0.81</v>
      </c>
      <c r="M961">
        <v>0.93</v>
      </c>
      <c r="N961">
        <v>0.7</v>
      </c>
      <c r="O961">
        <v>0.25</v>
      </c>
      <c r="P961">
        <v>0.51</v>
      </c>
      <c r="Q961">
        <v>0.03</v>
      </c>
      <c r="R961" s="2">
        <v>0.65</v>
      </c>
      <c r="S961" t="str">
        <f>IF(Table1[[#This Row],[Years_Experience]]&lt;=5,"Early Career",
IF(Table1[[#This Row],[Years_Experience]]&lt;=15,"Mid Career","Senior Level"))</f>
        <v>Early Career</v>
      </c>
      <c r="T961" t="str">
        <f>IF(Table1[[#This Row],[AI_Exposure_Index]]&gt;=0.7,"High Exposure", IF(Table1[[#This Row],[AI_Exposure_Index]]&gt;=0.3,"Medium Exposure","Low Exposure"))</f>
        <v>Medium Exposure</v>
      </c>
    </row>
    <row r="962" spans="1:20" x14ac:dyDescent="0.25">
      <c r="A962" t="s">
        <v>32</v>
      </c>
      <c r="B962">
        <v>49053</v>
      </c>
      <c r="C962" s="1">
        <v>28</v>
      </c>
      <c r="D962" t="s">
        <v>38</v>
      </c>
      <c r="E962" s="7">
        <v>1.43</v>
      </c>
      <c r="F962" s="2">
        <v>0.67</v>
      </c>
      <c r="G962" s="7">
        <v>0.56999999999999995</v>
      </c>
      <c r="H962" s="9" t="s">
        <v>27</v>
      </c>
      <c r="I962">
        <v>0.32</v>
      </c>
      <c r="J962">
        <v>0.2</v>
      </c>
      <c r="K962">
        <v>0.85</v>
      </c>
      <c r="L962">
        <v>0.19</v>
      </c>
      <c r="M962">
        <v>0.16</v>
      </c>
      <c r="N962">
        <v>0.21</v>
      </c>
      <c r="O962">
        <v>0.51</v>
      </c>
      <c r="P962">
        <v>0.12</v>
      </c>
      <c r="Q962">
        <v>0.94</v>
      </c>
      <c r="R962" s="2">
        <v>0.97</v>
      </c>
      <c r="S962" t="str">
        <f>IF(Table1[[#This Row],[Years_Experience]]&lt;=5,"Early Career",
IF(Table1[[#This Row],[Years_Experience]]&lt;=15,"Mid Career","Senior Level"))</f>
        <v>Senior Level</v>
      </c>
      <c r="T962" t="str">
        <f>IF(Table1[[#This Row],[AI_Exposure_Index]]&gt;=0.7,"High Exposure", IF(Table1[[#This Row],[AI_Exposure_Index]]&gt;=0.3,"Medium Exposure","Low Exposure"))</f>
        <v>Medium Exposure</v>
      </c>
    </row>
    <row r="963" spans="1:20" x14ac:dyDescent="0.25">
      <c r="A963" t="s">
        <v>43</v>
      </c>
      <c r="B963">
        <v>100683</v>
      </c>
      <c r="C963" s="1">
        <v>3</v>
      </c>
      <c r="D963" t="s">
        <v>19</v>
      </c>
      <c r="E963" s="7">
        <v>0.74</v>
      </c>
      <c r="F963" s="2">
        <v>0.41</v>
      </c>
      <c r="G963" s="7">
        <v>0.08</v>
      </c>
      <c r="H963" s="9" t="s">
        <v>23</v>
      </c>
      <c r="I963">
        <v>0.86</v>
      </c>
      <c r="J963">
        <v>0.56000000000000005</v>
      </c>
      <c r="K963">
        <v>0.86</v>
      </c>
      <c r="L963">
        <v>0.83</v>
      </c>
      <c r="M963">
        <v>0.28000000000000003</v>
      </c>
      <c r="N963">
        <v>0.55000000000000004</v>
      </c>
      <c r="O963">
        <v>0.08</v>
      </c>
      <c r="P963">
        <v>0.92</v>
      </c>
      <c r="Q963">
        <v>0.4</v>
      </c>
      <c r="R963" s="2">
        <v>0.39</v>
      </c>
      <c r="S963" t="str">
        <f>IF(Table1[[#This Row],[Years_Experience]]&lt;=5,"Early Career",
IF(Table1[[#This Row],[Years_Experience]]&lt;=15,"Mid Career","Senior Level"))</f>
        <v>Early Career</v>
      </c>
      <c r="T963" t="str">
        <f>IF(Table1[[#This Row],[AI_Exposure_Index]]&gt;=0.7,"High Exposure", IF(Table1[[#This Row],[AI_Exposure_Index]]&gt;=0.3,"Medium Exposure","Low Exposure"))</f>
        <v>Medium Exposure</v>
      </c>
    </row>
    <row r="964" spans="1:20" x14ac:dyDescent="0.25">
      <c r="A964" t="s">
        <v>24</v>
      </c>
      <c r="B964">
        <v>120153</v>
      </c>
      <c r="C964" s="1">
        <v>20</v>
      </c>
      <c r="D964" t="s">
        <v>38</v>
      </c>
      <c r="E964" s="7">
        <v>0.75</v>
      </c>
      <c r="F964" s="2">
        <v>0.46</v>
      </c>
      <c r="G964" s="7">
        <v>0.79</v>
      </c>
      <c r="H964" s="9" t="s">
        <v>20</v>
      </c>
      <c r="I964">
        <v>0.8</v>
      </c>
      <c r="J964">
        <v>0.83</v>
      </c>
      <c r="K964">
        <v>0.3</v>
      </c>
      <c r="L964">
        <v>0.47</v>
      </c>
      <c r="M964">
        <v>0.87</v>
      </c>
      <c r="N964">
        <v>0.05</v>
      </c>
      <c r="O964">
        <v>0.89</v>
      </c>
      <c r="P964">
        <v>0.22</v>
      </c>
      <c r="Q964">
        <v>0.68</v>
      </c>
      <c r="R964" s="2">
        <v>0.57999999999999996</v>
      </c>
      <c r="S964" t="str">
        <f>IF(Table1[[#This Row],[Years_Experience]]&lt;=5,"Early Career",
IF(Table1[[#This Row],[Years_Experience]]&lt;=15,"Mid Career","Senior Level"))</f>
        <v>Senior Level</v>
      </c>
      <c r="T964" t="str">
        <f>IF(Table1[[#This Row],[AI_Exposure_Index]]&gt;=0.7,"High Exposure", IF(Table1[[#This Row],[AI_Exposure_Index]]&gt;=0.3,"Medium Exposure","Low Exposure"))</f>
        <v>Medium Exposure</v>
      </c>
    </row>
    <row r="965" spans="1:20" x14ac:dyDescent="0.25">
      <c r="A965" t="s">
        <v>44</v>
      </c>
      <c r="B965">
        <v>129926</v>
      </c>
      <c r="C965" s="1">
        <v>0</v>
      </c>
      <c r="D965" t="s">
        <v>25</v>
      </c>
      <c r="E965" s="7">
        <v>0.6</v>
      </c>
      <c r="F965" s="2">
        <v>0.86</v>
      </c>
      <c r="G965" s="7">
        <v>0.44</v>
      </c>
      <c r="H965" s="9" t="s">
        <v>27</v>
      </c>
      <c r="I965">
        <v>0.54</v>
      </c>
      <c r="J965">
        <v>0.81</v>
      </c>
      <c r="K965">
        <v>0.22</v>
      </c>
      <c r="L965">
        <v>0.8</v>
      </c>
      <c r="M965">
        <v>0.4</v>
      </c>
      <c r="N965">
        <v>0.19</v>
      </c>
      <c r="O965">
        <v>0.76</v>
      </c>
      <c r="P965">
        <v>0.09</v>
      </c>
      <c r="Q965">
        <v>0.51</v>
      </c>
      <c r="R965" s="2">
        <v>0.06</v>
      </c>
      <c r="S965" t="str">
        <f>IF(Table1[[#This Row],[Years_Experience]]&lt;=5,"Early Career",
IF(Table1[[#This Row],[Years_Experience]]&lt;=15,"Mid Career","Senior Level"))</f>
        <v>Early Career</v>
      </c>
      <c r="T965" t="str">
        <f>IF(Table1[[#This Row],[AI_Exposure_Index]]&gt;=0.7,"High Exposure", IF(Table1[[#This Row],[AI_Exposure_Index]]&gt;=0.3,"Medium Exposure","Low Exposure"))</f>
        <v>High Exposure</v>
      </c>
    </row>
    <row r="966" spans="1:20" x14ac:dyDescent="0.25">
      <c r="A966" t="s">
        <v>39</v>
      </c>
      <c r="B966">
        <v>43140</v>
      </c>
      <c r="C966" s="1">
        <v>13</v>
      </c>
      <c r="D966" t="s">
        <v>22</v>
      </c>
      <c r="E966" s="7">
        <v>1.06</v>
      </c>
      <c r="F966" s="2">
        <v>0.6</v>
      </c>
      <c r="G966" s="7">
        <v>0.8</v>
      </c>
      <c r="H966" s="9" t="s">
        <v>20</v>
      </c>
      <c r="I966">
        <v>0.43</v>
      </c>
      <c r="J966">
        <v>0.23</v>
      </c>
      <c r="K966">
        <v>0.46</v>
      </c>
      <c r="L966">
        <v>0.95</v>
      </c>
      <c r="M966">
        <v>0.85</v>
      </c>
      <c r="N966">
        <v>0.15</v>
      </c>
      <c r="O966">
        <v>0.03</v>
      </c>
      <c r="P966">
        <v>0.93</v>
      </c>
      <c r="Q966">
        <v>0.53</v>
      </c>
      <c r="R966" s="2">
        <v>0.54</v>
      </c>
      <c r="S966" t="str">
        <f>IF(Table1[[#This Row],[Years_Experience]]&lt;=5,"Early Career",
IF(Table1[[#This Row],[Years_Experience]]&lt;=15,"Mid Career","Senior Level"))</f>
        <v>Mid Career</v>
      </c>
      <c r="T966" t="str">
        <f>IF(Table1[[#This Row],[AI_Exposure_Index]]&gt;=0.7,"High Exposure", IF(Table1[[#This Row],[AI_Exposure_Index]]&gt;=0.3,"Medium Exposure","Low Exposure"))</f>
        <v>Medium Exposure</v>
      </c>
    </row>
    <row r="967" spans="1:20" x14ac:dyDescent="0.25">
      <c r="A967" t="s">
        <v>36</v>
      </c>
      <c r="B967">
        <v>104362</v>
      </c>
      <c r="C967" s="1">
        <v>11</v>
      </c>
      <c r="D967" t="s">
        <v>22</v>
      </c>
      <c r="E967" s="7">
        <v>0.98</v>
      </c>
      <c r="F967" s="2">
        <v>0.31</v>
      </c>
      <c r="G967" s="7">
        <v>0.69</v>
      </c>
      <c r="H967" s="9" t="s">
        <v>27</v>
      </c>
      <c r="I967">
        <v>0.67</v>
      </c>
      <c r="J967">
        <v>0.15</v>
      </c>
      <c r="K967">
        <v>0.13</v>
      </c>
      <c r="L967">
        <v>0.2</v>
      </c>
      <c r="M967">
        <v>0.77</v>
      </c>
      <c r="N967">
        <v>0.3</v>
      </c>
      <c r="O967">
        <v>0.02</v>
      </c>
      <c r="P967">
        <v>0.94</v>
      </c>
      <c r="Q967">
        <v>0.17</v>
      </c>
      <c r="R967" s="2">
        <v>0.01</v>
      </c>
      <c r="S967" t="str">
        <f>IF(Table1[[#This Row],[Years_Experience]]&lt;=5,"Early Career",
IF(Table1[[#This Row],[Years_Experience]]&lt;=15,"Mid Career","Senior Level"))</f>
        <v>Mid Career</v>
      </c>
      <c r="T967" t="str">
        <f>IF(Table1[[#This Row],[AI_Exposure_Index]]&gt;=0.7,"High Exposure", IF(Table1[[#This Row],[AI_Exposure_Index]]&gt;=0.3,"Medium Exposure","Low Exposure"))</f>
        <v>Medium Exposure</v>
      </c>
    </row>
    <row r="968" spans="1:20" x14ac:dyDescent="0.25">
      <c r="A968" t="s">
        <v>28</v>
      </c>
      <c r="B968">
        <v>73030</v>
      </c>
      <c r="C968" s="1">
        <v>5</v>
      </c>
      <c r="D968" t="s">
        <v>22</v>
      </c>
      <c r="E968" s="7">
        <v>0.92</v>
      </c>
      <c r="F968" s="2">
        <v>0.24</v>
      </c>
      <c r="G968" s="7">
        <v>0.67</v>
      </c>
      <c r="H968" s="9" t="s">
        <v>27</v>
      </c>
      <c r="I968">
        <v>0.88</v>
      </c>
      <c r="J968">
        <v>0.46</v>
      </c>
      <c r="K968">
        <v>0.41</v>
      </c>
      <c r="L968">
        <v>0.56000000000000005</v>
      </c>
      <c r="M968">
        <v>0.24</v>
      </c>
      <c r="N968">
        <v>0.05</v>
      </c>
      <c r="O968">
        <v>0.94</v>
      </c>
      <c r="P968">
        <v>0.19</v>
      </c>
      <c r="Q968">
        <v>0.2</v>
      </c>
      <c r="R968" s="2">
        <v>0.47</v>
      </c>
      <c r="S968" t="str">
        <f>IF(Table1[[#This Row],[Years_Experience]]&lt;=5,"Early Career",
IF(Table1[[#This Row],[Years_Experience]]&lt;=15,"Mid Career","Senior Level"))</f>
        <v>Early Career</v>
      </c>
      <c r="T968" t="str">
        <f>IF(Table1[[#This Row],[AI_Exposure_Index]]&gt;=0.7,"High Exposure", IF(Table1[[#This Row],[AI_Exposure_Index]]&gt;=0.3,"Medium Exposure","Low Exposure"))</f>
        <v>Low Exposure</v>
      </c>
    </row>
    <row r="969" spans="1:20" x14ac:dyDescent="0.25">
      <c r="A969" t="s">
        <v>43</v>
      </c>
      <c r="B969">
        <v>54400</v>
      </c>
      <c r="C969" s="1">
        <v>18</v>
      </c>
      <c r="D969" t="s">
        <v>22</v>
      </c>
      <c r="E969" s="7">
        <v>0.65</v>
      </c>
      <c r="F969" s="2">
        <v>0.02</v>
      </c>
      <c r="G969" s="7">
        <v>0.14000000000000001</v>
      </c>
      <c r="H969" s="9" t="s">
        <v>23</v>
      </c>
      <c r="I969">
        <v>0.68</v>
      </c>
      <c r="J969">
        <v>0.23</v>
      </c>
      <c r="K969">
        <v>0.42</v>
      </c>
      <c r="L969">
        <v>0.56000000000000005</v>
      </c>
      <c r="M969">
        <v>0.89</v>
      </c>
      <c r="N969">
        <v>0.33</v>
      </c>
      <c r="O969">
        <v>0.13</v>
      </c>
      <c r="P969">
        <v>0.49</v>
      </c>
      <c r="Q969">
        <v>0.75</v>
      </c>
      <c r="R969" s="2">
        <v>0.11</v>
      </c>
      <c r="S969" t="str">
        <f>IF(Table1[[#This Row],[Years_Experience]]&lt;=5,"Early Career",
IF(Table1[[#This Row],[Years_Experience]]&lt;=15,"Mid Career","Senior Level"))</f>
        <v>Senior Level</v>
      </c>
      <c r="T969" t="str">
        <f>IF(Table1[[#This Row],[AI_Exposure_Index]]&gt;=0.7,"High Exposure", IF(Table1[[#This Row],[AI_Exposure_Index]]&gt;=0.3,"Medium Exposure","Low Exposure"))</f>
        <v>Low Exposure</v>
      </c>
    </row>
    <row r="970" spans="1:20" x14ac:dyDescent="0.25">
      <c r="A970" t="s">
        <v>43</v>
      </c>
      <c r="B970">
        <v>33760</v>
      </c>
      <c r="C970" s="1">
        <v>20</v>
      </c>
      <c r="D970" t="s">
        <v>22</v>
      </c>
      <c r="E970" s="7">
        <v>0.53</v>
      </c>
      <c r="F970" s="2">
        <v>0.02</v>
      </c>
      <c r="G970" s="7">
        <v>0.17</v>
      </c>
      <c r="H970" s="9" t="s">
        <v>23</v>
      </c>
      <c r="I970">
        <v>0.3</v>
      </c>
      <c r="J970">
        <v>0.85</v>
      </c>
      <c r="K970">
        <v>0.6</v>
      </c>
      <c r="L970">
        <v>0.45</v>
      </c>
      <c r="M970">
        <v>0.41</v>
      </c>
      <c r="N970">
        <v>0.5</v>
      </c>
      <c r="O970">
        <v>0.04</v>
      </c>
      <c r="P970">
        <v>0.89</v>
      </c>
      <c r="Q970">
        <v>1</v>
      </c>
      <c r="R970" s="2">
        <v>0.18</v>
      </c>
      <c r="S970" t="str">
        <f>IF(Table1[[#This Row],[Years_Experience]]&lt;=5,"Early Career",
IF(Table1[[#This Row],[Years_Experience]]&lt;=15,"Mid Career","Senior Level"))</f>
        <v>Senior Level</v>
      </c>
      <c r="T970" t="str">
        <f>IF(Table1[[#This Row],[AI_Exposure_Index]]&gt;=0.7,"High Exposure", IF(Table1[[#This Row],[AI_Exposure_Index]]&gt;=0.3,"Medium Exposure","Low Exposure"))</f>
        <v>Low Exposure</v>
      </c>
    </row>
    <row r="971" spans="1:20" x14ac:dyDescent="0.25">
      <c r="A971" t="s">
        <v>39</v>
      </c>
      <c r="B971">
        <v>122930</v>
      </c>
      <c r="C971" s="1">
        <v>21</v>
      </c>
      <c r="D971" t="s">
        <v>38</v>
      </c>
      <c r="E971" s="7">
        <v>1.1599999999999999</v>
      </c>
      <c r="F971" s="2">
        <v>0.14000000000000001</v>
      </c>
      <c r="G971" s="7">
        <v>0.87</v>
      </c>
      <c r="H971" s="9" t="s">
        <v>20</v>
      </c>
      <c r="I971">
        <v>0.85</v>
      </c>
      <c r="J971">
        <v>0.75</v>
      </c>
      <c r="K971">
        <v>0.45</v>
      </c>
      <c r="L971">
        <v>0.61</v>
      </c>
      <c r="M971">
        <v>0.69</v>
      </c>
      <c r="N971">
        <v>0.51</v>
      </c>
      <c r="O971">
        <v>0.48</v>
      </c>
      <c r="P971">
        <v>0.65</v>
      </c>
      <c r="Q971">
        <v>0.56000000000000005</v>
      </c>
      <c r="R971" s="2">
        <v>0.64</v>
      </c>
      <c r="S971" t="str">
        <f>IF(Table1[[#This Row],[Years_Experience]]&lt;=5,"Early Career",
IF(Table1[[#This Row],[Years_Experience]]&lt;=15,"Mid Career","Senior Level"))</f>
        <v>Senior Level</v>
      </c>
      <c r="T971" t="str">
        <f>IF(Table1[[#This Row],[AI_Exposure_Index]]&gt;=0.7,"High Exposure", IF(Table1[[#This Row],[AI_Exposure_Index]]&gt;=0.3,"Medium Exposure","Low Exposure"))</f>
        <v>Low Exposure</v>
      </c>
    </row>
    <row r="972" spans="1:20" x14ac:dyDescent="0.25">
      <c r="A972" t="s">
        <v>32</v>
      </c>
      <c r="B972">
        <v>33323</v>
      </c>
      <c r="C972" s="1">
        <v>29</v>
      </c>
      <c r="D972" t="s">
        <v>38</v>
      </c>
      <c r="E972" s="7">
        <v>1.1399999999999999</v>
      </c>
      <c r="F972" s="2">
        <v>0.72</v>
      </c>
      <c r="G972" s="7">
        <v>0.51</v>
      </c>
      <c r="H972" s="9" t="s">
        <v>27</v>
      </c>
      <c r="I972">
        <v>0.68</v>
      </c>
      <c r="J972">
        <v>0.45</v>
      </c>
      <c r="K972">
        <v>0.24</v>
      </c>
      <c r="L972">
        <v>0</v>
      </c>
      <c r="M972">
        <v>0.56000000000000005</v>
      </c>
      <c r="N972">
        <v>0.59</v>
      </c>
      <c r="O972">
        <v>0.97</v>
      </c>
      <c r="P972">
        <v>0.36</v>
      </c>
      <c r="Q972">
        <v>0.39</v>
      </c>
      <c r="R972" s="2">
        <v>0.2</v>
      </c>
      <c r="S972" t="str">
        <f>IF(Table1[[#This Row],[Years_Experience]]&lt;=5,"Early Career",
IF(Table1[[#This Row],[Years_Experience]]&lt;=15,"Mid Career","Senior Level"))</f>
        <v>Senior Level</v>
      </c>
      <c r="T972" t="str">
        <f>IF(Table1[[#This Row],[AI_Exposure_Index]]&gt;=0.7,"High Exposure", IF(Table1[[#This Row],[AI_Exposure_Index]]&gt;=0.3,"Medium Exposure","Low Exposure"))</f>
        <v>High Exposure</v>
      </c>
    </row>
    <row r="973" spans="1:20" x14ac:dyDescent="0.25">
      <c r="A973" t="s">
        <v>35</v>
      </c>
      <c r="B973">
        <v>65098</v>
      </c>
      <c r="C973" s="1">
        <v>10</v>
      </c>
      <c r="D973" t="s">
        <v>22</v>
      </c>
      <c r="E973" s="7">
        <v>0.68</v>
      </c>
      <c r="F973" s="2">
        <v>0.22</v>
      </c>
      <c r="G973" s="7">
        <v>0.31</v>
      </c>
      <c r="H973" s="9" t="s">
        <v>27</v>
      </c>
      <c r="I973">
        <v>0.21</v>
      </c>
      <c r="J973">
        <v>0.52</v>
      </c>
      <c r="K973">
        <v>0.54</v>
      </c>
      <c r="L973">
        <v>0.25</v>
      </c>
      <c r="M973">
        <v>7.0000000000000007E-2</v>
      </c>
      <c r="N973">
        <v>0.74</v>
      </c>
      <c r="O973">
        <v>0.76</v>
      </c>
      <c r="P973">
        <v>1</v>
      </c>
      <c r="Q973">
        <v>0.9</v>
      </c>
      <c r="R973" s="2">
        <v>0.93</v>
      </c>
      <c r="S973" t="str">
        <f>IF(Table1[[#This Row],[Years_Experience]]&lt;=5,"Early Career",
IF(Table1[[#This Row],[Years_Experience]]&lt;=15,"Mid Career","Senior Level"))</f>
        <v>Mid Career</v>
      </c>
      <c r="T973" t="str">
        <f>IF(Table1[[#This Row],[AI_Exposure_Index]]&gt;=0.7,"High Exposure", IF(Table1[[#This Row],[AI_Exposure_Index]]&gt;=0.3,"Medium Exposure","Low Exposure"))</f>
        <v>Low Exposure</v>
      </c>
    </row>
    <row r="974" spans="1:20" x14ac:dyDescent="0.25">
      <c r="A974" t="s">
        <v>42</v>
      </c>
      <c r="B974">
        <v>101153</v>
      </c>
      <c r="C974" s="1">
        <v>11</v>
      </c>
      <c r="D974" t="s">
        <v>22</v>
      </c>
      <c r="E974" s="7">
        <v>0.63</v>
      </c>
      <c r="F974" s="2">
        <v>0.62</v>
      </c>
      <c r="G974" s="7">
        <v>0.55000000000000004</v>
      </c>
      <c r="H974" s="9" t="s">
        <v>27</v>
      </c>
      <c r="I974">
        <v>0.06</v>
      </c>
      <c r="J974">
        <v>0.89</v>
      </c>
      <c r="K974">
        <v>0.48</v>
      </c>
      <c r="L974">
        <v>0.7</v>
      </c>
      <c r="M974">
        <v>0.05</v>
      </c>
      <c r="N974">
        <v>0.53</v>
      </c>
      <c r="O974">
        <v>0.3</v>
      </c>
      <c r="P974">
        <v>0.28000000000000003</v>
      </c>
      <c r="Q974">
        <v>0.39</v>
      </c>
      <c r="R974" s="2">
        <v>0</v>
      </c>
      <c r="S974" t="str">
        <f>IF(Table1[[#This Row],[Years_Experience]]&lt;=5,"Early Career",
IF(Table1[[#This Row],[Years_Experience]]&lt;=15,"Mid Career","Senior Level"))</f>
        <v>Mid Career</v>
      </c>
      <c r="T974" t="str">
        <f>IF(Table1[[#This Row],[AI_Exposure_Index]]&gt;=0.7,"High Exposure", IF(Table1[[#This Row],[AI_Exposure_Index]]&gt;=0.3,"Medium Exposure","Low Exposure"))</f>
        <v>Medium Exposure</v>
      </c>
    </row>
    <row r="975" spans="1:20" x14ac:dyDescent="0.25">
      <c r="A975" t="s">
        <v>18</v>
      </c>
      <c r="B975">
        <v>101279</v>
      </c>
      <c r="C975" s="1">
        <v>14</v>
      </c>
      <c r="D975" t="s">
        <v>38</v>
      </c>
      <c r="E975" s="7">
        <v>1.36</v>
      </c>
      <c r="F975" s="2">
        <v>0.49</v>
      </c>
      <c r="G975" s="7">
        <v>0.81</v>
      </c>
      <c r="H975" s="9" t="s">
        <v>20</v>
      </c>
      <c r="I975">
        <v>0.36</v>
      </c>
      <c r="J975">
        <v>0.99</v>
      </c>
      <c r="K975">
        <v>0.56999999999999995</v>
      </c>
      <c r="L975">
        <v>0.47</v>
      </c>
      <c r="M975">
        <v>0.5</v>
      </c>
      <c r="N975">
        <v>0.81</v>
      </c>
      <c r="O975">
        <v>0.34</v>
      </c>
      <c r="P975">
        <v>0.39</v>
      </c>
      <c r="Q975">
        <v>0.76</v>
      </c>
      <c r="R975" s="2">
        <v>7.0000000000000007E-2</v>
      </c>
      <c r="S975" t="str">
        <f>IF(Table1[[#This Row],[Years_Experience]]&lt;=5,"Early Career",
IF(Table1[[#This Row],[Years_Experience]]&lt;=15,"Mid Career","Senior Level"))</f>
        <v>Mid Career</v>
      </c>
      <c r="T975" t="str">
        <f>IF(Table1[[#This Row],[AI_Exposure_Index]]&gt;=0.7,"High Exposure", IF(Table1[[#This Row],[AI_Exposure_Index]]&gt;=0.3,"Medium Exposure","Low Exposure"))</f>
        <v>Medium Exposure</v>
      </c>
    </row>
    <row r="976" spans="1:20" x14ac:dyDescent="0.25">
      <c r="A976" t="s">
        <v>36</v>
      </c>
      <c r="B976">
        <v>143115</v>
      </c>
      <c r="C976" s="1">
        <v>0</v>
      </c>
      <c r="D976" t="s">
        <v>38</v>
      </c>
      <c r="E976" s="7">
        <v>1.08</v>
      </c>
      <c r="F976" s="2">
        <v>0.43</v>
      </c>
      <c r="G976" s="7">
        <v>0.6</v>
      </c>
      <c r="H976" s="9" t="s">
        <v>27</v>
      </c>
      <c r="I976">
        <v>0.27</v>
      </c>
      <c r="J976">
        <v>0.89</v>
      </c>
      <c r="K976">
        <v>0.98</v>
      </c>
      <c r="L976">
        <v>0.49</v>
      </c>
      <c r="M976">
        <v>0.94</v>
      </c>
      <c r="N976">
        <v>0</v>
      </c>
      <c r="O976">
        <v>0.89</v>
      </c>
      <c r="P976">
        <v>0.31</v>
      </c>
      <c r="Q976">
        <v>0.31</v>
      </c>
      <c r="R976" s="2">
        <v>0.23</v>
      </c>
      <c r="S976" t="str">
        <f>IF(Table1[[#This Row],[Years_Experience]]&lt;=5,"Early Career",
IF(Table1[[#This Row],[Years_Experience]]&lt;=15,"Mid Career","Senior Level"))</f>
        <v>Early Career</v>
      </c>
      <c r="T976" t="str">
        <f>IF(Table1[[#This Row],[AI_Exposure_Index]]&gt;=0.7,"High Exposure", IF(Table1[[#This Row],[AI_Exposure_Index]]&gt;=0.3,"Medium Exposure","Low Exposure"))</f>
        <v>Medium Exposure</v>
      </c>
    </row>
    <row r="977" spans="1:20" x14ac:dyDescent="0.25">
      <c r="A977" t="s">
        <v>37</v>
      </c>
      <c r="B977">
        <v>149487</v>
      </c>
      <c r="C977" s="1">
        <v>7</v>
      </c>
      <c r="D977" t="s">
        <v>38</v>
      </c>
      <c r="E977" s="7">
        <v>1.41</v>
      </c>
      <c r="F977" s="2">
        <v>0.21</v>
      </c>
      <c r="G977" s="7">
        <v>0.66</v>
      </c>
      <c r="H977" s="9" t="s">
        <v>27</v>
      </c>
      <c r="I977">
        <v>0.1</v>
      </c>
      <c r="J977">
        <v>0.14000000000000001</v>
      </c>
      <c r="K977">
        <v>0.86</v>
      </c>
      <c r="L977">
        <v>0.4</v>
      </c>
      <c r="M977">
        <v>0.17</v>
      </c>
      <c r="N977">
        <v>0.51</v>
      </c>
      <c r="O977">
        <v>0.42</v>
      </c>
      <c r="P977">
        <v>0.22</v>
      </c>
      <c r="Q977">
        <v>0.72</v>
      </c>
      <c r="R977" s="2">
        <v>0.63</v>
      </c>
      <c r="S977" t="str">
        <f>IF(Table1[[#This Row],[Years_Experience]]&lt;=5,"Early Career",
IF(Table1[[#This Row],[Years_Experience]]&lt;=15,"Mid Career","Senior Level"))</f>
        <v>Mid Career</v>
      </c>
      <c r="T977" t="str">
        <f>IF(Table1[[#This Row],[AI_Exposure_Index]]&gt;=0.7,"High Exposure", IF(Table1[[#This Row],[AI_Exposure_Index]]&gt;=0.3,"Medium Exposure","Low Exposure"))</f>
        <v>Low Exposure</v>
      </c>
    </row>
    <row r="978" spans="1:20" x14ac:dyDescent="0.25">
      <c r="A978" t="s">
        <v>26</v>
      </c>
      <c r="B978">
        <v>123304</v>
      </c>
      <c r="C978" s="1">
        <v>23</v>
      </c>
      <c r="D978" t="s">
        <v>19</v>
      </c>
      <c r="E978" s="7">
        <v>1.06</v>
      </c>
      <c r="F978" s="2">
        <v>0.93</v>
      </c>
      <c r="G978" s="7">
        <v>0.4</v>
      </c>
      <c r="H978" s="9" t="s">
        <v>27</v>
      </c>
      <c r="I978">
        <v>0.21</v>
      </c>
      <c r="J978">
        <v>0.14000000000000001</v>
      </c>
      <c r="K978">
        <v>0.42</v>
      </c>
      <c r="L978">
        <v>0.14000000000000001</v>
      </c>
      <c r="M978">
        <v>0.42</v>
      </c>
      <c r="N978">
        <v>0.15</v>
      </c>
      <c r="O978">
        <v>0.66</v>
      </c>
      <c r="P978">
        <v>0.79</v>
      </c>
      <c r="Q978">
        <v>0.55000000000000004</v>
      </c>
      <c r="R978" s="2">
        <v>0.68</v>
      </c>
      <c r="S978" t="str">
        <f>IF(Table1[[#This Row],[Years_Experience]]&lt;=5,"Early Career",
IF(Table1[[#This Row],[Years_Experience]]&lt;=15,"Mid Career","Senior Level"))</f>
        <v>Senior Level</v>
      </c>
      <c r="T978" t="str">
        <f>IF(Table1[[#This Row],[AI_Exposure_Index]]&gt;=0.7,"High Exposure", IF(Table1[[#This Row],[AI_Exposure_Index]]&gt;=0.3,"Medium Exposure","Low Exposure"))</f>
        <v>High Exposure</v>
      </c>
    </row>
    <row r="979" spans="1:20" x14ac:dyDescent="0.25">
      <c r="A979" t="s">
        <v>44</v>
      </c>
      <c r="B979">
        <v>134134</v>
      </c>
      <c r="C979" s="1">
        <v>6</v>
      </c>
      <c r="D979" t="s">
        <v>19</v>
      </c>
      <c r="E979" s="7">
        <v>1.49</v>
      </c>
      <c r="F979" s="2">
        <v>0.32</v>
      </c>
      <c r="G979" s="7">
        <v>0.56999999999999995</v>
      </c>
      <c r="H979" s="9" t="s">
        <v>27</v>
      </c>
      <c r="I979">
        <v>0.73</v>
      </c>
      <c r="J979">
        <v>0.21</v>
      </c>
      <c r="K979">
        <v>0.08</v>
      </c>
      <c r="L979">
        <v>0.28000000000000003</v>
      </c>
      <c r="M979">
        <v>0.25</v>
      </c>
      <c r="N979">
        <v>0.23</v>
      </c>
      <c r="O979">
        <v>0.19</v>
      </c>
      <c r="P979">
        <v>0.56999999999999995</v>
      </c>
      <c r="Q979">
        <v>0.33</v>
      </c>
      <c r="R979" s="2">
        <v>0.82</v>
      </c>
      <c r="S979" t="str">
        <f>IF(Table1[[#This Row],[Years_Experience]]&lt;=5,"Early Career",
IF(Table1[[#This Row],[Years_Experience]]&lt;=15,"Mid Career","Senior Level"))</f>
        <v>Mid Career</v>
      </c>
      <c r="T979" t="str">
        <f>IF(Table1[[#This Row],[AI_Exposure_Index]]&gt;=0.7,"High Exposure", IF(Table1[[#This Row],[AI_Exposure_Index]]&gt;=0.3,"Medium Exposure","Low Exposure"))</f>
        <v>Medium Exposure</v>
      </c>
    </row>
    <row r="980" spans="1:20" x14ac:dyDescent="0.25">
      <c r="A980" t="s">
        <v>37</v>
      </c>
      <c r="B980">
        <v>107199</v>
      </c>
      <c r="C980" s="1">
        <v>25</v>
      </c>
      <c r="D980" t="s">
        <v>38</v>
      </c>
      <c r="E980" s="7">
        <v>0.51</v>
      </c>
      <c r="F980" s="2">
        <v>0.46</v>
      </c>
      <c r="G980" s="7">
        <v>0.49</v>
      </c>
      <c r="H980" s="9" t="s">
        <v>27</v>
      </c>
      <c r="I980">
        <v>0.06</v>
      </c>
      <c r="J980">
        <v>0.98</v>
      </c>
      <c r="K980">
        <v>0.79</v>
      </c>
      <c r="L980">
        <v>0.49</v>
      </c>
      <c r="M980">
        <v>0.09</v>
      </c>
      <c r="N980">
        <v>0.59</v>
      </c>
      <c r="O980">
        <v>0.76</v>
      </c>
      <c r="P980">
        <v>0.19</v>
      </c>
      <c r="Q980">
        <v>0.56999999999999995</v>
      </c>
      <c r="R980" s="2">
        <v>0.81</v>
      </c>
      <c r="S980" t="str">
        <f>IF(Table1[[#This Row],[Years_Experience]]&lt;=5,"Early Career",
IF(Table1[[#This Row],[Years_Experience]]&lt;=15,"Mid Career","Senior Level"))</f>
        <v>Senior Level</v>
      </c>
      <c r="T980" t="str">
        <f>IF(Table1[[#This Row],[AI_Exposure_Index]]&gt;=0.7,"High Exposure", IF(Table1[[#This Row],[AI_Exposure_Index]]&gt;=0.3,"Medium Exposure","Low Exposure"))</f>
        <v>Medium Exposure</v>
      </c>
    </row>
    <row r="981" spans="1:20" x14ac:dyDescent="0.25">
      <c r="A981" t="s">
        <v>31</v>
      </c>
      <c r="B981">
        <v>132658</v>
      </c>
      <c r="C981" s="1">
        <v>11</v>
      </c>
      <c r="D981" t="s">
        <v>25</v>
      </c>
      <c r="E981" s="7">
        <v>0.76</v>
      </c>
      <c r="F981" s="2">
        <v>0.24</v>
      </c>
      <c r="G981" s="7">
        <v>0.13</v>
      </c>
      <c r="H981" s="9" t="s">
        <v>23</v>
      </c>
      <c r="I981">
        <v>0.11</v>
      </c>
      <c r="J981">
        <v>0.7</v>
      </c>
      <c r="K981">
        <v>0.21</v>
      </c>
      <c r="L981">
        <v>0.93</v>
      </c>
      <c r="M981">
        <v>0.22</v>
      </c>
      <c r="N981">
        <v>0.26</v>
      </c>
      <c r="O981">
        <v>0.3</v>
      </c>
      <c r="P981">
        <v>0.77</v>
      </c>
      <c r="Q981">
        <v>0.43</v>
      </c>
      <c r="R981" s="2">
        <v>0.82</v>
      </c>
      <c r="S981" t="str">
        <f>IF(Table1[[#This Row],[Years_Experience]]&lt;=5,"Early Career",
IF(Table1[[#This Row],[Years_Experience]]&lt;=15,"Mid Career","Senior Level"))</f>
        <v>Mid Career</v>
      </c>
      <c r="T981" t="str">
        <f>IF(Table1[[#This Row],[AI_Exposure_Index]]&gt;=0.7,"High Exposure", IF(Table1[[#This Row],[AI_Exposure_Index]]&gt;=0.3,"Medium Exposure","Low Exposure"))</f>
        <v>Low Exposure</v>
      </c>
    </row>
    <row r="982" spans="1:20" x14ac:dyDescent="0.25">
      <c r="A982" t="s">
        <v>36</v>
      </c>
      <c r="B982">
        <v>41352</v>
      </c>
      <c r="C982" s="1">
        <v>4</v>
      </c>
      <c r="D982" t="s">
        <v>22</v>
      </c>
      <c r="E982" s="7">
        <v>1.26</v>
      </c>
      <c r="F982" s="2">
        <v>0.93</v>
      </c>
      <c r="G982" s="7">
        <v>0.32</v>
      </c>
      <c r="H982" s="9" t="s">
        <v>27</v>
      </c>
      <c r="I982">
        <v>0.84</v>
      </c>
      <c r="J982">
        <v>0.94</v>
      </c>
      <c r="K982">
        <v>0.99</v>
      </c>
      <c r="L982">
        <v>0.13</v>
      </c>
      <c r="M982">
        <v>0.61</v>
      </c>
      <c r="N982">
        <v>0.2</v>
      </c>
      <c r="O982">
        <v>0.26</v>
      </c>
      <c r="P982">
        <v>0.75</v>
      </c>
      <c r="Q982">
        <v>0.98</v>
      </c>
      <c r="R982" s="2">
        <v>0.59</v>
      </c>
      <c r="S982" t="str">
        <f>IF(Table1[[#This Row],[Years_Experience]]&lt;=5,"Early Career",
IF(Table1[[#This Row],[Years_Experience]]&lt;=15,"Mid Career","Senior Level"))</f>
        <v>Early Career</v>
      </c>
      <c r="T982" t="str">
        <f>IF(Table1[[#This Row],[AI_Exposure_Index]]&gt;=0.7,"High Exposure", IF(Table1[[#This Row],[AI_Exposure_Index]]&gt;=0.3,"Medium Exposure","Low Exposure"))</f>
        <v>High Exposure</v>
      </c>
    </row>
    <row r="983" spans="1:20" x14ac:dyDescent="0.25">
      <c r="A983" t="s">
        <v>34</v>
      </c>
      <c r="B983">
        <v>43679</v>
      </c>
      <c r="C983" s="1">
        <v>21</v>
      </c>
      <c r="D983" t="s">
        <v>25</v>
      </c>
      <c r="E983" s="7">
        <v>1.1000000000000001</v>
      </c>
      <c r="F983" s="2">
        <v>0.04</v>
      </c>
      <c r="G983" s="7">
        <v>0.46</v>
      </c>
      <c r="H983" s="9" t="s">
        <v>27</v>
      </c>
      <c r="I983">
        <v>0.89</v>
      </c>
      <c r="J983">
        <v>0.3</v>
      </c>
      <c r="K983">
        <v>0.43</v>
      </c>
      <c r="L983">
        <v>0.53</v>
      </c>
      <c r="M983">
        <v>0.27</v>
      </c>
      <c r="N983">
        <v>0.91</v>
      </c>
      <c r="O983">
        <v>0.46</v>
      </c>
      <c r="P983">
        <v>0.42</v>
      </c>
      <c r="Q983">
        <v>0.85</v>
      </c>
      <c r="R983" s="2">
        <v>0.31</v>
      </c>
      <c r="S983" t="str">
        <f>IF(Table1[[#This Row],[Years_Experience]]&lt;=5,"Early Career",
IF(Table1[[#This Row],[Years_Experience]]&lt;=15,"Mid Career","Senior Level"))</f>
        <v>Senior Level</v>
      </c>
      <c r="T983" t="str">
        <f>IF(Table1[[#This Row],[AI_Exposure_Index]]&gt;=0.7,"High Exposure", IF(Table1[[#This Row],[AI_Exposure_Index]]&gt;=0.3,"Medium Exposure","Low Exposure"))</f>
        <v>Low Exposure</v>
      </c>
    </row>
    <row r="984" spans="1:20" x14ac:dyDescent="0.25">
      <c r="A984" t="s">
        <v>40</v>
      </c>
      <c r="B984">
        <v>122345</v>
      </c>
      <c r="C984" s="1">
        <v>27</v>
      </c>
      <c r="D984" t="s">
        <v>22</v>
      </c>
      <c r="E984" s="7">
        <v>0.68</v>
      </c>
      <c r="F984" s="2">
        <v>0.12</v>
      </c>
      <c r="G984" s="7">
        <v>0.28999999999999998</v>
      </c>
      <c r="H984" s="9" t="s">
        <v>23</v>
      </c>
      <c r="I984">
        <v>0.84</v>
      </c>
      <c r="J984">
        <v>0.39</v>
      </c>
      <c r="K984">
        <v>0.64</v>
      </c>
      <c r="L984">
        <v>0.94</v>
      </c>
      <c r="M984">
        <v>0.21</v>
      </c>
      <c r="N984">
        <v>0.06</v>
      </c>
      <c r="O984">
        <v>0.54</v>
      </c>
      <c r="P984">
        <v>0.14000000000000001</v>
      </c>
      <c r="Q984">
        <v>0.19</v>
      </c>
      <c r="R984" s="2">
        <v>0.89</v>
      </c>
      <c r="S984" t="str">
        <f>IF(Table1[[#This Row],[Years_Experience]]&lt;=5,"Early Career",
IF(Table1[[#This Row],[Years_Experience]]&lt;=15,"Mid Career","Senior Level"))</f>
        <v>Senior Level</v>
      </c>
      <c r="T984" t="str">
        <f>IF(Table1[[#This Row],[AI_Exposure_Index]]&gt;=0.7,"High Exposure", IF(Table1[[#This Row],[AI_Exposure_Index]]&gt;=0.3,"Medium Exposure","Low Exposure"))</f>
        <v>Low Exposure</v>
      </c>
    </row>
    <row r="985" spans="1:20" x14ac:dyDescent="0.25">
      <c r="A985" t="s">
        <v>32</v>
      </c>
      <c r="B985">
        <v>108179</v>
      </c>
      <c r="C985" s="1">
        <v>29</v>
      </c>
      <c r="D985" t="s">
        <v>25</v>
      </c>
      <c r="E985" s="7">
        <v>1.02</v>
      </c>
      <c r="F985" s="2">
        <v>0.82</v>
      </c>
      <c r="G985" s="7">
        <v>0.52</v>
      </c>
      <c r="H985" s="9" t="s">
        <v>27</v>
      </c>
      <c r="I985">
        <v>0.67</v>
      </c>
      <c r="J985">
        <v>0.43</v>
      </c>
      <c r="K985">
        <v>0.12</v>
      </c>
      <c r="L985">
        <v>0.1</v>
      </c>
      <c r="M985">
        <v>0.75</v>
      </c>
      <c r="N985">
        <v>0.22</v>
      </c>
      <c r="O985">
        <v>0.03</v>
      </c>
      <c r="P985">
        <v>0.98</v>
      </c>
      <c r="Q985">
        <v>0.98</v>
      </c>
      <c r="R985" s="2">
        <v>0.38</v>
      </c>
      <c r="S985" t="str">
        <f>IF(Table1[[#This Row],[Years_Experience]]&lt;=5,"Early Career",
IF(Table1[[#This Row],[Years_Experience]]&lt;=15,"Mid Career","Senior Level"))</f>
        <v>Senior Level</v>
      </c>
      <c r="T985" t="str">
        <f>IF(Table1[[#This Row],[AI_Exposure_Index]]&gt;=0.7,"High Exposure", IF(Table1[[#This Row],[AI_Exposure_Index]]&gt;=0.3,"Medium Exposure","Low Exposure"))</f>
        <v>High Exposure</v>
      </c>
    </row>
    <row r="986" spans="1:20" x14ac:dyDescent="0.25">
      <c r="A986" t="s">
        <v>24</v>
      </c>
      <c r="B986">
        <v>77878</v>
      </c>
      <c r="C986" s="1">
        <v>18</v>
      </c>
      <c r="D986" t="s">
        <v>22</v>
      </c>
      <c r="E986" s="7">
        <v>1.33</v>
      </c>
      <c r="F986" s="2">
        <v>0.73</v>
      </c>
      <c r="G986" s="7">
        <v>0.73</v>
      </c>
      <c r="H986" s="9" t="s">
        <v>20</v>
      </c>
      <c r="I986">
        <v>0.14000000000000001</v>
      </c>
      <c r="J986">
        <v>0.82</v>
      </c>
      <c r="K986">
        <v>0.92</v>
      </c>
      <c r="L986">
        <v>0.79</v>
      </c>
      <c r="M986">
        <v>0.2</v>
      </c>
      <c r="N986">
        <v>0.41</v>
      </c>
      <c r="O986">
        <v>0.6</v>
      </c>
      <c r="P986">
        <v>0.16</v>
      </c>
      <c r="Q986">
        <v>0.21</v>
      </c>
      <c r="R986" s="2">
        <v>0.28000000000000003</v>
      </c>
      <c r="S986" t="str">
        <f>IF(Table1[[#This Row],[Years_Experience]]&lt;=5,"Early Career",
IF(Table1[[#This Row],[Years_Experience]]&lt;=15,"Mid Career","Senior Level"))</f>
        <v>Senior Level</v>
      </c>
      <c r="T986" t="str">
        <f>IF(Table1[[#This Row],[AI_Exposure_Index]]&gt;=0.7,"High Exposure", IF(Table1[[#This Row],[AI_Exposure_Index]]&gt;=0.3,"Medium Exposure","Low Exposure"))</f>
        <v>High Exposure</v>
      </c>
    </row>
    <row r="987" spans="1:20" x14ac:dyDescent="0.25">
      <c r="A987" t="s">
        <v>24</v>
      </c>
      <c r="B987">
        <v>125777</v>
      </c>
      <c r="C987" s="1">
        <v>29</v>
      </c>
      <c r="D987" t="s">
        <v>22</v>
      </c>
      <c r="E987" s="7">
        <v>1.31</v>
      </c>
      <c r="F987" s="2">
        <v>0.51</v>
      </c>
      <c r="G987" s="7">
        <v>0.89</v>
      </c>
      <c r="H987" s="9" t="s">
        <v>20</v>
      </c>
      <c r="I987">
        <v>0.91</v>
      </c>
      <c r="J987">
        <v>0.83</v>
      </c>
      <c r="K987">
        <v>0.25</v>
      </c>
      <c r="L987">
        <v>0.33</v>
      </c>
      <c r="M987">
        <v>0.5</v>
      </c>
      <c r="N987">
        <v>0.01</v>
      </c>
      <c r="O987">
        <v>0.9</v>
      </c>
      <c r="P987">
        <v>0.04</v>
      </c>
      <c r="Q987">
        <v>0.32</v>
      </c>
      <c r="R987" s="2">
        <v>0.56999999999999995</v>
      </c>
      <c r="S987" t="str">
        <f>IF(Table1[[#This Row],[Years_Experience]]&lt;=5,"Early Career",
IF(Table1[[#This Row],[Years_Experience]]&lt;=15,"Mid Career","Senior Level"))</f>
        <v>Senior Level</v>
      </c>
      <c r="T987" t="str">
        <f>IF(Table1[[#This Row],[AI_Exposure_Index]]&gt;=0.7,"High Exposure", IF(Table1[[#This Row],[AI_Exposure_Index]]&gt;=0.3,"Medium Exposure","Low Exposure"))</f>
        <v>Medium Exposure</v>
      </c>
    </row>
    <row r="988" spans="1:20" x14ac:dyDescent="0.25">
      <c r="A988" t="s">
        <v>36</v>
      </c>
      <c r="B988">
        <v>112124</v>
      </c>
      <c r="C988" s="1">
        <v>0</v>
      </c>
      <c r="D988" t="s">
        <v>25</v>
      </c>
      <c r="E988" s="7">
        <v>1.03</v>
      </c>
      <c r="F988" s="2">
        <v>0.65</v>
      </c>
      <c r="G988" s="7">
        <v>0.39</v>
      </c>
      <c r="H988" s="9" t="s">
        <v>27</v>
      </c>
      <c r="I988">
        <v>0.2</v>
      </c>
      <c r="J988">
        <v>0.91</v>
      </c>
      <c r="K988">
        <v>0.26</v>
      </c>
      <c r="L988">
        <v>0.28000000000000003</v>
      </c>
      <c r="M988">
        <v>0.41</v>
      </c>
      <c r="N988">
        <v>0.14000000000000001</v>
      </c>
      <c r="O988">
        <v>0.51</v>
      </c>
      <c r="P988">
        <v>0.67</v>
      </c>
      <c r="Q988">
        <v>0.79</v>
      </c>
      <c r="R988" s="2">
        <v>0.71</v>
      </c>
      <c r="S988" t="str">
        <f>IF(Table1[[#This Row],[Years_Experience]]&lt;=5,"Early Career",
IF(Table1[[#This Row],[Years_Experience]]&lt;=15,"Mid Career","Senior Level"))</f>
        <v>Early Career</v>
      </c>
      <c r="T988" t="str">
        <f>IF(Table1[[#This Row],[AI_Exposure_Index]]&gt;=0.7,"High Exposure", IF(Table1[[#This Row],[AI_Exposure_Index]]&gt;=0.3,"Medium Exposure","Low Exposure"))</f>
        <v>Medium Exposure</v>
      </c>
    </row>
    <row r="989" spans="1:20" x14ac:dyDescent="0.25">
      <c r="A989" t="s">
        <v>30</v>
      </c>
      <c r="B989">
        <v>126367</v>
      </c>
      <c r="C989" s="1">
        <v>11</v>
      </c>
      <c r="D989" t="s">
        <v>22</v>
      </c>
      <c r="E989" s="7">
        <v>0.54</v>
      </c>
      <c r="F989" s="2">
        <v>0.46</v>
      </c>
      <c r="G989" s="7">
        <v>0.31</v>
      </c>
      <c r="H989" s="9" t="s">
        <v>27</v>
      </c>
      <c r="I989">
        <v>0.44</v>
      </c>
      <c r="J989">
        <v>0.25</v>
      </c>
      <c r="K989">
        <v>0.68</v>
      </c>
      <c r="L989">
        <v>0.72</v>
      </c>
      <c r="M989">
        <v>0.9</v>
      </c>
      <c r="N989">
        <v>0.76</v>
      </c>
      <c r="O989">
        <v>0.05</v>
      </c>
      <c r="P989">
        <v>0.37</v>
      </c>
      <c r="Q989">
        <v>0.27</v>
      </c>
      <c r="R989" s="2">
        <v>0.39</v>
      </c>
      <c r="S989" t="str">
        <f>IF(Table1[[#This Row],[Years_Experience]]&lt;=5,"Early Career",
IF(Table1[[#This Row],[Years_Experience]]&lt;=15,"Mid Career","Senior Level"))</f>
        <v>Mid Career</v>
      </c>
      <c r="T989" t="str">
        <f>IF(Table1[[#This Row],[AI_Exposure_Index]]&gt;=0.7,"High Exposure", IF(Table1[[#This Row],[AI_Exposure_Index]]&gt;=0.3,"Medium Exposure","Low Exposure"))</f>
        <v>Medium Exposure</v>
      </c>
    </row>
    <row r="990" spans="1:20" x14ac:dyDescent="0.25">
      <c r="A990" t="s">
        <v>41</v>
      </c>
      <c r="B990">
        <v>77080</v>
      </c>
      <c r="C990" s="1">
        <v>11</v>
      </c>
      <c r="D990" t="s">
        <v>38</v>
      </c>
      <c r="E990" s="7">
        <v>1.02</v>
      </c>
      <c r="F990" s="2">
        <v>0.1</v>
      </c>
      <c r="G990" s="7">
        <v>0.88</v>
      </c>
      <c r="H990" s="9" t="s">
        <v>20</v>
      </c>
      <c r="I990">
        <v>0.7</v>
      </c>
      <c r="J990">
        <v>0.45</v>
      </c>
      <c r="K990">
        <v>0.52</v>
      </c>
      <c r="L990">
        <v>0.52</v>
      </c>
      <c r="M990">
        <v>0.69</v>
      </c>
      <c r="N990">
        <v>0.05</v>
      </c>
      <c r="O990">
        <v>0.71</v>
      </c>
      <c r="P990">
        <v>0.57999999999999996</v>
      </c>
      <c r="Q990">
        <v>0.2</v>
      </c>
      <c r="R990" s="2">
        <v>0.05</v>
      </c>
      <c r="S990" t="str">
        <f>IF(Table1[[#This Row],[Years_Experience]]&lt;=5,"Early Career",
IF(Table1[[#This Row],[Years_Experience]]&lt;=15,"Mid Career","Senior Level"))</f>
        <v>Mid Career</v>
      </c>
      <c r="T990" t="str">
        <f>IF(Table1[[#This Row],[AI_Exposure_Index]]&gt;=0.7,"High Exposure", IF(Table1[[#This Row],[AI_Exposure_Index]]&gt;=0.3,"Medium Exposure","Low Exposure"))</f>
        <v>Low Exposure</v>
      </c>
    </row>
    <row r="991" spans="1:20" x14ac:dyDescent="0.25">
      <c r="A991" t="s">
        <v>42</v>
      </c>
      <c r="B991">
        <v>61280</v>
      </c>
      <c r="C991" s="1">
        <v>2</v>
      </c>
      <c r="D991" t="s">
        <v>25</v>
      </c>
      <c r="E991" s="7">
        <v>1.26</v>
      </c>
      <c r="F991" s="2">
        <v>0.52</v>
      </c>
      <c r="G991" s="7">
        <v>0.43</v>
      </c>
      <c r="H991" s="9" t="s">
        <v>27</v>
      </c>
      <c r="I991">
        <v>0.38</v>
      </c>
      <c r="J991">
        <v>0.93</v>
      </c>
      <c r="K991">
        <v>0.21</v>
      </c>
      <c r="L991">
        <v>0.1</v>
      </c>
      <c r="M991">
        <v>0.34</v>
      </c>
      <c r="N991">
        <v>0.75</v>
      </c>
      <c r="O991">
        <v>0.63</v>
      </c>
      <c r="P991">
        <v>0.42</v>
      </c>
      <c r="Q991">
        <v>0.96</v>
      </c>
      <c r="R991" s="2">
        <v>0.73</v>
      </c>
      <c r="S991" t="str">
        <f>IF(Table1[[#This Row],[Years_Experience]]&lt;=5,"Early Career",
IF(Table1[[#This Row],[Years_Experience]]&lt;=15,"Mid Career","Senior Level"))</f>
        <v>Early Career</v>
      </c>
      <c r="T991" t="str">
        <f>IF(Table1[[#This Row],[AI_Exposure_Index]]&gt;=0.7,"High Exposure", IF(Table1[[#This Row],[AI_Exposure_Index]]&gt;=0.3,"Medium Exposure","Low Exposure"))</f>
        <v>Medium Exposure</v>
      </c>
    </row>
    <row r="992" spans="1:20" x14ac:dyDescent="0.25">
      <c r="A992" t="s">
        <v>44</v>
      </c>
      <c r="B992">
        <v>39835</v>
      </c>
      <c r="C992" s="1">
        <v>27</v>
      </c>
      <c r="D992" t="s">
        <v>19</v>
      </c>
      <c r="E992" s="7">
        <v>0.52</v>
      </c>
      <c r="F992" s="2">
        <v>0.74</v>
      </c>
      <c r="G992" s="7">
        <v>0.56000000000000005</v>
      </c>
      <c r="H992" s="9" t="s">
        <v>27</v>
      </c>
      <c r="I992">
        <v>0.21</v>
      </c>
      <c r="J992">
        <v>0.7</v>
      </c>
      <c r="K992">
        <v>0.31</v>
      </c>
      <c r="L992">
        <v>0.87</v>
      </c>
      <c r="M992">
        <v>0.34</v>
      </c>
      <c r="N992">
        <v>0.62</v>
      </c>
      <c r="O992">
        <v>0.28999999999999998</v>
      </c>
      <c r="P992">
        <v>0.92</v>
      </c>
      <c r="Q992">
        <v>0.78</v>
      </c>
      <c r="R992" s="2">
        <v>0.24</v>
      </c>
      <c r="S992" t="str">
        <f>IF(Table1[[#This Row],[Years_Experience]]&lt;=5,"Early Career",
IF(Table1[[#This Row],[Years_Experience]]&lt;=15,"Mid Career","Senior Level"))</f>
        <v>Senior Level</v>
      </c>
      <c r="T992" t="str">
        <f>IF(Table1[[#This Row],[AI_Exposure_Index]]&gt;=0.7,"High Exposure", IF(Table1[[#This Row],[AI_Exposure_Index]]&gt;=0.3,"Medium Exposure","Low Exposure"))</f>
        <v>High Exposure</v>
      </c>
    </row>
    <row r="993" spans="1:20" x14ac:dyDescent="0.25">
      <c r="A993" t="s">
        <v>37</v>
      </c>
      <c r="B993">
        <v>52369</v>
      </c>
      <c r="C993" s="1">
        <v>10</v>
      </c>
      <c r="D993" t="s">
        <v>25</v>
      </c>
      <c r="E993" s="7">
        <v>1.1499999999999999</v>
      </c>
      <c r="F993" s="2">
        <v>0.36</v>
      </c>
      <c r="G993" s="7">
        <v>0.6</v>
      </c>
      <c r="H993" s="9" t="s">
        <v>27</v>
      </c>
      <c r="I993">
        <v>0.02</v>
      </c>
      <c r="J993">
        <v>0.96</v>
      </c>
      <c r="K993">
        <v>0.34</v>
      </c>
      <c r="L993">
        <v>0.19</v>
      </c>
      <c r="M993">
        <v>0.85</v>
      </c>
      <c r="N993">
        <v>0.7</v>
      </c>
      <c r="O993">
        <v>0.09</v>
      </c>
      <c r="P993">
        <v>0.12</v>
      </c>
      <c r="Q993">
        <v>0.72</v>
      </c>
      <c r="R993" s="2">
        <v>7.0000000000000007E-2</v>
      </c>
      <c r="S993" t="str">
        <f>IF(Table1[[#This Row],[Years_Experience]]&lt;=5,"Early Career",
IF(Table1[[#This Row],[Years_Experience]]&lt;=15,"Mid Career","Senior Level"))</f>
        <v>Mid Career</v>
      </c>
      <c r="T993" t="str">
        <f>IF(Table1[[#This Row],[AI_Exposure_Index]]&gt;=0.7,"High Exposure", IF(Table1[[#This Row],[AI_Exposure_Index]]&gt;=0.3,"Medium Exposure","Low Exposure"))</f>
        <v>Medium Exposure</v>
      </c>
    </row>
    <row r="994" spans="1:20" x14ac:dyDescent="0.25">
      <c r="A994" t="s">
        <v>32</v>
      </c>
      <c r="B994">
        <v>30637</v>
      </c>
      <c r="C994" s="1">
        <v>8</v>
      </c>
      <c r="D994" t="s">
        <v>25</v>
      </c>
      <c r="E994" s="7">
        <v>0.84</v>
      </c>
      <c r="F994" s="2">
        <v>0.74</v>
      </c>
      <c r="G994" s="7">
        <v>0.45</v>
      </c>
      <c r="H994" s="9" t="s">
        <v>27</v>
      </c>
      <c r="I994">
        <v>0.51</v>
      </c>
      <c r="J994">
        <v>0.36</v>
      </c>
      <c r="K994">
        <v>0.78</v>
      </c>
      <c r="L994">
        <v>0.97</v>
      </c>
      <c r="M994">
        <v>0.57999999999999996</v>
      </c>
      <c r="N994">
        <v>0.45</v>
      </c>
      <c r="O994">
        <v>0.22</v>
      </c>
      <c r="P994">
        <v>0.65</v>
      </c>
      <c r="Q994">
        <v>0.69</v>
      </c>
      <c r="R994" s="2">
        <v>0.69</v>
      </c>
      <c r="S994" t="str">
        <f>IF(Table1[[#This Row],[Years_Experience]]&lt;=5,"Early Career",
IF(Table1[[#This Row],[Years_Experience]]&lt;=15,"Mid Career","Senior Level"))</f>
        <v>Mid Career</v>
      </c>
      <c r="T994" t="str">
        <f>IF(Table1[[#This Row],[AI_Exposure_Index]]&gt;=0.7,"High Exposure", IF(Table1[[#This Row],[AI_Exposure_Index]]&gt;=0.3,"Medium Exposure","Low Exposure"))</f>
        <v>High Exposure</v>
      </c>
    </row>
    <row r="995" spans="1:20" x14ac:dyDescent="0.25">
      <c r="A995" t="s">
        <v>18</v>
      </c>
      <c r="B995">
        <v>62209</v>
      </c>
      <c r="C995" s="1">
        <v>27</v>
      </c>
      <c r="D995" t="s">
        <v>19</v>
      </c>
      <c r="E995" s="7">
        <v>0.84</v>
      </c>
      <c r="F995" s="2">
        <v>0.9</v>
      </c>
      <c r="G995" s="7">
        <v>0.89</v>
      </c>
      <c r="H995" s="9" t="s">
        <v>20</v>
      </c>
      <c r="I995">
        <v>0.76</v>
      </c>
      <c r="J995">
        <v>0.65</v>
      </c>
      <c r="K995">
        <v>0.39</v>
      </c>
      <c r="L995">
        <v>0.61</v>
      </c>
      <c r="M995">
        <v>0.04</v>
      </c>
      <c r="N995">
        <v>0.76</v>
      </c>
      <c r="O995">
        <v>0.1</v>
      </c>
      <c r="P995">
        <v>0.4</v>
      </c>
      <c r="Q995">
        <v>0.1</v>
      </c>
      <c r="R995" s="2">
        <v>0.84</v>
      </c>
      <c r="S995" t="str">
        <f>IF(Table1[[#This Row],[Years_Experience]]&lt;=5,"Early Career",
IF(Table1[[#This Row],[Years_Experience]]&lt;=15,"Mid Career","Senior Level"))</f>
        <v>Senior Level</v>
      </c>
      <c r="T995" t="str">
        <f>IF(Table1[[#This Row],[AI_Exposure_Index]]&gt;=0.7,"High Exposure", IF(Table1[[#This Row],[AI_Exposure_Index]]&gt;=0.3,"Medium Exposure","Low Exposure"))</f>
        <v>High Exposure</v>
      </c>
    </row>
    <row r="996" spans="1:20" x14ac:dyDescent="0.25">
      <c r="A996" t="s">
        <v>40</v>
      </c>
      <c r="B996">
        <v>70478</v>
      </c>
      <c r="C996" s="1">
        <v>1</v>
      </c>
      <c r="D996" t="s">
        <v>19</v>
      </c>
      <c r="E996" s="7">
        <v>1.18</v>
      </c>
      <c r="F996" s="2">
        <v>0.69</v>
      </c>
      <c r="G996" s="7">
        <v>0.26</v>
      </c>
      <c r="H996" s="9" t="s">
        <v>23</v>
      </c>
      <c r="I996">
        <v>0.13</v>
      </c>
      <c r="J996">
        <v>0.66</v>
      </c>
      <c r="K996">
        <v>0.57999999999999996</v>
      </c>
      <c r="L996">
        <v>0.03</v>
      </c>
      <c r="M996">
        <v>0.2</v>
      </c>
      <c r="N996">
        <v>0.27</v>
      </c>
      <c r="O996">
        <v>7.0000000000000007E-2</v>
      </c>
      <c r="P996">
        <v>0.35</v>
      </c>
      <c r="Q996">
        <v>0.03</v>
      </c>
      <c r="R996" s="2">
        <v>0.55000000000000004</v>
      </c>
      <c r="S996" t="str">
        <f>IF(Table1[[#This Row],[Years_Experience]]&lt;=5,"Early Career",
IF(Table1[[#This Row],[Years_Experience]]&lt;=15,"Mid Career","Senior Level"))</f>
        <v>Early Career</v>
      </c>
      <c r="T996" t="str">
        <f>IF(Table1[[#This Row],[AI_Exposure_Index]]&gt;=0.7,"High Exposure", IF(Table1[[#This Row],[AI_Exposure_Index]]&gt;=0.3,"Medium Exposure","Low Exposure"))</f>
        <v>Medium Exposure</v>
      </c>
    </row>
    <row r="997" spans="1:20" x14ac:dyDescent="0.25">
      <c r="A997" t="s">
        <v>43</v>
      </c>
      <c r="B997">
        <v>90760</v>
      </c>
      <c r="C997" s="1">
        <v>9</v>
      </c>
      <c r="D997" t="s">
        <v>19</v>
      </c>
      <c r="E997" s="7">
        <v>1.41</v>
      </c>
      <c r="F997" s="2">
        <v>0.28999999999999998</v>
      </c>
      <c r="G997" s="7">
        <v>0.18</v>
      </c>
      <c r="H997" s="9" t="s">
        <v>23</v>
      </c>
      <c r="I997">
        <v>0.27</v>
      </c>
      <c r="J997">
        <v>0.6</v>
      </c>
      <c r="K997">
        <v>0.2</v>
      </c>
      <c r="L997">
        <v>7.0000000000000007E-2</v>
      </c>
      <c r="M997">
        <v>0.02</v>
      </c>
      <c r="N997">
        <v>0.95</v>
      </c>
      <c r="O997">
        <v>0.72</v>
      </c>
      <c r="P997">
        <v>0.8</v>
      </c>
      <c r="Q997">
        <v>0.98</v>
      </c>
      <c r="R997" s="2">
        <v>0.93</v>
      </c>
      <c r="S997" t="str">
        <f>IF(Table1[[#This Row],[Years_Experience]]&lt;=5,"Early Career",
IF(Table1[[#This Row],[Years_Experience]]&lt;=15,"Mid Career","Senior Level"))</f>
        <v>Mid Career</v>
      </c>
      <c r="T997" t="str">
        <f>IF(Table1[[#This Row],[AI_Exposure_Index]]&gt;=0.7,"High Exposure", IF(Table1[[#This Row],[AI_Exposure_Index]]&gt;=0.3,"Medium Exposure","Low Exposure"))</f>
        <v>Low Exposure</v>
      </c>
    </row>
    <row r="998" spans="1:20" x14ac:dyDescent="0.25">
      <c r="A998" t="s">
        <v>41</v>
      </c>
      <c r="B998">
        <v>52505</v>
      </c>
      <c r="C998" s="1">
        <v>0</v>
      </c>
      <c r="D998" t="s">
        <v>19</v>
      </c>
      <c r="E998" s="7">
        <v>0.84</v>
      </c>
      <c r="F998" s="2">
        <v>0.69</v>
      </c>
      <c r="G998" s="7">
        <v>0.73</v>
      </c>
      <c r="H998" s="9" t="s">
        <v>20</v>
      </c>
      <c r="I998">
        <v>0.56999999999999995</v>
      </c>
      <c r="J998">
        <v>0.57999999999999996</v>
      </c>
      <c r="K998">
        <v>0.95</v>
      </c>
      <c r="L998">
        <v>0.44</v>
      </c>
      <c r="M998">
        <v>0.69</v>
      </c>
      <c r="N998">
        <v>0.56999999999999995</v>
      </c>
      <c r="O998">
        <v>0.18</v>
      </c>
      <c r="P998">
        <v>0.59</v>
      </c>
      <c r="Q998">
        <v>0.54</v>
      </c>
      <c r="R998" s="2">
        <v>0.49</v>
      </c>
      <c r="S998" t="str">
        <f>IF(Table1[[#This Row],[Years_Experience]]&lt;=5,"Early Career",
IF(Table1[[#This Row],[Years_Experience]]&lt;=15,"Mid Career","Senior Level"))</f>
        <v>Early Career</v>
      </c>
      <c r="T998" t="str">
        <f>IF(Table1[[#This Row],[AI_Exposure_Index]]&gt;=0.7,"High Exposure", IF(Table1[[#This Row],[AI_Exposure_Index]]&gt;=0.3,"Medium Exposure","Low Exposure"))</f>
        <v>Medium Exposure</v>
      </c>
    </row>
    <row r="999" spans="1:20" x14ac:dyDescent="0.25">
      <c r="A999" t="s">
        <v>28</v>
      </c>
      <c r="B999">
        <v>140441</v>
      </c>
      <c r="C999" s="1">
        <v>22</v>
      </c>
      <c r="D999" t="s">
        <v>25</v>
      </c>
      <c r="E999" s="7">
        <v>0.96</v>
      </c>
      <c r="F999" s="2">
        <v>0.16</v>
      </c>
      <c r="G999" s="7">
        <v>0.54</v>
      </c>
      <c r="H999" s="9" t="s">
        <v>27</v>
      </c>
      <c r="I999">
        <v>0.49</v>
      </c>
      <c r="J999">
        <v>0.49</v>
      </c>
      <c r="K999">
        <v>0.08</v>
      </c>
      <c r="L999">
        <v>0.19</v>
      </c>
      <c r="M999">
        <v>0.32</v>
      </c>
      <c r="N999">
        <v>0.42</v>
      </c>
      <c r="O999">
        <v>0.59</v>
      </c>
      <c r="P999">
        <v>0.86</v>
      </c>
      <c r="Q999">
        <v>0.16</v>
      </c>
      <c r="R999" s="2">
        <v>0.02</v>
      </c>
      <c r="S999" t="str">
        <f>IF(Table1[[#This Row],[Years_Experience]]&lt;=5,"Early Career",
IF(Table1[[#This Row],[Years_Experience]]&lt;=15,"Mid Career","Senior Level"))</f>
        <v>Senior Level</v>
      </c>
      <c r="T999" t="str">
        <f>IF(Table1[[#This Row],[AI_Exposure_Index]]&gt;=0.7,"High Exposure", IF(Table1[[#This Row],[AI_Exposure_Index]]&gt;=0.3,"Medium Exposure","Low Exposure"))</f>
        <v>Low Exposure</v>
      </c>
    </row>
    <row r="1000" spans="1:20" x14ac:dyDescent="0.25">
      <c r="A1000" t="s">
        <v>21</v>
      </c>
      <c r="B1000">
        <v>108944</v>
      </c>
      <c r="C1000" s="1">
        <v>24</v>
      </c>
      <c r="D1000" t="s">
        <v>22</v>
      </c>
      <c r="E1000" s="7">
        <v>1.05</v>
      </c>
      <c r="F1000" s="2">
        <v>0.43</v>
      </c>
      <c r="G1000" s="7">
        <v>0.26</v>
      </c>
      <c r="H1000" s="9" t="s">
        <v>23</v>
      </c>
      <c r="I1000">
        <v>0.8</v>
      </c>
      <c r="J1000">
        <v>0.1</v>
      </c>
      <c r="K1000">
        <v>0.93</v>
      </c>
      <c r="L1000">
        <v>0.11</v>
      </c>
      <c r="M1000">
        <v>0.63</v>
      </c>
      <c r="N1000">
        <v>0.67</v>
      </c>
      <c r="O1000">
        <v>0.68</v>
      </c>
      <c r="P1000">
        <v>0.27</v>
      </c>
      <c r="Q1000">
        <v>0.33</v>
      </c>
      <c r="R1000" s="2">
        <v>0.55000000000000004</v>
      </c>
      <c r="S1000" t="str">
        <f>IF(Table1[[#This Row],[Years_Experience]]&lt;=5,"Early Career",
IF(Table1[[#This Row],[Years_Experience]]&lt;=15,"Mid Career","Senior Level"))</f>
        <v>Senior Level</v>
      </c>
      <c r="T1000" t="str">
        <f>IF(Table1[[#This Row],[AI_Exposure_Index]]&gt;=0.7,"High Exposure", IF(Table1[[#This Row],[AI_Exposure_Index]]&gt;=0.3,"Medium Exposure","Low Exposure"))</f>
        <v>Medium Exposure</v>
      </c>
    </row>
    <row r="1001" spans="1:20" x14ac:dyDescent="0.25">
      <c r="A1001" t="s">
        <v>18</v>
      </c>
      <c r="B1001">
        <v>40886</v>
      </c>
      <c r="C1001" s="1">
        <v>21</v>
      </c>
      <c r="D1001" t="s">
        <v>19</v>
      </c>
      <c r="E1001" s="7">
        <v>0.99</v>
      </c>
      <c r="F1001" s="2">
        <v>0.85</v>
      </c>
      <c r="G1001" s="7">
        <v>0.91</v>
      </c>
      <c r="H1001" s="9" t="s">
        <v>20</v>
      </c>
      <c r="I1001">
        <v>0.41</v>
      </c>
      <c r="J1001">
        <v>0.98</v>
      </c>
      <c r="K1001">
        <v>0.77</v>
      </c>
      <c r="L1001">
        <v>0.97</v>
      </c>
      <c r="M1001">
        <v>0.51</v>
      </c>
      <c r="N1001">
        <v>0.47</v>
      </c>
      <c r="O1001">
        <v>0.76</v>
      </c>
      <c r="P1001">
        <v>0.88</v>
      </c>
      <c r="Q1001">
        <v>0.96</v>
      </c>
      <c r="R1001" s="2">
        <v>0.32</v>
      </c>
      <c r="S1001" t="str">
        <f>IF(Table1[[#This Row],[Years_Experience]]&lt;=5,"Early Career",
IF(Table1[[#This Row],[Years_Experience]]&lt;=15,"Mid Career","Senior Level"))</f>
        <v>Senior Level</v>
      </c>
      <c r="T1001" t="str">
        <f>IF(Table1[[#This Row],[AI_Exposure_Index]]&gt;=0.7,"High Exposure", IF(Table1[[#This Row],[AI_Exposure_Index]]&gt;=0.3,"Medium Exposure","Low Exposure"))</f>
        <v>High Exposure</v>
      </c>
    </row>
    <row r="1002" spans="1:20" x14ac:dyDescent="0.25">
      <c r="A1002" t="s">
        <v>33</v>
      </c>
      <c r="B1002">
        <v>85744</v>
      </c>
      <c r="C1002" s="1">
        <v>21</v>
      </c>
      <c r="D1002" t="s">
        <v>25</v>
      </c>
      <c r="E1002" s="7">
        <v>0.78</v>
      </c>
      <c r="F1002" s="2">
        <v>0.53</v>
      </c>
      <c r="G1002" s="7">
        <v>0.92</v>
      </c>
      <c r="H1002" s="9" t="s">
        <v>20</v>
      </c>
      <c r="I1002">
        <v>0.61</v>
      </c>
      <c r="J1002">
        <v>0</v>
      </c>
      <c r="K1002">
        <v>0.81</v>
      </c>
      <c r="L1002">
        <v>0.33</v>
      </c>
      <c r="M1002">
        <v>0.32</v>
      </c>
      <c r="N1002">
        <v>0.38</v>
      </c>
      <c r="O1002">
        <v>0.63</v>
      </c>
      <c r="P1002">
        <v>0.44</v>
      </c>
      <c r="Q1002">
        <v>0.63</v>
      </c>
      <c r="R1002" s="2">
        <v>0.15</v>
      </c>
      <c r="S1002" t="str">
        <f>IF(Table1[[#This Row],[Years_Experience]]&lt;=5,"Early Career",
IF(Table1[[#This Row],[Years_Experience]]&lt;=15,"Mid Career","Senior Level"))</f>
        <v>Senior Level</v>
      </c>
      <c r="T1002" t="str">
        <f>IF(Table1[[#This Row],[AI_Exposure_Index]]&gt;=0.7,"High Exposure", IF(Table1[[#This Row],[AI_Exposure_Index]]&gt;=0.3,"Medium Exposure","Low Exposure"))</f>
        <v>Medium Exposure</v>
      </c>
    </row>
    <row r="1003" spans="1:20" x14ac:dyDescent="0.25">
      <c r="A1003" t="s">
        <v>39</v>
      </c>
      <c r="B1003">
        <v>75778</v>
      </c>
      <c r="C1003" s="1">
        <v>29</v>
      </c>
      <c r="D1003" t="s">
        <v>19</v>
      </c>
      <c r="E1003" s="7">
        <v>0.75</v>
      </c>
      <c r="F1003" s="2">
        <v>0.73</v>
      </c>
      <c r="G1003" s="7">
        <v>0.88</v>
      </c>
      <c r="H1003" s="9" t="s">
        <v>20</v>
      </c>
      <c r="I1003">
        <v>0.57999999999999996</v>
      </c>
      <c r="J1003">
        <v>0.11</v>
      </c>
      <c r="K1003">
        <v>0.18</v>
      </c>
      <c r="L1003">
        <v>0.04</v>
      </c>
      <c r="M1003">
        <v>0.81</v>
      </c>
      <c r="N1003">
        <v>0.55000000000000004</v>
      </c>
      <c r="O1003">
        <v>0.32</v>
      </c>
      <c r="P1003">
        <v>0.13</v>
      </c>
      <c r="Q1003">
        <v>0.48</v>
      </c>
      <c r="R1003" s="2">
        <v>0.53</v>
      </c>
      <c r="S1003" t="str">
        <f>IF(Table1[[#This Row],[Years_Experience]]&lt;=5,"Early Career",
IF(Table1[[#This Row],[Years_Experience]]&lt;=15,"Mid Career","Senior Level"))</f>
        <v>Senior Level</v>
      </c>
      <c r="T1003" t="str">
        <f>IF(Table1[[#This Row],[AI_Exposure_Index]]&gt;=0.7,"High Exposure", IF(Table1[[#This Row],[AI_Exposure_Index]]&gt;=0.3,"Medium Exposure","Low Exposure"))</f>
        <v>High Exposure</v>
      </c>
    </row>
    <row r="1004" spans="1:20" x14ac:dyDescent="0.25">
      <c r="A1004" t="s">
        <v>32</v>
      </c>
      <c r="B1004">
        <v>88764</v>
      </c>
      <c r="C1004" s="1">
        <v>7</v>
      </c>
      <c r="D1004" t="s">
        <v>25</v>
      </c>
      <c r="E1004" s="7">
        <v>1.4</v>
      </c>
      <c r="F1004" s="2">
        <v>0.69</v>
      </c>
      <c r="G1004" s="7">
        <v>0.57999999999999996</v>
      </c>
      <c r="H1004" s="9" t="s">
        <v>27</v>
      </c>
      <c r="I1004">
        <v>0.74</v>
      </c>
      <c r="J1004">
        <v>0.28999999999999998</v>
      </c>
      <c r="K1004">
        <v>0.3</v>
      </c>
      <c r="L1004">
        <v>0.78</v>
      </c>
      <c r="M1004">
        <v>0.3</v>
      </c>
      <c r="N1004">
        <v>0.56000000000000005</v>
      </c>
      <c r="O1004">
        <v>0.25</v>
      </c>
      <c r="P1004">
        <v>0.82</v>
      </c>
      <c r="Q1004">
        <v>0.11</v>
      </c>
      <c r="R1004" s="2">
        <v>0.83</v>
      </c>
      <c r="S1004" t="str">
        <f>IF(Table1[[#This Row],[Years_Experience]]&lt;=5,"Early Career",
IF(Table1[[#This Row],[Years_Experience]]&lt;=15,"Mid Career","Senior Level"))</f>
        <v>Mid Career</v>
      </c>
      <c r="T1004" t="str">
        <f>IF(Table1[[#This Row],[AI_Exposure_Index]]&gt;=0.7,"High Exposure", IF(Table1[[#This Row],[AI_Exposure_Index]]&gt;=0.3,"Medium Exposure","Low Exposure"))</f>
        <v>Medium Exposure</v>
      </c>
    </row>
    <row r="1005" spans="1:20" x14ac:dyDescent="0.25">
      <c r="A1005" t="s">
        <v>28</v>
      </c>
      <c r="B1005">
        <v>62795</v>
      </c>
      <c r="C1005" s="1">
        <v>20</v>
      </c>
      <c r="D1005" t="s">
        <v>38</v>
      </c>
      <c r="E1005" s="7">
        <v>1.04</v>
      </c>
      <c r="F1005" s="2">
        <v>0.19</v>
      </c>
      <c r="G1005" s="7">
        <v>0.41</v>
      </c>
      <c r="H1005" s="9" t="s">
        <v>27</v>
      </c>
      <c r="I1005">
        <v>0.32</v>
      </c>
      <c r="J1005">
        <v>0.35</v>
      </c>
      <c r="K1005">
        <v>0.06</v>
      </c>
      <c r="L1005">
        <v>0.99</v>
      </c>
      <c r="M1005">
        <v>0.03</v>
      </c>
      <c r="N1005">
        <v>0.66</v>
      </c>
      <c r="O1005">
        <v>0.37</v>
      </c>
      <c r="P1005">
        <v>0.65</v>
      </c>
      <c r="Q1005">
        <v>0.36</v>
      </c>
      <c r="R1005" s="2">
        <v>0.67</v>
      </c>
      <c r="S1005" t="str">
        <f>IF(Table1[[#This Row],[Years_Experience]]&lt;=5,"Early Career",
IF(Table1[[#This Row],[Years_Experience]]&lt;=15,"Mid Career","Senior Level"))</f>
        <v>Senior Level</v>
      </c>
      <c r="T1005" t="str">
        <f>IF(Table1[[#This Row],[AI_Exposure_Index]]&gt;=0.7,"High Exposure", IF(Table1[[#This Row],[AI_Exposure_Index]]&gt;=0.3,"Medium Exposure","Low Exposure"))</f>
        <v>Low Exposure</v>
      </c>
    </row>
    <row r="1006" spans="1:20" x14ac:dyDescent="0.25">
      <c r="A1006" t="s">
        <v>44</v>
      </c>
      <c r="B1006">
        <v>107223</v>
      </c>
      <c r="C1006" s="1">
        <v>6</v>
      </c>
      <c r="D1006" t="s">
        <v>38</v>
      </c>
      <c r="E1006" s="7">
        <v>0.61</v>
      </c>
      <c r="F1006" s="2">
        <v>0.69</v>
      </c>
      <c r="G1006" s="7">
        <v>0.56000000000000005</v>
      </c>
      <c r="H1006" s="9" t="s">
        <v>27</v>
      </c>
      <c r="I1006">
        <v>0.28000000000000003</v>
      </c>
      <c r="J1006">
        <v>0.03</v>
      </c>
      <c r="K1006">
        <v>0.41</v>
      </c>
      <c r="L1006">
        <v>0.43</v>
      </c>
      <c r="M1006">
        <v>0.47</v>
      </c>
      <c r="N1006">
        <v>0.7</v>
      </c>
      <c r="O1006">
        <v>0.31</v>
      </c>
      <c r="P1006">
        <v>0.32</v>
      </c>
      <c r="Q1006">
        <v>0.06</v>
      </c>
      <c r="R1006" s="2">
        <v>0.69</v>
      </c>
      <c r="S1006" t="str">
        <f>IF(Table1[[#This Row],[Years_Experience]]&lt;=5,"Early Career",
IF(Table1[[#This Row],[Years_Experience]]&lt;=15,"Mid Career","Senior Level"))</f>
        <v>Mid Career</v>
      </c>
      <c r="T1006" t="str">
        <f>IF(Table1[[#This Row],[AI_Exposure_Index]]&gt;=0.7,"High Exposure", IF(Table1[[#This Row],[AI_Exposure_Index]]&gt;=0.3,"Medium Exposure","Low Exposure"))</f>
        <v>Medium Exposure</v>
      </c>
    </row>
    <row r="1007" spans="1:20" x14ac:dyDescent="0.25">
      <c r="A1007" t="s">
        <v>18</v>
      </c>
      <c r="B1007">
        <v>98835</v>
      </c>
      <c r="C1007" s="1">
        <v>2</v>
      </c>
      <c r="D1007" t="s">
        <v>25</v>
      </c>
      <c r="E1007" s="7">
        <v>1.21</v>
      </c>
      <c r="F1007" s="2">
        <v>0.35</v>
      </c>
      <c r="G1007" s="7">
        <v>0.83</v>
      </c>
      <c r="H1007" s="9" t="s">
        <v>20</v>
      </c>
      <c r="I1007">
        <v>0.47</v>
      </c>
      <c r="J1007">
        <v>0.51</v>
      </c>
      <c r="K1007">
        <v>0.64</v>
      </c>
      <c r="L1007">
        <v>0.66</v>
      </c>
      <c r="M1007">
        <v>0.28999999999999998</v>
      </c>
      <c r="N1007">
        <v>0.14000000000000001</v>
      </c>
      <c r="O1007">
        <v>0.16</v>
      </c>
      <c r="P1007">
        <v>0.64</v>
      </c>
      <c r="Q1007">
        <v>0.87</v>
      </c>
      <c r="R1007" s="2">
        <v>0.41</v>
      </c>
      <c r="S1007" t="str">
        <f>IF(Table1[[#This Row],[Years_Experience]]&lt;=5,"Early Career",
IF(Table1[[#This Row],[Years_Experience]]&lt;=15,"Mid Career","Senior Level"))</f>
        <v>Early Career</v>
      </c>
      <c r="T1007" t="str">
        <f>IF(Table1[[#This Row],[AI_Exposure_Index]]&gt;=0.7,"High Exposure", IF(Table1[[#This Row],[AI_Exposure_Index]]&gt;=0.3,"Medium Exposure","Low Exposure"))</f>
        <v>Medium Exposure</v>
      </c>
    </row>
    <row r="1008" spans="1:20" x14ac:dyDescent="0.25">
      <c r="A1008" t="s">
        <v>29</v>
      </c>
      <c r="B1008">
        <v>139640</v>
      </c>
      <c r="C1008" s="1">
        <v>22</v>
      </c>
      <c r="D1008" t="s">
        <v>38</v>
      </c>
      <c r="E1008" s="7">
        <v>1.33</v>
      </c>
      <c r="F1008" s="2">
        <v>0.76</v>
      </c>
      <c r="G1008" s="7">
        <v>0.27</v>
      </c>
      <c r="H1008" s="9" t="s">
        <v>23</v>
      </c>
      <c r="I1008">
        <v>0.61</v>
      </c>
      <c r="J1008">
        <v>0.86</v>
      </c>
      <c r="K1008">
        <v>0.02</v>
      </c>
      <c r="L1008">
        <v>0.11</v>
      </c>
      <c r="M1008">
        <v>0.09</v>
      </c>
      <c r="N1008">
        <v>0.71</v>
      </c>
      <c r="O1008">
        <v>7.0000000000000007E-2</v>
      </c>
      <c r="P1008">
        <v>0.5</v>
      </c>
      <c r="Q1008">
        <v>0.47</v>
      </c>
      <c r="R1008" s="2">
        <v>0.31</v>
      </c>
      <c r="S1008" t="str">
        <f>IF(Table1[[#This Row],[Years_Experience]]&lt;=5,"Early Career",
IF(Table1[[#This Row],[Years_Experience]]&lt;=15,"Mid Career","Senior Level"))</f>
        <v>Senior Level</v>
      </c>
      <c r="T1008" t="str">
        <f>IF(Table1[[#This Row],[AI_Exposure_Index]]&gt;=0.7,"High Exposure", IF(Table1[[#This Row],[AI_Exposure_Index]]&gt;=0.3,"Medium Exposure","Low Exposure"))</f>
        <v>High Exposure</v>
      </c>
    </row>
    <row r="1009" spans="1:20" x14ac:dyDescent="0.25">
      <c r="A1009" t="s">
        <v>24</v>
      </c>
      <c r="B1009">
        <v>87225</v>
      </c>
      <c r="C1009" s="1">
        <v>4</v>
      </c>
      <c r="D1009" t="s">
        <v>22</v>
      </c>
      <c r="E1009" s="7">
        <v>0.85</v>
      </c>
      <c r="F1009" s="2">
        <v>0.17</v>
      </c>
      <c r="G1009" s="7">
        <v>0.89</v>
      </c>
      <c r="H1009" s="9" t="s">
        <v>20</v>
      </c>
      <c r="I1009">
        <v>0.03</v>
      </c>
      <c r="J1009">
        <v>0.67</v>
      </c>
      <c r="K1009">
        <v>0.82</v>
      </c>
      <c r="L1009">
        <v>0.93</v>
      </c>
      <c r="M1009">
        <v>0.88</v>
      </c>
      <c r="N1009">
        <v>0.32</v>
      </c>
      <c r="O1009">
        <v>0.59</v>
      </c>
      <c r="P1009">
        <v>0.08</v>
      </c>
      <c r="Q1009">
        <v>0.26</v>
      </c>
      <c r="R1009" s="2">
        <v>0.09</v>
      </c>
      <c r="S1009" t="str">
        <f>IF(Table1[[#This Row],[Years_Experience]]&lt;=5,"Early Career",
IF(Table1[[#This Row],[Years_Experience]]&lt;=15,"Mid Career","Senior Level"))</f>
        <v>Early Career</v>
      </c>
      <c r="T1009" t="str">
        <f>IF(Table1[[#This Row],[AI_Exposure_Index]]&gt;=0.7,"High Exposure", IF(Table1[[#This Row],[AI_Exposure_Index]]&gt;=0.3,"Medium Exposure","Low Exposure"))</f>
        <v>Low Exposure</v>
      </c>
    </row>
    <row r="1010" spans="1:20" x14ac:dyDescent="0.25">
      <c r="A1010" t="s">
        <v>39</v>
      </c>
      <c r="B1010">
        <v>37466</v>
      </c>
      <c r="C1010" s="1">
        <v>7</v>
      </c>
      <c r="D1010" t="s">
        <v>22</v>
      </c>
      <c r="E1010" s="7">
        <v>0.85</v>
      </c>
      <c r="F1010" s="2">
        <v>0.88</v>
      </c>
      <c r="G1010" s="7">
        <v>0.84</v>
      </c>
      <c r="H1010" s="9" t="s">
        <v>20</v>
      </c>
      <c r="I1010">
        <v>0.43</v>
      </c>
      <c r="J1010">
        <v>0.46</v>
      </c>
      <c r="K1010">
        <v>0.97</v>
      </c>
      <c r="L1010">
        <v>0.3</v>
      </c>
      <c r="M1010">
        <v>0.63</v>
      </c>
      <c r="N1010">
        <v>0.42</v>
      </c>
      <c r="O1010">
        <v>0.06</v>
      </c>
      <c r="P1010">
        <v>0.49</v>
      </c>
      <c r="Q1010">
        <v>0.81</v>
      </c>
      <c r="R1010" s="2">
        <v>0.1</v>
      </c>
      <c r="S1010" t="str">
        <f>IF(Table1[[#This Row],[Years_Experience]]&lt;=5,"Early Career",
IF(Table1[[#This Row],[Years_Experience]]&lt;=15,"Mid Career","Senior Level"))</f>
        <v>Mid Career</v>
      </c>
      <c r="T1010" t="str">
        <f>IF(Table1[[#This Row],[AI_Exposure_Index]]&gt;=0.7,"High Exposure", IF(Table1[[#This Row],[AI_Exposure_Index]]&gt;=0.3,"Medium Exposure","Low Exposure"))</f>
        <v>High Exposure</v>
      </c>
    </row>
    <row r="1011" spans="1:20" x14ac:dyDescent="0.25">
      <c r="A1011" t="s">
        <v>36</v>
      </c>
      <c r="B1011">
        <v>80530</v>
      </c>
      <c r="C1011" s="1">
        <v>11</v>
      </c>
      <c r="D1011" t="s">
        <v>22</v>
      </c>
      <c r="E1011" s="7">
        <v>1.26</v>
      </c>
      <c r="F1011" s="2">
        <v>0.15</v>
      </c>
      <c r="G1011" s="7">
        <v>0.59</v>
      </c>
      <c r="H1011" s="9" t="s">
        <v>27</v>
      </c>
      <c r="I1011">
        <v>0.56999999999999995</v>
      </c>
      <c r="J1011">
        <v>0.47</v>
      </c>
      <c r="K1011">
        <v>0.89</v>
      </c>
      <c r="L1011">
        <v>0.77</v>
      </c>
      <c r="M1011">
        <v>0.81</v>
      </c>
      <c r="N1011">
        <v>0.81</v>
      </c>
      <c r="O1011">
        <v>0.64</v>
      </c>
      <c r="P1011">
        <v>0.46</v>
      </c>
      <c r="Q1011">
        <v>0.86</v>
      </c>
      <c r="R1011" s="2">
        <v>0.93</v>
      </c>
      <c r="S1011" t="str">
        <f>IF(Table1[[#This Row],[Years_Experience]]&lt;=5,"Early Career",
IF(Table1[[#This Row],[Years_Experience]]&lt;=15,"Mid Career","Senior Level"))</f>
        <v>Mid Career</v>
      </c>
      <c r="T1011" t="str">
        <f>IF(Table1[[#This Row],[AI_Exposure_Index]]&gt;=0.7,"High Exposure", IF(Table1[[#This Row],[AI_Exposure_Index]]&gt;=0.3,"Medium Exposure","Low Exposure"))</f>
        <v>Low Exposure</v>
      </c>
    </row>
    <row r="1012" spans="1:20" x14ac:dyDescent="0.25">
      <c r="A1012" t="s">
        <v>42</v>
      </c>
      <c r="B1012">
        <v>40040</v>
      </c>
      <c r="C1012" s="1">
        <v>29</v>
      </c>
      <c r="D1012" t="s">
        <v>25</v>
      </c>
      <c r="E1012" s="7">
        <v>1.46</v>
      </c>
      <c r="F1012" s="2">
        <v>0.05</v>
      </c>
      <c r="G1012" s="7">
        <v>0.41</v>
      </c>
      <c r="H1012" s="9" t="s">
        <v>27</v>
      </c>
      <c r="I1012">
        <v>0.87</v>
      </c>
      <c r="J1012">
        <v>0.39</v>
      </c>
      <c r="K1012">
        <v>0.12</v>
      </c>
      <c r="L1012">
        <v>0.08</v>
      </c>
      <c r="M1012">
        <v>0.16</v>
      </c>
      <c r="N1012">
        <v>0.25</v>
      </c>
      <c r="O1012">
        <v>0.49</v>
      </c>
      <c r="P1012">
        <v>0.7</v>
      </c>
      <c r="Q1012">
        <v>0.99</v>
      </c>
      <c r="R1012" s="2">
        <v>0.44</v>
      </c>
      <c r="S1012" t="str">
        <f>IF(Table1[[#This Row],[Years_Experience]]&lt;=5,"Early Career",
IF(Table1[[#This Row],[Years_Experience]]&lt;=15,"Mid Career","Senior Level"))</f>
        <v>Senior Level</v>
      </c>
      <c r="T1012" t="str">
        <f>IF(Table1[[#This Row],[AI_Exposure_Index]]&gt;=0.7,"High Exposure", IF(Table1[[#This Row],[AI_Exposure_Index]]&gt;=0.3,"Medium Exposure","Low Exposure"))</f>
        <v>Low Exposure</v>
      </c>
    </row>
    <row r="1013" spans="1:20" x14ac:dyDescent="0.25">
      <c r="A1013" t="s">
        <v>44</v>
      </c>
      <c r="B1013">
        <v>145874</v>
      </c>
      <c r="C1013" s="1">
        <v>13</v>
      </c>
      <c r="D1013" t="s">
        <v>22</v>
      </c>
      <c r="E1013" s="7">
        <v>1.04</v>
      </c>
      <c r="F1013" s="2">
        <v>0.52</v>
      </c>
      <c r="G1013" s="7">
        <v>0.51</v>
      </c>
      <c r="H1013" s="9" t="s">
        <v>27</v>
      </c>
      <c r="I1013">
        <v>0.01</v>
      </c>
      <c r="J1013">
        <v>0</v>
      </c>
      <c r="K1013">
        <v>0.1</v>
      </c>
      <c r="L1013">
        <v>0.1</v>
      </c>
      <c r="M1013">
        <v>0.7</v>
      </c>
      <c r="N1013">
        <v>0.2</v>
      </c>
      <c r="O1013">
        <v>0.89</v>
      </c>
      <c r="P1013">
        <v>0.93</v>
      </c>
      <c r="Q1013">
        <v>0.98</v>
      </c>
      <c r="R1013" s="2">
        <v>0.94</v>
      </c>
      <c r="S1013" t="str">
        <f>IF(Table1[[#This Row],[Years_Experience]]&lt;=5,"Early Career",
IF(Table1[[#This Row],[Years_Experience]]&lt;=15,"Mid Career","Senior Level"))</f>
        <v>Mid Career</v>
      </c>
      <c r="T1013" t="str">
        <f>IF(Table1[[#This Row],[AI_Exposure_Index]]&gt;=0.7,"High Exposure", IF(Table1[[#This Row],[AI_Exposure_Index]]&gt;=0.3,"Medium Exposure","Low Exposure"))</f>
        <v>Medium Exposure</v>
      </c>
    </row>
    <row r="1014" spans="1:20" x14ac:dyDescent="0.25">
      <c r="A1014" t="s">
        <v>37</v>
      </c>
      <c r="B1014">
        <v>60985</v>
      </c>
      <c r="C1014" s="1">
        <v>26</v>
      </c>
      <c r="D1014" t="s">
        <v>25</v>
      </c>
      <c r="E1014" s="7">
        <v>0.68</v>
      </c>
      <c r="F1014" s="2">
        <v>0.51</v>
      </c>
      <c r="G1014" s="7">
        <v>0.62</v>
      </c>
      <c r="H1014" s="9" t="s">
        <v>27</v>
      </c>
      <c r="I1014">
        <v>0.89</v>
      </c>
      <c r="J1014">
        <v>0.85</v>
      </c>
      <c r="K1014">
        <v>0.43</v>
      </c>
      <c r="L1014">
        <v>0.76</v>
      </c>
      <c r="M1014">
        <v>0.1</v>
      </c>
      <c r="N1014">
        <v>0.04</v>
      </c>
      <c r="O1014">
        <v>0.75</v>
      </c>
      <c r="P1014">
        <v>0.43</v>
      </c>
      <c r="Q1014">
        <v>1</v>
      </c>
      <c r="R1014" s="2">
        <v>0.1</v>
      </c>
      <c r="S1014" t="str">
        <f>IF(Table1[[#This Row],[Years_Experience]]&lt;=5,"Early Career",
IF(Table1[[#This Row],[Years_Experience]]&lt;=15,"Mid Career","Senior Level"))</f>
        <v>Senior Level</v>
      </c>
      <c r="T1014" t="str">
        <f>IF(Table1[[#This Row],[AI_Exposure_Index]]&gt;=0.7,"High Exposure", IF(Table1[[#This Row],[AI_Exposure_Index]]&gt;=0.3,"Medium Exposure","Low Exposure"))</f>
        <v>Medium Exposure</v>
      </c>
    </row>
    <row r="1015" spans="1:20" x14ac:dyDescent="0.25">
      <c r="A1015" t="s">
        <v>41</v>
      </c>
      <c r="B1015">
        <v>57262</v>
      </c>
      <c r="C1015" s="1">
        <v>25</v>
      </c>
      <c r="D1015" t="s">
        <v>25</v>
      </c>
      <c r="E1015" s="7">
        <v>1.33</v>
      </c>
      <c r="F1015" s="2">
        <v>0.48</v>
      </c>
      <c r="G1015" s="7">
        <v>0.9</v>
      </c>
      <c r="H1015" s="9" t="s">
        <v>20</v>
      </c>
      <c r="I1015">
        <v>0.92</v>
      </c>
      <c r="J1015">
        <v>0.3</v>
      </c>
      <c r="K1015">
        <v>0.95</v>
      </c>
      <c r="L1015">
        <v>0.15</v>
      </c>
      <c r="M1015">
        <v>0.08</v>
      </c>
      <c r="N1015">
        <v>0.43</v>
      </c>
      <c r="O1015">
        <v>0.83</v>
      </c>
      <c r="P1015">
        <v>0.47</v>
      </c>
      <c r="Q1015">
        <v>0.83</v>
      </c>
      <c r="R1015" s="2">
        <v>0.73</v>
      </c>
      <c r="S1015" t="str">
        <f>IF(Table1[[#This Row],[Years_Experience]]&lt;=5,"Early Career",
IF(Table1[[#This Row],[Years_Experience]]&lt;=15,"Mid Career","Senior Level"))</f>
        <v>Senior Level</v>
      </c>
      <c r="T1015" t="str">
        <f>IF(Table1[[#This Row],[AI_Exposure_Index]]&gt;=0.7,"High Exposure", IF(Table1[[#This Row],[AI_Exposure_Index]]&gt;=0.3,"Medium Exposure","Low Exposure"))</f>
        <v>Medium Exposure</v>
      </c>
    </row>
    <row r="1016" spans="1:20" x14ac:dyDescent="0.25">
      <c r="A1016" t="s">
        <v>29</v>
      </c>
      <c r="B1016">
        <v>102022</v>
      </c>
      <c r="C1016" s="1">
        <v>26</v>
      </c>
      <c r="D1016" t="s">
        <v>25</v>
      </c>
      <c r="E1016" s="7">
        <v>0.56000000000000005</v>
      </c>
      <c r="F1016" s="2">
        <v>0.95</v>
      </c>
      <c r="G1016" s="7">
        <v>0.27</v>
      </c>
      <c r="H1016" s="9" t="s">
        <v>23</v>
      </c>
      <c r="I1016">
        <v>0.3</v>
      </c>
      <c r="J1016">
        <v>0.5</v>
      </c>
      <c r="K1016">
        <v>0.42</v>
      </c>
      <c r="L1016">
        <v>0.17</v>
      </c>
      <c r="M1016">
        <v>0.36</v>
      </c>
      <c r="N1016">
        <v>0.19</v>
      </c>
      <c r="O1016">
        <v>0.2</v>
      </c>
      <c r="P1016">
        <v>0.19</v>
      </c>
      <c r="Q1016">
        <v>0.49</v>
      </c>
      <c r="R1016" s="2">
        <v>0.8</v>
      </c>
      <c r="S1016" t="str">
        <f>IF(Table1[[#This Row],[Years_Experience]]&lt;=5,"Early Career",
IF(Table1[[#This Row],[Years_Experience]]&lt;=15,"Mid Career","Senior Level"))</f>
        <v>Senior Level</v>
      </c>
      <c r="T1016" t="str">
        <f>IF(Table1[[#This Row],[AI_Exposure_Index]]&gt;=0.7,"High Exposure", IF(Table1[[#This Row],[AI_Exposure_Index]]&gt;=0.3,"Medium Exposure","Low Exposure"))</f>
        <v>High Exposure</v>
      </c>
    </row>
    <row r="1017" spans="1:20" x14ac:dyDescent="0.25">
      <c r="A1017" t="s">
        <v>43</v>
      </c>
      <c r="B1017">
        <v>31320</v>
      </c>
      <c r="C1017" s="1">
        <v>16</v>
      </c>
      <c r="D1017" t="s">
        <v>19</v>
      </c>
      <c r="E1017" s="7">
        <v>1.1399999999999999</v>
      </c>
      <c r="F1017" s="2">
        <v>0.89</v>
      </c>
      <c r="G1017" s="7">
        <v>0.22</v>
      </c>
      <c r="H1017" s="9" t="s">
        <v>23</v>
      </c>
      <c r="I1017">
        <v>0.67</v>
      </c>
      <c r="J1017">
        <v>0.45</v>
      </c>
      <c r="K1017">
        <v>0.69</v>
      </c>
      <c r="L1017">
        <v>7.0000000000000007E-2</v>
      </c>
      <c r="M1017">
        <v>0.86</v>
      </c>
      <c r="N1017">
        <v>0.78</v>
      </c>
      <c r="O1017">
        <v>0.25</v>
      </c>
      <c r="P1017">
        <v>0.77</v>
      </c>
      <c r="Q1017">
        <v>0.01</v>
      </c>
      <c r="R1017" s="2">
        <v>0.22</v>
      </c>
      <c r="S1017" t="str">
        <f>IF(Table1[[#This Row],[Years_Experience]]&lt;=5,"Early Career",
IF(Table1[[#This Row],[Years_Experience]]&lt;=15,"Mid Career","Senior Level"))</f>
        <v>Senior Level</v>
      </c>
      <c r="T1017" t="str">
        <f>IF(Table1[[#This Row],[AI_Exposure_Index]]&gt;=0.7,"High Exposure", IF(Table1[[#This Row],[AI_Exposure_Index]]&gt;=0.3,"Medium Exposure","Low Exposure"))</f>
        <v>High Exposure</v>
      </c>
    </row>
    <row r="1018" spans="1:20" x14ac:dyDescent="0.25">
      <c r="A1018" t="s">
        <v>18</v>
      </c>
      <c r="B1018">
        <v>84681</v>
      </c>
      <c r="C1018" s="1">
        <v>0</v>
      </c>
      <c r="D1018" t="s">
        <v>19</v>
      </c>
      <c r="E1018" s="7">
        <v>1.26</v>
      </c>
      <c r="F1018" s="2">
        <v>0.78</v>
      </c>
      <c r="G1018" s="7">
        <v>0.9</v>
      </c>
      <c r="H1018" s="9" t="s">
        <v>20</v>
      </c>
      <c r="I1018">
        <v>0</v>
      </c>
      <c r="J1018">
        <v>0.5</v>
      </c>
      <c r="K1018">
        <v>0.7</v>
      </c>
      <c r="L1018">
        <v>0.16</v>
      </c>
      <c r="M1018">
        <v>0.65</v>
      </c>
      <c r="N1018">
        <v>0.08</v>
      </c>
      <c r="O1018">
        <v>0.18</v>
      </c>
      <c r="P1018">
        <v>0.48</v>
      </c>
      <c r="Q1018">
        <v>0.65</v>
      </c>
      <c r="R1018" s="2">
        <v>0.15</v>
      </c>
      <c r="S1018" t="str">
        <f>IF(Table1[[#This Row],[Years_Experience]]&lt;=5,"Early Career",
IF(Table1[[#This Row],[Years_Experience]]&lt;=15,"Mid Career","Senior Level"))</f>
        <v>Early Career</v>
      </c>
      <c r="T1018" t="str">
        <f>IF(Table1[[#This Row],[AI_Exposure_Index]]&gt;=0.7,"High Exposure", IF(Table1[[#This Row],[AI_Exposure_Index]]&gt;=0.3,"Medium Exposure","Low Exposure"))</f>
        <v>High Exposure</v>
      </c>
    </row>
    <row r="1019" spans="1:20" x14ac:dyDescent="0.25">
      <c r="A1019" t="s">
        <v>21</v>
      </c>
      <c r="B1019">
        <v>82167</v>
      </c>
      <c r="C1019" s="1">
        <v>21</v>
      </c>
      <c r="D1019" t="s">
        <v>22</v>
      </c>
      <c r="E1019" s="7">
        <v>0.74</v>
      </c>
      <c r="F1019" s="2">
        <v>0.2</v>
      </c>
      <c r="G1019" s="7">
        <v>0.11</v>
      </c>
      <c r="H1019" s="9" t="s">
        <v>23</v>
      </c>
      <c r="I1019">
        <v>0.4</v>
      </c>
      <c r="J1019">
        <v>0.65</v>
      </c>
      <c r="K1019">
        <v>0.44</v>
      </c>
      <c r="L1019">
        <v>0.78</v>
      </c>
      <c r="M1019">
        <v>0.72</v>
      </c>
      <c r="N1019">
        <v>0.13</v>
      </c>
      <c r="O1019">
        <v>0.05</v>
      </c>
      <c r="P1019">
        <v>0.88</v>
      </c>
      <c r="Q1019">
        <v>0.08</v>
      </c>
      <c r="R1019" s="2">
        <v>0.15</v>
      </c>
      <c r="S1019" t="str">
        <f>IF(Table1[[#This Row],[Years_Experience]]&lt;=5,"Early Career",
IF(Table1[[#This Row],[Years_Experience]]&lt;=15,"Mid Career","Senior Level"))</f>
        <v>Senior Level</v>
      </c>
      <c r="T1019" t="str">
        <f>IF(Table1[[#This Row],[AI_Exposure_Index]]&gt;=0.7,"High Exposure", IF(Table1[[#This Row],[AI_Exposure_Index]]&gt;=0.3,"Medium Exposure","Low Exposure"))</f>
        <v>Low Exposure</v>
      </c>
    </row>
    <row r="1020" spans="1:20" x14ac:dyDescent="0.25">
      <c r="A1020" t="s">
        <v>26</v>
      </c>
      <c r="B1020">
        <v>64477</v>
      </c>
      <c r="C1020" s="1">
        <v>20</v>
      </c>
      <c r="D1020" t="s">
        <v>38</v>
      </c>
      <c r="E1020" s="7">
        <v>1.08</v>
      </c>
      <c r="F1020" s="2">
        <v>0.63</v>
      </c>
      <c r="G1020" s="7">
        <v>0.69</v>
      </c>
      <c r="H1020" s="9" t="s">
        <v>27</v>
      </c>
      <c r="I1020">
        <v>0.89</v>
      </c>
      <c r="J1020">
        <v>0.41</v>
      </c>
      <c r="K1020">
        <v>0.37</v>
      </c>
      <c r="L1020">
        <v>0.3</v>
      </c>
      <c r="M1020">
        <v>0.15</v>
      </c>
      <c r="N1020">
        <v>0.14000000000000001</v>
      </c>
      <c r="O1020">
        <v>0.13</v>
      </c>
      <c r="P1020">
        <v>0.11</v>
      </c>
      <c r="Q1020">
        <v>0.24</v>
      </c>
      <c r="R1020" s="2">
        <v>0.31</v>
      </c>
      <c r="S1020" t="str">
        <f>IF(Table1[[#This Row],[Years_Experience]]&lt;=5,"Early Career",
IF(Table1[[#This Row],[Years_Experience]]&lt;=15,"Mid Career","Senior Level"))</f>
        <v>Senior Level</v>
      </c>
      <c r="T1020" t="str">
        <f>IF(Table1[[#This Row],[AI_Exposure_Index]]&gt;=0.7,"High Exposure", IF(Table1[[#This Row],[AI_Exposure_Index]]&gt;=0.3,"Medium Exposure","Low Exposure"))</f>
        <v>Medium Exposure</v>
      </c>
    </row>
    <row r="1021" spans="1:20" x14ac:dyDescent="0.25">
      <c r="A1021" t="s">
        <v>34</v>
      </c>
      <c r="B1021">
        <v>32565</v>
      </c>
      <c r="C1021" s="1">
        <v>13</v>
      </c>
      <c r="D1021" t="s">
        <v>25</v>
      </c>
      <c r="E1021" s="7">
        <v>1.49</v>
      </c>
      <c r="F1021" s="2">
        <v>0.57999999999999996</v>
      </c>
      <c r="G1021" s="7">
        <v>0.45</v>
      </c>
      <c r="H1021" s="9" t="s">
        <v>27</v>
      </c>
      <c r="I1021">
        <v>0.46</v>
      </c>
      <c r="J1021">
        <v>0.32</v>
      </c>
      <c r="K1021">
        <v>0.18</v>
      </c>
      <c r="L1021">
        <v>0.14000000000000001</v>
      </c>
      <c r="M1021">
        <v>0.95</v>
      </c>
      <c r="N1021">
        <v>0.99</v>
      </c>
      <c r="O1021">
        <v>0.04</v>
      </c>
      <c r="P1021">
        <v>0.15</v>
      </c>
      <c r="Q1021">
        <v>0.42</v>
      </c>
      <c r="R1021" s="2">
        <v>0.19</v>
      </c>
      <c r="S1021" t="str">
        <f>IF(Table1[[#This Row],[Years_Experience]]&lt;=5,"Early Career",
IF(Table1[[#This Row],[Years_Experience]]&lt;=15,"Mid Career","Senior Level"))</f>
        <v>Mid Career</v>
      </c>
      <c r="T1021" t="str">
        <f>IF(Table1[[#This Row],[AI_Exposure_Index]]&gt;=0.7,"High Exposure", IF(Table1[[#This Row],[AI_Exposure_Index]]&gt;=0.3,"Medium Exposure","Low Exposure"))</f>
        <v>Medium Exposure</v>
      </c>
    </row>
    <row r="1022" spans="1:20" x14ac:dyDescent="0.25">
      <c r="A1022" t="s">
        <v>18</v>
      </c>
      <c r="B1022">
        <v>112915</v>
      </c>
      <c r="C1022" s="1">
        <v>15</v>
      </c>
      <c r="D1022" t="s">
        <v>25</v>
      </c>
      <c r="E1022" s="7">
        <v>0.96</v>
      </c>
      <c r="F1022" s="2">
        <v>0.13</v>
      </c>
      <c r="G1022" s="7">
        <v>0.77</v>
      </c>
      <c r="H1022" s="9" t="s">
        <v>20</v>
      </c>
      <c r="I1022">
        <v>0.35</v>
      </c>
      <c r="J1022">
        <v>0.09</v>
      </c>
      <c r="K1022">
        <v>0.43</v>
      </c>
      <c r="L1022">
        <v>0.98</v>
      </c>
      <c r="M1022">
        <v>0.33</v>
      </c>
      <c r="N1022">
        <v>0.88</v>
      </c>
      <c r="O1022">
        <v>0.84</v>
      </c>
      <c r="P1022">
        <v>0.95</v>
      </c>
      <c r="Q1022">
        <v>0.79</v>
      </c>
      <c r="R1022" s="2">
        <v>0.66</v>
      </c>
      <c r="S1022" t="str">
        <f>IF(Table1[[#This Row],[Years_Experience]]&lt;=5,"Early Career",
IF(Table1[[#This Row],[Years_Experience]]&lt;=15,"Mid Career","Senior Level"))</f>
        <v>Mid Career</v>
      </c>
      <c r="T1022" t="str">
        <f>IF(Table1[[#This Row],[AI_Exposure_Index]]&gt;=0.7,"High Exposure", IF(Table1[[#This Row],[AI_Exposure_Index]]&gt;=0.3,"Medium Exposure","Low Exposure"))</f>
        <v>Low Exposure</v>
      </c>
    </row>
    <row r="1023" spans="1:20" x14ac:dyDescent="0.25">
      <c r="A1023" t="s">
        <v>18</v>
      </c>
      <c r="B1023">
        <v>103251</v>
      </c>
      <c r="C1023" s="1">
        <v>9</v>
      </c>
      <c r="D1023" t="s">
        <v>22</v>
      </c>
      <c r="E1023" s="7">
        <v>0.96</v>
      </c>
      <c r="F1023" s="2">
        <v>0.08</v>
      </c>
      <c r="G1023" s="7">
        <v>0.95</v>
      </c>
      <c r="H1023" s="9" t="s">
        <v>20</v>
      </c>
      <c r="I1023">
        <v>0.77</v>
      </c>
      <c r="J1023">
        <v>0.96</v>
      </c>
      <c r="K1023">
        <v>0.78</v>
      </c>
      <c r="L1023">
        <v>0.87</v>
      </c>
      <c r="M1023">
        <v>0.71</v>
      </c>
      <c r="N1023">
        <v>0.76</v>
      </c>
      <c r="O1023">
        <v>0.52</v>
      </c>
      <c r="P1023">
        <v>0.92</v>
      </c>
      <c r="Q1023">
        <v>0.83</v>
      </c>
      <c r="R1023" s="2">
        <v>0.84</v>
      </c>
      <c r="S1023" t="str">
        <f>IF(Table1[[#This Row],[Years_Experience]]&lt;=5,"Early Career",
IF(Table1[[#This Row],[Years_Experience]]&lt;=15,"Mid Career","Senior Level"))</f>
        <v>Mid Career</v>
      </c>
      <c r="T1023" t="str">
        <f>IF(Table1[[#This Row],[AI_Exposure_Index]]&gt;=0.7,"High Exposure", IF(Table1[[#This Row],[AI_Exposure_Index]]&gt;=0.3,"Medium Exposure","Low Exposure"))</f>
        <v>Low Exposure</v>
      </c>
    </row>
    <row r="1024" spans="1:20" x14ac:dyDescent="0.25">
      <c r="A1024" t="s">
        <v>37</v>
      </c>
      <c r="B1024">
        <v>51258</v>
      </c>
      <c r="C1024" s="1">
        <v>26</v>
      </c>
      <c r="D1024" t="s">
        <v>22</v>
      </c>
      <c r="E1024" s="7">
        <v>0.54</v>
      </c>
      <c r="F1024" s="2">
        <v>0.3</v>
      </c>
      <c r="G1024" s="7">
        <v>0.67</v>
      </c>
      <c r="H1024" s="9" t="s">
        <v>27</v>
      </c>
      <c r="I1024">
        <v>0.59</v>
      </c>
      <c r="J1024">
        <v>0.3</v>
      </c>
      <c r="K1024">
        <v>0.15</v>
      </c>
      <c r="L1024">
        <v>0.83</v>
      </c>
      <c r="M1024">
        <v>0.84</v>
      </c>
      <c r="N1024">
        <v>0.81</v>
      </c>
      <c r="O1024">
        <v>0.65</v>
      </c>
      <c r="P1024">
        <v>0.37</v>
      </c>
      <c r="Q1024">
        <v>0.3</v>
      </c>
      <c r="R1024" s="2">
        <v>0.01</v>
      </c>
      <c r="S1024" t="str">
        <f>IF(Table1[[#This Row],[Years_Experience]]&lt;=5,"Early Career",
IF(Table1[[#This Row],[Years_Experience]]&lt;=15,"Mid Career","Senior Level"))</f>
        <v>Senior Level</v>
      </c>
      <c r="T1024" t="str">
        <f>IF(Table1[[#This Row],[AI_Exposure_Index]]&gt;=0.7,"High Exposure", IF(Table1[[#This Row],[AI_Exposure_Index]]&gt;=0.3,"Medium Exposure","Low Exposure"))</f>
        <v>Medium Exposure</v>
      </c>
    </row>
    <row r="1025" spans="1:20" x14ac:dyDescent="0.25">
      <c r="A1025" t="s">
        <v>24</v>
      </c>
      <c r="B1025">
        <v>115535</v>
      </c>
      <c r="C1025" s="1">
        <v>15</v>
      </c>
      <c r="D1025" t="s">
        <v>38</v>
      </c>
      <c r="E1025" s="7">
        <v>1.1299999999999999</v>
      </c>
      <c r="F1025" s="2">
        <v>0.09</v>
      </c>
      <c r="G1025" s="7">
        <v>0.83</v>
      </c>
      <c r="H1025" s="9" t="s">
        <v>20</v>
      </c>
      <c r="I1025">
        <v>0.53</v>
      </c>
      <c r="J1025">
        <v>0.93</v>
      </c>
      <c r="K1025">
        <v>0.03</v>
      </c>
      <c r="L1025">
        <v>0.77</v>
      </c>
      <c r="M1025">
        <v>0.05</v>
      </c>
      <c r="N1025">
        <v>0.04</v>
      </c>
      <c r="O1025">
        <v>0.43</v>
      </c>
      <c r="P1025">
        <v>0.06</v>
      </c>
      <c r="Q1025">
        <v>0.79</v>
      </c>
      <c r="R1025" s="2">
        <v>0.53</v>
      </c>
      <c r="S1025" t="str">
        <f>IF(Table1[[#This Row],[Years_Experience]]&lt;=5,"Early Career",
IF(Table1[[#This Row],[Years_Experience]]&lt;=15,"Mid Career","Senior Level"))</f>
        <v>Mid Career</v>
      </c>
      <c r="T1025" t="str">
        <f>IF(Table1[[#This Row],[AI_Exposure_Index]]&gt;=0.7,"High Exposure", IF(Table1[[#This Row],[AI_Exposure_Index]]&gt;=0.3,"Medium Exposure","Low Exposure"))</f>
        <v>Low Exposure</v>
      </c>
    </row>
    <row r="1026" spans="1:20" x14ac:dyDescent="0.25">
      <c r="A1026" t="s">
        <v>37</v>
      </c>
      <c r="B1026">
        <v>101156</v>
      </c>
      <c r="C1026" s="1">
        <v>10</v>
      </c>
      <c r="D1026" t="s">
        <v>19</v>
      </c>
      <c r="E1026" s="7">
        <v>1.1100000000000001</v>
      </c>
      <c r="F1026" s="2">
        <v>0.04</v>
      </c>
      <c r="G1026" s="7">
        <v>0.62</v>
      </c>
      <c r="H1026" s="9" t="s">
        <v>27</v>
      </c>
      <c r="I1026">
        <v>0.44</v>
      </c>
      <c r="J1026">
        <v>0.55000000000000004</v>
      </c>
      <c r="K1026">
        <v>0.8</v>
      </c>
      <c r="L1026">
        <v>0.61</v>
      </c>
      <c r="M1026">
        <v>0.22</v>
      </c>
      <c r="N1026">
        <v>0.61</v>
      </c>
      <c r="O1026">
        <v>0.63</v>
      </c>
      <c r="P1026">
        <v>0.73</v>
      </c>
      <c r="Q1026">
        <v>0.62</v>
      </c>
      <c r="R1026" s="2">
        <v>0.97</v>
      </c>
      <c r="S1026" t="str">
        <f>IF(Table1[[#This Row],[Years_Experience]]&lt;=5,"Early Career",
IF(Table1[[#This Row],[Years_Experience]]&lt;=15,"Mid Career","Senior Level"))</f>
        <v>Mid Career</v>
      </c>
      <c r="T1026" t="str">
        <f>IF(Table1[[#This Row],[AI_Exposure_Index]]&gt;=0.7,"High Exposure", IF(Table1[[#This Row],[AI_Exposure_Index]]&gt;=0.3,"Medium Exposure","Low Exposure"))</f>
        <v>Low Exposure</v>
      </c>
    </row>
    <row r="1027" spans="1:20" x14ac:dyDescent="0.25">
      <c r="A1027" t="s">
        <v>33</v>
      </c>
      <c r="B1027">
        <v>127417</v>
      </c>
      <c r="C1027" s="1">
        <v>6</v>
      </c>
      <c r="D1027" t="s">
        <v>22</v>
      </c>
      <c r="E1027" s="7">
        <v>1.04</v>
      </c>
      <c r="F1027" s="2">
        <v>0.95</v>
      </c>
      <c r="G1027" s="7">
        <v>0.87</v>
      </c>
      <c r="H1027" s="9" t="s">
        <v>20</v>
      </c>
      <c r="I1027">
        <v>0.1</v>
      </c>
      <c r="J1027">
        <v>0.38</v>
      </c>
      <c r="K1027">
        <v>0.77</v>
      </c>
      <c r="L1027">
        <v>0.71</v>
      </c>
      <c r="M1027">
        <v>0.04</v>
      </c>
      <c r="N1027">
        <v>0.55000000000000004</v>
      </c>
      <c r="O1027">
        <v>0.09</v>
      </c>
      <c r="P1027">
        <v>1</v>
      </c>
      <c r="Q1027">
        <v>0.9</v>
      </c>
      <c r="R1027" s="2">
        <v>0.02</v>
      </c>
      <c r="S1027" t="str">
        <f>IF(Table1[[#This Row],[Years_Experience]]&lt;=5,"Early Career",
IF(Table1[[#This Row],[Years_Experience]]&lt;=15,"Mid Career","Senior Level"))</f>
        <v>Mid Career</v>
      </c>
      <c r="T1027" t="str">
        <f>IF(Table1[[#This Row],[AI_Exposure_Index]]&gt;=0.7,"High Exposure", IF(Table1[[#This Row],[AI_Exposure_Index]]&gt;=0.3,"Medium Exposure","Low Exposure"))</f>
        <v>High Exposure</v>
      </c>
    </row>
    <row r="1028" spans="1:20" x14ac:dyDescent="0.25">
      <c r="A1028" t="s">
        <v>37</v>
      </c>
      <c r="B1028">
        <v>60066</v>
      </c>
      <c r="C1028" s="1">
        <v>13</v>
      </c>
      <c r="D1028" t="s">
        <v>22</v>
      </c>
      <c r="E1028" s="7">
        <v>0.85</v>
      </c>
      <c r="F1028" s="2">
        <v>0.92</v>
      </c>
      <c r="G1028" s="7">
        <v>0.59</v>
      </c>
      <c r="H1028" s="9" t="s">
        <v>27</v>
      </c>
      <c r="I1028">
        <v>0.44</v>
      </c>
      <c r="J1028">
        <v>0.66</v>
      </c>
      <c r="K1028">
        <v>0.34</v>
      </c>
      <c r="L1028">
        <v>0.32</v>
      </c>
      <c r="M1028">
        <v>0.42</v>
      </c>
      <c r="N1028">
        <v>0.15</v>
      </c>
      <c r="O1028">
        <v>0.83</v>
      </c>
      <c r="P1028">
        <v>0.35</v>
      </c>
      <c r="Q1028">
        <v>0.4</v>
      </c>
      <c r="R1028" s="2">
        <v>0.89</v>
      </c>
      <c r="S1028" t="str">
        <f>IF(Table1[[#This Row],[Years_Experience]]&lt;=5,"Early Career",
IF(Table1[[#This Row],[Years_Experience]]&lt;=15,"Mid Career","Senior Level"))</f>
        <v>Mid Career</v>
      </c>
      <c r="T1028" t="str">
        <f>IF(Table1[[#This Row],[AI_Exposure_Index]]&gt;=0.7,"High Exposure", IF(Table1[[#This Row],[AI_Exposure_Index]]&gt;=0.3,"Medium Exposure","Low Exposure"))</f>
        <v>High Exposure</v>
      </c>
    </row>
    <row r="1029" spans="1:20" x14ac:dyDescent="0.25">
      <c r="A1029" t="s">
        <v>40</v>
      </c>
      <c r="B1029">
        <v>78359</v>
      </c>
      <c r="C1029" s="1">
        <v>23</v>
      </c>
      <c r="D1029" t="s">
        <v>38</v>
      </c>
      <c r="E1029" s="7">
        <v>1.46</v>
      </c>
      <c r="F1029" s="2">
        <v>0.54</v>
      </c>
      <c r="G1029" s="7">
        <v>0.27</v>
      </c>
      <c r="H1029" s="9" t="s">
        <v>23</v>
      </c>
      <c r="I1029">
        <v>0.17</v>
      </c>
      <c r="J1029">
        <v>0.47</v>
      </c>
      <c r="K1029">
        <v>0.97</v>
      </c>
      <c r="L1029">
        <v>0.37</v>
      </c>
      <c r="M1029">
        <v>0.37</v>
      </c>
      <c r="N1029">
        <v>0.2</v>
      </c>
      <c r="O1029">
        <v>0.11</v>
      </c>
      <c r="P1029">
        <v>0.74</v>
      </c>
      <c r="Q1029">
        <v>0.77</v>
      </c>
      <c r="R1029" s="2">
        <v>0.97</v>
      </c>
      <c r="S1029" t="str">
        <f>IF(Table1[[#This Row],[Years_Experience]]&lt;=5,"Early Career",
IF(Table1[[#This Row],[Years_Experience]]&lt;=15,"Mid Career","Senior Level"))</f>
        <v>Senior Level</v>
      </c>
      <c r="T1029" t="str">
        <f>IF(Table1[[#This Row],[AI_Exposure_Index]]&gt;=0.7,"High Exposure", IF(Table1[[#This Row],[AI_Exposure_Index]]&gt;=0.3,"Medium Exposure","Low Exposure"))</f>
        <v>Medium Exposure</v>
      </c>
    </row>
    <row r="1030" spans="1:20" x14ac:dyDescent="0.25">
      <c r="A1030" t="s">
        <v>37</v>
      </c>
      <c r="B1030">
        <v>78225</v>
      </c>
      <c r="C1030" s="1">
        <v>8</v>
      </c>
      <c r="D1030" t="s">
        <v>38</v>
      </c>
      <c r="E1030" s="7">
        <v>0.54</v>
      </c>
      <c r="F1030" s="2">
        <v>0.24</v>
      </c>
      <c r="G1030" s="7">
        <v>0.69</v>
      </c>
      <c r="H1030" s="9" t="s">
        <v>27</v>
      </c>
      <c r="I1030">
        <v>0.34</v>
      </c>
      <c r="J1030">
        <v>0.31</v>
      </c>
      <c r="K1030">
        <v>0.91</v>
      </c>
      <c r="L1030">
        <v>0.59</v>
      </c>
      <c r="M1030">
        <v>0.21</v>
      </c>
      <c r="N1030">
        <v>0.89</v>
      </c>
      <c r="O1030">
        <v>0.99</v>
      </c>
      <c r="P1030">
        <v>0.09</v>
      </c>
      <c r="Q1030">
        <v>0.86</v>
      </c>
      <c r="R1030" s="2">
        <v>0.39</v>
      </c>
      <c r="S1030" t="str">
        <f>IF(Table1[[#This Row],[Years_Experience]]&lt;=5,"Early Career",
IF(Table1[[#This Row],[Years_Experience]]&lt;=15,"Mid Career","Senior Level"))</f>
        <v>Mid Career</v>
      </c>
      <c r="T1030" t="str">
        <f>IF(Table1[[#This Row],[AI_Exposure_Index]]&gt;=0.7,"High Exposure", IF(Table1[[#This Row],[AI_Exposure_Index]]&gt;=0.3,"Medium Exposure","Low Exposure"))</f>
        <v>Low Exposure</v>
      </c>
    </row>
    <row r="1031" spans="1:20" x14ac:dyDescent="0.25">
      <c r="A1031" t="s">
        <v>44</v>
      </c>
      <c r="B1031">
        <v>135633</v>
      </c>
      <c r="C1031" s="1">
        <v>12</v>
      </c>
      <c r="D1031" t="s">
        <v>38</v>
      </c>
      <c r="E1031" s="7">
        <v>1.47</v>
      </c>
      <c r="F1031" s="2">
        <v>0.91</v>
      </c>
      <c r="G1031" s="7">
        <v>0.4</v>
      </c>
      <c r="H1031" s="9" t="s">
        <v>27</v>
      </c>
      <c r="I1031">
        <v>0.21</v>
      </c>
      <c r="J1031">
        <v>0.08</v>
      </c>
      <c r="K1031">
        <v>0.56000000000000005</v>
      </c>
      <c r="L1031">
        <v>0.01</v>
      </c>
      <c r="M1031">
        <v>0.41</v>
      </c>
      <c r="N1031">
        <v>7.0000000000000007E-2</v>
      </c>
      <c r="O1031">
        <v>0.41</v>
      </c>
      <c r="P1031">
        <v>0.04</v>
      </c>
      <c r="Q1031">
        <v>0.84</v>
      </c>
      <c r="R1031" s="2">
        <v>0.21</v>
      </c>
      <c r="S1031" t="str">
        <f>IF(Table1[[#This Row],[Years_Experience]]&lt;=5,"Early Career",
IF(Table1[[#This Row],[Years_Experience]]&lt;=15,"Mid Career","Senior Level"))</f>
        <v>Mid Career</v>
      </c>
      <c r="T1031" t="str">
        <f>IF(Table1[[#This Row],[AI_Exposure_Index]]&gt;=0.7,"High Exposure", IF(Table1[[#This Row],[AI_Exposure_Index]]&gt;=0.3,"Medium Exposure","Low Exposure"))</f>
        <v>High Exposure</v>
      </c>
    </row>
    <row r="1032" spans="1:20" x14ac:dyDescent="0.25">
      <c r="A1032" t="s">
        <v>26</v>
      </c>
      <c r="B1032">
        <v>32599</v>
      </c>
      <c r="C1032" s="1">
        <v>20</v>
      </c>
      <c r="D1032" t="s">
        <v>25</v>
      </c>
      <c r="E1032" s="7">
        <v>1.25</v>
      </c>
      <c r="F1032" s="2">
        <v>0.87</v>
      </c>
      <c r="G1032" s="7">
        <v>0.39</v>
      </c>
      <c r="H1032" s="9" t="s">
        <v>27</v>
      </c>
      <c r="I1032">
        <v>7.0000000000000007E-2</v>
      </c>
      <c r="J1032">
        <v>0.72</v>
      </c>
      <c r="K1032">
        <v>0.39</v>
      </c>
      <c r="L1032">
        <v>0.77</v>
      </c>
      <c r="M1032">
        <v>0.45</v>
      </c>
      <c r="N1032">
        <v>0.35</v>
      </c>
      <c r="O1032">
        <v>0.45</v>
      </c>
      <c r="P1032">
        <v>0.75</v>
      </c>
      <c r="Q1032">
        <v>0.9</v>
      </c>
      <c r="R1032" s="2">
        <v>0.05</v>
      </c>
      <c r="S1032" t="str">
        <f>IF(Table1[[#This Row],[Years_Experience]]&lt;=5,"Early Career",
IF(Table1[[#This Row],[Years_Experience]]&lt;=15,"Mid Career","Senior Level"))</f>
        <v>Senior Level</v>
      </c>
      <c r="T1032" t="str">
        <f>IF(Table1[[#This Row],[AI_Exposure_Index]]&gt;=0.7,"High Exposure", IF(Table1[[#This Row],[AI_Exposure_Index]]&gt;=0.3,"Medium Exposure","Low Exposure"))</f>
        <v>High Exposure</v>
      </c>
    </row>
    <row r="1033" spans="1:20" x14ac:dyDescent="0.25">
      <c r="A1033" t="s">
        <v>26</v>
      </c>
      <c r="B1033">
        <v>41394</v>
      </c>
      <c r="C1033" s="1">
        <v>24</v>
      </c>
      <c r="D1033" t="s">
        <v>38</v>
      </c>
      <c r="E1033" s="7">
        <v>1.41</v>
      </c>
      <c r="F1033" s="2">
        <v>0.69</v>
      </c>
      <c r="G1033" s="7">
        <v>0.68</v>
      </c>
      <c r="H1033" s="9" t="s">
        <v>27</v>
      </c>
      <c r="I1033">
        <v>0.03</v>
      </c>
      <c r="J1033">
        <v>0.99</v>
      </c>
      <c r="K1033">
        <v>0.32</v>
      </c>
      <c r="L1033">
        <v>0.84</v>
      </c>
      <c r="M1033">
        <v>0.18</v>
      </c>
      <c r="N1033">
        <v>0.06</v>
      </c>
      <c r="O1033">
        <v>0.38</v>
      </c>
      <c r="P1033">
        <v>0.86</v>
      </c>
      <c r="Q1033">
        <v>0.22</v>
      </c>
      <c r="R1033" s="2">
        <v>0.15</v>
      </c>
      <c r="S1033" t="str">
        <f>IF(Table1[[#This Row],[Years_Experience]]&lt;=5,"Early Career",
IF(Table1[[#This Row],[Years_Experience]]&lt;=15,"Mid Career","Senior Level"))</f>
        <v>Senior Level</v>
      </c>
      <c r="T1033" t="str">
        <f>IF(Table1[[#This Row],[AI_Exposure_Index]]&gt;=0.7,"High Exposure", IF(Table1[[#This Row],[AI_Exposure_Index]]&gt;=0.3,"Medium Exposure","Low Exposure"))</f>
        <v>Medium Exposure</v>
      </c>
    </row>
    <row r="1034" spans="1:20" x14ac:dyDescent="0.25">
      <c r="A1034" t="s">
        <v>33</v>
      </c>
      <c r="B1034">
        <v>91351</v>
      </c>
      <c r="C1034" s="1">
        <v>4</v>
      </c>
      <c r="D1034" t="s">
        <v>38</v>
      </c>
      <c r="E1034" s="7">
        <v>0.51</v>
      </c>
      <c r="F1034" s="2">
        <v>0.94</v>
      </c>
      <c r="G1034" s="7">
        <v>0.88</v>
      </c>
      <c r="H1034" s="9" t="s">
        <v>20</v>
      </c>
      <c r="I1034">
        <v>0.31</v>
      </c>
      <c r="J1034">
        <v>0.37</v>
      </c>
      <c r="K1034">
        <v>0.47</v>
      </c>
      <c r="L1034">
        <v>0.43</v>
      </c>
      <c r="M1034">
        <v>0.51</v>
      </c>
      <c r="N1034">
        <v>0.57999999999999996</v>
      </c>
      <c r="O1034">
        <v>0.47</v>
      </c>
      <c r="P1034">
        <v>0.7</v>
      </c>
      <c r="Q1034">
        <v>0.72</v>
      </c>
      <c r="R1034" s="2">
        <v>0.44</v>
      </c>
      <c r="S1034" t="str">
        <f>IF(Table1[[#This Row],[Years_Experience]]&lt;=5,"Early Career",
IF(Table1[[#This Row],[Years_Experience]]&lt;=15,"Mid Career","Senior Level"))</f>
        <v>Early Career</v>
      </c>
      <c r="T1034" t="str">
        <f>IF(Table1[[#This Row],[AI_Exposure_Index]]&gt;=0.7,"High Exposure", IF(Table1[[#This Row],[AI_Exposure_Index]]&gt;=0.3,"Medium Exposure","Low Exposure"))</f>
        <v>High Exposure</v>
      </c>
    </row>
    <row r="1035" spans="1:20" x14ac:dyDescent="0.25">
      <c r="A1035" t="s">
        <v>44</v>
      </c>
      <c r="B1035">
        <v>60480</v>
      </c>
      <c r="C1035" s="1">
        <v>15</v>
      </c>
      <c r="D1035" t="s">
        <v>22</v>
      </c>
      <c r="E1035" s="7">
        <v>1.27</v>
      </c>
      <c r="F1035" s="2">
        <v>0.64</v>
      </c>
      <c r="G1035" s="7">
        <v>0.56000000000000005</v>
      </c>
      <c r="H1035" s="9" t="s">
        <v>27</v>
      </c>
      <c r="I1035">
        <v>0.59</v>
      </c>
      <c r="J1035">
        <v>0.23</v>
      </c>
      <c r="K1035">
        <v>0.65</v>
      </c>
      <c r="L1035">
        <v>0.33</v>
      </c>
      <c r="M1035">
        <v>0.92</v>
      </c>
      <c r="N1035">
        <v>0.65</v>
      </c>
      <c r="O1035">
        <v>0.28000000000000003</v>
      </c>
      <c r="P1035">
        <v>0.47</v>
      </c>
      <c r="Q1035">
        <v>0.85</v>
      </c>
      <c r="R1035" s="2">
        <v>0.34</v>
      </c>
      <c r="S1035" t="str">
        <f>IF(Table1[[#This Row],[Years_Experience]]&lt;=5,"Early Career",
IF(Table1[[#This Row],[Years_Experience]]&lt;=15,"Mid Career","Senior Level"))</f>
        <v>Mid Career</v>
      </c>
      <c r="T1035" t="str">
        <f>IF(Table1[[#This Row],[AI_Exposure_Index]]&gt;=0.7,"High Exposure", IF(Table1[[#This Row],[AI_Exposure_Index]]&gt;=0.3,"Medium Exposure","Low Exposure"))</f>
        <v>Medium Exposure</v>
      </c>
    </row>
    <row r="1036" spans="1:20" x14ac:dyDescent="0.25">
      <c r="A1036" t="s">
        <v>41</v>
      </c>
      <c r="B1036">
        <v>113442</v>
      </c>
      <c r="C1036" s="1">
        <v>4</v>
      </c>
      <c r="D1036" t="s">
        <v>38</v>
      </c>
      <c r="E1036" s="7">
        <v>1.25</v>
      </c>
      <c r="F1036" s="2">
        <v>0.68</v>
      </c>
      <c r="G1036" s="7">
        <v>0.74</v>
      </c>
      <c r="H1036" s="9" t="s">
        <v>20</v>
      </c>
      <c r="I1036">
        <v>0.56999999999999995</v>
      </c>
      <c r="J1036">
        <v>0.91</v>
      </c>
      <c r="K1036">
        <v>0.97</v>
      </c>
      <c r="L1036">
        <v>0.66</v>
      </c>
      <c r="M1036">
        <v>0.98</v>
      </c>
      <c r="N1036">
        <v>0.56999999999999995</v>
      </c>
      <c r="O1036">
        <v>0.44</v>
      </c>
      <c r="P1036">
        <v>0.55000000000000004</v>
      </c>
      <c r="Q1036">
        <v>0.12</v>
      </c>
      <c r="R1036" s="2">
        <v>0.4</v>
      </c>
      <c r="S1036" t="str">
        <f>IF(Table1[[#This Row],[Years_Experience]]&lt;=5,"Early Career",
IF(Table1[[#This Row],[Years_Experience]]&lt;=15,"Mid Career","Senior Level"))</f>
        <v>Early Career</v>
      </c>
      <c r="T1036" t="str">
        <f>IF(Table1[[#This Row],[AI_Exposure_Index]]&gt;=0.7,"High Exposure", IF(Table1[[#This Row],[AI_Exposure_Index]]&gt;=0.3,"Medium Exposure","Low Exposure"))</f>
        <v>Medium Exposure</v>
      </c>
    </row>
    <row r="1037" spans="1:20" x14ac:dyDescent="0.25">
      <c r="A1037" t="s">
        <v>28</v>
      </c>
      <c r="B1037">
        <v>32199</v>
      </c>
      <c r="C1037" s="1">
        <v>20</v>
      </c>
      <c r="D1037" t="s">
        <v>22</v>
      </c>
      <c r="E1037" s="7">
        <v>1.26</v>
      </c>
      <c r="F1037" s="2">
        <v>0.85</v>
      </c>
      <c r="G1037" s="7">
        <v>0.54</v>
      </c>
      <c r="H1037" s="9" t="s">
        <v>27</v>
      </c>
      <c r="I1037">
        <v>0.35</v>
      </c>
      <c r="J1037">
        <v>0.19</v>
      </c>
      <c r="K1037">
        <v>0.35</v>
      </c>
      <c r="L1037">
        <v>0.68</v>
      </c>
      <c r="M1037">
        <v>0.26</v>
      </c>
      <c r="N1037">
        <v>0.43</v>
      </c>
      <c r="O1037">
        <v>0.39</v>
      </c>
      <c r="P1037">
        <v>0.77</v>
      </c>
      <c r="Q1037">
        <v>0.88</v>
      </c>
      <c r="R1037" s="2">
        <v>0.7</v>
      </c>
      <c r="S1037" t="str">
        <f>IF(Table1[[#This Row],[Years_Experience]]&lt;=5,"Early Career",
IF(Table1[[#This Row],[Years_Experience]]&lt;=15,"Mid Career","Senior Level"))</f>
        <v>Senior Level</v>
      </c>
      <c r="T1037" t="str">
        <f>IF(Table1[[#This Row],[AI_Exposure_Index]]&gt;=0.7,"High Exposure", IF(Table1[[#This Row],[AI_Exposure_Index]]&gt;=0.3,"Medium Exposure","Low Exposure"))</f>
        <v>High Exposure</v>
      </c>
    </row>
    <row r="1038" spans="1:20" x14ac:dyDescent="0.25">
      <c r="A1038" t="s">
        <v>40</v>
      </c>
      <c r="B1038">
        <v>111646</v>
      </c>
      <c r="C1038" s="1">
        <v>27</v>
      </c>
      <c r="D1038" t="s">
        <v>25</v>
      </c>
      <c r="E1038" s="7">
        <v>0.64</v>
      </c>
      <c r="F1038" s="2">
        <v>0.43</v>
      </c>
      <c r="G1038" s="7">
        <v>0.09</v>
      </c>
      <c r="H1038" s="9" t="s">
        <v>23</v>
      </c>
      <c r="I1038">
        <v>0.16</v>
      </c>
      <c r="J1038">
        <v>0.13</v>
      </c>
      <c r="K1038">
        <v>0.18</v>
      </c>
      <c r="L1038">
        <v>0.2</v>
      </c>
      <c r="M1038">
        <v>0.11</v>
      </c>
      <c r="N1038">
        <v>0.64</v>
      </c>
      <c r="O1038">
        <v>0.99</v>
      </c>
      <c r="P1038">
        <v>0.88</v>
      </c>
      <c r="Q1038">
        <v>0.05</v>
      </c>
      <c r="R1038" s="2">
        <v>0.42</v>
      </c>
      <c r="S1038" t="str">
        <f>IF(Table1[[#This Row],[Years_Experience]]&lt;=5,"Early Career",
IF(Table1[[#This Row],[Years_Experience]]&lt;=15,"Mid Career","Senior Level"))</f>
        <v>Senior Level</v>
      </c>
      <c r="T1038" t="str">
        <f>IF(Table1[[#This Row],[AI_Exposure_Index]]&gt;=0.7,"High Exposure", IF(Table1[[#This Row],[AI_Exposure_Index]]&gt;=0.3,"Medium Exposure","Low Exposure"))</f>
        <v>Medium Exposure</v>
      </c>
    </row>
    <row r="1039" spans="1:20" x14ac:dyDescent="0.25">
      <c r="A1039" t="s">
        <v>35</v>
      </c>
      <c r="B1039">
        <v>146536</v>
      </c>
      <c r="C1039" s="1">
        <v>28</v>
      </c>
      <c r="D1039" t="s">
        <v>25</v>
      </c>
      <c r="E1039" s="7">
        <v>1.35</v>
      </c>
      <c r="F1039" s="2">
        <v>0.13</v>
      </c>
      <c r="G1039" s="7">
        <v>0.54</v>
      </c>
      <c r="H1039" s="9" t="s">
        <v>27</v>
      </c>
      <c r="I1039">
        <v>0.93</v>
      </c>
      <c r="J1039">
        <v>0.88</v>
      </c>
      <c r="K1039">
        <v>0.68</v>
      </c>
      <c r="L1039">
        <v>0.66</v>
      </c>
      <c r="M1039">
        <v>0.21</v>
      </c>
      <c r="N1039">
        <v>0.12</v>
      </c>
      <c r="O1039">
        <v>0.42</v>
      </c>
      <c r="P1039">
        <v>0.19</v>
      </c>
      <c r="Q1039">
        <v>0.1</v>
      </c>
      <c r="R1039" s="2">
        <v>0.3</v>
      </c>
      <c r="S1039" t="str">
        <f>IF(Table1[[#This Row],[Years_Experience]]&lt;=5,"Early Career",
IF(Table1[[#This Row],[Years_Experience]]&lt;=15,"Mid Career","Senior Level"))</f>
        <v>Senior Level</v>
      </c>
      <c r="T1039" t="str">
        <f>IF(Table1[[#This Row],[AI_Exposure_Index]]&gt;=0.7,"High Exposure", IF(Table1[[#This Row],[AI_Exposure_Index]]&gt;=0.3,"Medium Exposure","Low Exposure"))</f>
        <v>Low Exposure</v>
      </c>
    </row>
    <row r="1040" spans="1:20" x14ac:dyDescent="0.25">
      <c r="A1040" t="s">
        <v>39</v>
      </c>
      <c r="B1040">
        <v>100072</v>
      </c>
      <c r="C1040" s="1">
        <v>15</v>
      </c>
      <c r="D1040" t="s">
        <v>19</v>
      </c>
      <c r="E1040" s="7">
        <v>0.79</v>
      </c>
      <c r="F1040" s="2">
        <v>0.02</v>
      </c>
      <c r="G1040" s="7">
        <v>0.81</v>
      </c>
      <c r="H1040" s="9" t="s">
        <v>20</v>
      </c>
      <c r="I1040">
        <v>0.51</v>
      </c>
      <c r="J1040">
        <v>0.18</v>
      </c>
      <c r="K1040">
        <v>0.96</v>
      </c>
      <c r="L1040">
        <v>0.57999999999999996</v>
      </c>
      <c r="M1040">
        <v>0.52</v>
      </c>
      <c r="N1040">
        <v>0.01</v>
      </c>
      <c r="O1040">
        <v>0.49</v>
      </c>
      <c r="P1040">
        <v>0.84</v>
      </c>
      <c r="Q1040">
        <v>0.22</v>
      </c>
      <c r="R1040" s="2">
        <v>0.35</v>
      </c>
      <c r="S1040" t="str">
        <f>IF(Table1[[#This Row],[Years_Experience]]&lt;=5,"Early Career",
IF(Table1[[#This Row],[Years_Experience]]&lt;=15,"Mid Career","Senior Level"))</f>
        <v>Mid Career</v>
      </c>
      <c r="T1040" t="str">
        <f>IF(Table1[[#This Row],[AI_Exposure_Index]]&gt;=0.7,"High Exposure", IF(Table1[[#This Row],[AI_Exposure_Index]]&gt;=0.3,"Medium Exposure","Low Exposure"))</f>
        <v>Low Exposure</v>
      </c>
    </row>
    <row r="1041" spans="1:20" x14ac:dyDescent="0.25">
      <c r="A1041" t="s">
        <v>34</v>
      </c>
      <c r="B1041">
        <v>41246</v>
      </c>
      <c r="C1041" s="1">
        <v>26</v>
      </c>
      <c r="D1041" t="s">
        <v>25</v>
      </c>
      <c r="E1041" s="7">
        <v>0.56999999999999995</v>
      </c>
      <c r="F1041" s="2">
        <v>0.98</v>
      </c>
      <c r="G1041" s="7">
        <v>0.66</v>
      </c>
      <c r="H1041" s="9" t="s">
        <v>27</v>
      </c>
      <c r="I1041">
        <v>0.31</v>
      </c>
      <c r="J1041">
        <v>0.59</v>
      </c>
      <c r="K1041">
        <v>0.68</v>
      </c>
      <c r="L1041">
        <v>0.14000000000000001</v>
      </c>
      <c r="M1041">
        <v>0.44</v>
      </c>
      <c r="N1041">
        <v>0.33</v>
      </c>
      <c r="O1041">
        <v>0.06</v>
      </c>
      <c r="P1041">
        <v>0.83</v>
      </c>
      <c r="Q1041">
        <v>0.05</v>
      </c>
      <c r="R1041" s="2">
        <v>0.65</v>
      </c>
      <c r="S1041" t="str">
        <f>IF(Table1[[#This Row],[Years_Experience]]&lt;=5,"Early Career",
IF(Table1[[#This Row],[Years_Experience]]&lt;=15,"Mid Career","Senior Level"))</f>
        <v>Senior Level</v>
      </c>
      <c r="T1041" t="str">
        <f>IF(Table1[[#This Row],[AI_Exposure_Index]]&gt;=0.7,"High Exposure", IF(Table1[[#This Row],[AI_Exposure_Index]]&gt;=0.3,"Medium Exposure","Low Exposure"))</f>
        <v>High Exposure</v>
      </c>
    </row>
    <row r="1042" spans="1:20" x14ac:dyDescent="0.25">
      <c r="A1042" t="s">
        <v>18</v>
      </c>
      <c r="B1042">
        <v>120088</v>
      </c>
      <c r="C1042" s="1">
        <v>5</v>
      </c>
      <c r="D1042" t="s">
        <v>22</v>
      </c>
      <c r="E1042" s="7">
        <v>0.69</v>
      </c>
      <c r="F1042" s="2">
        <v>0.78</v>
      </c>
      <c r="G1042" s="7">
        <v>0.87</v>
      </c>
      <c r="H1042" s="9" t="s">
        <v>20</v>
      </c>
      <c r="I1042">
        <v>0.6</v>
      </c>
      <c r="J1042">
        <v>0.18</v>
      </c>
      <c r="K1042">
        <v>0.27</v>
      </c>
      <c r="L1042">
        <v>0.41</v>
      </c>
      <c r="M1042">
        <v>0.7</v>
      </c>
      <c r="N1042">
        <v>0.64</v>
      </c>
      <c r="O1042">
        <v>0.53</v>
      </c>
      <c r="P1042">
        <v>0.77</v>
      </c>
      <c r="Q1042">
        <v>0.76</v>
      </c>
      <c r="R1042" s="2">
        <v>0.62</v>
      </c>
      <c r="S1042" t="str">
        <f>IF(Table1[[#This Row],[Years_Experience]]&lt;=5,"Early Career",
IF(Table1[[#This Row],[Years_Experience]]&lt;=15,"Mid Career","Senior Level"))</f>
        <v>Early Career</v>
      </c>
      <c r="T1042" t="str">
        <f>IF(Table1[[#This Row],[AI_Exposure_Index]]&gt;=0.7,"High Exposure", IF(Table1[[#This Row],[AI_Exposure_Index]]&gt;=0.3,"Medium Exposure","Low Exposure"))</f>
        <v>High Exposure</v>
      </c>
    </row>
    <row r="1043" spans="1:20" x14ac:dyDescent="0.25">
      <c r="A1043" t="s">
        <v>43</v>
      </c>
      <c r="B1043">
        <v>41913</v>
      </c>
      <c r="C1043" s="1">
        <v>21</v>
      </c>
      <c r="D1043" t="s">
        <v>19</v>
      </c>
      <c r="E1043" s="7">
        <v>1.38</v>
      </c>
      <c r="F1043" s="2">
        <v>0.33</v>
      </c>
      <c r="G1043" s="7">
        <v>0.2</v>
      </c>
      <c r="H1043" s="9" t="s">
        <v>23</v>
      </c>
      <c r="I1043">
        <v>0.82</v>
      </c>
      <c r="J1043">
        <v>0.55000000000000004</v>
      </c>
      <c r="K1043">
        <v>0.22</v>
      </c>
      <c r="L1043">
        <v>0.54</v>
      </c>
      <c r="M1043">
        <v>0.37</v>
      </c>
      <c r="N1043">
        <v>0.7</v>
      </c>
      <c r="O1043">
        <v>0.48</v>
      </c>
      <c r="P1043">
        <v>0.84</v>
      </c>
      <c r="Q1043">
        <v>0.68</v>
      </c>
      <c r="R1043" s="2">
        <v>0.68</v>
      </c>
      <c r="S1043" t="str">
        <f>IF(Table1[[#This Row],[Years_Experience]]&lt;=5,"Early Career",
IF(Table1[[#This Row],[Years_Experience]]&lt;=15,"Mid Career","Senior Level"))</f>
        <v>Senior Level</v>
      </c>
      <c r="T1043" t="str">
        <f>IF(Table1[[#This Row],[AI_Exposure_Index]]&gt;=0.7,"High Exposure", IF(Table1[[#This Row],[AI_Exposure_Index]]&gt;=0.3,"Medium Exposure","Low Exposure"))</f>
        <v>Medium Exposure</v>
      </c>
    </row>
    <row r="1044" spans="1:20" x14ac:dyDescent="0.25">
      <c r="A1044" t="s">
        <v>35</v>
      </c>
      <c r="B1044">
        <v>127771</v>
      </c>
      <c r="C1044" s="1">
        <v>14</v>
      </c>
      <c r="D1044" t="s">
        <v>22</v>
      </c>
      <c r="E1044" s="7">
        <v>1.34</v>
      </c>
      <c r="F1044" s="2">
        <v>0.98</v>
      </c>
      <c r="G1044" s="7">
        <v>0.62</v>
      </c>
      <c r="H1044" s="9" t="s">
        <v>27</v>
      </c>
      <c r="I1044">
        <v>0.33</v>
      </c>
      <c r="J1044">
        <v>0.54</v>
      </c>
      <c r="K1044">
        <v>0.14000000000000001</v>
      </c>
      <c r="L1044">
        <v>0.54</v>
      </c>
      <c r="M1044">
        <v>0.15</v>
      </c>
      <c r="N1044">
        <v>0.55000000000000004</v>
      </c>
      <c r="O1044">
        <v>0.65</v>
      </c>
      <c r="P1044">
        <v>0.39</v>
      </c>
      <c r="Q1044">
        <v>0.5</v>
      </c>
      <c r="R1044" s="2">
        <v>0.88</v>
      </c>
      <c r="S1044" t="str">
        <f>IF(Table1[[#This Row],[Years_Experience]]&lt;=5,"Early Career",
IF(Table1[[#This Row],[Years_Experience]]&lt;=15,"Mid Career","Senior Level"))</f>
        <v>Mid Career</v>
      </c>
      <c r="T1044" t="str">
        <f>IF(Table1[[#This Row],[AI_Exposure_Index]]&gt;=0.7,"High Exposure", IF(Table1[[#This Row],[AI_Exposure_Index]]&gt;=0.3,"Medium Exposure","Low Exposure"))</f>
        <v>High Exposure</v>
      </c>
    </row>
    <row r="1045" spans="1:20" x14ac:dyDescent="0.25">
      <c r="A1045" t="s">
        <v>31</v>
      </c>
      <c r="B1045">
        <v>82035</v>
      </c>
      <c r="C1045" s="1">
        <v>28</v>
      </c>
      <c r="D1045" t="s">
        <v>22</v>
      </c>
      <c r="E1045" s="7">
        <v>0.67</v>
      </c>
      <c r="F1045" s="2">
        <v>0.79</v>
      </c>
      <c r="G1045" s="7">
        <v>0.06</v>
      </c>
      <c r="H1045" s="9" t="s">
        <v>23</v>
      </c>
      <c r="I1045">
        <v>0.19</v>
      </c>
      <c r="J1045">
        <v>0.77</v>
      </c>
      <c r="K1045">
        <v>0.41</v>
      </c>
      <c r="L1045">
        <v>0.87</v>
      </c>
      <c r="M1045">
        <v>0.52</v>
      </c>
      <c r="N1045">
        <v>0.02</v>
      </c>
      <c r="O1045">
        <v>0.72</v>
      </c>
      <c r="P1045">
        <v>0.11</v>
      </c>
      <c r="Q1045">
        <v>0.79</v>
      </c>
      <c r="R1045" s="2">
        <v>0.17</v>
      </c>
      <c r="S1045" t="str">
        <f>IF(Table1[[#This Row],[Years_Experience]]&lt;=5,"Early Career",
IF(Table1[[#This Row],[Years_Experience]]&lt;=15,"Mid Career","Senior Level"))</f>
        <v>Senior Level</v>
      </c>
      <c r="T1045" t="str">
        <f>IF(Table1[[#This Row],[AI_Exposure_Index]]&gt;=0.7,"High Exposure", IF(Table1[[#This Row],[AI_Exposure_Index]]&gt;=0.3,"Medium Exposure","Low Exposure"))</f>
        <v>High Exposure</v>
      </c>
    </row>
    <row r="1046" spans="1:20" x14ac:dyDescent="0.25">
      <c r="A1046" t="s">
        <v>43</v>
      </c>
      <c r="B1046">
        <v>106970</v>
      </c>
      <c r="C1046" s="1">
        <v>21</v>
      </c>
      <c r="D1046" t="s">
        <v>19</v>
      </c>
      <c r="E1046" s="7">
        <v>1.45</v>
      </c>
      <c r="F1046" s="2">
        <v>0.76</v>
      </c>
      <c r="G1046" s="7">
        <v>0.14000000000000001</v>
      </c>
      <c r="H1046" s="9" t="s">
        <v>23</v>
      </c>
      <c r="I1046">
        <v>0.83</v>
      </c>
      <c r="J1046">
        <v>0.19</v>
      </c>
      <c r="K1046">
        <v>0.81</v>
      </c>
      <c r="L1046">
        <v>0.66</v>
      </c>
      <c r="M1046">
        <v>0.19</v>
      </c>
      <c r="N1046">
        <v>0.3</v>
      </c>
      <c r="O1046">
        <v>0.13</v>
      </c>
      <c r="P1046">
        <v>0.38</v>
      </c>
      <c r="Q1046">
        <v>0.2</v>
      </c>
      <c r="R1046" s="2">
        <v>0.64</v>
      </c>
      <c r="S1046" t="str">
        <f>IF(Table1[[#This Row],[Years_Experience]]&lt;=5,"Early Career",
IF(Table1[[#This Row],[Years_Experience]]&lt;=15,"Mid Career","Senior Level"))</f>
        <v>Senior Level</v>
      </c>
      <c r="T1046" t="str">
        <f>IF(Table1[[#This Row],[AI_Exposure_Index]]&gt;=0.7,"High Exposure", IF(Table1[[#This Row],[AI_Exposure_Index]]&gt;=0.3,"Medium Exposure","Low Exposure"))</f>
        <v>High Exposure</v>
      </c>
    </row>
    <row r="1047" spans="1:20" x14ac:dyDescent="0.25">
      <c r="A1047" t="s">
        <v>28</v>
      </c>
      <c r="B1047">
        <v>75643</v>
      </c>
      <c r="C1047" s="1">
        <v>9</v>
      </c>
      <c r="D1047" t="s">
        <v>22</v>
      </c>
      <c r="E1047" s="7">
        <v>0.87</v>
      </c>
      <c r="F1047" s="2">
        <v>0.57999999999999996</v>
      </c>
      <c r="G1047" s="7">
        <v>0.44</v>
      </c>
      <c r="H1047" s="9" t="s">
        <v>27</v>
      </c>
      <c r="I1047">
        <v>0.67</v>
      </c>
      <c r="J1047">
        <v>0.39</v>
      </c>
      <c r="K1047">
        <v>0.26</v>
      </c>
      <c r="L1047">
        <v>0.4</v>
      </c>
      <c r="M1047">
        <v>0.81</v>
      </c>
      <c r="N1047">
        <v>0.97</v>
      </c>
      <c r="O1047">
        <v>0.64</v>
      </c>
      <c r="P1047">
        <v>0.78</v>
      </c>
      <c r="Q1047">
        <v>0.53</v>
      </c>
      <c r="R1047" s="2">
        <v>0.62</v>
      </c>
      <c r="S1047" t="str">
        <f>IF(Table1[[#This Row],[Years_Experience]]&lt;=5,"Early Career",
IF(Table1[[#This Row],[Years_Experience]]&lt;=15,"Mid Career","Senior Level"))</f>
        <v>Mid Career</v>
      </c>
      <c r="T1047" t="str">
        <f>IF(Table1[[#This Row],[AI_Exposure_Index]]&gt;=0.7,"High Exposure", IF(Table1[[#This Row],[AI_Exposure_Index]]&gt;=0.3,"Medium Exposure","Low Exposure"))</f>
        <v>Medium Exposure</v>
      </c>
    </row>
    <row r="1048" spans="1:20" x14ac:dyDescent="0.25">
      <c r="A1048" t="s">
        <v>40</v>
      </c>
      <c r="B1048">
        <v>111751</v>
      </c>
      <c r="C1048" s="1">
        <v>13</v>
      </c>
      <c r="D1048" t="s">
        <v>22</v>
      </c>
      <c r="E1048" s="7">
        <v>0.56999999999999995</v>
      </c>
      <c r="F1048" s="2">
        <v>0.44</v>
      </c>
      <c r="G1048" s="7">
        <v>0.28999999999999998</v>
      </c>
      <c r="H1048" s="9" t="s">
        <v>23</v>
      </c>
      <c r="I1048">
        <v>0.79</v>
      </c>
      <c r="J1048">
        <v>0.4</v>
      </c>
      <c r="K1048">
        <v>0.98</v>
      </c>
      <c r="L1048">
        <v>0.35</v>
      </c>
      <c r="M1048">
        <v>0.37</v>
      </c>
      <c r="N1048">
        <v>0.61</v>
      </c>
      <c r="O1048">
        <v>0.27</v>
      </c>
      <c r="P1048">
        <v>0.7</v>
      </c>
      <c r="Q1048">
        <v>0.15</v>
      </c>
      <c r="R1048" s="2">
        <v>0.11</v>
      </c>
      <c r="S1048" t="str">
        <f>IF(Table1[[#This Row],[Years_Experience]]&lt;=5,"Early Career",
IF(Table1[[#This Row],[Years_Experience]]&lt;=15,"Mid Career","Senior Level"))</f>
        <v>Mid Career</v>
      </c>
      <c r="T1048" t="str">
        <f>IF(Table1[[#This Row],[AI_Exposure_Index]]&gt;=0.7,"High Exposure", IF(Table1[[#This Row],[AI_Exposure_Index]]&gt;=0.3,"Medium Exposure","Low Exposure"))</f>
        <v>Medium Exposure</v>
      </c>
    </row>
    <row r="1049" spans="1:20" x14ac:dyDescent="0.25">
      <c r="A1049" t="s">
        <v>26</v>
      </c>
      <c r="B1049">
        <v>145650</v>
      </c>
      <c r="C1049" s="1">
        <v>29</v>
      </c>
      <c r="D1049" t="s">
        <v>38</v>
      </c>
      <c r="E1049" s="7">
        <v>0.61</v>
      </c>
      <c r="F1049" s="2">
        <v>0.56000000000000005</v>
      </c>
      <c r="G1049" s="7">
        <v>0.69</v>
      </c>
      <c r="H1049" s="9" t="s">
        <v>27</v>
      </c>
      <c r="I1049">
        <v>0.56999999999999995</v>
      </c>
      <c r="J1049">
        <v>0.15</v>
      </c>
      <c r="K1049">
        <v>0.31</v>
      </c>
      <c r="L1049">
        <v>0.8</v>
      </c>
      <c r="M1049">
        <v>0.52</v>
      </c>
      <c r="N1049">
        <v>0.19</v>
      </c>
      <c r="O1049">
        <v>0.1</v>
      </c>
      <c r="P1049">
        <v>0.43</v>
      </c>
      <c r="Q1049">
        <v>0.34</v>
      </c>
      <c r="R1049" s="2">
        <v>0.66</v>
      </c>
      <c r="S1049" t="str">
        <f>IF(Table1[[#This Row],[Years_Experience]]&lt;=5,"Early Career",
IF(Table1[[#This Row],[Years_Experience]]&lt;=15,"Mid Career","Senior Level"))</f>
        <v>Senior Level</v>
      </c>
      <c r="T1049" t="str">
        <f>IF(Table1[[#This Row],[AI_Exposure_Index]]&gt;=0.7,"High Exposure", IF(Table1[[#This Row],[AI_Exposure_Index]]&gt;=0.3,"Medium Exposure","Low Exposure"))</f>
        <v>Medium Exposure</v>
      </c>
    </row>
    <row r="1050" spans="1:20" x14ac:dyDescent="0.25">
      <c r="A1050" t="s">
        <v>24</v>
      </c>
      <c r="B1050">
        <v>94649</v>
      </c>
      <c r="C1050" s="1">
        <v>9</v>
      </c>
      <c r="D1050" t="s">
        <v>38</v>
      </c>
      <c r="E1050" s="7">
        <v>1.36</v>
      </c>
      <c r="F1050" s="2">
        <v>0.25</v>
      </c>
      <c r="G1050" s="7">
        <v>0.93</v>
      </c>
      <c r="H1050" s="9" t="s">
        <v>20</v>
      </c>
      <c r="I1050">
        <v>0.9</v>
      </c>
      <c r="J1050">
        <v>0.95</v>
      </c>
      <c r="K1050">
        <v>0.84</v>
      </c>
      <c r="L1050">
        <v>0.59</v>
      </c>
      <c r="M1050">
        <v>0.41</v>
      </c>
      <c r="N1050">
        <v>0.49</v>
      </c>
      <c r="O1050">
        <v>0.87</v>
      </c>
      <c r="P1050">
        <v>0.3</v>
      </c>
      <c r="Q1050">
        <v>0.16</v>
      </c>
      <c r="R1050" s="2">
        <v>0.14000000000000001</v>
      </c>
      <c r="S1050" t="str">
        <f>IF(Table1[[#This Row],[Years_Experience]]&lt;=5,"Early Career",
IF(Table1[[#This Row],[Years_Experience]]&lt;=15,"Mid Career","Senior Level"))</f>
        <v>Mid Career</v>
      </c>
      <c r="T1050" t="str">
        <f>IF(Table1[[#This Row],[AI_Exposure_Index]]&gt;=0.7,"High Exposure", IF(Table1[[#This Row],[AI_Exposure_Index]]&gt;=0.3,"Medium Exposure","Low Exposure"))</f>
        <v>Low Exposure</v>
      </c>
    </row>
    <row r="1051" spans="1:20" x14ac:dyDescent="0.25">
      <c r="A1051" t="s">
        <v>21</v>
      </c>
      <c r="B1051">
        <v>95615</v>
      </c>
      <c r="C1051" s="1">
        <v>25</v>
      </c>
      <c r="D1051" t="s">
        <v>38</v>
      </c>
      <c r="E1051" s="7">
        <v>0.53</v>
      </c>
      <c r="F1051" s="2">
        <v>0.72</v>
      </c>
      <c r="G1051" s="7">
        <v>0.19</v>
      </c>
      <c r="H1051" s="9" t="s">
        <v>23</v>
      </c>
      <c r="I1051">
        <v>0.88</v>
      </c>
      <c r="J1051">
        <v>0.02</v>
      </c>
      <c r="K1051">
        <v>0.41</v>
      </c>
      <c r="L1051">
        <v>0.93</v>
      </c>
      <c r="M1051">
        <v>0.35</v>
      </c>
      <c r="N1051">
        <v>0.46</v>
      </c>
      <c r="O1051">
        <v>0.98</v>
      </c>
      <c r="P1051">
        <v>0.2</v>
      </c>
      <c r="Q1051">
        <v>7.0000000000000007E-2</v>
      </c>
      <c r="R1051" s="2">
        <v>0.86</v>
      </c>
      <c r="S1051" t="str">
        <f>IF(Table1[[#This Row],[Years_Experience]]&lt;=5,"Early Career",
IF(Table1[[#This Row],[Years_Experience]]&lt;=15,"Mid Career","Senior Level"))</f>
        <v>Senior Level</v>
      </c>
      <c r="T1051" t="str">
        <f>IF(Table1[[#This Row],[AI_Exposure_Index]]&gt;=0.7,"High Exposure", IF(Table1[[#This Row],[AI_Exposure_Index]]&gt;=0.3,"Medium Exposure","Low Exposure"))</f>
        <v>High Exposure</v>
      </c>
    </row>
    <row r="1052" spans="1:20" x14ac:dyDescent="0.25">
      <c r="A1052" t="s">
        <v>41</v>
      </c>
      <c r="B1052">
        <v>144317</v>
      </c>
      <c r="C1052" s="1">
        <v>8</v>
      </c>
      <c r="D1052" t="s">
        <v>22</v>
      </c>
      <c r="E1052" s="7">
        <v>1.01</v>
      </c>
      <c r="F1052" s="2">
        <v>0.47</v>
      </c>
      <c r="G1052" s="7">
        <v>0.91</v>
      </c>
      <c r="H1052" s="9" t="s">
        <v>20</v>
      </c>
      <c r="I1052">
        <v>0.74</v>
      </c>
      <c r="J1052">
        <v>0.27</v>
      </c>
      <c r="K1052">
        <v>0.02</v>
      </c>
      <c r="L1052">
        <v>0.48</v>
      </c>
      <c r="M1052">
        <v>0.86</v>
      </c>
      <c r="N1052">
        <v>0.9</v>
      </c>
      <c r="O1052">
        <v>0.96</v>
      </c>
      <c r="P1052">
        <v>0.88</v>
      </c>
      <c r="Q1052">
        <v>0.57999999999999996</v>
      </c>
      <c r="R1052" s="2">
        <v>0.44</v>
      </c>
      <c r="S1052" t="str">
        <f>IF(Table1[[#This Row],[Years_Experience]]&lt;=5,"Early Career",
IF(Table1[[#This Row],[Years_Experience]]&lt;=15,"Mid Career","Senior Level"))</f>
        <v>Mid Career</v>
      </c>
      <c r="T1052" t="str">
        <f>IF(Table1[[#This Row],[AI_Exposure_Index]]&gt;=0.7,"High Exposure", IF(Table1[[#This Row],[AI_Exposure_Index]]&gt;=0.3,"Medium Exposure","Low Exposure"))</f>
        <v>Medium Exposure</v>
      </c>
    </row>
    <row r="1053" spans="1:20" x14ac:dyDescent="0.25">
      <c r="A1053" t="s">
        <v>44</v>
      </c>
      <c r="B1053">
        <v>66640</v>
      </c>
      <c r="C1053" s="1">
        <v>11</v>
      </c>
      <c r="D1053" t="s">
        <v>38</v>
      </c>
      <c r="E1053" s="7">
        <v>1.04</v>
      </c>
      <c r="F1053" s="2">
        <v>0.74</v>
      </c>
      <c r="G1053" s="7">
        <v>0.33</v>
      </c>
      <c r="H1053" s="9" t="s">
        <v>27</v>
      </c>
      <c r="I1053">
        <v>0.93</v>
      </c>
      <c r="J1053">
        <v>0.46</v>
      </c>
      <c r="K1053">
        <v>0.36</v>
      </c>
      <c r="L1053">
        <v>0.63</v>
      </c>
      <c r="M1053">
        <v>0.67</v>
      </c>
      <c r="N1053">
        <v>0.21</v>
      </c>
      <c r="O1053">
        <v>0.84</v>
      </c>
      <c r="P1053">
        <v>0.28999999999999998</v>
      </c>
      <c r="Q1053">
        <v>0.19</v>
      </c>
      <c r="R1053" s="2">
        <v>0.41</v>
      </c>
      <c r="S1053" t="str">
        <f>IF(Table1[[#This Row],[Years_Experience]]&lt;=5,"Early Career",
IF(Table1[[#This Row],[Years_Experience]]&lt;=15,"Mid Career","Senior Level"))</f>
        <v>Mid Career</v>
      </c>
      <c r="T1053" t="str">
        <f>IF(Table1[[#This Row],[AI_Exposure_Index]]&gt;=0.7,"High Exposure", IF(Table1[[#This Row],[AI_Exposure_Index]]&gt;=0.3,"Medium Exposure","Low Exposure"))</f>
        <v>High Exposure</v>
      </c>
    </row>
    <row r="1054" spans="1:20" x14ac:dyDescent="0.25">
      <c r="A1054" t="s">
        <v>18</v>
      </c>
      <c r="B1054">
        <v>47528</v>
      </c>
      <c r="C1054" s="1">
        <v>4</v>
      </c>
      <c r="D1054" t="s">
        <v>19</v>
      </c>
      <c r="E1054" s="7">
        <v>1.44</v>
      </c>
      <c r="F1054" s="2">
        <v>0.81</v>
      </c>
      <c r="G1054" s="7">
        <v>0.74</v>
      </c>
      <c r="H1054" s="9" t="s">
        <v>20</v>
      </c>
      <c r="I1054">
        <v>7.0000000000000007E-2</v>
      </c>
      <c r="J1054">
        <v>0.56000000000000005</v>
      </c>
      <c r="K1054">
        <v>0.28999999999999998</v>
      </c>
      <c r="L1054">
        <v>0.83</v>
      </c>
      <c r="M1054">
        <v>0.67</v>
      </c>
      <c r="N1054">
        <v>0.97</v>
      </c>
      <c r="O1054">
        <v>0.25</v>
      </c>
      <c r="P1054">
        <v>0.49</v>
      </c>
      <c r="Q1054">
        <v>0.5</v>
      </c>
      <c r="R1054" s="2">
        <v>0.24</v>
      </c>
      <c r="S1054" t="str">
        <f>IF(Table1[[#This Row],[Years_Experience]]&lt;=5,"Early Career",
IF(Table1[[#This Row],[Years_Experience]]&lt;=15,"Mid Career","Senior Level"))</f>
        <v>Early Career</v>
      </c>
      <c r="T1054" t="str">
        <f>IF(Table1[[#This Row],[AI_Exposure_Index]]&gt;=0.7,"High Exposure", IF(Table1[[#This Row],[AI_Exposure_Index]]&gt;=0.3,"Medium Exposure","Low Exposure"))</f>
        <v>High Exposure</v>
      </c>
    </row>
    <row r="1055" spans="1:20" x14ac:dyDescent="0.25">
      <c r="A1055" t="s">
        <v>40</v>
      </c>
      <c r="B1055">
        <v>53655</v>
      </c>
      <c r="C1055" s="1">
        <v>12</v>
      </c>
      <c r="D1055" t="s">
        <v>22</v>
      </c>
      <c r="E1055" s="7">
        <v>0.95</v>
      </c>
      <c r="F1055" s="2">
        <v>0.44</v>
      </c>
      <c r="G1055" s="7">
        <v>0.14000000000000001</v>
      </c>
      <c r="H1055" s="9" t="s">
        <v>23</v>
      </c>
      <c r="I1055">
        <v>0.02</v>
      </c>
      <c r="J1055">
        <v>0.52</v>
      </c>
      <c r="K1055">
        <v>0.34</v>
      </c>
      <c r="L1055">
        <v>0</v>
      </c>
      <c r="M1055">
        <v>0.31</v>
      </c>
      <c r="N1055">
        <v>0.28000000000000003</v>
      </c>
      <c r="O1055">
        <v>0.39</v>
      </c>
      <c r="P1055">
        <v>0.13</v>
      </c>
      <c r="Q1055">
        <v>0.51</v>
      </c>
      <c r="R1055" s="2">
        <v>0.69</v>
      </c>
      <c r="S1055" t="str">
        <f>IF(Table1[[#This Row],[Years_Experience]]&lt;=5,"Early Career",
IF(Table1[[#This Row],[Years_Experience]]&lt;=15,"Mid Career","Senior Level"))</f>
        <v>Mid Career</v>
      </c>
      <c r="T1055" t="str">
        <f>IF(Table1[[#This Row],[AI_Exposure_Index]]&gt;=0.7,"High Exposure", IF(Table1[[#This Row],[AI_Exposure_Index]]&gt;=0.3,"Medium Exposure","Low Exposure"))</f>
        <v>Medium Exposure</v>
      </c>
    </row>
    <row r="1056" spans="1:20" x14ac:dyDescent="0.25">
      <c r="A1056" t="s">
        <v>36</v>
      </c>
      <c r="B1056">
        <v>102264</v>
      </c>
      <c r="C1056" s="1">
        <v>4</v>
      </c>
      <c r="D1056" t="s">
        <v>22</v>
      </c>
      <c r="E1056" s="7">
        <v>0.95</v>
      </c>
      <c r="F1056" s="2">
        <v>0.93</v>
      </c>
      <c r="G1056" s="7">
        <v>0.56999999999999995</v>
      </c>
      <c r="H1056" s="9" t="s">
        <v>27</v>
      </c>
      <c r="I1056">
        <v>0.27</v>
      </c>
      <c r="J1056">
        <v>0.41</v>
      </c>
      <c r="K1056">
        <v>0.71</v>
      </c>
      <c r="L1056">
        <v>0.51</v>
      </c>
      <c r="M1056">
        <v>0.93</v>
      </c>
      <c r="N1056">
        <v>0.74</v>
      </c>
      <c r="O1056">
        <v>0.56000000000000005</v>
      </c>
      <c r="P1056">
        <v>0.89</v>
      </c>
      <c r="Q1056">
        <v>0.67</v>
      </c>
      <c r="R1056" s="2">
        <v>0.65</v>
      </c>
      <c r="S1056" t="str">
        <f>IF(Table1[[#This Row],[Years_Experience]]&lt;=5,"Early Career",
IF(Table1[[#This Row],[Years_Experience]]&lt;=15,"Mid Career","Senior Level"))</f>
        <v>Early Career</v>
      </c>
      <c r="T1056" t="str">
        <f>IF(Table1[[#This Row],[AI_Exposure_Index]]&gt;=0.7,"High Exposure", IF(Table1[[#This Row],[AI_Exposure_Index]]&gt;=0.3,"Medium Exposure","Low Exposure"))</f>
        <v>High Exposure</v>
      </c>
    </row>
    <row r="1057" spans="1:20" x14ac:dyDescent="0.25">
      <c r="A1057" t="s">
        <v>21</v>
      </c>
      <c r="B1057">
        <v>42550</v>
      </c>
      <c r="C1057" s="1">
        <v>15</v>
      </c>
      <c r="D1057" t="s">
        <v>25</v>
      </c>
      <c r="E1057" s="7">
        <v>1.18</v>
      </c>
      <c r="F1057" s="2">
        <v>0.39</v>
      </c>
      <c r="G1057" s="7">
        <v>0.27</v>
      </c>
      <c r="H1057" s="9" t="s">
        <v>23</v>
      </c>
      <c r="I1057">
        <v>0.32</v>
      </c>
      <c r="J1057">
        <v>0.22</v>
      </c>
      <c r="K1057">
        <v>0.59</v>
      </c>
      <c r="L1057">
        <v>7.0000000000000007E-2</v>
      </c>
      <c r="M1057">
        <v>0.71</v>
      </c>
      <c r="N1057">
        <v>0.7</v>
      </c>
      <c r="O1057">
        <v>0.35</v>
      </c>
      <c r="P1057">
        <v>0.89</v>
      </c>
      <c r="Q1057">
        <v>0.5</v>
      </c>
      <c r="R1057" s="2">
        <v>0.65</v>
      </c>
      <c r="S1057" t="str">
        <f>IF(Table1[[#This Row],[Years_Experience]]&lt;=5,"Early Career",
IF(Table1[[#This Row],[Years_Experience]]&lt;=15,"Mid Career","Senior Level"))</f>
        <v>Mid Career</v>
      </c>
      <c r="T1057" t="str">
        <f>IF(Table1[[#This Row],[AI_Exposure_Index]]&gt;=0.7,"High Exposure", IF(Table1[[#This Row],[AI_Exposure_Index]]&gt;=0.3,"Medium Exposure","Low Exposure"))</f>
        <v>Medium Exposure</v>
      </c>
    </row>
    <row r="1058" spans="1:20" x14ac:dyDescent="0.25">
      <c r="A1058" t="s">
        <v>34</v>
      </c>
      <c r="B1058">
        <v>91284</v>
      </c>
      <c r="C1058" s="1">
        <v>13</v>
      </c>
      <c r="D1058" t="s">
        <v>25</v>
      </c>
      <c r="E1058" s="7">
        <v>1.36</v>
      </c>
      <c r="F1058" s="2">
        <v>0.42</v>
      </c>
      <c r="G1058" s="7">
        <v>0.39</v>
      </c>
      <c r="H1058" s="9" t="s">
        <v>27</v>
      </c>
      <c r="I1058">
        <v>0.39</v>
      </c>
      <c r="J1058">
        <v>0.32</v>
      </c>
      <c r="K1058">
        <v>0.15</v>
      </c>
      <c r="L1058">
        <v>0.28999999999999998</v>
      </c>
      <c r="M1058">
        <v>0.23</v>
      </c>
      <c r="N1058">
        <v>0.92</v>
      </c>
      <c r="O1058">
        <v>0.74</v>
      </c>
      <c r="P1058">
        <v>0.32</v>
      </c>
      <c r="Q1058">
        <v>0.76</v>
      </c>
      <c r="R1058" s="2">
        <v>0.02</v>
      </c>
      <c r="S1058" t="str">
        <f>IF(Table1[[#This Row],[Years_Experience]]&lt;=5,"Early Career",
IF(Table1[[#This Row],[Years_Experience]]&lt;=15,"Mid Career","Senior Level"))</f>
        <v>Mid Career</v>
      </c>
      <c r="T1058" t="str">
        <f>IF(Table1[[#This Row],[AI_Exposure_Index]]&gt;=0.7,"High Exposure", IF(Table1[[#This Row],[AI_Exposure_Index]]&gt;=0.3,"Medium Exposure","Low Exposure"))</f>
        <v>Medium Exposure</v>
      </c>
    </row>
    <row r="1059" spans="1:20" x14ac:dyDescent="0.25">
      <c r="A1059" t="s">
        <v>36</v>
      </c>
      <c r="B1059">
        <v>51200</v>
      </c>
      <c r="C1059" s="1">
        <v>20</v>
      </c>
      <c r="D1059" t="s">
        <v>25</v>
      </c>
      <c r="E1059" s="7">
        <v>0.61</v>
      </c>
      <c r="F1059" s="2">
        <v>0.25</v>
      </c>
      <c r="G1059" s="7">
        <v>0.65</v>
      </c>
      <c r="H1059" s="9" t="s">
        <v>27</v>
      </c>
      <c r="I1059">
        <v>0.2</v>
      </c>
      <c r="J1059">
        <v>0.82</v>
      </c>
      <c r="K1059">
        <v>0.41</v>
      </c>
      <c r="L1059">
        <v>0.01</v>
      </c>
      <c r="M1059">
        <v>0.73</v>
      </c>
      <c r="N1059">
        <v>0.6</v>
      </c>
      <c r="O1059">
        <v>0.34</v>
      </c>
      <c r="P1059">
        <v>0.28000000000000003</v>
      </c>
      <c r="Q1059">
        <v>7.0000000000000007E-2</v>
      </c>
      <c r="R1059" s="2">
        <v>0.94</v>
      </c>
      <c r="S1059" t="str">
        <f>IF(Table1[[#This Row],[Years_Experience]]&lt;=5,"Early Career",
IF(Table1[[#This Row],[Years_Experience]]&lt;=15,"Mid Career","Senior Level"))</f>
        <v>Senior Level</v>
      </c>
      <c r="T1059" t="str">
        <f>IF(Table1[[#This Row],[AI_Exposure_Index]]&gt;=0.7,"High Exposure", IF(Table1[[#This Row],[AI_Exposure_Index]]&gt;=0.3,"Medium Exposure","Low Exposure"))</f>
        <v>Low Exposure</v>
      </c>
    </row>
    <row r="1060" spans="1:20" x14ac:dyDescent="0.25">
      <c r="A1060" t="s">
        <v>43</v>
      </c>
      <c r="B1060">
        <v>147529</v>
      </c>
      <c r="C1060" s="1">
        <v>14</v>
      </c>
      <c r="D1060" t="s">
        <v>38</v>
      </c>
      <c r="E1060" s="7">
        <v>1.37</v>
      </c>
      <c r="F1060" s="2">
        <v>0.09</v>
      </c>
      <c r="G1060" s="7">
        <v>0.12</v>
      </c>
      <c r="H1060" s="9" t="s">
        <v>23</v>
      </c>
      <c r="I1060">
        <v>0.2</v>
      </c>
      <c r="J1060">
        <v>0.28000000000000003</v>
      </c>
      <c r="K1060">
        <v>0.56000000000000005</v>
      </c>
      <c r="L1060">
        <v>7.0000000000000007E-2</v>
      </c>
      <c r="M1060">
        <v>0.48</v>
      </c>
      <c r="N1060">
        <v>0.9</v>
      </c>
      <c r="O1060">
        <v>0.19</v>
      </c>
      <c r="P1060">
        <v>0.33</v>
      </c>
      <c r="Q1060">
        <v>0.4</v>
      </c>
      <c r="R1060" s="2">
        <v>0.59</v>
      </c>
      <c r="S1060" t="str">
        <f>IF(Table1[[#This Row],[Years_Experience]]&lt;=5,"Early Career",
IF(Table1[[#This Row],[Years_Experience]]&lt;=15,"Mid Career","Senior Level"))</f>
        <v>Mid Career</v>
      </c>
      <c r="T1060" t="str">
        <f>IF(Table1[[#This Row],[AI_Exposure_Index]]&gt;=0.7,"High Exposure", IF(Table1[[#This Row],[AI_Exposure_Index]]&gt;=0.3,"Medium Exposure","Low Exposure"))</f>
        <v>Low Exposure</v>
      </c>
    </row>
    <row r="1061" spans="1:20" x14ac:dyDescent="0.25">
      <c r="A1061" t="s">
        <v>40</v>
      </c>
      <c r="B1061">
        <v>46151</v>
      </c>
      <c r="C1061" s="1">
        <v>5</v>
      </c>
      <c r="D1061" t="s">
        <v>38</v>
      </c>
      <c r="E1061" s="7">
        <v>0.56999999999999995</v>
      </c>
      <c r="F1061" s="2">
        <v>0.39</v>
      </c>
      <c r="G1061" s="7">
        <v>0.14000000000000001</v>
      </c>
      <c r="H1061" s="9" t="s">
        <v>23</v>
      </c>
      <c r="I1061">
        <v>0.19</v>
      </c>
      <c r="J1061">
        <v>0.65</v>
      </c>
      <c r="K1061">
        <v>0.03</v>
      </c>
      <c r="L1061">
        <v>0.28999999999999998</v>
      </c>
      <c r="M1061">
        <v>0.55000000000000004</v>
      </c>
      <c r="N1061">
        <v>0.28000000000000003</v>
      </c>
      <c r="O1061">
        <v>0.55000000000000004</v>
      </c>
      <c r="P1061">
        <v>0.11</v>
      </c>
      <c r="Q1061">
        <v>0.94</v>
      </c>
      <c r="R1061" s="2">
        <v>0.28999999999999998</v>
      </c>
      <c r="S1061" t="str">
        <f>IF(Table1[[#This Row],[Years_Experience]]&lt;=5,"Early Career",
IF(Table1[[#This Row],[Years_Experience]]&lt;=15,"Mid Career","Senior Level"))</f>
        <v>Early Career</v>
      </c>
      <c r="T1061" t="str">
        <f>IF(Table1[[#This Row],[AI_Exposure_Index]]&gt;=0.7,"High Exposure", IF(Table1[[#This Row],[AI_Exposure_Index]]&gt;=0.3,"Medium Exposure","Low Exposure"))</f>
        <v>Medium Exposure</v>
      </c>
    </row>
    <row r="1062" spans="1:20" x14ac:dyDescent="0.25">
      <c r="A1062" t="s">
        <v>42</v>
      </c>
      <c r="B1062">
        <v>146849</v>
      </c>
      <c r="C1062" s="1">
        <v>28</v>
      </c>
      <c r="D1062" t="s">
        <v>38</v>
      </c>
      <c r="E1062" s="7">
        <v>1.28</v>
      </c>
      <c r="F1062" s="2">
        <v>0.33</v>
      </c>
      <c r="G1062" s="7">
        <v>0.4</v>
      </c>
      <c r="H1062" s="9" t="s">
        <v>27</v>
      </c>
      <c r="I1062">
        <v>0.67</v>
      </c>
      <c r="J1062">
        <v>0.32</v>
      </c>
      <c r="K1062">
        <v>0.51</v>
      </c>
      <c r="L1062">
        <v>0.67</v>
      </c>
      <c r="M1062">
        <v>0.59</v>
      </c>
      <c r="N1062">
        <v>0.57999999999999996</v>
      </c>
      <c r="O1062">
        <v>7.0000000000000007E-2</v>
      </c>
      <c r="P1062">
        <v>0.25</v>
      </c>
      <c r="Q1062">
        <v>0.56999999999999995</v>
      </c>
      <c r="R1062" s="2">
        <v>0.02</v>
      </c>
      <c r="S1062" t="str">
        <f>IF(Table1[[#This Row],[Years_Experience]]&lt;=5,"Early Career",
IF(Table1[[#This Row],[Years_Experience]]&lt;=15,"Mid Career","Senior Level"))</f>
        <v>Senior Level</v>
      </c>
      <c r="T1062" t="str">
        <f>IF(Table1[[#This Row],[AI_Exposure_Index]]&gt;=0.7,"High Exposure", IF(Table1[[#This Row],[AI_Exposure_Index]]&gt;=0.3,"Medium Exposure","Low Exposure"))</f>
        <v>Medium Exposure</v>
      </c>
    </row>
    <row r="1063" spans="1:20" x14ac:dyDescent="0.25">
      <c r="A1063" t="s">
        <v>32</v>
      </c>
      <c r="B1063">
        <v>44537</v>
      </c>
      <c r="C1063" s="1">
        <v>21</v>
      </c>
      <c r="D1063" t="s">
        <v>19</v>
      </c>
      <c r="E1063" s="7">
        <v>0.75</v>
      </c>
      <c r="F1063" s="2">
        <v>0.23</v>
      </c>
      <c r="G1063" s="7">
        <v>0.51</v>
      </c>
      <c r="H1063" s="9" t="s">
        <v>27</v>
      </c>
      <c r="I1063">
        <v>0.57999999999999996</v>
      </c>
      <c r="J1063">
        <v>0.91</v>
      </c>
      <c r="K1063">
        <v>0.39</v>
      </c>
      <c r="L1063">
        <v>0.93</v>
      </c>
      <c r="M1063">
        <v>0.65</v>
      </c>
      <c r="N1063">
        <v>0.91</v>
      </c>
      <c r="O1063">
        <v>0.83</v>
      </c>
      <c r="P1063">
        <v>0.69</v>
      </c>
      <c r="Q1063">
        <v>0.36</v>
      </c>
      <c r="R1063" s="2">
        <v>0.24</v>
      </c>
      <c r="S1063" t="str">
        <f>IF(Table1[[#This Row],[Years_Experience]]&lt;=5,"Early Career",
IF(Table1[[#This Row],[Years_Experience]]&lt;=15,"Mid Career","Senior Level"))</f>
        <v>Senior Level</v>
      </c>
      <c r="T1063" t="str">
        <f>IF(Table1[[#This Row],[AI_Exposure_Index]]&gt;=0.7,"High Exposure", IF(Table1[[#This Row],[AI_Exposure_Index]]&gt;=0.3,"Medium Exposure","Low Exposure"))</f>
        <v>Low Exposure</v>
      </c>
    </row>
    <row r="1064" spans="1:20" x14ac:dyDescent="0.25">
      <c r="A1064" t="s">
        <v>39</v>
      </c>
      <c r="B1064">
        <v>72294</v>
      </c>
      <c r="C1064" s="1">
        <v>14</v>
      </c>
      <c r="D1064" t="s">
        <v>38</v>
      </c>
      <c r="E1064" s="7">
        <v>1.46</v>
      </c>
      <c r="F1064" s="2">
        <v>0.95</v>
      </c>
      <c r="G1064" s="7">
        <v>0.88</v>
      </c>
      <c r="H1064" s="9" t="s">
        <v>20</v>
      </c>
      <c r="I1064">
        <v>0.88</v>
      </c>
      <c r="J1064">
        <v>0.92</v>
      </c>
      <c r="K1064">
        <v>0.51</v>
      </c>
      <c r="L1064">
        <v>0.63</v>
      </c>
      <c r="M1064">
        <v>0.42</v>
      </c>
      <c r="N1064">
        <v>0.42</v>
      </c>
      <c r="O1064">
        <v>0.04</v>
      </c>
      <c r="P1064">
        <v>0.43</v>
      </c>
      <c r="Q1064">
        <v>0.67</v>
      </c>
      <c r="R1064" s="2">
        <v>0.42</v>
      </c>
      <c r="S1064" t="str">
        <f>IF(Table1[[#This Row],[Years_Experience]]&lt;=5,"Early Career",
IF(Table1[[#This Row],[Years_Experience]]&lt;=15,"Mid Career","Senior Level"))</f>
        <v>Mid Career</v>
      </c>
      <c r="T1064" t="str">
        <f>IF(Table1[[#This Row],[AI_Exposure_Index]]&gt;=0.7,"High Exposure", IF(Table1[[#This Row],[AI_Exposure_Index]]&gt;=0.3,"Medium Exposure","Low Exposure"))</f>
        <v>High Exposure</v>
      </c>
    </row>
    <row r="1065" spans="1:20" x14ac:dyDescent="0.25">
      <c r="A1065" t="s">
        <v>39</v>
      </c>
      <c r="B1065">
        <v>45749</v>
      </c>
      <c r="C1065" s="1">
        <v>23</v>
      </c>
      <c r="D1065" t="s">
        <v>25</v>
      </c>
      <c r="E1065" s="7">
        <v>0.63</v>
      </c>
      <c r="F1065" s="2">
        <v>0.33</v>
      </c>
      <c r="G1065" s="7">
        <v>0.9</v>
      </c>
      <c r="H1065" s="9" t="s">
        <v>20</v>
      </c>
      <c r="I1065">
        <v>0.67</v>
      </c>
      <c r="J1065">
        <v>0.24</v>
      </c>
      <c r="K1065">
        <v>0.54</v>
      </c>
      <c r="L1065">
        <v>0.4</v>
      </c>
      <c r="M1065">
        <v>0.94</v>
      </c>
      <c r="N1065">
        <v>0.61</v>
      </c>
      <c r="O1065">
        <v>0.16</v>
      </c>
      <c r="P1065">
        <v>0.5</v>
      </c>
      <c r="Q1065">
        <v>0.86</v>
      </c>
      <c r="R1065" s="2">
        <v>0.67</v>
      </c>
      <c r="S1065" t="str">
        <f>IF(Table1[[#This Row],[Years_Experience]]&lt;=5,"Early Career",
IF(Table1[[#This Row],[Years_Experience]]&lt;=15,"Mid Career","Senior Level"))</f>
        <v>Senior Level</v>
      </c>
      <c r="T1065" t="str">
        <f>IF(Table1[[#This Row],[AI_Exposure_Index]]&gt;=0.7,"High Exposure", IF(Table1[[#This Row],[AI_Exposure_Index]]&gt;=0.3,"Medium Exposure","Low Exposure"))</f>
        <v>Medium Exposure</v>
      </c>
    </row>
    <row r="1066" spans="1:20" x14ac:dyDescent="0.25">
      <c r="A1066" t="s">
        <v>34</v>
      </c>
      <c r="B1066">
        <v>91561</v>
      </c>
      <c r="C1066" s="1">
        <v>20</v>
      </c>
      <c r="D1066" t="s">
        <v>25</v>
      </c>
      <c r="E1066" s="7">
        <v>1.39</v>
      </c>
      <c r="F1066" s="2">
        <v>0.25</v>
      </c>
      <c r="G1066" s="7">
        <v>0.6</v>
      </c>
      <c r="H1066" s="9" t="s">
        <v>27</v>
      </c>
      <c r="I1066">
        <v>0.73</v>
      </c>
      <c r="J1066">
        <v>0.35</v>
      </c>
      <c r="K1066">
        <v>0.89</v>
      </c>
      <c r="L1066">
        <v>0.64</v>
      </c>
      <c r="M1066">
        <v>0.85</v>
      </c>
      <c r="N1066">
        <v>0.36</v>
      </c>
      <c r="O1066">
        <v>0.15</v>
      </c>
      <c r="P1066">
        <v>0.33</v>
      </c>
      <c r="Q1066">
        <v>0.46</v>
      </c>
      <c r="R1066" s="2">
        <v>0.53</v>
      </c>
      <c r="S1066" t="str">
        <f>IF(Table1[[#This Row],[Years_Experience]]&lt;=5,"Early Career",
IF(Table1[[#This Row],[Years_Experience]]&lt;=15,"Mid Career","Senior Level"))</f>
        <v>Senior Level</v>
      </c>
      <c r="T1066" t="str">
        <f>IF(Table1[[#This Row],[AI_Exposure_Index]]&gt;=0.7,"High Exposure", IF(Table1[[#This Row],[AI_Exposure_Index]]&gt;=0.3,"Medium Exposure","Low Exposure"))</f>
        <v>Low Exposure</v>
      </c>
    </row>
    <row r="1067" spans="1:20" x14ac:dyDescent="0.25">
      <c r="A1067" t="s">
        <v>28</v>
      </c>
      <c r="B1067">
        <v>55757</v>
      </c>
      <c r="C1067" s="1">
        <v>10</v>
      </c>
      <c r="D1067" t="s">
        <v>38</v>
      </c>
      <c r="E1067" s="7">
        <v>1.34</v>
      </c>
      <c r="F1067" s="2">
        <v>0.55000000000000004</v>
      </c>
      <c r="G1067" s="7">
        <v>0.37</v>
      </c>
      <c r="H1067" s="9" t="s">
        <v>27</v>
      </c>
      <c r="I1067">
        <v>0.32</v>
      </c>
      <c r="J1067">
        <v>0.89</v>
      </c>
      <c r="K1067">
        <v>0.56000000000000005</v>
      </c>
      <c r="L1067">
        <v>0.57999999999999996</v>
      </c>
      <c r="M1067">
        <v>0.48</v>
      </c>
      <c r="N1067">
        <v>0.55000000000000004</v>
      </c>
      <c r="O1067">
        <v>0.2</v>
      </c>
      <c r="P1067">
        <v>0.55000000000000004</v>
      </c>
      <c r="Q1067">
        <v>1</v>
      </c>
      <c r="R1067" s="2">
        <v>0.56999999999999995</v>
      </c>
      <c r="S1067" t="str">
        <f>IF(Table1[[#This Row],[Years_Experience]]&lt;=5,"Early Career",
IF(Table1[[#This Row],[Years_Experience]]&lt;=15,"Mid Career","Senior Level"))</f>
        <v>Mid Career</v>
      </c>
      <c r="T1067" t="str">
        <f>IF(Table1[[#This Row],[AI_Exposure_Index]]&gt;=0.7,"High Exposure", IF(Table1[[#This Row],[AI_Exposure_Index]]&gt;=0.3,"Medium Exposure","Low Exposure"))</f>
        <v>Medium Exposure</v>
      </c>
    </row>
    <row r="1068" spans="1:20" x14ac:dyDescent="0.25">
      <c r="A1068" t="s">
        <v>28</v>
      </c>
      <c r="B1068">
        <v>32251</v>
      </c>
      <c r="C1068" s="1">
        <v>9</v>
      </c>
      <c r="D1068" t="s">
        <v>38</v>
      </c>
      <c r="E1068" s="7">
        <v>0.75</v>
      </c>
      <c r="F1068" s="2">
        <v>0.68</v>
      </c>
      <c r="G1068" s="7">
        <v>0.5</v>
      </c>
      <c r="H1068" s="9" t="s">
        <v>27</v>
      </c>
      <c r="I1068">
        <v>0.75</v>
      </c>
      <c r="J1068">
        <v>0.56000000000000005</v>
      </c>
      <c r="K1068">
        <v>0.08</v>
      </c>
      <c r="L1068">
        <v>0.19</v>
      </c>
      <c r="M1068">
        <v>0.22</v>
      </c>
      <c r="N1068">
        <v>0.26</v>
      </c>
      <c r="O1068">
        <v>0.56999999999999995</v>
      </c>
      <c r="P1068">
        <v>0.5</v>
      </c>
      <c r="Q1068">
        <v>0.2</v>
      </c>
      <c r="R1068" s="2">
        <v>7.0000000000000007E-2</v>
      </c>
      <c r="S1068" t="str">
        <f>IF(Table1[[#This Row],[Years_Experience]]&lt;=5,"Early Career",
IF(Table1[[#This Row],[Years_Experience]]&lt;=15,"Mid Career","Senior Level"))</f>
        <v>Mid Career</v>
      </c>
      <c r="T1068" t="str">
        <f>IF(Table1[[#This Row],[AI_Exposure_Index]]&gt;=0.7,"High Exposure", IF(Table1[[#This Row],[AI_Exposure_Index]]&gt;=0.3,"Medium Exposure","Low Exposure"))</f>
        <v>Medium Exposure</v>
      </c>
    </row>
    <row r="1069" spans="1:20" x14ac:dyDescent="0.25">
      <c r="A1069" t="s">
        <v>31</v>
      </c>
      <c r="B1069">
        <v>94274</v>
      </c>
      <c r="C1069" s="1">
        <v>3</v>
      </c>
      <c r="D1069" t="s">
        <v>25</v>
      </c>
      <c r="E1069" s="7">
        <v>0.97</v>
      </c>
      <c r="F1069" s="2">
        <v>0.98</v>
      </c>
      <c r="G1069" s="7">
        <v>0.27</v>
      </c>
      <c r="H1069" s="9" t="s">
        <v>23</v>
      </c>
      <c r="I1069">
        <v>0.85</v>
      </c>
      <c r="J1069">
        <v>0.51</v>
      </c>
      <c r="K1069">
        <v>0.71</v>
      </c>
      <c r="L1069">
        <v>0.19</v>
      </c>
      <c r="M1069">
        <v>0.69</v>
      </c>
      <c r="N1069">
        <v>0.27</v>
      </c>
      <c r="O1069">
        <v>0.83</v>
      </c>
      <c r="P1069">
        <v>0.08</v>
      </c>
      <c r="Q1069">
        <v>0.77</v>
      </c>
      <c r="R1069" s="2">
        <v>0.1</v>
      </c>
      <c r="S1069" t="str">
        <f>IF(Table1[[#This Row],[Years_Experience]]&lt;=5,"Early Career",
IF(Table1[[#This Row],[Years_Experience]]&lt;=15,"Mid Career","Senior Level"))</f>
        <v>Early Career</v>
      </c>
      <c r="T1069" t="str">
        <f>IF(Table1[[#This Row],[AI_Exposure_Index]]&gt;=0.7,"High Exposure", IF(Table1[[#This Row],[AI_Exposure_Index]]&gt;=0.3,"Medium Exposure","Low Exposure"))</f>
        <v>High Exposure</v>
      </c>
    </row>
    <row r="1070" spans="1:20" x14ac:dyDescent="0.25">
      <c r="A1070" t="s">
        <v>28</v>
      </c>
      <c r="B1070">
        <v>136023</v>
      </c>
      <c r="C1070" s="1">
        <v>0</v>
      </c>
      <c r="D1070" t="s">
        <v>38</v>
      </c>
      <c r="E1070" s="7">
        <v>1.1499999999999999</v>
      </c>
      <c r="F1070" s="2">
        <v>0.3</v>
      </c>
      <c r="G1070" s="7">
        <v>0.5</v>
      </c>
      <c r="H1070" s="9" t="s">
        <v>27</v>
      </c>
      <c r="I1070">
        <v>0.37</v>
      </c>
      <c r="J1070">
        <v>0.65</v>
      </c>
      <c r="K1070">
        <v>0.95</v>
      </c>
      <c r="L1070">
        <v>0.04</v>
      </c>
      <c r="M1070">
        <v>0.92</v>
      </c>
      <c r="N1070">
        <v>0.61</v>
      </c>
      <c r="O1070">
        <v>0.81</v>
      </c>
      <c r="P1070">
        <v>0.38</v>
      </c>
      <c r="Q1070">
        <v>0.47</v>
      </c>
      <c r="R1070" s="2">
        <v>0.87</v>
      </c>
      <c r="S1070" t="str">
        <f>IF(Table1[[#This Row],[Years_Experience]]&lt;=5,"Early Career",
IF(Table1[[#This Row],[Years_Experience]]&lt;=15,"Mid Career","Senior Level"))</f>
        <v>Early Career</v>
      </c>
      <c r="T1070" t="str">
        <f>IF(Table1[[#This Row],[AI_Exposure_Index]]&gt;=0.7,"High Exposure", IF(Table1[[#This Row],[AI_Exposure_Index]]&gt;=0.3,"Medium Exposure","Low Exposure"))</f>
        <v>Medium Exposure</v>
      </c>
    </row>
    <row r="1071" spans="1:20" x14ac:dyDescent="0.25">
      <c r="A1071" t="s">
        <v>37</v>
      </c>
      <c r="B1071">
        <v>126746</v>
      </c>
      <c r="C1071" s="1">
        <v>18</v>
      </c>
      <c r="D1071" t="s">
        <v>25</v>
      </c>
      <c r="E1071" s="7">
        <v>0.52</v>
      </c>
      <c r="F1071" s="2">
        <v>0.53</v>
      </c>
      <c r="G1071" s="7">
        <v>0.36</v>
      </c>
      <c r="H1071" s="9" t="s">
        <v>27</v>
      </c>
      <c r="I1071">
        <v>0.64</v>
      </c>
      <c r="J1071">
        <v>0.72</v>
      </c>
      <c r="K1071">
        <v>0.57999999999999996</v>
      </c>
      <c r="L1071">
        <v>0.14000000000000001</v>
      </c>
      <c r="M1071">
        <v>0.45</v>
      </c>
      <c r="N1071">
        <v>0.36</v>
      </c>
      <c r="O1071">
        <v>0.5</v>
      </c>
      <c r="P1071">
        <v>0.87</v>
      </c>
      <c r="Q1071">
        <v>0.78</v>
      </c>
      <c r="R1071" s="2">
        <v>0.08</v>
      </c>
      <c r="S1071" t="str">
        <f>IF(Table1[[#This Row],[Years_Experience]]&lt;=5,"Early Career",
IF(Table1[[#This Row],[Years_Experience]]&lt;=15,"Mid Career","Senior Level"))</f>
        <v>Senior Level</v>
      </c>
      <c r="T1071" t="str">
        <f>IF(Table1[[#This Row],[AI_Exposure_Index]]&gt;=0.7,"High Exposure", IF(Table1[[#This Row],[AI_Exposure_Index]]&gt;=0.3,"Medium Exposure","Low Exposure"))</f>
        <v>Medium Exposure</v>
      </c>
    </row>
    <row r="1072" spans="1:20" x14ac:dyDescent="0.25">
      <c r="A1072" t="s">
        <v>37</v>
      </c>
      <c r="B1072">
        <v>115421</v>
      </c>
      <c r="C1072" s="1">
        <v>2</v>
      </c>
      <c r="D1072" t="s">
        <v>25</v>
      </c>
      <c r="E1072" s="7">
        <v>1.24</v>
      </c>
      <c r="F1072" s="2">
        <v>0.47</v>
      </c>
      <c r="G1072" s="7">
        <v>0.36</v>
      </c>
      <c r="H1072" s="9" t="s">
        <v>27</v>
      </c>
      <c r="I1072">
        <v>0.67</v>
      </c>
      <c r="J1072">
        <v>0.24</v>
      </c>
      <c r="K1072">
        <v>0.44</v>
      </c>
      <c r="L1072">
        <v>0.02</v>
      </c>
      <c r="M1072">
        <v>0.15</v>
      </c>
      <c r="N1072">
        <v>0.09</v>
      </c>
      <c r="O1072">
        <v>0.24</v>
      </c>
      <c r="P1072">
        <v>0.1</v>
      </c>
      <c r="Q1072">
        <v>0.69</v>
      </c>
      <c r="R1072" s="2">
        <v>0.03</v>
      </c>
      <c r="S1072" t="str">
        <f>IF(Table1[[#This Row],[Years_Experience]]&lt;=5,"Early Career",
IF(Table1[[#This Row],[Years_Experience]]&lt;=15,"Mid Career","Senior Level"))</f>
        <v>Early Career</v>
      </c>
      <c r="T1072" t="str">
        <f>IF(Table1[[#This Row],[AI_Exposure_Index]]&gt;=0.7,"High Exposure", IF(Table1[[#This Row],[AI_Exposure_Index]]&gt;=0.3,"Medium Exposure","Low Exposure"))</f>
        <v>Medium Exposure</v>
      </c>
    </row>
    <row r="1073" spans="1:20" x14ac:dyDescent="0.25">
      <c r="A1073" t="s">
        <v>39</v>
      </c>
      <c r="B1073">
        <v>45817</v>
      </c>
      <c r="C1073" s="1">
        <v>8</v>
      </c>
      <c r="D1073" t="s">
        <v>25</v>
      </c>
      <c r="E1073" s="7">
        <v>1.45</v>
      </c>
      <c r="F1073" s="2">
        <v>0.14000000000000001</v>
      </c>
      <c r="G1073" s="7">
        <v>0.93</v>
      </c>
      <c r="H1073" s="9" t="s">
        <v>20</v>
      </c>
      <c r="I1073">
        <v>0.23</v>
      </c>
      <c r="J1073">
        <v>0.61</v>
      </c>
      <c r="K1073">
        <v>0.03</v>
      </c>
      <c r="L1073">
        <v>0.93</v>
      </c>
      <c r="M1073">
        <v>0.52</v>
      </c>
      <c r="N1073">
        <v>0.04</v>
      </c>
      <c r="O1073">
        <v>0.34</v>
      </c>
      <c r="P1073">
        <v>0.08</v>
      </c>
      <c r="Q1073">
        <v>0.39</v>
      </c>
      <c r="R1073" s="2">
        <v>0.67</v>
      </c>
      <c r="S1073" t="str">
        <f>IF(Table1[[#This Row],[Years_Experience]]&lt;=5,"Early Career",
IF(Table1[[#This Row],[Years_Experience]]&lt;=15,"Mid Career","Senior Level"))</f>
        <v>Mid Career</v>
      </c>
      <c r="T1073" t="str">
        <f>IF(Table1[[#This Row],[AI_Exposure_Index]]&gt;=0.7,"High Exposure", IF(Table1[[#This Row],[AI_Exposure_Index]]&gt;=0.3,"Medium Exposure","Low Exposure"))</f>
        <v>Low Exposure</v>
      </c>
    </row>
    <row r="1074" spans="1:20" x14ac:dyDescent="0.25">
      <c r="A1074" t="s">
        <v>40</v>
      </c>
      <c r="B1074">
        <v>76205</v>
      </c>
      <c r="C1074" s="1">
        <v>7</v>
      </c>
      <c r="D1074" t="s">
        <v>25</v>
      </c>
      <c r="E1074" s="7">
        <v>0.62</v>
      </c>
      <c r="F1074" s="2">
        <v>0.38</v>
      </c>
      <c r="G1074" s="7">
        <v>0.11</v>
      </c>
      <c r="H1074" s="9" t="s">
        <v>23</v>
      </c>
      <c r="I1074">
        <v>0.1</v>
      </c>
      <c r="J1074">
        <v>0.81</v>
      </c>
      <c r="K1074">
        <v>0.14000000000000001</v>
      </c>
      <c r="L1074">
        <v>0.6</v>
      </c>
      <c r="M1074">
        <v>0.34</v>
      </c>
      <c r="N1074">
        <v>0.23</v>
      </c>
      <c r="O1074">
        <v>0.64</v>
      </c>
      <c r="P1074">
        <v>0.46</v>
      </c>
      <c r="Q1074">
        <v>0.4</v>
      </c>
      <c r="R1074" s="2">
        <v>0.59</v>
      </c>
      <c r="S1074" t="str">
        <f>IF(Table1[[#This Row],[Years_Experience]]&lt;=5,"Early Career",
IF(Table1[[#This Row],[Years_Experience]]&lt;=15,"Mid Career","Senior Level"))</f>
        <v>Mid Career</v>
      </c>
      <c r="T1074" t="str">
        <f>IF(Table1[[#This Row],[AI_Exposure_Index]]&gt;=0.7,"High Exposure", IF(Table1[[#This Row],[AI_Exposure_Index]]&gt;=0.3,"Medium Exposure","Low Exposure"))</f>
        <v>Medium Exposure</v>
      </c>
    </row>
    <row r="1075" spans="1:20" x14ac:dyDescent="0.25">
      <c r="A1075" t="s">
        <v>35</v>
      </c>
      <c r="B1075">
        <v>142398</v>
      </c>
      <c r="C1075" s="1">
        <v>26</v>
      </c>
      <c r="D1075" t="s">
        <v>19</v>
      </c>
      <c r="E1075" s="7">
        <v>1.06</v>
      </c>
      <c r="F1075" s="2">
        <v>0.3</v>
      </c>
      <c r="G1075" s="7">
        <v>0.56999999999999995</v>
      </c>
      <c r="H1075" s="9" t="s">
        <v>27</v>
      </c>
      <c r="I1075">
        <v>0.03</v>
      </c>
      <c r="J1075">
        <v>0.47</v>
      </c>
      <c r="K1075">
        <v>0.06</v>
      </c>
      <c r="L1075">
        <v>0.19</v>
      </c>
      <c r="M1075">
        <v>0.56000000000000005</v>
      </c>
      <c r="N1075">
        <v>0.87</v>
      </c>
      <c r="O1075">
        <v>0.88</v>
      </c>
      <c r="P1075">
        <v>7.0000000000000007E-2</v>
      </c>
      <c r="Q1075">
        <v>0.42</v>
      </c>
      <c r="R1075" s="2">
        <v>0.57999999999999996</v>
      </c>
      <c r="S1075" t="str">
        <f>IF(Table1[[#This Row],[Years_Experience]]&lt;=5,"Early Career",
IF(Table1[[#This Row],[Years_Experience]]&lt;=15,"Mid Career","Senior Level"))</f>
        <v>Senior Level</v>
      </c>
      <c r="T1075" t="str">
        <f>IF(Table1[[#This Row],[AI_Exposure_Index]]&gt;=0.7,"High Exposure", IF(Table1[[#This Row],[AI_Exposure_Index]]&gt;=0.3,"Medium Exposure","Low Exposure"))</f>
        <v>Medium Exposure</v>
      </c>
    </row>
    <row r="1076" spans="1:20" x14ac:dyDescent="0.25">
      <c r="A1076" t="s">
        <v>26</v>
      </c>
      <c r="B1076">
        <v>54453</v>
      </c>
      <c r="C1076" s="1">
        <v>10</v>
      </c>
      <c r="D1076" t="s">
        <v>25</v>
      </c>
      <c r="E1076" s="7">
        <v>1.24</v>
      </c>
      <c r="F1076" s="2">
        <v>0.77</v>
      </c>
      <c r="G1076" s="7">
        <v>0.66</v>
      </c>
      <c r="H1076" s="9" t="s">
        <v>27</v>
      </c>
      <c r="I1076">
        <v>0.01</v>
      </c>
      <c r="J1076">
        <v>0.22</v>
      </c>
      <c r="K1076">
        <v>0.83</v>
      </c>
      <c r="L1076">
        <v>0.67</v>
      </c>
      <c r="M1076">
        <v>0.89</v>
      </c>
      <c r="N1076">
        <v>0.06</v>
      </c>
      <c r="O1076">
        <v>0.6</v>
      </c>
      <c r="P1076">
        <v>0.56999999999999995</v>
      </c>
      <c r="Q1076">
        <v>0.04</v>
      </c>
      <c r="R1076" s="2">
        <v>0.51</v>
      </c>
      <c r="S1076" t="str">
        <f>IF(Table1[[#This Row],[Years_Experience]]&lt;=5,"Early Career",
IF(Table1[[#This Row],[Years_Experience]]&lt;=15,"Mid Career","Senior Level"))</f>
        <v>Mid Career</v>
      </c>
      <c r="T1076" t="str">
        <f>IF(Table1[[#This Row],[AI_Exposure_Index]]&gt;=0.7,"High Exposure", IF(Table1[[#This Row],[AI_Exposure_Index]]&gt;=0.3,"Medium Exposure","Low Exposure"))</f>
        <v>High Exposure</v>
      </c>
    </row>
    <row r="1077" spans="1:20" x14ac:dyDescent="0.25">
      <c r="A1077" t="s">
        <v>34</v>
      </c>
      <c r="B1077">
        <v>129821</v>
      </c>
      <c r="C1077" s="1">
        <v>29</v>
      </c>
      <c r="D1077" t="s">
        <v>19</v>
      </c>
      <c r="E1077" s="7">
        <v>0.77</v>
      </c>
      <c r="F1077" s="2">
        <v>0.19</v>
      </c>
      <c r="G1077" s="7">
        <v>0.56000000000000005</v>
      </c>
      <c r="H1077" s="9" t="s">
        <v>27</v>
      </c>
      <c r="I1077">
        <v>0.47</v>
      </c>
      <c r="J1077">
        <v>0.86</v>
      </c>
      <c r="K1077">
        <v>0.34</v>
      </c>
      <c r="L1077">
        <v>0.27</v>
      </c>
      <c r="M1077">
        <v>0.98</v>
      </c>
      <c r="N1077">
        <v>0.91</v>
      </c>
      <c r="O1077">
        <v>0.03</v>
      </c>
      <c r="P1077">
        <v>0.77</v>
      </c>
      <c r="Q1077">
        <v>0.11</v>
      </c>
      <c r="R1077" s="2">
        <v>0.03</v>
      </c>
      <c r="S1077" t="str">
        <f>IF(Table1[[#This Row],[Years_Experience]]&lt;=5,"Early Career",
IF(Table1[[#This Row],[Years_Experience]]&lt;=15,"Mid Career","Senior Level"))</f>
        <v>Senior Level</v>
      </c>
      <c r="T1077" t="str">
        <f>IF(Table1[[#This Row],[AI_Exposure_Index]]&gt;=0.7,"High Exposure", IF(Table1[[#This Row],[AI_Exposure_Index]]&gt;=0.3,"Medium Exposure","Low Exposure"))</f>
        <v>Low Exposure</v>
      </c>
    </row>
    <row r="1078" spans="1:20" x14ac:dyDescent="0.25">
      <c r="A1078" t="s">
        <v>21</v>
      </c>
      <c r="B1078">
        <v>89615</v>
      </c>
      <c r="C1078" s="1">
        <v>10</v>
      </c>
      <c r="D1078" t="s">
        <v>38</v>
      </c>
      <c r="E1078" s="7">
        <v>1.32</v>
      </c>
      <c r="F1078" s="2">
        <v>0.27</v>
      </c>
      <c r="G1078" s="7">
        <v>0.23</v>
      </c>
      <c r="H1078" s="9" t="s">
        <v>23</v>
      </c>
      <c r="I1078">
        <v>0.98</v>
      </c>
      <c r="J1078">
        <v>0.71</v>
      </c>
      <c r="K1078">
        <v>0.42</v>
      </c>
      <c r="L1078">
        <v>0.7</v>
      </c>
      <c r="M1078">
        <v>1</v>
      </c>
      <c r="N1078">
        <v>0.71</v>
      </c>
      <c r="O1078">
        <v>0.76</v>
      </c>
      <c r="P1078">
        <v>0.94</v>
      </c>
      <c r="Q1078">
        <v>0.11</v>
      </c>
      <c r="R1078" s="2">
        <v>0.7</v>
      </c>
      <c r="S1078" t="str">
        <f>IF(Table1[[#This Row],[Years_Experience]]&lt;=5,"Early Career",
IF(Table1[[#This Row],[Years_Experience]]&lt;=15,"Mid Career","Senior Level"))</f>
        <v>Mid Career</v>
      </c>
      <c r="T1078" t="str">
        <f>IF(Table1[[#This Row],[AI_Exposure_Index]]&gt;=0.7,"High Exposure", IF(Table1[[#This Row],[AI_Exposure_Index]]&gt;=0.3,"Medium Exposure","Low Exposure"))</f>
        <v>Low Exposure</v>
      </c>
    </row>
    <row r="1079" spans="1:20" x14ac:dyDescent="0.25">
      <c r="A1079" t="s">
        <v>24</v>
      </c>
      <c r="B1079">
        <v>57470</v>
      </c>
      <c r="C1079" s="1">
        <v>9</v>
      </c>
      <c r="D1079" t="s">
        <v>22</v>
      </c>
      <c r="E1079" s="7">
        <v>0.71</v>
      </c>
      <c r="F1079" s="2">
        <v>0.95</v>
      </c>
      <c r="G1079" s="7">
        <v>0.83</v>
      </c>
      <c r="H1079" s="9" t="s">
        <v>20</v>
      </c>
      <c r="I1079">
        <v>0.68</v>
      </c>
      <c r="J1079">
        <v>0.25</v>
      </c>
      <c r="K1079">
        <v>0.6</v>
      </c>
      <c r="L1079">
        <v>0.26</v>
      </c>
      <c r="M1079">
        <v>0.33</v>
      </c>
      <c r="N1079">
        <v>0.44</v>
      </c>
      <c r="O1079">
        <v>0.53</v>
      </c>
      <c r="P1079">
        <v>0.45</v>
      </c>
      <c r="Q1079">
        <v>0.49</v>
      </c>
      <c r="R1079" s="2">
        <v>0.3</v>
      </c>
      <c r="S1079" t="str">
        <f>IF(Table1[[#This Row],[Years_Experience]]&lt;=5,"Early Career",
IF(Table1[[#This Row],[Years_Experience]]&lt;=15,"Mid Career","Senior Level"))</f>
        <v>Mid Career</v>
      </c>
      <c r="T1079" t="str">
        <f>IF(Table1[[#This Row],[AI_Exposure_Index]]&gt;=0.7,"High Exposure", IF(Table1[[#This Row],[AI_Exposure_Index]]&gt;=0.3,"Medium Exposure","Low Exposure"))</f>
        <v>High Exposure</v>
      </c>
    </row>
    <row r="1080" spans="1:20" x14ac:dyDescent="0.25">
      <c r="A1080" t="s">
        <v>42</v>
      </c>
      <c r="B1080">
        <v>102082</v>
      </c>
      <c r="C1080" s="1">
        <v>12</v>
      </c>
      <c r="D1080" t="s">
        <v>25</v>
      </c>
      <c r="E1080" s="7">
        <v>1.37</v>
      </c>
      <c r="F1080" s="2">
        <v>0.38</v>
      </c>
      <c r="G1080" s="7">
        <v>0.45</v>
      </c>
      <c r="H1080" s="9" t="s">
        <v>27</v>
      </c>
      <c r="I1080">
        <v>0.35</v>
      </c>
      <c r="J1080">
        <v>1</v>
      </c>
      <c r="K1080">
        <v>0.48</v>
      </c>
      <c r="L1080">
        <v>0.81</v>
      </c>
      <c r="M1080">
        <v>0.8</v>
      </c>
      <c r="N1080">
        <v>0.93</v>
      </c>
      <c r="O1080">
        <v>0.08</v>
      </c>
      <c r="P1080">
        <v>0.27</v>
      </c>
      <c r="Q1080">
        <v>0.77</v>
      </c>
      <c r="R1080" s="2">
        <v>0.56000000000000005</v>
      </c>
      <c r="S1080" t="str">
        <f>IF(Table1[[#This Row],[Years_Experience]]&lt;=5,"Early Career",
IF(Table1[[#This Row],[Years_Experience]]&lt;=15,"Mid Career","Senior Level"))</f>
        <v>Mid Career</v>
      </c>
      <c r="T1080" t="str">
        <f>IF(Table1[[#This Row],[AI_Exposure_Index]]&gt;=0.7,"High Exposure", IF(Table1[[#This Row],[AI_Exposure_Index]]&gt;=0.3,"Medium Exposure","Low Exposure"))</f>
        <v>Medium Exposure</v>
      </c>
    </row>
    <row r="1081" spans="1:20" x14ac:dyDescent="0.25">
      <c r="A1081" t="s">
        <v>28</v>
      </c>
      <c r="B1081">
        <v>90639</v>
      </c>
      <c r="C1081" s="1">
        <v>23</v>
      </c>
      <c r="D1081" t="s">
        <v>38</v>
      </c>
      <c r="E1081" s="7">
        <v>0.78</v>
      </c>
      <c r="F1081" s="2">
        <v>0.17</v>
      </c>
      <c r="G1081" s="7">
        <v>0.51</v>
      </c>
      <c r="H1081" s="9" t="s">
        <v>27</v>
      </c>
      <c r="I1081">
        <v>0.28000000000000003</v>
      </c>
      <c r="J1081">
        <v>0.21</v>
      </c>
      <c r="K1081">
        <v>0.09</v>
      </c>
      <c r="L1081">
        <v>0.16</v>
      </c>
      <c r="M1081">
        <v>0.77</v>
      </c>
      <c r="N1081">
        <v>0.72</v>
      </c>
      <c r="O1081">
        <v>0.05</v>
      </c>
      <c r="P1081">
        <v>0.2</v>
      </c>
      <c r="Q1081">
        <v>0.56000000000000005</v>
      </c>
      <c r="R1081" s="2">
        <v>0.32</v>
      </c>
      <c r="S1081" t="str">
        <f>IF(Table1[[#This Row],[Years_Experience]]&lt;=5,"Early Career",
IF(Table1[[#This Row],[Years_Experience]]&lt;=15,"Mid Career","Senior Level"))</f>
        <v>Senior Level</v>
      </c>
      <c r="T1081" t="str">
        <f>IF(Table1[[#This Row],[AI_Exposure_Index]]&gt;=0.7,"High Exposure", IF(Table1[[#This Row],[AI_Exposure_Index]]&gt;=0.3,"Medium Exposure","Low Exposure"))</f>
        <v>Low Exposure</v>
      </c>
    </row>
    <row r="1082" spans="1:20" x14ac:dyDescent="0.25">
      <c r="A1082" t="s">
        <v>33</v>
      </c>
      <c r="B1082">
        <v>61854</v>
      </c>
      <c r="C1082" s="1">
        <v>28</v>
      </c>
      <c r="D1082" t="s">
        <v>25</v>
      </c>
      <c r="E1082" s="7">
        <v>1.39</v>
      </c>
      <c r="F1082" s="2">
        <v>0.78</v>
      </c>
      <c r="G1082" s="7">
        <v>0.84</v>
      </c>
      <c r="H1082" s="9" t="s">
        <v>20</v>
      </c>
      <c r="I1082">
        <v>0.35</v>
      </c>
      <c r="J1082">
        <v>0.61</v>
      </c>
      <c r="K1082">
        <v>0.09</v>
      </c>
      <c r="L1082">
        <v>0.01</v>
      </c>
      <c r="M1082">
        <v>0.02</v>
      </c>
      <c r="N1082">
        <v>0.41</v>
      </c>
      <c r="O1082">
        <v>0.23</v>
      </c>
      <c r="P1082">
        <v>0.16</v>
      </c>
      <c r="Q1082">
        <v>0.62</v>
      </c>
      <c r="R1082" s="2">
        <v>1</v>
      </c>
      <c r="S1082" t="str">
        <f>IF(Table1[[#This Row],[Years_Experience]]&lt;=5,"Early Career",
IF(Table1[[#This Row],[Years_Experience]]&lt;=15,"Mid Career","Senior Level"))</f>
        <v>Senior Level</v>
      </c>
      <c r="T1082" t="str">
        <f>IF(Table1[[#This Row],[AI_Exposure_Index]]&gt;=0.7,"High Exposure", IF(Table1[[#This Row],[AI_Exposure_Index]]&gt;=0.3,"Medium Exposure","Low Exposure"))</f>
        <v>High Exposure</v>
      </c>
    </row>
    <row r="1083" spans="1:20" x14ac:dyDescent="0.25">
      <c r="A1083" t="s">
        <v>44</v>
      </c>
      <c r="B1083">
        <v>110882</v>
      </c>
      <c r="C1083" s="1">
        <v>2</v>
      </c>
      <c r="D1083" t="s">
        <v>19</v>
      </c>
      <c r="E1083" s="7">
        <v>0.62</v>
      </c>
      <c r="F1083" s="2">
        <v>0.55000000000000004</v>
      </c>
      <c r="G1083" s="7">
        <v>0.67</v>
      </c>
      <c r="H1083" s="9" t="s">
        <v>27</v>
      </c>
      <c r="I1083">
        <v>0.28999999999999998</v>
      </c>
      <c r="J1083">
        <v>0.88</v>
      </c>
      <c r="K1083">
        <v>0.28000000000000003</v>
      </c>
      <c r="L1083">
        <v>0.81</v>
      </c>
      <c r="M1083">
        <v>0.21</v>
      </c>
      <c r="N1083">
        <v>0.28999999999999998</v>
      </c>
      <c r="O1083">
        <v>0.19</v>
      </c>
      <c r="P1083">
        <v>0.26</v>
      </c>
      <c r="Q1083">
        <v>0.83</v>
      </c>
      <c r="R1083" s="2">
        <v>0.64</v>
      </c>
      <c r="S1083" t="str">
        <f>IF(Table1[[#This Row],[Years_Experience]]&lt;=5,"Early Career",
IF(Table1[[#This Row],[Years_Experience]]&lt;=15,"Mid Career","Senior Level"))</f>
        <v>Early Career</v>
      </c>
      <c r="T1083" t="str">
        <f>IF(Table1[[#This Row],[AI_Exposure_Index]]&gt;=0.7,"High Exposure", IF(Table1[[#This Row],[AI_Exposure_Index]]&gt;=0.3,"Medium Exposure","Low Exposure"))</f>
        <v>Medium Exposure</v>
      </c>
    </row>
    <row r="1084" spans="1:20" x14ac:dyDescent="0.25">
      <c r="A1084" t="s">
        <v>29</v>
      </c>
      <c r="B1084">
        <v>143352</v>
      </c>
      <c r="C1084" s="1">
        <v>14</v>
      </c>
      <c r="D1084" t="s">
        <v>38</v>
      </c>
      <c r="E1084" s="7">
        <v>0.96</v>
      </c>
      <c r="F1084" s="2">
        <v>0.97</v>
      </c>
      <c r="G1084" s="7">
        <v>0.28999999999999998</v>
      </c>
      <c r="H1084" s="9" t="s">
        <v>23</v>
      </c>
      <c r="I1084">
        <v>0.2</v>
      </c>
      <c r="J1084">
        <v>0.9</v>
      </c>
      <c r="K1084">
        <v>0.01</v>
      </c>
      <c r="L1084">
        <v>0.55000000000000004</v>
      </c>
      <c r="M1084">
        <v>0.42</v>
      </c>
      <c r="N1084">
        <v>0.53</v>
      </c>
      <c r="O1084">
        <v>0.55000000000000004</v>
      </c>
      <c r="P1084">
        <v>0.39</v>
      </c>
      <c r="Q1084">
        <v>1</v>
      </c>
      <c r="R1084" s="2">
        <v>0.98</v>
      </c>
      <c r="S1084" t="str">
        <f>IF(Table1[[#This Row],[Years_Experience]]&lt;=5,"Early Career",
IF(Table1[[#This Row],[Years_Experience]]&lt;=15,"Mid Career","Senior Level"))</f>
        <v>Mid Career</v>
      </c>
      <c r="T1084" t="str">
        <f>IF(Table1[[#This Row],[AI_Exposure_Index]]&gt;=0.7,"High Exposure", IF(Table1[[#This Row],[AI_Exposure_Index]]&gt;=0.3,"Medium Exposure","Low Exposure"))</f>
        <v>High Exposure</v>
      </c>
    </row>
    <row r="1085" spans="1:20" x14ac:dyDescent="0.25">
      <c r="A1085" t="s">
        <v>30</v>
      </c>
      <c r="B1085">
        <v>91922</v>
      </c>
      <c r="C1085" s="1">
        <v>9</v>
      </c>
      <c r="D1085" t="s">
        <v>22</v>
      </c>
      <c r="E1085" s="7">
        <v>1.29</v>
      </c>
      <c r="F1085" s="2">
        <v>0.98</v>
      </c>
      <c r="G1085" s="7">
        <v>0.7</v>
      </c>
      <c r="H1085" s="9" t="s">
        <v>27</v>
      </c>
      <c r="I1085">
        <v>0.89</v>
      </c>
      <c r="J1085">
        <v>0.42</v>
      </c>
      <c r="K1085">
        <v>0.78</v>
      </c>
      <c r="L1085">
        <v>0.91</v>
      </c>
      <c r="M1085">
        <v>0.71</v>
      </c>
      <c r="N1085">
        <v>0.42</v>
      </c>
      <c r="O1085">
        <v>7.0000000000000007E-2</v>
      </c>
      <c r="P1085">
        <v>0.81</v>
      </c>
      <c r="Q1085">
        <v>0.95</v>
      </c>
      <c r="R1085" s="2">
        <v>0.36</v>
      </c>
      <c r="S1085" t="str">
        <f>IF(Table1[[#This Row],[Years_Experience]]&lt;=5,"Early Career",
IF(Table1[[#This Row],[Years_Experience]]&lt;=15,"Mid Career","Senior Level"))</f>
        <v>Mid Career</v>
      </c>
      <c r="T1085" t="str">
        <f>IF(Table1[[#This Row],[AI_Exposure_Index]]&gt;=0.7,"High Exposure", IF(Table1[[#This Row],[AI_Exposure_Index]]&gt;=0.3,"Medium Exposure","Low Exposure"))</f>
        <v>High Exposure</v>
      </c>
    </row>
    <row r="1086" spans="1:20" x14ac:dyDescent="0.25">
      <c r="A1086" t="s">
        <v>18</v>
      </c>
      <c r="B1086">
        <v>116195</v>
      </c>
      <c r="C1086" s="1">
        <v>15</v>
      </c>
      <c r="D1086" t="s">
        <v>25</v>
      </c>
      <c r="E1086" s="7">
        <v>1.08</v>
      </c>
      <c r="F1086" s="2">
        <v>0.33</v>
      </c>
      <c r="G1086" s="7">
        <v>0.78</v>
      </c>
      <c r="H1086" s="9" t="s">
        <v>20</v>
      </c>
      <c r="I1086">
        <v>0.61</v>
      </c>
      <c r="J1086">
        <v>0.97</v>
      </c>
      <c r="K1086">
        <v>0.67</v>
      </c>
      <c r="L1086">
        <v>0.36</v>
      </c>
      <c r="M1086">
        <v>0.94</v>
      </c>
      <c r="N1086">
        <v>0.56999999999999995</v>
      </c>
      <c r="O1086">
        <v>0.13</v>
      </c>
      <c r="P1086">
        <v>0.5</v>
      </c>
      <c r="Q1086">
        <v>0.65</v>
      </c>
      <c r="R1086" s="2">
        <v>0.84</v>
      </c>
      <c r="S1086" t="str">
        <f>IF(Table1[[#This Row],[Years_Experience]]&lt;=5,"Early Career",
IF(Table1[[#This Row],[Years_Experience]]&lt;=15,"Mid Career","Senior Level"))</f>
        <v>Mid Career</v>
      </c>
      <c r="T1086" t="str">
        <f>IF(Table1[[#This Row],[AI_Exposure_Index]]&gt;=0.7,"High Exposure", IF(Table1[[#This Row],[AI_Exposure_Index]]&gt;=0.3,"Medium Exposure","Low Exposure"))</f>
        <v>Medium Exposure</v>
      </c>
    </row>
    <row r="1087" spans="1:20" x14ac:dyDescent="0.25">
      <c r="A1087" t="s">
        <v>42</v>
      </c>
      <c r="B1087">
        <v>91775</v>
      </c>
      <c r="C1087" s="1">
        <v>24</v>
      </c>
      <c r="D1087" t="s">
        <v>25</v>
      </c>
      <c r="E1087" s="7">
        <v>0.68</v>
      </c>
      <c r="F1087" s="2">
        <v>0.3</v>
      </c>
      <c r="G1087" s="7">
        <v>0.55000000000000004</v>
      </c>
      <c r="H1087" s="9" t="s">
        <v>27</v>
      </c>
      <c r="I1087">
        <v>0.23</v>
      </c>
      <c r="J1087">
        <v>0.08</v>
      </c>
      <c r="K1087">
        <v>0</v>
      </c>
      <c r="L1087">
        <v>0.61</v>
      </c>
      <c r="M1087">
        <v>0.36</v>
      </c>
      <c r="N1087">
        <v>0.75</v>
      </c>
      <c r="O1087">
        <v>0.38</v>
      </c>
      <c r="P1087">
        <v>0.49</v>
      </c>
      <c r="Q1087">
        <v>0.41</v>
      </c>
      <c r="R1087" s="2">
        <v>0.65</v>
      </c>
      <c r="S1087" t="str">
        <f>IF(Table1[[#This Row],[Years_Experience]]&lt;=5,"Early Career",
IF(Table1[[#This Row],[Years_Experience]]&lt;=15,"Mid Career","Senior Level"))</f>
        <v>Senior Level</v>
      </c>
      <c r="T1087" t="str">
        <f>IF(Table1[[#This Row],[AI_Exposure_Index]]&gt;=0.7,"High Exposure", IF(Table1[[#This Row],[AI_Exposure_Index]]&gt;=0.3,"Medium Exposure","Low Exposure"))</f>
        <v>Medium Exposure</v>
      </c>
    </row>
    <row r="1088" spans="1:20" x14ac:dyDescent="0.25">
      <c r="A1088" t="s">
        <v>24</v>
      </c>
      <c r="B1088">
        <v>86776</v>
      </c>
      <c r="C1088" s="1">
        <v>9</v>
      </c>
      <c r="D1088" t="s">
        <v>22</v>
      </c>
      <c r="E1088" s="7">
        <v>1.1200000000000001</v>
      </c>
      <c r="F1088" s="2">
        <v>0.3</v>
      </c>
      <c r="G1088" s="7">
        <v>0.79</v>
      </c>
      <c r="H1088" s="9" t="s">
        <v>20</v>
      </c>
      <c r="I1088">
        <v>0.39</v>
      </c>
      <c r="J1088">
        <v>0.54</v>
      </c>
      <c r="K1088">
        <v>0.09</v>
      </c>
      <c r="L1088">
        <v>0.74</v>
      </c>
      <c r="M1088">
        <v>0.4</v>
      </c>
      <c r="N1088">
        <v>0.48</v>
      </c>
      <c r="O1088">
        <v>0.97</v>
      </c>
      <c r="P1088">
        <v>0.34</v>
      </c>
      <c r="Q1088">
        <v>0.65</v>
      </c>
      <c r="R1088" s="2">
        <v>0.39</v>
      </c>
      <c r="S1088" t="str">
        <f>IF(Table1[[#This Row],[Years_Experience]]&lt;=5,"Early Career",
IF(Table1[[#This Row],[Years_Experience]]&lt;=15,"Mid Career","Senior Level"))</f>
        <v>Mid Career</v>
      </c>
      <c r="T1088" t="str">
        <f>IF(Table1[[#This Row],[AI_Exposure_Index]]&gt;=0.7,"High Exposure", IF(Table1[[#This Row],[AI_Exposure_Index]]&gt;=0.3,"Medium Exposure","Low Exposure"))</f>
        <v>Medium Exposure</v>
      </c>
    </row>
    <row r="1089" spans="1:20" x14ac:dyDescent="0.25">
      <c r="A1089" t="s">
        <v>30</v>
      </c>
      <c r="B1089">
        <v>142192</v>
      </c>
      <c r="C1089" s="1">
        <v>18</v>
      </c>
      <c r="D1089" t="s">
        <v>25</v>
      </c>
      <c r="E1089" s="7">
        <v>0.74</v>
      </c>
      <c r="F1089" s="2">
        <v>0.85</v>
      </c>
      <c r="G1089" s="7">
        <v>0.57999999999999996</v>
      </c>
      <c r="H1089" s="9" t="s">
        <v>27</v>
      </c>
      <c r="I1089">
        <v>7.0000000000000007E-2</v>
      </c>
      <c r="J1089">
        <v>0.96</v>
      </c>
      <c r="K1089">
        <v>0.35</v>
      </c>
      <c r="L1089">
        <v>0.83</v>
      </c>
      <c r="M1089">
        <v>0.32</v>
      </c>
      <c r="N1089">
        <v>0.63</v>
      </c>
      <c r="O1089">
        <v>0.98</v>
      </c>
      <c r="P1089">
        <v>0.88</v>
      </c>
      <c r="Q1089">
        <v>0.16</v>
      </c>
      <c r="R1089" s="2">
        <v>0.55000000000000004</v>
      </c>
      <c r="S1089" t="str">
        <f>IF(Table1[[#This Row],[Years_Experience]]&lt;=5,"Early Career",
IF(Table1[[#This Row],[Years_Experience]]&lt;=15,"Mid Career","Senior Level"))</f>
        <v>Senior Level</v>
      </c>
      <c r="T1089" t="str">
        <f>IF(Table1[[#This Row],[AI_Exposure_Index]]&gt;=0.7,"High Exposure", IF(Table1[[#This Row],[AI_Exposure_Index]]&gt;=0.3,"Medium Exposure","Low Exposure"))</f>
        <v>High Exposure</v>
      </c>
    </row>
    <row r="1090" spans="1:20" x14ac:dyDescent="0.25">
      <c r="A1090" t="s">
        <v>31</v>
      </c>
      <c r="B1090">
        <v>120351</v>
      </c>
      <c r="C1090" s="1">
        <v>1</v>
      </c>
      <c r="D1090" t="s">
        <v>38</v>
      </c>
      <c r="E1090" s="7">
        <v>0.84</v>
      </c>
      <c r="F1090" s="2">
        <v>0.43</v>
      </c>
      <c r="G1090" s="7">
        <v>0.13</v>
      </c>
      <c r="H1090" s="9" t="s">
        <v>23</v>
      </c>
      <c r="I1090">
        <v>0.54</v>
      </c>
      <c r="J1090">
        <v>0.19</v>
      </c>
      <c r="K1090">
        <v>0.54</v>
      </c>
      <c r="L1090">
        <v>0.28000000000000003</v>
      </c>
      <c r="M1090">
        <v>0.28999999999999998</v>
      </c>
      <c r="N1090">
        <v>0.74</v>
      </c>
      <c r="O1090">
        <v>0.03</v>
      </c>
      <c r="P1090">
        <v>0.38</v>
      </c>
      <c r="Q1090">
        <v>0.41</v>
      </c>
      <c r="R1090" s="2">
        <v>0.49</v>
      </c>
      <c r="S1090" t="str">
        <f>IF(Table1[[#This Row],[Years_Experience]]&lt;=5,"Early Career",
IF(Table1[[#This Row],[Years_Experience]]&lt;=15,"Mid Career","Senior Level"))</f>
        <v>Early Career</v>
      </c>
      <c r="T1090" t="str">
        <f>IF(Table1[[#This Row],[AI_Exposure_Index]]&gt;=0.7,"High Exposure", IF(Table1[[#This Row],[AI_Exposure_Index]]&gt;=0.3,"Medium Exposure","Low Exposure"))</f>
        <v>Medium Exposure</v>
      </c>
    </row>
    <row r="1091" spans="1:20" x14ac:dyDescent="0.25">
      <c r="A1091" t="s">
        <v>33</v>
      </c>
      <c r="B1091">
        <v>50080</v>
      </c>
      <c r="C1091" s="1">
        <v>3</v>
      </c>
      <c r="D1091" t="s">
        <v>19</v>
      </c>
      <c r="E1091" s="7">
        <v>0.71</v>
      </c>
      <c r="F1091" s="2">
        <v>0.37</v>
      </c>
      <c r="G1091" s="7">
        <v>0.92</v>
      </c>
      <c r="H1091" s="9" t="s">
        <v>20</v>
      </c>
      <c r="I1091">
        <v>0.98</v>
      </c>
      <c r="J1091">
        <v>0.02</v>
      </c>
      <c r="K1091">
        <v>0.55000000000000004</v>
      </c>
      <c r="L1091">
        <v>0.34</v>
      </c>
      <c r="M1091">
        <v>0.28000000000000003</v>
      </c>
      <c r="N1091">
        <v>0.34</v>
      </c>
      <c r="O1091">
        <v>0.64</v>
      </c>
      <c r="P1091">
        <v>0.19</v>
      </c>
      <c r="Q1091">
        <v>0.91</v>
      </c>
      <c r="R1091" s="2">
        <v>0.47</v>
      </c>
      <c r="S1091" t="str">
        <f>IF(Table1[[#This Row],[Years_Experience]]&lt;=5,"Early Career",
IF(Table1[[#This Row],[Years_Experience]]&lt;=15,"Mid Career","Senior Level"))</f>
        <v>Early Career</v>
      </c>
      <c r="T1091" t="str">
        <f>IF(Table1[[#This Row],[AI_Exposure_Index]]&gt;=0.7,"High Exposure", IF(Table1[[#This Row],[AI_Exposure_Index]]&gt;=0.3,"Medium Exposure","Low Exposure"))</f>
        <v>Medium Exposure</v>
      </c>
    </row>
    <row r="1092" spans="1:20" x14ac:dyDescent="0.25">
      <c r="A1092" t="s">
        <v>41</v>
      </c>
      <c r="B1092">
        <v>95729</v>
      </c>
      <c r="C1092" s="1">
        <v>5</v>
      </c>
      <c r="D1092" t="s">
        <v>22</v>
      </c>
      <c r="E1092" s="7">
        <v>0.52</v>
      </c>
      <c r="F1092" s="2">
        <v>0.77</v>
      </c>
      <c r="G1092" s="7">
        <v>0.81</v>
      </c>
      <c r="H1092" s="9" t="s">
        <v>20</v>
      </c>
      <c r="I1092">
        <v>0.36</v>
      </c>
      <c r="J1092">
        <v>0.34</v>
      </c>
      <c r="K1092">
        <v>0.34</v>
      </c>
      <c r="L1092">
        <v>0.03</v>
      </c>
      <c r="M1092">
        <v>0.15</v>
      </c>
      <c r="N1092">
        <v>0.14000000000000001</v>
      </c>
      <c r="O1092">
        <v>0.99</v>
      </c>
      <c r="P1092">
        <v>0.02</v>
      </c>
      <c r="Q1092">
        <v>0.17</v>
      </c>
      <c r="R1092" s="2">
        <v>0.97</v>
      </c>
      <c r="S1092" t="str">
        <f>IF(Table1[[#This Row],[Years_Experience]]&lt;=5,"Early Career",
IF(Table1[[#This Row],[Years_Experience]]&lt;=15,"Mid Career","Senior Level"))</f>
        <v>Early Career</v>
      </c>
      <c r="T1092" t="str">
        <f>IF(Table1[[#This Row],[AI_Exposure_Index]]&gt;=0.7,"High Exposure", IF(Table1[[#This Row],[AI_Exposure_Index]]&gt;=0.3,"Medium Exposure","Low Exposure"))</f>
        <v>High Exposure</v>
      </c>
    </row>
    <row r="1093" spans="1:20" x14ac:dyDescent="0.25">
      <c r="A1093" t="s">
        <v>33</v>
      </c>
      <c r="B1093">
        <v>123330</v>
      </c>
      <c r="C1093" s="1">
        <v>1</v>
      </c>
      <c r="D1093" t="s">
        <v>38</v>
      </c>
      <c r="E1093" s="7">
        <v>0.57999999999999996</v>
      </c>
      <c r="F1093" s="2">
        <v>0.45</v>
      </c>
      <c r="G1093" s="7">
        <v>0.87</v>
      </c>
      <c r="H1093" s="9" t="s">
        <v>20</v>
      </c>
      <c r="I1093">
        <v>0.14000000000000001</v>
      </c>
      <c r="J1093">
        <v>0.67</v>
      </c>
      <c r="K1093">
        <v>0.98</v>
      </c>
      <c r="L1093">
        <v>0.53</v>
      </c>
      <c r="M1093">
        <v>0.21</v>
      </c>
      <c r="N1093">
        <v>0.63</v>
      </c>
      <c r="O1093">
        <v>0.51</v>
      </c>
      <c r="P1093">
        <v>0.53</v>
      </c>
      <c r="Q1093">
        <v>0.48</v>
      </c>
      <c r="R1093" s="2">
        <v>0.67</v>
      </c>
      <c r="S1093" t="str">
        <f>IF(Table1[[#This Row],[Years_Experience]]&lt;=5,"Early Career",
IF(Table1[[#This Row],[Years_Experience]]&lt;=15,"Mid Career","Senior Level"))</f>
        <v>Early Career</v>
      </c>
      <c r="T1093" t="str">
        <f>IF(Table1[[#This Row],[AI_Exposure_Index]]&gt;=0.7,"High Exposure", IF(Table1[[#This Row],[AI_Exposure_Index]]&gt;=0.3,"Medium Exposure","Low Exposure"))</f>
        <v>Medium Exposure</v>
      </c>
    </row>
    <row r="1094" spans="1:20" x14ac:dyDescent="0.25">
      <c r="A1094" t="s">
        <v>31</v>
      </c>
      <c r="B1094">
        <v>96302</v>
      </c>
      <c r="C1094" s="1">
        <v>29</v>
      </c>
      <c r="D1094" t="s">
        <v>19</v>
      </c>
      <c r="E1094" s="7">
        <v>1.33</v>
      </c>
      <c r="F1094" s="2">
        <v>0.99</v>
      </c>
      <c r="G1094" s="7">
        <v>0.12</v>
      </c>
      <c r="H1094" s="9" t="s">
        <v>23</v>
      </c>
      <c r="I1094">
        <v>0.73</v>
      </c>
      <c r="J1094">
        <v>0.21</v>
      </c>
      <c r="K1094">
        <v>0.78</v>
      </c>
      <c r="L1094">
        <v>0.15</v>
      </c>
      <c r="M1094">
        <v>0.47</v>
      </c>
      <c r="N1094">
        <v>0.79</v>
      </c>
      <c r="O1094">
        <v>0.28000000000000003</v>
      </c>
      <c r="P1094">
        <v>0.84</v>
      </c>
      <c r="Q1094">
        <v>0.64</v>
      </c>
      <c r="R1094" s="2">
        <v>0.4</v>
      </c>
      <c r="S1094" t="str">
        <f>IF(Table1[[#This Row],[Years_Experience]]&lt;=5,"Early Career",
IF(Table1[[#This Row],[Years_Experience]]&lt;=15,"Mid Career","Senior Level"))</f>
        <v>Senior Level</v>
      </c>
      <c r="T1094" t="str">
        <f>IF(Table1[[#This Row],[AI_Exposure_Index]]&gt;=0.7,"High Exposure", IF(Table1[[#This Row],[AI_Exposure_Index]]&gt;=0.3,"Medium Exposure","Low Exposure"))</f>
        <v>High Exposure</v>
      </c>
    </row>
    <row r="1095" spans="1:20" x14ac:dyDescent="0.25">
      <c r="A1095" t="s">
        <v>32</v>
      </c>
      <c r="B1095">
        <v>97986</v>
      </c>
      <c r="C1095" s="1">
        <v>4</v>
      </c>
      <c r="D1095" t="s">
        <v>25</v>
      </c>
      <c r="E1095" s="7">
        <v>0.72</v>
      </c>
      <c r="F1095" s="2">
        <v>0.93</v>
      </c>
      <c r="G1095" s="7">
        <v>0.57999999999999996</v>
      </c>
      <c r="H1095" s="9" t="s">
        <v>27</v>
      </c>
      <c r="I1095">
        <v>0.71</v>
      </c>
      <c r="J1095">
        <v>0.92</v>
      </c>
      <c r="K1095">
        <v>0.71</v>
      </c>
      <c r="L1095">
        <v>0.57999999999999996</v>
      </c>
      <c r="M1095">
        <v>0.9</v>
      </c>
      <c r="N1095">
        <v>0.83</v>
      </c>
      <c r="O1095">
        <v>0.72</v>
      </c>
      <c r="P1095">
        <v>0.03</v>
      </c>
      <c r="Q1095">
        <v>0.37</v>
      </c>
      <c r="R1095" s="2">
        <v>0.63</v>
      </c>
      <c r="S1095" t="str">
        <f>IF(Table1[[#This Row],[Years_Experience]]&lt;=5,"Early Career",
IF(Table1[[#This Row],[Years_Experience]]&lt;=15,"Mid Career","Senior Level"))</f>
        <v>Early Career</v>
      </c>
      <c r="T1095" t="str">
        <f>IF(Table1[[#This Row],[AI_Exposure_Index]]&gt;=0.7,"High Exposure", IF(Table1[[#This Row],[AI_Exposure_Index]]&gt;=0.3,"Medium Exposure","Low Exposure"))</f>
        <v>High Exposure</v>
      </c>
    </row>
    <row r="1096" spans="1:20" x14ac:dyDescent="0.25">
      <c r="A1096" t="s">
        <v>30</v>
      </c>
      <c r="B1096">
        <v>43776</v>
      </c>
      <c r="C1096" s="1">
        <v>23</v>
      </c>
      <c r="D1096" t="s">
        <v>38</v>
      </c>
      <c r="E1096" s="7">
        <v>0.64</v>
      </c>
      <c r="F1096" s="2">
        <v>0.32</v>
      </c>
      <c r="G1096" s="7">
        <v>0.52</v>
      </c>
      <c r="H1096" s="9" t="s">
        <v>27</v>
      </c>
      <c r="I1096">
        <v>0.28999999999999998</v>
      </c>
      <c r="J1096">
        <v>0.23</v>
      </c>
      <c r="K1096">
        <v>0.4</v>
      </c>
      <c r="L1096">
        <v>0.79</v>
      </c>
      <c r="M1096">
        <v>0.49</v>
      </c>
      <c r="N1096">
        <v>0.22</v>
      </c>
      <c r="O1096">
        <v>0.12</v>
      </c>
      <c r="P1096">
        <v>0.5</v>
      </c>
      <c r="Q1096">
        <v>0.79</v>
      </c>
      <c r="R1096" s="2">
        <v>0.65</v>
      </c>
      <c r="S1096" t="str">
        <f>IF(Table1[[#This Row],[Years_Experience]]&lt;=5,"Early Career",
IF(Table1[[#This Row],[Years_Experience]]&lt;=15,"Mid Career","Senior Level"))</f>
        <v>Senior Level</v>
      </c>
      <c r="T1096" t="str">
        <f>IF(Table1[[#This Row],[AI_Exposure_Index]]&gt;=0.7,"High Exposure", IF(Table1[[#This Row],[AI_Exposure_Index]]&gt;=0.3,"Medium Exposure","Low Exposure"))</f>
        <v>Medium Exposure</v>
      </c>
    </row>
    <row r="1097" spans="1:20" x14ac:dyDescent="0.25">
      <c r="A1097" t="s">
        <v>34</v>
      </c>
      <c r="B1097">
        <v>37163</v>
      </c>
      <c r="C1097" s="1">
        <v>0</v>
      </c>
      <c r="D1097" t="s">
        <v>38</v>
      </c>
      <c r="E1097" s="7">
        <v>1.36</v>
      </c>
      <c r="F1097" s="2">
        <v>0.44</v>
      </c>
      <c r="G1097" s="7">
        <v>0.37</v>
      </c>
      <c r="H1097" s="9" t="s">
        <v>27</v>
      </c>
      <c r="I1097">
        <v>0.53</v>
      </c>
      <c r="J1097">
        <v>0.36</v>
      </c>
      <c r="K1097">
        <v>0.12</v>
      </c>
      <c r="L1097">
        <v>0.05</v>
      </c>
      <c r="M1097">
        <v>0.56000000000000005</v>
      </c>
      <c r="N1097">
        <v>0.02</v>
      </c>
      <c r="O1097">
        <v>0.1</v>
      </c>
      <c r="P1097">
        <v>0.35</v>
      </c>
      <c r="Q1097">
        <v>0.04</v>
      </c>
      <c r="R1097" s="2">
        <v>0.4</v>
      </c>
      <c r="S1097" t="str">
        <f>IF(Table1[[#This Row],[Years_Experience]]&lt;=5,"Early Career",
IF(Table1[[#This Row],[Years_Experience]]&lt;=15,"Mid Career","Senior Level"))</f>
        <v>Early Career</v>
      </c>
      <c r="T1097" t="str">
        <f>IF(Table1[[#This Row],[AI_Exposure_Index]]&gt;=0.7,"High Exposure", IF(Table1[[#This Row],[AI_Exposure_Index]]&gt;=0.3,"Medium Exposure","Low Exposure"))</f>
        <v>Medium Exposure</v>
      </c>
    </row>
    <row r="1098" spans="1:20" x14ac:dyDescent="0.25">
      <c r="A1098" t="s">
        <v>42</v>
      </c>
      <c r="B1098">
        <v>135001</v>
      </c>
      <c r="C1098" s="1">
        <v>17</v>
      </c>
      <c r="D1098" t="s">
        <v>22</v>
      </c>
      <c r="E1098" s="7">
        <v>1.29</v>
      </c>
      <c r="F1098" s="2">
        <v>0.35</v>
      </c>
      <c r="G1098" s="7">
        <v>0.55000000000000004</v>
      </c>
      <c r="H1098" s="9" t="s">
        <v>27</v>
      </c>
      <c r="I1098">
        <v>0.45</v>
      </c>
      <c r="J1098">
        <v>0.09</v>
      </c>
      <c r="K1098">
        <v>0.62</v>
      </c>
      <c r="L1098">
        <v>0.16</v>
      </c>
      <c r="M1098">
        <v>0.08</v>
      </c>
      <c r="N1098">
        <v>0.66</v>
      </c>
      <c r="O1098">
        <v>0.91</v>
      </c>
      <c r="P1098">
        <v>0.46</v>
      </c>
      <c r="Q1098">
        <v>0.04</v>
      </c>
      <c r="R1098" s="2">
        <v>0.88</v>
      </c>
      <c r="S1098" t="str">
        <f>IF(Table1[[#This Row],[Years_Experience]]&lt;=5,"Early Career",
IF(Table1[[#This Row],[Years_Experience]]&lt;=15,"Mid Career","Senior Level"))</f>
        <v>Senior Level</v>
      </c>
      <c r="T1098" t="str">
        <f>IF(Table1[[#This Row],[AI_Exposure_Index]]&gt;=0.7,"High Exposure", IF(Table1[[#This Row],[AI_Exposure_Index]]&gt;=0.3,"Medium Exposure","Low Exposure"))</f>
        <v>Medium Exposure</v>
      </c>
    </row>
    <row r="1099" spans="1:20" x14ac:dyDescent="0.25">
      <c r="A1099" t="s">
        <v>18</v>
      </c>
      <c r="B1099">
        <v>108156</v>
      </c>
      <c r="C1099" s="1">
        <v>8</v>
      </c>
      <c r="D1099" t="s">
        <v>25</v>
      </c>
      <c r="E1099" s="7">
        <v>0.89</v>
      </c>
      <c r="F1099" s="2">
        <v>0.87</v>
      </c>
      <c r="G1099" s="7">
        <v>0.79</v>
      </c>
      <c r="H1099" s="9" t="s">
        <v>20</v>
      </c>
      <c r="I1099">
        <v>0.54</v>
      </c>
      <c r="J1099">
        <v>0.96</v>
      </c>
      <c r="K1099">
        <v>0.9</v>
      </c>
      <c r="L1099">
        <v>0.47</v>
      </c>
      <c r="M1099">
        <v>0.7</v>
      </c>
      <c r="N1099">
        <v>0.57999999999999996</v>
      </c>
      <c r="O1099">
        <v>0.69</v>
      </c>
      <c r="P1099">
        <v>0.83</v>
      </c>
      <c r="Q1099">
        <v>0.03</v>
      </c>
      <c r="R1099" s="2">
        <v>0.33</v>
      </c>
      <c r="S1099" t="str">
        <f>IF(Table1[[#This Row],[Years_Experience]]&lt;=5,"Early Career",
IF(Table1[[#This Row],[Years_Experience]]&lt;=15,"Mid Career","Senior Level"))</f>
        <v>Mid Career</v>
      </c>
      <c r="T1099" t="str">
        <f>IF(Table1[[#This Row],[AI_Exposure_Index]]&gt;=0.7,"High Exposure", IF(Table1[[#This Row],[AI_Exposure_Index]]&gt;=0.3,"Medium Exposure","Low Exposure"))</f>
        <v>High Exposure</v>
      </c>
    </row>
    <row r="1100" spans="1:20" x14ac:dyDescent="0.25">
      <c r="A1100" t="s">
        <v>21</v>
      </c>
      <c r="B1100">
        <v>68842</v>
      </c>
      <c r="C1100" s="1">
        <v>28</v>
      </c>
      <c r="D1100" t="s">
        <v>19</v>
      </c>
      <c r="E1100" s="7">
        <v>0.51</v>
      </c>
      <c r="F1100" s="2">
        <v>0.95</v>
      </c>
      <c r="G1100" s="7">
        <v>0.1</v>
      </c>
      <c r="H1100" s="9" t="s">
        <v>23</v>
      </c>
      <c r="I1100">
        <v>0.99</v>
      </c>
      <c r="J1100">
        <v>0.49</v>
      </c>
      <c r="K1100">
        <v>0.56999999999999995</v>
      </c>
      <c r="L1100">
        <v>0.17</v>
      </c>
      <c r="M1100">
        <v>0.89</v>
      </c>
      <c r="N1100">
        <v>0.23</v>
      </c>
      <c r="O1100">
        <v>0.19</v>
      </c>
      <c r="P1100">
        <v>0.23</v>
      </c>
      <c r="Q1100">
        <v>0.92</v>
      </c>
      <c r="R1100" s="2">
        <v>0.7</v>
      </c>
      <c r="S1100" t="str">
        <f>IF(Table1[[#This Row],[Years_Experience]]&lt;=5,"Early Career",
IF(Table1[[#This Row],[Years_Experience]]&lt;=15,"Mid Career","Senior Level"))</f>
        <v>Senior Level</v>
      </c>
      <c r="T1100" t="str">
        <f>IF(Table1[[#This Row],[AI_Exposure_Index]]&gt;=0.7,"High Exposure", IF(Table1[[#This Row],[AI_Exposure_Index]]&gt;=0.3,"Medium Exposure","Low Exposure"))</f>
        <v>High Exposure</v>
      </c>
    </row>
    <row r="1101" spans="1:20" x14ac:dyDescent="0.25">
      <c r="A1101" t="s">
        <v>24</v>
      </c>
      <c r="B1101">
        <v>78039</v>
      </c>
      <c r="C1101" s="1">
        <v>0</v>
      </c>
      <c r="D1101" t="s">
        <v>25</v>
      </c>
      <c r="E1101" s="7">
        <v>1.41</v>
      </c>
      <c r="F1101" s="2">
        <v>0.38</v>
      </c>
      <c r="G1101" s="7">
        <v>0.9</v>
      </c>
      <c r="H1101" s="9" t="s">
        <v>20</v>
      </c>
      <c r="I1101">
        <v>0.75</v>
      </c>
      <c r="J1101">
        <v>0.97</v>
      </c>
      <c r="K1101">
        <v>0.37</v>
      </c>
      <c r="L1101">
        <v>0.61</v>
      </c>
      <c r="M1101">
        <v>0.91</v>
      </c>
      <c r="N1101">
        <v>0.79</v>
      </c>
      <c r="O1101">
        <v>0.56000000000000005</v>
      </c>
      <c r="P1101">
        <v>0.08</v>
      </c>
      <c r="Q1101">
        <v>0.65</v>
      </c>
      <c r="R1101" s="2">
        <v>0.53</v>
      </c>
      <c r="S1101" t="str">
        <f>IF(Table1[[#This Row],[Years_Experience]]&lt;=5,"Early Career",
IF(Table1[[#This Row],[Years_Experience]]&lt;=15,"Mid Career","Senior Level"))</f>
        <v>Early Career</v>
      </c>
      <c r="T1101" t="str">
        <f>IF(Table1[[#This Row],[AI_Exposure_Index]]&gt;=0.7,"High Exposure", IF(Table1[[#This Row],[AI_Exposure_Index]]&gt;=0.3,"Medium Exposure","Low Exposure"))</f>
        <v>Medium Exposure</v>
      </c>
    </row>
    <row r="1102" spans="1:20" x14ac:dyDescent="0.25">
      <c r="A1102" t="s">
        <v>44</v>
      </c>
      <c r="B1102">
        <v>59552</v>
      </c>
      <c r="C1102" s="1">
        <v>1</v>
      </c>
      <c r="D1102" t="s">
        <v>22</v>
      </c>
      <c r="E1102" s="7">
        <v>0.84</v>
      </c>
      <c r="F1102" s="2">
        <v>0.88</v>
      </c>
      <c r="G1102" s="7">
        <v>0.45</v>
      </c>
      <c r="H1102" s="9" t="s">
        <v>27</v>
      </c>
      <c r="I1102">
        <v>0.67</v>
      </c>
      <c r="J1102">
        <v>0.49</v>
      </c>
      <c r="K1102">
        <v>0.09</v>
      </c>
      <c r="L1102">
        <v>0.39</v>
      </c>
      <c r="M1102">
        <v>0.09</v>
      </c>
      <c r="N1102">
        <v>0.19</v>
      </c>
      <c r="O1102">
        <v>0.01</v>
      </c>
      <c r="P1102">
        <v>0.18</v>
      </c>
      <c r="Q1102">
        <v>0.33</v>
      </c>
      <c r="R1102" s="2">
        <v>0.54</v>
      </c>
      <c r="S1102" t="str">
        <f>IF(Table1[[#This Row],[Years_Experience]]&lt;=5,"Early Career",
IF(Table1[[#This Row],[Years_Experience]]&lt;=15,"Mid Career","Senior Level"))</f>
        <v>Early Career</v>
      </c>
      <c r="T1102" t="str">
        <f>IF(Table1[[#This Row],[AI_Exposure_Index]]&gt;=0.7,"High Exposure", IF(Table1[[#This Row],[AI_Exposure_Index]]&gt;=0.3,"Medium Exposure","Low Exposure"))</f>
        <v>High Exposure</v>
      </c>
    </row>
    <row r="1103" spans="1:20" x14ac:dyDescent="0.25">
      <c r="A1103" t="s">
        <v>34</v>
      </c>
      <c r="B1103">
        <v>144759</v>
      </c>
      <c r="C1103" s="1">
        <v>18</v>
      </c>
      <c r="D1103" t="s">
        <v>38</v>
      </c>
      <c r="E1103" s="7">
        <v>1.21</v>
      </c>
      <c r="F1103" s="2">
        <v>0.54</v>
      </c>
      <c r="G1103" s="7">
        <v>0.44</v>
      </c>
      <c r="H1103" s="9" t="s">
        <v>27</v>
      </c>
      <c r="I1103">
        <v>0.75</v>
      </c>
      <c r="J1103">
        <v>0.62</v>
      </c>
      <c r="K1103">
        <v>0.46</v>
      </c>
      <c r="L1103">
        <v>0.19</v>
      </c>
      <c r="M1103">
        <v>0.3</v>
      </c>
      <c r="N1103">
        <v>0.62</v>
      </c>
      <c r="O1103">
        <v>0.43</v>
      </c>
      <c r="P1103">
        <v>0.89</v>
      </c>
      <c r="Q1103">
        <v>0.23</v>
      </c>
      <c r="R1103" s="2">
        <v>7.0000000000000007E-2</v>
      </c>
      <c r="S1103" t="str">
        <f>IF(Table1[[#This Row],[Years_Experience]]&lt;=5,"Early Career",
IF(Table1[[#This Row],[Years_Experience]]&lt;=15,"Mid Career","Senior Level"))</f>
        <v>Senior Level</v>
      </c>
      <c r="T1103" t="str">
        <f>IF(Table1[[#This Row],[AI_Exposure_Index]]&gt;=0.7,"High Exposure", IF(Table1[[#This Row],[AI_Exposure_Index]]&gt;=0.3,"Medium Exposure","Low Exposure"))</f>
        <v>Medium Exposure</v>
      </c>
    </row>
    <row r="1104" spans="1:20" x14ac:dyDescent="0.25">
      <c r="A1104" t="s">
        <v>24</v>
      </c>
      <c r="B1104">
        <v>131442</v>
      </c>
      <c r="C1104" s="1">
        <v>13</v>
      </c>
      <c r="D1104" t="s">
        <v>38</v>
      </c>
      <c r="E1104" s="7">
        <v>0.86</v>
      </c>
      <c r="F1104" s="2">
        <v>0.89</v>
      </c>
      <c r="G1104" s="7">
        <v>0.86</v>
      </c>
      <c r="H1104" s="9" t="s">
        <v>20</v>
      </c>
      <c r="I1104">
        <v>0.23</v>
      </c>
      <c r="J1104">
        <v>0.56000000000000005</v>
      </c>
      <c r="K1104">
        <v>0.79</v>
      </c>
      <c r="L1104">
        <v>0.87</v>
      </c>
      <c r="M1104">
        <v>0.11</v>
      </c>
      <c r="N1104">
        <v>0.36</v>
      </c>
      <c r="O1104">
        <v>0.64</v>
      </c>
      <c r="P1104">
        <v>0.03</v>
      </c>
      <c r="Q1104">
        <v>0.69</v>
      </c>
      <c r="R1104" s="2">
        <v>0.53</v>
      </c>
      <c r="S1104" t="str">
        <f>IF(Table1[[#This Row],[Years_Experience]]&lt;=5,"Early Career",
IF(Table1[[#This Row],[Years_Experience]]&lt;=15,"Mid Career","Senior Level"))</f>
        <v>Mid Career</v>
      </c>
      <c r="T1104" t="str">
        <f>IF(Table1[[#This Row],[AI_Exposure_Index]]&gt;=0.7,"High Exposure", IF(Table1[[#This Row],[AI_Exposure_Index]]&gt;=0.3,"Medium Exposure","Low Exposure"))</f>
        <v>High Exposure</v>
      </c>
    </row>
    <row r="1105" spans="1:20" x14ac:dyDescent="0.25">
      <c r="A1105" t="s">
        <v>37</v>
      </c>
      <c r="B1105">
        <v>126969</v>
      </c>
      <c r="C1105" s="1">
        <v>24</v>
      </c>
      <c r="D1105" t="s">
        <v>38</v>
      </c>
      <c r="E1105" s="7">
        <v>0.79</v>
      </c>
      <c r="F1105" s="2">
        <v>0.81</v>
      </c>
      <c r="G1105" s="7">
        <v>0.7</v>
      </c>
      <c r="H1105" s="9" t="s">
        <v>27</v>
      </c>
      <c r="I1105">
        <v>0.82</v>
      </c>
      <c r="J1105">
        <v>0.71</v>
      </c>
      <c r="K1105">
        <v>0.06</v>
      </c>
      <c r="L1105">
        <v>0.9</v>
      </c>
      <c r="M1105">
        <v>0.79</v>
      </c>
      <c r="N1105">
        <v>0.23</v>
      </c>
      <c r="O1105">
        <v>0.39</v>
      </c>
      <c r="P1105">
        <v>0.27</v>
      </c>
      <c r="Q1105">
        <v>0.98</v>
      </c>
      <c r="R1105" s="2">
        <v>0.85</v>
      </c>
      <c r="S1105" t="str">
        <f>IF(Table1[[#This Row],[Years_Experience]]&lt;=5,"Early Career",
IF(Table1[[#This Row],[Years_Experience]]&lt;=15,"Mid Career","Senior Level"))</f>
        <v>Senior Level</v>
      </c>
      <c r="T1105" t="str">
        <f>IF(Table1[[#This Row],[AI_Exposure_Index]]&gt;=0.7,"High Exposure", IF(Table1[[#This Row],[AI_Exposure_Index]]&gt;=0.3,"Medium Exposure","Low Exposure"))</f>
        <v>High Exposure</v>
      </c>
    </row>
    <row r="1106" spans="1:20" x14ac:dyDescent="0.25">
      <c r="A1106" t="s">
        <v>31</v>
      </c>
      <c r="B1106">
        <v>111606</v>
      </c>
      <c r="C1106" s="1">
        <v>11</v>
      </c>
      <c r="D1106" t="s">
        <v>38</v>
      </c>
      <c r="E1106" s="7">
        <v>0.96</v>
      </c>
      <c r="F1106" s="2">
        <v>0.79</v>
      </c>
      <c r="G1106" s="7">
        <v>0.1</v>
      </c>
      <c r="H1106" s="9" t="s">
        <v>23</v>
      </c>
      <c r="I1106">
        <v>0.21</v>
      </c>
      <c r="J1106">
        <v>0.15</v>
      </c>
      <c r="K1106">
        <v>0.55000000000000004</v>
      </c>
      <c r="L1106">
        <v>0.92</v>
      </c>
      <c r="M1106">
        <v>0.99</v>
      </c>
      <c r="N1106">
        <v>0.28999999999999998</v>
      </c>
      <c r="O1106">
        <v>0.7</v>
      </c>
      <c r="P1106">
        <v>0.6</v>
      </c>
      <c r="Q1106">
        <v>0.49</v>
      </c>
      <c r="R1106" s="2">
        <v>0.67</v>
      </c>
      <c r="S1106" t="str">
        <f>IF(Table1[[#This Row],[Years_Experience]]&lt;=5,"Early Career",
IF(Table1[[#This Row],[Years_Experience]]&lt;=15,"Mid Career","Senior Level"))</f>
        <v>Mid Career</v>
      </c>
      <c r="T1106" t="str">
        <f>IF(Table1[[#This Row],[AI_Exposure_Index]]&gt;=0.7,"High Exposure", IF(Table1[[#This Row],[AI_Exposure_Index]]&gt;=0.3,"Medium Exposure","Low Exposure"))</f>
        <v>High Exposure</v>
      </c>
    </row>
    <row r="1107" spans="1:20" x14ac:dyDescent="0.25">
      <c r="A1107" t="s">
        <v>31</v>
      </c>
      <c r="B1107">
        <v>137904</v>
      </c>
      <c r="C1107" s="1">
        <v>28</v>
      </c>
      <c r="D1107" t="s">
        <v>22</v>
      </c>
      <c r="E1107" s="7">
        <v>1.21</v>
      </c>
      <c r="F1107" s="2">
        <v>0.94</v>
      </c>
      <c r="G1107" s="7">
        <v>0.24</v>
      </c>
      <c r="H1107" s="9" t="s">
        <v>23</v>
      </c>
      <c r="I1107">
        <v>0.24</v>
      </c>
      <c r="J1107">
        <v>0.17</v>
      </c>
      <c r="K1107">
        <v>0.39</v>
      </c>
      <c r="L1107">
        <v>0.77</v>
      </c>
      <c r="M1107">
        <v>0.94</v>
      </c>
      <c r="N1107">
        <v>0.43</v>
      </c>
      <c r="O1107">
        <v>0.77</v>
      </c>
      <c r="P1107">
        <v>0.47</v>
      </c>
      <c r="Q1107">
        <v>0.3</v>
      </c>
      <c r="R1107" s="2">
        <v>0.74</v>
      </c>
      <c r="S1107" t="str">
        <f>IF(Table1[[#This Row],[Years_Experience]]&lt;=5,"Early Career",
IF(Table1[[#This Row],[Years_Experience]]&lt;=15,"Mid Career","Senior Level"))</f>
        <v>Senior Level</v>
      </c>
      <c r="T1107" t="str">
        <f>IF(Table1[[#This Row],[AI_Exposure_Index]]&gt;=0.7,"High Exposure", IF(Table1[[#This Row],[AI_Exposure_Index]]&gt;=0.3,"Medium Exposure","Low Exposure"))</f>
        <v>High Exposure</v>
      </c>
    </row>
    <row r="1108" spans="1:20" x14ac:dyDescent="0.25">
      <c r="A1108" t="s">
        <v>21</v>
      </c>
      <c r="B1108">
        <v>93878</v>
      </c>
      <c r="C1108" s="1">
        <v>11</v>
      </c>
      <c r="D1108" t="s">
        <v>19</v>
      </c>
      <c r="E1108" s="7">
        <v>0.81</v>
      </c>
      <c r="F1108" s="2">
        <v>0.2</v>
      </c>
      <c r="G1108" s="7">
        <v>0.17</v>
      </c>
      <c r="H1108" s="9" t="s">
        <v>23</v>
      </c>
      <c r="I1108">
        <v>0.19</v>
      </c>
      <c r="J1108">
        <v>0.93</v>
      </c>
      <c r="K1108">
        <v>0.59</v>
      </c>
      <c r="L1108">
        <v>0.12</v>
      </c>
      <c r="M1108">
        <v>0.18</v>
      </c>
      <c r="N1108">
        <v>0.95</v>
      </c>
      <c r="O1108">
        <v>0.74</v>
      </c>
      <c r="P1108">
        <v>0.73</v>
      </c>
      <c r="Q1108">
        <v>7.0000000000000007E-2</v>
      </c>
      <c r="R1108" s="2">
        <v>0.9</v>
      </c>
      <c r="S1108" t="str">
        <f>IF(Table1[[#This Row],[Years_Experience]]&lt;=5,"Early Career",
IF(Table1[[#This Row],[Years_Experience]]&lt;=15,"Mid Career","Senior Level"))</f>
        <v>Mid Career</v>
      </c>
      <c r="T1108" t="str">
        <f>IF(Table1[[#This Row],[AI_Exposure_Index]]&gt;=0.7,"High Exposure", IF(Table1[[#This Row],[AI_Exposure_Index]]&gt;=0.3,"Medium Exposure","Low Exposure"))</f>
        <v>Low Exposure</v>
      </c>
    </row>
    <row r="1109" spans="1:20" x14ac:dyDescent="0.25">
      <c r="A1109" t="s">
        <v>40</v>
      </c>
      <c r="B1109">
        <v>71986</v>
      </c>
      <c r="C1109" s="1">
        <v>2</v>
      </c>
      <c r="D1109" t="s">
        <v>22</v>
      </c>
      <c r="E1109" s="7">
        <v>1.46</v>
      </c>
      <c r="F1109" s="2">
        <v>0.66</v>
      </c>
      <c r="G1109" s="7">
        <v>0.08</v>
      </c>
      <c r="H1109" s="9" t="s">
        <v>23</v>
      </c>
      <c r="I1109">
        <v>0.48</v>
      </c>
      <c r="J1109">
        <v>0.05</v>
      </c>
      <c r="K1109">
        <v>0.5</v>
      </c>
      <c r="L1109">
        <v>0.25</v>
      </c>
      <c r="M1109">
        <v>0.91</v>
      </c>
      <c r="N1109">
        <v>0.4</v>
      </c>
      <c r="O1109">
        <v>0.63</v>
      </c>
      <c r="P1109">
        <v>0.86</v>
      </c>
      <c r="Q1109">
        <v>0.98</v>
      </c>
      <c r="R1109" s="2">
        <v>0.5</v>
      </c>
      <c r="S1109" t="str">
        <f>IF(Table1[[#This Row],[Years_Experience]]&lt;=5,"Early Career",
IF(Table1[[#This Row],[Years_Experience]]&lt;=15,"Mid Career","Senior Level"))</f>
        <v>Early Career</v>
      </c>
      <c r="T1109" t="str">
        <f>IF(Table1[[#This Row],[AI_Exposure_Index]]&gt;=0.7,"High Exposure", IF(Table1[[#This Row],[AI_Exposure_Index]]&gt;=0.3,"Medium Exposure","Low Exposure"))</f>
        <v>Medium Exposure</v>
      </c>
    </row>
    <row r="1110" spans="1:20" x14ac:dyDescent="0.25">
      <c r="A1110" t="s">
        <v>39</v>
      </c>
      <c r="B1110">
        <v>65169</v>
      </c>
      <c r="C1110" s="1">
        <v>23</v>
      </c>
      <c r="D1110" t="s">
        <v>38</v>
      </c>
      <c r="E1110" s="7">
        <v>0.51</v>
      </c>
      <c r="F1110" s="2">
        <v>0.08</v>
      </c>
      <c r="G1110" s="7">
        <v>0.85</v>
      </c>
      <c r="H1110" s="9" t="s">
        <v>20</v>
      </c>
      <c r="I1110">
        <v>7.0000000000000007E-2</v>
      </c>
      <c r="J1110">
        <v>0.38</v>
      </c>
      <c r="K1110">
        <v>0</v>
      </c>
      <c r="L1110">
        <v>0.62</v>
      </c>
      <c r="M1110">
        <v>0.43</v>
      </c>
      <c r="N1110">
        <v>0.13</v>
      </c>
      <c r="O1110">
        <v>0.3</v>
      </c>
      <c r="P1110">
        <v>0.56999999999999995</v>
      </c>
      <c r="Q1110">
        <v>0.66</v>
      </c>
      <c r="R1110" s="2">
        <v>0.46</v>
      </c>
      <c r="S1110" t="str">
        <f>IF(Table1[[#This Row],[Years_Experience]]&lt;=5,"Early Career",
IF(Table1[[#This Row],[Years_Experience]]&lt;=15,"Mid Career","Senior Level"))</f>
        <v>Senior Level</v>
      </c>
      <c r="T1110" t="str">
        <f>IF(Table1[[#This Row],[AI_Exposure_Index]]&gt;=0.7,"High Exposure", IF(Table1[[#This Row],[AI_Exposure_Index]]&gt;=0.3,"Medium Exposure","Low Exposure"))</f>
        <v>Low Exposure</v>
      </c>
    </row>
    <row r="1111" spans="1:20" x14ac:dyDescent="0.25">
      <c r="A1111" t="s">
        <v>29</v>
      </c>
      <c r="B1111">
        <v>47330</v>
      </c>
      <c r="C1111" s="1">
        <v>9</v>
      </c>
      <c r="D1111" t="s">
        <v>22</v>
      </c>
      <c r="E1111" s="7">
        <v>0.57999999999999996</v>
      </c>
      <c r="F1111" s="2">
        <v>0.11</v>
      </c>
      <c r="G1111" s="7">
        <v>0.06</v>
      </c>
      <c r="H1111" s="9" t="s">
        <v>23</v>
      </c>
      <c r="I1111">
        <v>0.54</v>
      </c>
      <c r="J1111">
        <v>0.71</v>
      </c>
      <c r="K1111">
        <v>0.13</v>
      </c>
      <c r="L1111">
        <v>0.64</v>
      </c>
      <c r="M1111">
        <v>0.48</v>
      </c>
      <c r="N1111">
        <v>0.99</v>
      </c>
      <c r="O1111">
        <v>0.72</v>
      </c>
      <c r="P1111">
        <v>0.66</v>
      </c>
      <c r="Q1111">
        <v>0.56999999999999995</v>
      </c>
      <c r="R1111" s="2">
        <v>1</v>
      </c>
      <c r="S1111" t="str">
        <f>IF(Table1[[#This Row],[Years_Experience]]&lt;=5,"Early Career",
IF(Table1[[#This Row],[Years_Experience]]&lt;=15,"Mid Career","Senior Level"))</f>
        <v>Mid Career</v>
      </c>
      <c r="T1111" t="str">
        <f>IF(Table1[[#This Row],[AI_Exposure_Index]]&gt;=0.7,"High Exposure", IF(Table1[[#This Row],[AI_Exposure_Index]]&gt;=0.3,"Medium Exposure","Low Exposure"))</f>
        <v>Low Exposure</v>
      </c>
    </row>
    <row r="1112" spans="1:20" x14ac:dyDescent="0.25">
      <c r="A1112" t="s">
        <v>44</v>
      </c>
      <c r="B1112">
        <v>119937</v>
      </c>
      <c r="C1112" s="1">
        <v>16</v>
      </c>
      <c r="D1112" t="s">
        <v>22</v>
      </c>
      <c r="E1112" s="7">
        <v>0.96</v>
      </c>
      <c r="F1112" s="2">
        <v>0.54</v>
      </c>
      <c r="G1112" s="7">
        <v>0.48</v>
      </c>
      <c r="H1112" s="9" t="s">
        <v>27</v>
      </c>
      <c r="I1112">
        <v>0.43</v>
      </c>
      <c r="J1112">
        <v>0.53</v>
      </c>
      <c r="K1112">
        <v>0.27</v>
      </c>
      <c r="L1112">
        <v>0.93</v>
      </c>
      <c r="M1112">
        <v>0.49</v>
      </c>
      <c r="N1112">
        <v>0.84</v>
      </c>
      <c r="O1112">
        <v>0.48</v>
      </c>
      <c r="P1112">
        <v>0.72</v>
      </c>
      <c r="Q1112">
        <v>0.34</v>
      </c>
      <c r="R1112" s="2">
        <v>0.62</v>
      </c>
      <c r="S1112" t="str">
        <f>IF(Table1[[#This Row],[Years_Experience]]&lt;=5,"Early Career",
IF(Table1[[#This Row],[Years_Experience]]&lt;=15,"Mid Career","Senior Level"))</f>
        <v>Senior Level</v>
      </c>
      <c r="T1112" t="str">
        <f>IF(Table1[[#This Row],[AI_Exposure_Index]]&gt;=0.7,"High Exposure", IF(Table1[[#This Row],[AI_Exposure_Index]]&gt;=0.3,"Medium Exposure","Low Exposure"))</f>
        <v>Medium Exposure</v>
      </c>
    </row>
    <row r="1113" spans="1:20" x14ac:dyDescent="0.25">
      <c r="A1113" t="s">
        <v>30</v>
      </c>
      <c r="B1113">
        <v>113301</v>
      </c>
      <c r="C1113" s="1">
        <v>23</v>
      </c>
      <c r="D1113" t="s">
        <v>22</v>
      </c>
      <c r="E1113" s="7">
        <v>1.38</v>
      </c>
      <c r="F1113" s="2">
        <v>0.37</v>
      </c>
      <c r="G1113" s="7">
        <v>0.35</v>
      </c>
      <c r="H1113" s="9" t="s">
        <v>27</v>
      </c>
      <c r="I1113">
        <v>0.49</v>
      </c>
      <c r="J1113">
        <v>0.19</v>
      </c>
      <c r="K1113">
        <v>0.86</v>
      </c>
      <c r="L1113">
        <v>0.25</v>
      </c>
      <c r="M1113">
        <v>0.63</v>
      </c>
      <c r="N1113">
        <v>0.17</v>
      </c>
      <c r="O1113">
        <v>0.4</v>
      </c>
      <c r="P1113">
        <v>0.9</v>
      </c>
      <c r="Q1113">
        <v>0.17</v>
      </c>
      <c r="R1113" s="2">
        <v>0.66</v>
      </c>
      <c r="S1113" t="str">
        <f>IF(Table1[[#This Row],[Years_Experience]]&lt;=5,"Early Career",
IF(Table1[[#This Row],[Years_Experience]]&lt;=15,"Mid Career","Senior Level"))</f>
        <v>Senior Level</v>
      </c>
      <c r="T1113" t="str">
        <f>IF(Table1[[#This Row],[AI_Exposure_Index]]&gt;=0.7,"High Exposure", IF(Table1[[#This Row],[AI_Exposure_Index]]&gt;=0.3,"Medium Exposure","Low Exposure"))</f>
        <v>Medium Exposure</v>
      </c>
    </row>
    <row r="1114" spans="1:20" x14ac:dyDescent="0.25">
      <c r="A1114" t="s">
        <v>21</v>
      </c>
      <c r="B1114">
        <v>81899</v>
      </c>
      <c r="C1114" s="1">
        <v>17</v>
      </c>
      <c r="D1114" t="s">
        <v>19</v>
      </c>
      <c r="E1114" s="7">
        <v>1.04</v>
      </c>
      <c r="F1114" s="2">
        <v>0.42</v>
      </c>
      <c r="G1114" s="7">
        <v>0.19</v>
      </c>
      <c r="H1114" s="9" t="s">
        <v>23</v>
      </c>
      <c r="I1114">
        <v>0.6</v>
      </c>
      <c r="J1114">
        <v>0.64</v>
      </c>
      <c r="K1114">
        <v>0.27</v>
      </c>
      <c r="L1114">
        <v>0.4</v>
      </c>
      <c r="M1114">
        <v>0.04</v>
      </c>
      <c r="N1114">
        <v>0.77</v>
      </c>
      <c r="O1114">
        <v>0.84</v>
      </c>
      <c r="P1114">
        <v>0.2</v>
      </c>
      <c r="Q1114">
        <v>0.2</v>
      </c>
      <c r="R1114" s="2">
        <v>0.04</v>
      </c>
      <c r="S1114" t="str">
        <f>IF(Table1[[#This Row],[Years_Experience]]&lt;=5,"Early Career",
IF(Table1[[#This Row],[Years_Experience]]&lt;=15,"Mid Career","Senior Level"))</f>
        <v>Senior Level</v>
      </c>
      <c r="T1114" t="str">
        <f>IF(Table1[[#This Row],[AI_Exposure_Index]]&gt;=0.7,"High Exposure", IF(Table1[[#This Row],[AI_Exposure_Index]]&gt;=0.3,"Medium Exposure","Low Exposure"))</f>
        <v>Medium Exposure</v>
      </c>
    </row>
    <row r="1115" spans="1:20" x14ac:dyDescent="0.25">
      <c r="A1115" t="s">
        <v>24</v>
      </c>
      <c r="B1115">
        <v>100390</v>
      </c>
      <c r="C1115" s="1">
        <v>3</v>
      </c>
      <c r="D1115" t="s">
        <v>19</v>
      </c>
      <c r="E1115" s="7">
        <v>0.86</v>
      </c>
      <c r="F1115" s="2">
        <v>0.81</v>
      </c>
      <c r="G1115" s="7">
        <v>0.82</v>
      </c>
      <c r="H1115" s="9" t="s">
        <v>20</v>
      </c>
      <c r="I1115">
        <v>0.28999999999999998</v>
      </c>
      <c r="J1115">
        <v>0.6</v>
      </c>
      <c r="K1115">
        <v>0.72</v>
      </c>
      <c r="L1115">
        <v>0.45</v>
      </c>
      <c r="M1115">
        <v>0.87</v>
      </c>
      <c r="N1115">
        <v>0.52</v>
      </c>
      <c r="O1115">
        <v>0.14000000000000001</v>
      </c>
      <c r="P1115">
        <v>0.62</v>
      </c>
      <c r="Q1115">
        <v>0.46</v>
      </c>
      <c r="R1115" s="2">
        <v>0.94</v>
      </c>
      <c r="S1115" t="str">
        <f>IF(Table1[[#This Row],[Years_Experience]]&lt;=5,"Early Career",
IF(Table1[[#This Row],[Years_Experience]]&lt;=15,"Mid Career","Senior Level"))</f>
        <v>Early Career</v>
      </c>
      <c r="T1115" t="str">
        <f>IF(Table1[[#This Row],[AI_Exposure_Index]]&gt;=0.7,"High Exposure", IF(Table1[[#This Row],[AI_Exposure_Index]]&gt;=0.3,"Medium Exposure","Low Exposure"))</f>
        <v>High Exposure</v>
      </c>
    </row>
    <row r="1116" spans="1:20" x14ac:dyDescent="0.25">
      <c r="A1116" t="s">
        <v>37</v>
      </c>
      <c r="B1116">
        <v>106019</v>
      </c>
      <c r="C1116" s="1">
        <v>26</v>
      </c>
      <c r="D1116" t="s">
        <v>19</v>
      </c>
      <c r="E1116" s="7">
        <v>1.1499999999999999</v>
      </c>
      <c r="F1116" s="2">
        <v>0.4</v>
      </c>
      <c r="G1116" s="7">
        <v>0.51</v>
      </c>
      <c r="H1116" s="9" t="s">
        <v>27</v>
      </c>
      <c r="I1116">
        <v>0.37</v>
      </c>
      <c r="J1116">
        <v>0.99</v>
      </c>
      <c r="K1116">
        <v>0.3</v>
      </c>
      <c r="L1116">
        <v>0.28000000000000003</v>
      </c>
      <c r="M1116">
        <v>0.86</v>
      </c>
      <c r="N1116">
        <v>0</v>
      </c>
      <c r="O1116">
        <v>0.2</v>
      </c>
      <c r="P1116">
        <v>0.59</v>
      </c>
      <c r="Q1116">
        <v>0.16</v>
      </c>
      <c r="R1116" s="2">
        <v>0.99</v>
      </c>
      <c r="S1116" t="str">
        <f>IF(Table1[[#This Row],[Years_Experience]]&lt;=5,"Early Career",
IF(Table1[[#This Row],[Years_Experience]]&lt;=15,"Mid Career","Senior Level"))</f>
        <v>Senior Level</v>
      </c>
      <c r="T1116" t="str">
        <f>IF(Table1[[#This Row],[AI_Exposure_Index]]&gt;=0.7,"High Exposure", IF(Table1[[#This Row],[AI_Exposure_Index]]&gt;=0.3,"Medium Exposure","Low Exposure"))</f>
        <v>Medium Exposure</v>
      </c>
    </row>
    <row r="1117" spans="1:20" x14ac:dyDescent="0.25">
      <c r="A1117" t="s">
        <v>30</v>
      </c>
      <c r="B1117">
        <v>129878</v>
      </c>
      <c r="C1117" s="1">
        <v>15</v>
      </c>
      <c r="D1117" t="s">
        <v>38</v>
      </c>
      <c r="E1117" s="7">
        <v>0.66</v>
      </c>
      <c r="F1117" s="2">
        <v>0.6</v>
      </c>
      <c r="G1117" s="7">
        <v>0.42</v>
      </c>
      <c r="H1117" s="9" t="s">
        <v>27</v>
      </c>
      <c r="I1117">
        <v>0.61</v>
      </c>
      <c r="J1117">
        <v>0.55000000000000004</v>
      </c>
      <c r="K1117">
        <v>0.78</v>
      </c>
      <c r="L1117">
        <v>0.27</v>
      </c>
      <c r="M1117">
        <v>0.65</v>
      </c>
      <c r="N1117">
        <v>0.28999999999999998</v>
      </c>
      <c r="O1117">
        <v>0.59</v>
      </c>
      <c r="P1117">
        <v>0.61</v>
      </c>
      <c r="Q1117">
        <v>0.12</v>
      </c>
      <c r="R1117" s="2">
        <v>0.55000000000000004</v>
      </c>
      <c r="S1117" t="str">
        <f>IF(Table1[[#This Row],[Years_Experience]]&lt;=5,"Early Career",
IF(Table1[[#This Row],[Years_Experience]]&lt;=15,"Mid Career","Senior Level"))</f>
        <v>Mid Career</v>
      </c>
      <c r="T1117" t="str">
        <f>IF(Table1[[#This Row],[AI_Exposure_Index]]&gt;=0.7,"High Exposure", IF(Table1[[#This Row],[AI_Exposure_Index]]&gt;=0.3,"Medium Exposure","Low Exposure"))</f>
        <v>Medium Exposure</v>
      </c>
    </row>
    <row r="1118" spans="1:20" x14ac:dyDescent="0.25">
      <c r="A1118" t="s">
        <v>34</v>
      </c>
      <c r="B1118">
        <v>55463</v>
      </c>
      <c r="C1118" s="1">
        <v>8</v>
      </c>
      <c r="D1118" t="s">
        <v>25</v>
      </c>
      <c r="E1118" s="7">
        <v>1.2</v>
      </c>
      <c r="F1118" s="2">
        <v>0.5</v>
      </c>
      <c r="G1118" s="7">
        <v>0.33</v>
      </c>
      <c r="H1118" s="9" t="s">
        <v>27</v>
      </c>
      <c r="I1118">
        <v>0.94</v>
      </c>
      <c r="J1118">
        <v>0.46</v>
      </c>
      <c r="K1118">
        <v>0.94</v>
      </c>
      <c r="L1118">
        <v>0.11</v>
      </c>
      <c r="M1118">
        <v>0.95</v>
      </c>
      <c r="N1118">
        <v>0.11</v>
      </c>
      <c r="O1118">
        <v>0.46</v>
      </c>
      <c r="P1118">
        <v>0.94</v>
      </c>
      <c r="Q1118">
        <v>0.23</v>
      </c>
      <c r="R1118" s="2">
        <v>0.03</v>
      </c>
      <c r="S1118" t="str">
        <f>IF(Table1[[#This Row],[Years_Experience]]&lt;=5,"Early Career",
IF(Table1[[#This Row],[Years_Experience]]&lt;=15,"Mid Career","Senior Level"))</f>
        <v>Mid Career</v>
      </c>
      <c r="T1118" t="str">
        <f>IF(Table1[[#This Row],[AI_Exposure_Index]]&gt;=0.7,"High Exposure", IF(Table1[[#This Row],[AI_Exposure_Index]]&gt;=0.3,"Medium Exposure","Low Exposure"))</f>
        <v>Medium Exposure</v>
      </c>
    </row>
    <row r="1119" spans="1:20" x14ac:dyDescent="0.25">
      <c r="A1119" t="s">
        <v>34</v>
      </c>
      <c r="B1119">
        <v>115275</v>
      </c>
      <c r="C1119" s="1">
        <v>13</v>
      </c>
      <c r="D1119" t="s">
        <v>22</v>
      </c>
      <c r="E1119" s="7">
        <v>1.01</v>
      </c>
      <c r="F1119" s="2">
        <v>0.6</v>
      </c>
      <c r="G1119" s="7">
        <v>0.31</v>
      </c>
      <c r="H1119" s="9" t="s">
        <v>27</v>
      </c>
      <c r="I1119">
        <v>0.65</v>
      </c>
      <c r="J1119">
        <v>0.17</v>
      </c>
      <c r="K1119">
        <v>0.93</v>
      </c>
      <c r="L1119">
        <v>0.69</v>
      </c>
      <c r="M1119">
        <v>0.71</v>
      </c>
      <c r="N1119">
        <v>0.23</v>
      </c>
      <c r="O1119">
        <v>0.88</v>
      </c>
      <c r="P1119">
        <v>0.54</v>
      </c>
      <c r="Q1119">
        <v>0.86</v>
      </c>
      <c r="R1119" s="2">
        <v>0.27</v>
      </c>
      <c r="S1119" t="str">
        <f>IF(Table1[[#This Row],[Years_Experience]]&lt;=5,"Early Career",
IF(Table1[[#This Row],[Years_Experience]]&lt;=15,"Mid Career","Senior Level"))</f>
        <v>Mid Career</v>
      </c>
      <c r="T1119" t="str">
        <f>IF(Table1[[#This Row],[AI_Exposure_Index]]&gt;=0.7,"High Exposure", IF(Table1[[#This Row],[AI_Exposure_Index]]&gt;=0.3,"Medium Exposure","Low Exposure"))</f>
        <v>Medium Exposure</v>
      </c>
    </row>
    <row r="1120" spans="1:20" x14ac:dyDescent="0.25">
      <c r="A1120" t="s">
        <v>39</v>
      </c>
      <c r="B1120">
        <v>81408</v>
      </c>
      <c r="C1120" s="1">
        <v>2</v>
      </c>
      <c r="D1120" t="s">
        <v>25</v>
      </c>
      <c r="E1120" s="7">
        <v>0.72</v>
      </c>
      <c r="F1120" s="2">
        <v>0.39</v>
      </c>
      <c r="G1120" s="7">
        <v>0.89</v>
      </c>
      <c r="H1120" s="9" t="s">
        <v>20</v>
      </c>
      <c r="I1120">
        <v>0.78</v>
      </c>
      <c r="J1120">
        <v>0.92</v>
      </c>
      <c r="K1120">
        <v>0.38</v>
      </c>
      <c r="L1120">
        <v>0.51</v>
      </c>
      <c r="M1120">
        <v>0.36</v>
      </c>
      <c r="N1120">
        <v>0.26</v>
      </c>
      <c r="O1120">
        <v>0.75</v>
      </c>
      <c r="P1120">
        <v>0.34</v>
      </c>
      <c r="Q1120">
        <v>0.43</v>
      </c>
      <c r="R1120" s="2">
        <v>0.4</v>
      </c>
      <c r="S1120" t="str">
        <f>IF(Table1[[#This Row],[Years_Experience]]&lt;=5,"Early Career",
IF(Table1[[#This Row],[Years_Experience]]&lt;=15,"Mid Career","Senior Level"))</f>
        <v>Early Career</v>
      </c>
      <c r="T1120" t="str">
        <f>IF(Table1[[#This Row],[AI_Exposure_Index]]&gt;=0.7,"High Exposure", IF(Table1[[#This Row],[AI_Exposure_Index]]&gt;=0.3,"Medium Exposure","Low Exposure"))</f>
        <v>Medium Exposure</v>
      </c>
    </row>
    <row r="1121" spans="1:20" x14ac:dyDescent="0.25">
      <c r="A1121" t="s">
        <v>41</v>
      </c>
      <c r="B1121">
        <v>93305</v>
      </c>
      <c r="C1121" s="1">
        <v>29</v>
      </c>
      <c r="D1121" t="s">
        <v>25</v>
      </c>
      <c r="E1121" s="7">
        <v>1.17</v>
      </c>
      <c r="F1121" s="2">
        <v>0.92</v>
      </c>
      <c r="G1121" s="7">
        <v>0.82</v>
      </c>
      <c r="H1121" s="9" t="s">
        <v>20</v>
      </c>
      <c r="I1121">
        <v>0.78</v>
      </c>
      <c r="J1121">
        <v>0.64</v>
      </c>
      <c r="K1121">
        <v>0.06</v>
      </c>
      <c r="L1121">
        <v>0.1</v>
      </c>
      <c r="M1121">
        <v>0.04</v>
      </c>
      <c r="N1121">
        <v>0.46</v>
      </c>
      <c r="O1121">
        <v>0.83</v>
      </c>
      <c r="P1121">
        <v>0.31</v>
      </c>
      <c r="Q1121">
        <v>0.38</v>
      </c>
      <c r="R1121" s="2">
        <v>0.91</v>
      </c>
      <c r="S1121" t="str">
        <f>IF(Table1[[#This Row],[Years_Experience]]&lt;=5,"Early Career",
IF(Table1[[#This Row],[Years_Experience]]&lt;=15,"Mid Career","Senior Level"))</f>
        <v>Senior Level</v>
      </c>
      <c r="T1121" t="str">
        <f>IF(Table1[[#This Row],[AI_Exposure_Index]]&gt;=0.7,"High Exposure", IF(Table1[[#This Row],[AI_Exposure_Index]]&gt;=0.3,"Medium Exposure","Low Exposure"))</f>
        <v>High Exposure</v>
      </c>
    </row>
    <row r="1122" spans="1:20" x14ac:dyDescent="0.25">
      <c r="A1122" t="s">
        <v>28</v>
      </c>
      <c r="B1122">
        <v>115442</v>
      </c>
      <c r="C1122" s="1">
        <v>3</v>
      </c>
      <c r="D1122" t="s">
        <v>38</v>
      </c>
      <c r="E1122" s="7">
        <v>0.77</v>
      </c>
      <c r="F1122" s="2">
        <v>0.67</v>
      </c>
      <c r="G1122" s="7">
        <v>0.35</v>
      </c>
      <c r="H1122" s="9" t="s">
        <v>27</v>
      </c>
      <c r="I1122">
        <v>0.02</v>
      </c>
      <c r="J1122">
        <v>0.11</v>
      </c>
      <c r="K1122">
        <v>0.28999999999999998</v>
      </c>
      <c r="L1122">
        <v>0.55000000000000004</v>
      </c>
      <c r="M1122">
        <v>0.06</v>
      </c>
      <c r="N1122">
        <v>0.14000000000000001</v>
      </c>
      <c r="O1122">
        <v>0.18</v>
      </c>
      <c r="P1122">
        <v>0.63</v>
      </c>
      <c r="Q1122">
        <v>0.62</v>
      </c>
      <c r="R1122" s="2">
        <v>0.55000000000000004</v>
      </c>
      <c r="S1122" t="str">
        <f>IF(Table1[[#This Row],[Years_Experience]]&lt;=5,"Early Career",
IF(Table1[[#This Row],[Years_Experience]]&lt;=15,"Mid Career","Senior Level"))</f>
        <v>Early Career</v>
      </c>
      <c r="T1122" t="str">
        <f>IF(Table1[[#This Row],[AI_Exposure_Index]]&gt;=0.7,"High Exposure", IF(Table1[[#This Row],[AI_Exposure_Index]]&gt;=0.3,"Medium Exposure","Low Exposure"))</f>
        <v>Medium Exposure</v>
      </c>
    </row>
    <row r="1123" spans="1:20" x14ac:dyDescent="0.25">
      <c r="A1123" t="s">
        <v>33</v>
      </c>
      <c r="B1123">
        <v>86467</v>
      </c>
      <c r="C1123" s="1">
        <v>21</v>
      </c>
      <c r="D1123" t="s">
        <v>19</v>
      </c>
      <c r="E1123" s="7">
        <v>0.6</v>
      </c>
      <c r="F1123" s="2">
        <v>0.37</v>
      </c>
      <c r="G1123" s="7">
        <v>0.76</v>
      </c>
      <c r="H1123" s="9" t="s">
        <v>20</v>
      </c>
      <c r="I1123">
        <v>0.9</v>
      </c>
      <c r="J1123">
        <v>0.98</v>
      </c>
      <c r="K1123">
        <v>0.65</v>
      </c>
      <c r="L1123">
        <v>0.92</v>
      </c>
      <c r="M1123">
        <v>0.64</v>
      </c>
      <c r="N1123">
        <v>0.03</v>
      </c>
      <c r="O1123">
        <v>1</v>
      </c>
      <c r="P1123">
        <v>0.1</v>
      </c>
      <c r="Q1123">
        <v>0.68</v>
      </c>
      <c r="R1123" s="2">
        <v>0.25</v>
      </c>
      <c r="S1123" t="str">
        <f>IF(Table1[[#This Row],[Years_Experience]]&lt;=5,"Early Career",
IF(Table1[[#This Row],[Years_Experience]]&lt;=15,"Mid Career","Senior Level"))</f>
        <v>Senior Level</v>
      </c>
      <c r="T1123" t="str">
        <f>IF(Table1[[#This Row],[AI_Exposure_Index]]&gt;=0.7,"High Exposure", IF(Table1[[#This Row],[AI_Exposure_Index]]&gt;=0.3,"Medium Exposure","Low Exposure"))</f>
        <v>Medium Exposure</v>
      </c>
    </row>
    <row r="1124" spans="1:20" x14ac:dyDescent="0.25">
      <c r="A1124" t="s">
        <v>24</v>
      </c>
      <c r="B1124">
        <v>87304</v>
      </c>
      <c r="C1124" s="1">
        <v>26</v>
      </c>
      <c r="D1124" t="s">
        <v>19</v>
      </c>
      <c r="E1124" s="7">
        <v>0.94</v>
      </c>
      <c r="F1124" s="2">
        <v>0.65</v>
      </c>
      <c r="G1124" s="7">
        <v>0.76</v>
      </c>
      <c r="H1124" s="9" t="s">
        <v>20</v>
      </c>
      <c r="I1124">
        <v>0.33</v>
      </c>
      <c r="J1124">
        <v>0.34</v>
      </c>
      <c r="K1124">
        <v>0.96</v>
      </c>
      <c r="L1124">
        <v>0.8</v>
      </c>
      <c r="M1124">
        <v>0.46</v>
      </c>
      <c r="N1124">
        <v>0.2</v>
      </c>
      <c r="O1124">
        <v>0.81</v>
      </c>
      <c r="P1124">
        <v>0.16</v>
      </c>
      <c r="Q1124">
        <v>0.21</v>
      </c>
      <c r="R1124" s="2">
        <v>0.37</v>
      </c>
      <c r="S1124" t="str">
        <f>IF(Table1[[#This Row],[Years_Experience]]&lt;=5,"Early Career",
IF(Table1[[#This Row],[Years_Experience]]&lt;=15,"Mid Career","Senior Level"))</f>
        <v>Senior Level</v>
      </c>
      <c r="T1124" t="str">
        <f>IF(Table1[[#This Row],[AI_Exposure_Index]]&gt;=0.7,"High Exposure", IF(Table1[[#This Row],[AI_Exposure_Index]]&gt;=0.3,"Medium Exposure","Low Exposure"))</f>
        <v>Medium Exposure</v>
      </c>
    </row>
    <row r="1125" spans="1:20" x14ac:dyDescent="0.25">
      <c r="A1125" t="s">
        <v>31</v>
      </c>
      <c r="B1125">
        <v>62734</v>
      </c>
      <c r="C1125" s="1">
        <v>29</v>
      </c>
      <c r="D1125" t="s">
        <v>22</v>
      </c>
      <c r="E1125" s="7">
        <v>0.62</v>
      </c>
      <c r="F1125" s="2">
        <v>0.13</v>
      </c>
      <c r="G1125" s="7">
        <v>0.17</v>
      </c>
      <c r="H1125" s="9" t="s">
        <v>23</v>
      </c>
      <c r="I1125">
        <v>0.28000000000000003</v>
      </c>
      <c r="J1125">
        <v>0.56999999999999995</v>
      </c>
      <c r="K1125">
        <v>0.45</v>
      </c>
      <c r="L1125">
        <v>0.43</v>
      </c>
      <c r="M1125">
        <v>0.11</v>
      </c>
      <c r="N1125">
        <v>0.14000000000000001</v>
      </c>
      <c r="O1125">
        <v>0.82</v>
      </c>
      <c r="P1125">
        <v>0.89</v>
      </c>
      <c r="Q1125">
        <v>0.23</v>
      </c>
      <c r="R1125" s="2">
        <v>0.11</v>
      </c>
      <c r="S1125" t="str">
        <f>IF(Table1[[#This Row],[Years_Experience]]&lt;=5,"Early Career",
IF(Table1[[#This Row],[Years_Experience]]&lt;=15,"Mid Career","Senior Level"))</f>
        <v>Senior Level</v>
      </c>
      <c r="T1125" t="str">
        <f>IF(Table1[[#This Row],[AI_Exposure_Index]]&gt;=0.7,"High Exposure", IF(Table1[[#This Row],[AI_Exposure_Index]]&gt;=0.3,"Medium Exposure","Low Exposure"))</f>
        <v>Low Exposure</v>
      </c>
    </row>
    <row r="1126" spans="1:20" x14ac:dyDescent="0.25">
      <c r="A1126" t="s">
        <v>31</v>
      </c>
      <c r="B1126">
        <v>76865</v>
      </c>
      <c r="C1126" s="1">
        <v>12</v>
      </c>
      <c r="D1126" t="s">
        <v>19</v>
      </c>
      <c r="E1126" s="7">
        <v>1.22</v>
      </c>
      <c r="F1126" s="2">
        <v>0.61</v>
      </c>
      <c r="G1126" s="7">
        <v>0.14000000000000001</v>
      </c>
      <c r="H1126" s="9" t="s">
        <v>23</v>
      </c>
      <c r="I1126">
        <v>0.68</v>
      </c>
      <c r="J1126">
        <v>0.71</v>
      </c>
      <c r="K1126">
        <v>0.94</v>
      </c>
      <c r="L1126">
        <v>0.06</v>
      </c>
      <c r="M1126">
        <v>0.19</v>
      </c>
      <c r="N1126">
        <v>7.0000000000000007E-2</v>
      </c>
      <c r="O1126">
        <v>0.87</v>
      </c>
      <c r="P1126">
        <v>0.79</v>
      </c>
      <c r="Q1126">
        <v>0.56999999999999995</v>
      </c>
      <c r="R1126" s="2">
        <v>0.08</v>
      </c>
      <c r="S1126" t="str">
        <f>IF(Table1[[#This Row],[Years_Experience]]&lt;=5,"Early Career",
IF(Table1[[#This Row],[Years_Experience]]&lt;=15,"Mid Career","Senior Level"))</f>
        <v>Mid Career</v>
      </c>
      <c r="T1126" t="str">
        <f>IF(Table1[[#This Row],[AI_Exposure_Index]]&gt;=0.7,"High Exposure", IF(Table1[[#This Row],[AI_Exposure_Index]]&gt;=0.3,"Medium Exposure","Low Exposure"))</f>
        <v>Medium Exposure</v>
      </c>
    </row>
    <row r="1127" spans="1:20" x14ac:dyDescent="0.25">
      <c r="A1127" t="s">
        <v>35</v>
      </c>
      <c r="B1127">
        <v>147882</v>
      </c>
      <c r="C1127" s="1">
        <v>3</v>
      </c>
      <c r="D1127" t="s">
        <v>38</v>
      </c>
      <c r="E1127" s="7">
        <v>1.06</v>
      </c>
      <c r="F1127" s="2">
        <v>0.3</v>
      </c>
      <c r="G1127" s="7">
        <v>0.4</v>
      </c>
      <c r="H1127" s="9" t="s">
        <v>27</v>
      </c>
      <c r="I1127">
        <v>7.0000000000000007E-2</v>
      </c>
      <c r="J1127">
        <v>0.73</v>
      </c>
      <c r="K1127">
        <v>0.3</v>
      </c>
      <c r="L1127">
        <v>0.45</v>
      </c>
      <c r="M1127">
        <v>0.13</v>
      </c>
      <c r="N1127">
        <v>0.8</v>
      </c>
      <c r="O1127">
        <v>0.56999999999999995</v>
      </c>
      <c r="P1127">
        <v>0.9</v>
      </c>
      <c r="Q1127">
        <v>0.5</v>
      </c>
      <c r="R1127" s="2">
        <v>0.94</v>
      </c>
      <c r="S1127" t="str">
        <f>IF(Table1[[#This Row],[Years_Experience]]&lt;=5,"Early Career",
IF(Table1[[#This Row],[Years_Experience]]&lt;=15,"Mid Career","Senior Level"))</f>
        <v>Early Career</v>
      </c>
      <c r="T1127" t="str">
        <f>IF(Table1[[#This Row],[AI_Exposure_Index]]&gt;=0.7,"High Exposure", IF(Table1[[#This Row],[AI_Exposure_Index]]&gt;=0.3,"Medium Exposure","Low Exposure"))</f>
        <v>Medium Exposure</v>
      </c>
    </row>
    <row r="1128" spans="1:20" x14ac:dyDescent="0.25">
      <c r="A1128" t="s">
        <v>29</v>
      </c>
      <c r="B1128">
        <v>126666</v>
      </c>
      <c r="C1128" s="1">
        <v>18</v>
      </c>
      <c r="D1128" t="s">
        <v>25</v>
      </c>
      <c r="E1128" s="7">
        <v>1.43</v>
      </c>
      <c r="F1128" s="2">
        <v>0.57999999999999996</v>
      </c>
      <c r="G1128" s="7">
        <v>0.13</v>
      </c>
      <c r="H1128" s="9" t="s">
        <v>23</v>
      </c>
      <c r="I1128">
        <v>0.37</v>
      </c>
      <c r="J1128">
        <v>0.05</v>
      </c>
      <c r="K1128">
        <v>0.59</v>
      </c>
      <c r="L1128">
        <v>0.72</v>
      </c>
      <c r="M1128">
        <v>0.77</v>
      </c>
      <c r="N1128">
        <v>0.15</v>
      </c>
      <c r="O1128">
        <v>0.44</v>
      </c>
      <c r="P1128">
        <v>0.18</v>
      </c>
      <c r="Q1128">
        <v>0.66</v>
      </c>
      <c r="R1128" s="2">
        <v>0.16</v>
      </c>
      <c r="S1128" t="str">
        <f>IF(Table1[[#This Row],[Years_Experience]]&lt;=5,"Early Career",
IF(Table1[[#This Row],[Years_Experience]]&lt;=15,"Mid Career","Senior Level"))</f>
        <v>Senior Level</v>
      </c>
      <c r="T1128" t="str">
        <f>IF(Table1[[#This Row],[AI_Exposure_Index]]&gt;=0.7,"High Exposure", IF(Table1[[#This Row],[AI_Exposure_Index]]&gt;=0.3,"Medium Exposure","Low Exposure"))</f>
        <v>Medium Exposure</v>
      </c>
    </row>
    <row r="1129" spans="1:20" x14ac:dyDescent="0.25">
      <c r="A1129" t="s">
        <v>40</v>
      </c>
      <c r="B1129">
        <v>113319</v>
      </c>
      <c r="C1129" s="1">
        <v>3</v>
      </c>
      <c r="D1129" t="s">
        <v>38</v>
      </c>
      <c r="E1129" s="7">
        <v>0.62</v>
      </c>
      <c r="F1129" s="2">
        <v>0.14000000000000001</v>
      </c>
      <c r="G1129" s="7">
        <v>0.12</v>
      </c>
      <c r="H1129" s="9" t="s">
        <v>23</v>
      </c>
      <c r="I1129">
        <v>1</v>
      </c>
      <c r="J1129">
        <v>0.33</v>
      </c>
      <c r="K1129">
        <v>0.94</v>
      </c>
      <c r="L1129">
        <v>0.39</v>
      </c>
      <c r="M1129">
        <v>0.44</v>
      </c>
      <c r="N1129">
        <v>0.8</v>
      </c>
      <c r="O1129">
        <v>0.09</v>
      </c>
      <c r="P1129">
        <v>0.18</v>
      </c>
      <c r="Q1129">
        <v>0.97</v>
      </c>
      <c r="R1129" s="2">
        <v>0.51</v>
      </c>
      <c r="S1129" t="str">
        <f>IF(Table1[[#This Row],[Years_Experience]]&lt;=5,"Early Career",
IF(Table1[[#This Row],[Years_Experience]]&lt;=15,"Mid Career","Senior Level"))</f>
        <v>Early Career</v>
      </c>
      <c r="T1129" t="str">
        <f>IF(Table1[[#This Row],[AI_Exposure_Index]]&gt;=0.7,"High Exposure", IF(Table1[[#This Row],[AI_Exposure_Index]]&gt;=0.3,"Medium Exposure","Low Exposure"))</f>
        <v>Low Exposure</v>
      </c>
    </row>
    <row r="1130" spans="1:20" x14ac:dyDescent="0.25">
      <c r="A1130" t="s">
        <v>43</v>
      </c>
      <c r="B1130">
        <v>134041</v>
      </c>
      <c r="C1130" s="1">
        <v>5</v>
      </c>
      <c r="D1130" t="s">
        <v>19</v>
      </c>
      <c r="E1130" s="7">
        <v>1.37</v>
      </c>
      <c r="F1130" s="2">
        <v>0.91</v>
      </c>
      <c r="G1130" s="7">
        <v>0.16</v>
      </c>
      <c r="H1130" s="9" t="s">
        <v>23</v>
      </c>
      <c r="I1130">
        <v>0.16</v>
      </c>
      <c r="J1130">
        <v>0.83</v>
      </c>
      <c r="K1130">
        <v>0.32</v>
      </c>
      <c r="L1130">
        <v>0.42</v>
      </c>
      <c r="M1130">
        <v>0.68</v>
      </c>
      <c r="N1130">
        <v>0.35</v>
      </c>
      <c r="O1130">
        <v>0.63</v>
      </c>
      <c r="P1130">
        <v>0.89</v>
      </c>
      <c r="Q1130">
        <v>0.8</v>
      </c>
      <c r="R1130" s="2">
        <v>0.38</v>
      </c>
      <c r="S1130" t="str">
        <f>IF(Table1[[#This Row],[Years_Experience]]&lt;=5,"Early Career",
IF(Table1[[#This Row],[Years_Experience]]&lt;=15,"Mid Career","Senior Level"))</f>
        <v>Early Career</v>
      </c>
      <c r="T1130" t="str">
        <f>IF(Table1[[#This Row],[AI_Exposure_Index]]&gt;=0.7,"High Exposure", IF(Table1[[#This Row],[AI_Exposure_Index]]&gt;=0.3,"Medium Exposure","Low Exposure"))</f>
        <v>High Exposure</v>
      </c>
    </row>
    <row r="1131" spans="1:20" x14ac:dyDescent="0.25">
      <c r="A1131" t="s">
        <v>31</v>
      </c>
      <c r="B1131">
        <v>43760</v>
      </c>
      <c r="C1131" s="1">
        <v>26</v>
      </c>
      <c r="D1131" t="s">
        <v>19</v>
      </c>
      <c r="E1131" s="7">
        <v>0.85</v>
      </c>
      <c r="F1131" s="2">
        <v>0.28999999999999998</v>
      </c>
      <c r="G1131" s="7">
        <v>0.17</v>
      </c>
      <c r="H1131" s="9" t="s">
        <v>23</v>
      </c>
      <c r="I1131">
        <v>0.42</v>
      </c>
      <c r="J1131">
        <v>0.13</v>
      </c>
      <c r="K1131">
        <v>0.16</v>
      </c>
      <c r="L1131">
        <v>0.34</v>
      </c>
      <c r="M1131">
        <v>0.56000000000000005</v>
      </c>
      <c r="N1131">
        <v>0.59</v>
      </c>
      <c r="O1131">
        <v>0.49</v>
      </c>
      <c r="P1131">
        <v>0.74</v>
      </c>
      <c r="Q1131">
        <v>0.74</v>
      </c>
      <c r="R1131" s="2">
        <v>0.43</v>
      </c>
      <c r="S1131" t="str">
        <f>IF(Table1[[#This Row],[Years_Experience]]&lt;=5,"Early Career",
IF(Table1[[#This Row],[Years_Experience]]&lt;=15,"Mid Career","Senior Level"))</f>
        <v>Senior Level</v>
      </c>
      <c r="T1131" t="str">
        <f>IF(Table1[[#This Row],[AI_Exposure_Index]]&gt;=0.7,"High Exposure", IF(Table1[[#This Row],[AI_Exposure_Index]]&gt;=0.3,"Medium Exposure","Low Exposure"))</f>
        <v>Low Exposure</v>
      </c>
    </row>
    <row r="1132" spans="1:20" x14ac:dyDescent="0.25">
      <c r="A1132" t="s">
        <v>28</v>
      </c>
      <c r="B1132">
        <v>118670</v>
      </c>
      <c r="C1132" s="1">
        <v>29</v>
      </c>
      <c r="D1132" t="s">
        <v>19</v>
      </c>
      <c r="E1132" s="7">
        <v>0.88</v>
      </c>
      <c r="F1132" s="2">
        <v>0.53</v>
      </c>
      <c r="G1132" s="7">
        <v>0.36</v>
      </c>
      <c r="H1132" s="9" t="s">
        <v>27</v>
      </c>
      <c r="I1132">
        <v>0.98</v>
      </c>
      <c r="J1132">
        <v>0.37</v>
      </c>
      <c r="K1132">
        <v>0.63</v>
      </c>
      <c r="L1132">
        <v>0.49</v>
      </c>
      <c r="M1132">
        <v>0.14000000000000001</v>
      </c>
      <c r="N1132">
        <v>0.06</v>
      </c>
      <c r="O1132">
        <v>0.63</v>
      </c>
      <c r="P1132">
        <v>0.25</v>
      </c>
      <c r="Q1132">
        <v>0.24</v>
      </c>
      <c r="R1132" s="2">
        <v>0.96</v>
      </c>
      <c r="S1132" t="str">
        <f>IF(Table1[[#This Row],[Years_Experience]]&lt;=5,"Early Career",
IF(Table1[[#This Row],[Years_Experience]]&lt;=15,"Mid Career","Senior Level"))</f>
        <v>Senior Level</v>
      </c>
      <c r="T1132" t="str">
        <f>IF(Table1[[#This Row],[AI_Exposure_Index]]&gt;=0.7,"High Exposure", IF(Table1[[#This Row],[AI_Exposure_Index]]&gt;=0.3,"Medium Exposure","Low Exposure"))</f>
        <v>Medium Exposure</v>
      </c>
    </row>
    <row r="1133" spans="1:20" x14ac:dyDescent="0.25">
      <c r="A1133" t="s">
        <v>18</v>
      </c>
      <c r="B1133">
        <v>80806</v>
      </c>
      <c r="C1133" s="1">
        <v>19</v>
      </c>
      <c r="D1133" t="s">
        <v>19</v>
      </c>
      <c r="E1133" s="7">
        <v>0.84</v>
      </c>
      <c r="F1133" s="2">
        <v>0.03</v>
      </c>
      <c r="G1133" s="7">
        <v>0.85</v>
      </c>
      <c r="H1133" s="9" t="s">
        <v>20</v>
      </c>
      <c r="I1133">
        <v>0.33</v>
      </c>
      <c r="J1133">
        <v>0.03</v>
      </c>
      <c r="K1133">
        <v>0.44</v>
      </c>
      <c r="L1133">
        <v>0.11</v>
      </c>
      <c r="M1133">
        <v>0.62</v>
      </c>
      <c r="N1133">
        <v>0.62</v>
      </c>
      <c r="O1133">
        <v>0.04</v>
      </c>
      <c r="P1133">
        <v>0.28999999999999998</v>
      </c>
      <c r="Q1133">
        <v>0.41</v>
      </c>
      <c r="R1133" s="2">
        <v>0.55000000000000004</v>
      </c>
      <c r="S1133" t="str">
        <f>IF(Table1[[#This Row],[Years_Experience]]&lt;=5,"Early Career",
IF(Table1[[#This Row],[Years_Experience]]&lt;=15,"Mid Career","Senior Level"))</f>
        <v>Senior Level</v>
      </c>
      <c r="T1133" t="str">
        <f>IF(Table1[[#This Row],[AI_Exposure_Index]]&gt;=0.7,"High Exposure", IF(Table1[[#This Row],[AI_Exposure_Index]]&gt;=0.3,"Medium Exposure","Low Exposure"))</f>
        <v>Low Exposure</v>
      </c>
    </row>
    <row r="1134" spans="1:20" x14ac:dyDescent="0.25">
      <c r="A1134" t="s">
        <v>28</v>
      </c>
      <c r="B1134">
        <v>83276</v>
      </c>
      <c r="C1134" s="1">
        <v>4</v>
      </c>
      <c r="D1134" t="s">
        <v>38</v>
      </c>
      <c r="E1134" s="7">
        <v>1.48</v>
      </c>
      <c r="F1134" s="2">
        <v>0.28999999999999998</v>
      </c>
      <c r="G1134" s="7">
        <v>0.32</v>
      </c>
      <c r="H1134" s="9" t="s">
        <v>27</v>
      </c>
      <c r="I1134">
        <v>0.99</v>
      </c>
      <c r="J1134">
        <v>0.05</v>
      </c>
      <c r="K1134">
        <v>0.28999999999999998</v>
      </c>
      <c r="L1134">
        <v>0.49</v>
      </c>
      <c r="M1134">
        <v>0.14000000000000001</v>
      </c>
      <c r="N1134">
        <v>0.13</v>
      </c>
      <c r="O1134">
        <v>0.26</v>
      </c>
      <c r="P1134">
        <v>0.97</v>
      </c>
      <c r="Q1134">
        <v>0.38</v>
      </c>
      <c r="R1134" s="2">
        <v>0.56999999999999995</v>
      </c>
      <c r="S1134" t="str">
        <f>IF(Table1[[#This Row],[Years_Experience]]&lt;=5,"Early Career",
IF(Table1[[#This Row],[Years_Experience]]&lt;=15,"Mid Career","Senior Level"))</f>
        <v>Early Career</v>
      </c>
      <c r="T1134" t="str">
        <f>IF(Table1[[#This Row],[AI_Exposure_Index]]&gt;=0.7,"High Exposure", IF(Table1[[#This Row],[AI_Exposure_Index]]&gt;=0.3,"Medium Exposure","Low Exposure"))</f>
        <v>Low Exposure</v>
      </c>
    </row>
    <row r="1135" spans="1:20" x14ac:dyDescent="0.25">
      <c r="A1135" t="s">
        <v>33</v>
      </c>
      <c r="B1135">
        <v>58897</v>
      </c>
      <c r="C1135" s="1">
        <v>18</v>
      </c>
      <c r="D1135" t="s">
        <v>19</v>
      </c>
      <c r="E1135" s="7">
        <v>1.19</v>
      </c>
      <c r="F1135" s="2">
        <v>0.74</v>
      </c>
      <c r="G1135" s="7">
        <v>0.78</v>
      </c>
      <c r="H1135" s="9" t="s">
        <v>20</v>
      </c>
      <c r="I1135">
        <v>0.11</v>
      </c>
      <c r="J1135">
        <v>0.28000000000000003</v>
      </c>
      <c r="K1135">
        <v>0.21</v>
      </c>
      <c r="L1135">
        <v>0.14000000000000001</v>
      </c>
      <c r="M1135">
        <v>0.02</v>
      </c>
      <c r="N1135">
        <v>0.94</v>
      </c>
      <c r="O1135">
        <v>0.92</v>
      </c>
      <c r="P1135">
        <v>0.05</v>
      </c>
      <c r="Q1135">
        <v>0.17</v>
      </c>
      <c r="R1135" s="2">
        <v>0.14000000000000001</v>
      </c>
      <c r="S1135" t="str">
        <f>IF(Table1[[#This Row],[Years_Experience]]&lt;=5,"Early Career",
IF(Table1[[#This Row],[Years_Experience]]&lt;=15,"Mid Career","Senior Level"))</f>
        <v>Senior Level</v>
      </c>
      <c r="T1135" t="str">
        <f>IF(Table1[[#This Row],[AI_Exposure_Index]]&gt;=0.7,"High Exposure", IF(Table1[[#This Row],[AI_Exposure_Index]]&gt;=0.3,"Medium Exposure","Low Exposure"))</f>
        <v>High Exposure</v>
      </c>
    </row>
    <row r="1136" spans="1:20" x14ac:dyDescent="0.25">
      <c r="A1136" t="s">
        <v>35</v>
      </c>
      <c r="B1136">
        <v>44842</v>
      </c>
      <c r="C1136" s="1">
        <v>0</v>
      </c>
      <c r="D1136" t="s">
        <v>38</v>
      </c>
      <c r="E1136" s="7">
        <v>1.45</v>
      </c>
      <c r="F1136" s="2">
        <v>0.2</v>
      </c>
      <c r="G1136" s="7">
        <v>0.33</v>
      </c>
      <c r="H1136" s="9" t="s">
        <v>27</v>
      </c>
      <c r="I1136">
        <v>0.21</v>
      </c>
      <c r="J1136">
        <v>0.08</v>
      </c>
      <c r="K1136">
        <v>0.98</v>
      </c>
      <c r="L1136">
        <v>0.92</v>
      </c>
      <c r="M1136">
        <v>0.72</v>
      </c>
      <c r="N1136">
        <v>0.43</v>
      </c>
      <c r="O1136">
        <v>0.19</v>
      </c>
      <c r="P1136">
        <v>0.22</v>
      </c>
      <c r="Q1136">
        <v>0.44</v>
      </c>
      <c r="R1136" s="2">
        <v>0.77</v>
      </c>
      <c r="S1136" t="str">
        <f>IF(Table1[[#This Row],[Years_Experience]]&lt;=5,"Early Career",
IF(Table1[[#This Row],[Years_Experience]]&lt;=15,"Mid Career","Senior Level"))</f>
        <v>Early Career</v>
      </c>
      <c r="T1136" t="str">
        <f>IF(Table1[[#This Row],[AI_Exposure_Index]]&gt;=0.7,"High Exposure", IF(Table1[[#This Row],[AI_Exposure_Index]]&gt;=0.3,"Medium Exposure","Low Exposure"))</f>
        <v>Low Exposure</v>
      </c>
    </row>
    <row r="1137" spans="1:20" x14ac:dyDescent="0.25">
      <c r="A1137" t="s">
        <v>24</v>
      </c>
      <c r="B1137">
        <v>115984</v>
      </c>
      <c r="C1137" s="1">
        <v>27</v>
      </c>
      <c r="D1137" t="s">
        <v>38</v>
      </c>
      <c r="E1137" s="7">
        <v>1.1000000000000001</v>
      </c>
      <c r="F1137" s="2">
        <v>0.31</v>
      </c>
      <c r="G1137" s="7">
        <v>0.76</v>
      </c>
      <c r="H1137" s="9" t="s">
        <v>20</v>
      </c>
      <c r="I1137">
        <v>0.57999999999999996</v>
      </c>
      <c r="J1137">
        <v>0.39</v>
      </c>
      <c r="K1137">
        <v>0.03</v>
      </c>
      <c r="L1137">
        <v>0.4</v>
      </c>
      <c r="M1137">
        <v>0.92</v>
      </c>
      <c r="N1137">
        <v>0.28999999999999998</v>
      </c>
      <c r="O1137">
        <v>0.32</v>
      </c>
      <c r="P1137">
        <v>7.0000000000000007E-2</v>
      </c>
      <c r="Q1137">
        <v>0.62</v>
      </c>
      <c r="R1137" s="2">
        <v>0.85</v>
      </c>
      <c r="S1137" t="str">
        <f>IF(Table1[[#This Row],[Years_Experience]]&lt;=5,"Early Career",
IF(Table1[[#This Row],[Years_Experience]]&lt;=15,"Mid Career","Senior Level"))</f>
        <v>Senior Level</v>
      </c>
      <c r="T1137" t="str">
        <f>IF(Table1[[#This Row],[AI_Exposure_Index]]&gt;=0.7,"High Exposure", IF(Table1[[#This Row],[AI_Exposure_Index]]&gt;=0.3,"Medium Exposure","Low Exposure"))</f>
        <v>Medium Exposure</v>
      </c>
    </row>
    <row r="1138" spans="1:20" x14ac:dyDescent="0.25">
      <c r="A1138" t="s">
        <v>34</v>
      </c>
      <c r="B1138">
        <v>105664</v>
      </c>
      <c r="C1138" s="1">
        <v>4</v>
      </c>
      <c r="D1138" t="s">
        <v>22</v>
      </c>
      <c r="E1138" s="7">
        <v>1.46</v>
      </c>
      <c r="F1138" s="2">
        <v>0.24</v>
      </c>
      <c r="G1138" s="7">
        <v>0.6</v>
      </c>
      <c r="H1138" s="9" t="s">
        <v>27</v>
      </c>
      <c r="I1138">
        <v>0.56999999999999995</v>
      </c>
      <c r="J1138">
        <v>0.31</v>
      </c>
      <c r="K1138">
        <v>0.22</v>
      </c>
      <c r="L1138">
        <v>0.72</v>
      </c>
      <c r="M1138">
        <v>0.52</v>
      </c>
      <c r="N1138">
        <v>0.52</v>
      </c>
      <c r="O1138">
        <v>7.0000000000000007E-2</v>
      </c>
      <c r="P1138">
        <v>0.51</v>
      </c>
      <c r="Q1138">
        <v>0.82</v>
      </c>
      <c r="R1138" s="2">
        <v>0.95</v>
      </c>
      <c r="S1138" t="str">
        <f>IF(Table1[[#This Row],[Years_Experience]]&lt;=5,"Early Career",
IF(Table1[[#This Row],[Years_Experience]]&lt;=15,"Mid Career","Senior Level"))</f>
        <v>Early Career</v>
      </c>
      <c r="T1138" t="str">
        <f>IF(Table1[[#This Row],[AI_Exposure_Index]]&gt;=0.7,"High Exposure", IF(Table1[[#This Row],[AI_Exposure_Index]]&gt;=0.3,"Medium Exposure","Low Exposure"))</f>
        <v>Low Exposure</v>
      </c>
    </row>
    <row r="1139" spans="1:20" x14ac:dyDescent="0.25">
      <c r="A1139" t="s">
        <v>31</v>
      </c>
      <c r="B1139">
        <v>130777</v>
      </c>
      <c r="C1139" s="1">
        <v>22</v>
      </c>
      <c r="D1139" t="s">
        <v>22</v>
      </c>
      <c r="E1139" s="7">
        <v>1.22</v>
      </c>
      <c r="F1139" s="2">
        <v>0.56999999999999995</v>
      </c>
      <c r="G1139" s="7">
        <v>0.24</v>
      </c>
      <c r="H1139" s="9" t="s">
        <v>23</v>
      </c>
      <c r="I1139">
        <v>0.9</v>
      </c>
      <c r="J1139">
        <v>0</v>
      </c>
      <c r="K1139">
        <v>0</v>
      </c>
      <c r="L1139">
        <v>0.47</v>
      </c>
      <c r="M1139">
        <v>0.03</v>
      </c>
      <c r="N1139">
        <v>0.97</v>
      </c>
      <c r="O1139">
        <v>0.22</v>
      </c>
      <c r="P1139">
        <v>0.47</v>
      </c>
      <c r="Q1139">
        <v>0.06</v>
      </c>
      <c r="R1139" s="2">
        <v>0.52</v>
      </c>
      <c r="S1139" t="str">
        <f>IF(Table1[[#This Row],[Years_Experience]]&lt;=5,"Early Career",
IF(Table1[[#This Row],[Years_Experience]]&lt;=15,"Mid Career","Senior Level"))</f>
        <v>Senior Level</v>
      </c>
      <c r="T1139" t="str">
        <f>IF(Table1[[#This Row],[AI_Exposure_Index]]&gt;=0.7,"High Exposure", IF(Table1[[#This Row],[AI_Exposure_Index]]&gt;=0.3,"Medium Exposure","Low Exposure"))</f>
        <v>Medium Exposure</v>
      </c>
    </row>
    <row r="1140" spans="1:20" x14ac:dyDescent="0.25">
      <c r="A1140" t="s">
        <v>40</v>
      </c>
      <c r="B1140">
        <v>82723</v>
      </c>
      <c r="C1140" s="1">
        <v>29</v>
      </c>
      <c r="D1140" t="s">
        <v>22</v>
      </c>
      <c r="E1140" s="7">
        <v>0.84</v>
      </c>
      <c r="F1140" s="2">
        <v>0.04</v>
      </c>
      <c r="G1140" s="7">
        <v>0.15</v>
      </c>
      <c r="H1140" s="9" t="s">
        <v>23</v>
      </c>
      <c r="I1140">
        <v>0.99</v>
      </c>
      <c r="J1140">
        <v>0.21</v>
      </c>
      <c r="K1140">
        <v>0.54</v>
      </c>
      <c r="L1140">
        <v>0.99</v>
      </c>
      <c r="M1140">
        <v>0.79</v>
      </c>
      <c r="N1140">
        <v>0.99</v>
      </c>
      <c r="O1140">
        <v>0.97</v>
      </c>
      <c r="P1140">
        <v>0.49</v>
      </c>
      <c r="Q1140">
        <v>0.7</v>
      </c>
      <c r="R1140" s="2">
        <v>0.11</v>
      </c>
      <c r="S1140" t="str">
        <f>IF(Table1[[#This Row],[Years_Experience]]&lt;=5,"Early Career",
IF(Table1[[#This Row],[Years_Experience]]&lt;=15,"Mid Career","Senior Level"))</f>
        <v>Senior Level</v>
      </c>
      <c r="T1140" t="str">
        <f>IF(Table1[[#This Row],[AI_Exposure_Index]]&gt;=0.7,"High Exposure", IF(Table1[[#This Row],[AI_Exposure_Index]]&gt;=0.3,"Medium Exposure","Low Exposure"))</f>
        <v>Low Exposure</v>
      </c>
    </row>
    <row r="1141" spans="1:20" x14ac:dyDescent="0.25">
      <c r="A1141" t="s">
        <v>32</v>
      </c>
      <c r="B1141">
        <v>104039</v>
      </c>
      <c r="C1141" s="1">
        <v>5</v>
      </c>
      <c r="D1141" t="s">
        <v>25</v>
      </c>
      <c r="E1141" s="7">
        <v>1.01</v>
      </c>
      <c r="F1141" s="2">
        <v>0.81</v>
      </c>
      <c r="G1141" s="7">
        <v>0.57999999999999996</v>
      </c>
      <c r="H1141" s="9" t="s">
        <v>27</v>
      </c>
      <c r="I1141">
        <v>0.75</v>
      </c>
      <c r="J1141">
        <v>0.25</v>
      </c>
      <c r="K1141">
        <v>0.88</v>
      </c>
      <c r="L1141">
        <v>0.46</v>
      </c>
      <c r="M1141">
        <v>0.21</v>
      </c>
      <c r="N1141">
        <v>0.87</v>
      </c>
      <c r="O1141">
        <v>0.42</v>
      </c>
      <c r="P1141">
        <v>0.75</v>
      </c>
      <c r="Q1141">
        <v>0.55000000000000004</v>
      </c>
      <c r="R1141" s="2">
        <v>0.38</v>
      </c>
      <c r="S1141" t="str">
        <f>IF(Table1[[#This Row],[Years_Experience]]&lt;=5,"Early Career",
IF(Table1[[#This Row],[Years_Experience]]&lt;=15,"Mid Career","Senior Level"))</f>
        <v>Early Career</v>
      </c>
      <c r="T1141" t="str">
        <f>IF(Table1[[#This Row],[AI_Exposure_Index]]&gt;=0.7,"High Exposure", IF(Table1[[#This Row],[AI_Exposure_Index]]&gt;=0.3,"Medium Exposure","Low Exposure"))</f>
        <v>High Exposure</v>
      </c>
    </row>
    <row r="1142" spans="1:20" x14ac:dyDescent="0.25">
      <c r="A1142" t="s">
        <v>30</v>
      </c>
      <c r="B1142">
        <v>33974</v>
      </c>
      <c r="C1142" s="1">
        <v>17</v>
      </c>
      <c r="D1142" t="s">
        <v>19</v>
      </c>
      <c r="E1142" s="7">
        <v>0.89</v>
      </c>
      <c r="F1142" s="2">
        <v>0.57999999999999996</v>
      </c>
      <c r="G1142" s="7">
        <v>0.34</v>
      </c>
      <c r="H1142" s="9" t="s">
        <v>27</v>
      </c>
      <c r="I1142">
        <v>0.9</v>
      </c>
      <c r="J1142">
        <v>0.04</v>
      </c>
      <c r="K1142">
        <v>0.86</v>
      </c>
      <c r="L1142">
        <v>0.36</v>
      </c>
      <c r="M1142">
        <v>0.64</v>
      </c>
      <c r="N1142">
        <v>0.92</v>
      </c>
      <c r="O1142">
        <v>0.15</v>
      </c>
      <c r="P1142">
        <v>0.56999999999999995</v>
      </c>
      <c r="Q1142">
        <v>0.76</v>
      </c>
      <c r="R1142" s="2">
        <v>0.76</v>
      </c>
      <c r="S1142" t="str">
        <f>IF(Table1[[#This Row],[Years_Experience]]&lt;=5,"Early Career",
IF(Table1[[#This Row],[Years_Experience]]&lt;=15,"Mid Career","Senior Level"))</f>
        <v>Senior Level</v>
      </c>
      <c r="T1142" t="str">
        <f>IF(Table1[[#This Row],[AI_Exposure_Index]]&gt;=0.7,"High Exposure", IF(Table1[[#This Row],[AI_Exposure_Index]]&gt;=0.3,"Medium Exposure","Low Exposure"))</f>
        <v>Medium Exposure</v>
      </c>
    </row>
    <row r="1143" spans="1:20" x14ac:dyDescent="0.25">
      <c r="A1143" t="s">
        <v>24</v>
      </c>
      <c r="B1143">
        <v>148821</v>
      </c>
      <c r="C1143" s="1">
        <v>24</v>
      </c>
      <c r="D1143" t="s">
        <v>19</v>
      </c>
      <c r="E1143" s="7">
        <v>1.26</v>
      </c>
      <c r="F1143" s="2">
        <v>0.62</v>
      </c>
      <c r="G1143" s="7">
        <v>0.91</v>
      </c>
      <c r="H1143" s="9" t="s">
        <v>20</v>
      </c>
      <c r="I1143">
        <v>0.76</v>
      </c>
      <c r="J1143">
        <v>0.35</v>
      </c>
      <c r="K1143">
        <v>1</v>
      </c>
      <c r="L1143">
        <v>0.43</v>
      </c>
      <c r="M1143">
        <v>0.02</v>
      </c>
      <c r="N1143">
        <v>0.36</v>
      </c>
      <c r="O1143">
        <v>0.13</v>
      </c>
      <c r="P1143">
        <v>0.12</v>
      </c>
      <c r="Q1143">
        <v>0.28000000000000003</v>
      </c>
      <c r="R1143" s="2">
        <v>0.05</v>
      </c>
      <c r="S1143" t="str">
        <f>IF(Table1[[#This Row],[Years_Experience]]&lt;=5,"Early Career",
IF(Table1[[#This Row],[Years_Experience]]&lt;=15,"Mid Career","Senior Level"))</f>
        <v>Senior Level</v>
      </c>
      <c r="T1143" t="str">
        <f>IF(Table1[[#This Row],[AI_Exposure_Index]]&gt;=0.7,"High Exposure", IF(Table1[[#This Row],[AI_Exposure_Index]]&gt;=0.3,"Medium Exposure","Low Exposure"))</f>
        <v>Medium Exposure</v>
      </c>
    </row>
    <row r="1144" spans="1:20" x14ac:dyDescent="0.25">
      <c r="A1144" t="s">
        <v>24</v>
      </c>
      <c r="B1144">
        <v>51944</v>
      </c>
      <c r="C1144" s="1">
        <v>1</v>
      </c>
      <c r="D1144" t="s">
        <v>25</v>
      </c>
      <c r="E1144" s="7">
        <v>0.7</v>
      </c>
      <c r="F1144" s="2">
        <v>7.0000000000000007E-2</v>
      </c>
      <c r="G1144" s="7">
        <v>0.72</v>
      </c>
      <c r="H1144" s="9" t="s">
        <v>20</v>
      </c>
      <c r="I1144">
        <v>0.06</v>
      </c>
      <c r="J1144">
        <v>0.27</v>
      </c>
      <c r="K1144">
        <v>0.56999999999999995</v>
      </c>
      <c r="L1144">
        <v>0.96</v>
      </c>
      <c r="M1144">
        <v>0.88</v>
      </c>
      <c r="N1144">
        <v>0.88</v>
      </c>
      <c r="O1144">
        <v>0.18</v>
      </c>
      <c r="P1144">
        <v>0.26</v>
      </c>
      <c r="Q1144">
        <v>0.08</v>
      </c>
      <c r="R1144" s="2">
        <v>0.78</v>
      </c>
      <c r="S1144" t="str">
        <f>IF(Table1[[#This Row],[Years_Experience]]&lt;=5,"Early Career",
IF(Table1[[#This Row],[Years_Experience]]&lt;=15,"Mid Career","Senior Level"))</f>
        <v>Early Career</v>
      </c>
      <c r="T1144" t="str">
        <f>IF(Table1[[#This Row],[AI_Exposure_Index]]&gt;=0.7,"High Exposure", IF(Table1[[#This Row],[AI_Exposure_Index]]&gt;=0.3,"Medium Exposure","Low Exposure"))</f>
        <v>Low Exposure</v>
      </c>
    </row>
    <row r="1145" spans="1:20" x14ac:dyDescent="0.25">
      <c r="A1145" t="s">
        <v>24</v>
      </c>
      <c r="B1145">
        <v>127065</v>
      </c>
      <c r="C1145" s="1">
        <v>3</v>
      </c>
      <c r="D1145" t="s">
        <v>19</v>
      </c>
      <c r="E1145" s="7">
        <v>0.75</v>
      </c>
      <c r="F1145" s="2">
        <v>0.56000000000000005</v>
      </c>
      <c r="G1145" s="7">
        <v>0.76</v>
      </c>
      <c r="H1145" s="9" t="s">
        <v>20</v>
      </c>
      <c r="I1145">
        <v>0.99</v>
      </c>
      <c r="J1145">
        <v>0.76</v>
      </c>
      <c r="K1145">
        <v>0.84</v>
      </c>
      <c r="L1145">
        <v>0.56999999999999995</v>
      </c>
      <c r="M1145">
        <v>0.87</v>
      </c>
      <c r="N1145">
        <v>0.65</v>
      </c>
      <c r="O1145">
        <v>0.95</v>
      </c>
      <c r="P1145">
        <v>0.28000000000000003</v>
      </c>
      <c r="Q1145">
        <v>0.6</v>
      </c>
      <c r="R1145" s="2">
        <v>0.69</v>
      </c>
      <c r="S1145" t="str">
        <f>IF(Table1[[#This Row],[Years_Experience]]&lt;=5,"Early Career",
IF(Table1[[#This Row],[Years_Experience]]&lt;=15,"Mid Career","Senior Level"))</f>
        <v>Early Career</v>
      </c>
      <c r="T1145" t="str">
        <f>IF(Table1[[#This Row],[AI_Exposure_Index]]&gt;=0.7,"High Exposure", IF(Table1[[#This Row],[AI_Exposure_Index]]&gt;=0.3,"Medium Exposure","Low Exposure"))</f>
        <v>Medium Exposure</v>
      </c>
    </row>
    <row r="1146" spans="1:20" x14ac:dyDescent="0.25">
      <c r="A1146" t="s">
        <v>18</v>
      </c>
      <c r="B1146">
        <v>130874</v>
      </c>
      <c r="C1146" s="1">
        <v>25</v>
      </c>
      <c r="D1146" t="s">
        <v>25</v>
      </c>
      <c r="E1146" s="7">
        <v>1.48</v>
      </c>
      <c r="F1146" s="2">
        <v>0.88</v>
      </c>
      <c r="G1146" s="7">
        <v>0.82</v>
      </c>
      <c r="H1146" s="9" t="s">
        <v>20</v>
      </c>
      <c r="I1146">
        <v>0.39</v>
      </c>
      <c r="J1146">
        <v>0.47</v>
      </c>
      <c r="K1146">
        <v>0.85</v>
      </c>
      <c r="L1146">
        <v>0.65</v>
      </c>
      <c r="M1146">
        <v>0.04</v>
      </c>
      <c r="N1146">
        <v>0.54</v>
      </c>
      <c r="O1146">
        <v>0.02</v>
      </c>
      <c r="P1146">
        <v>0.78</v>
      </c>
      <c r="Q1146">
        <v>0.33</v>
      </c>
      <c r="R1146" s="2">
        <v>0.47</v>
      </c>
      <c r="S1146" t="str">
        <f>IF(Table1[[#This Row],[Years_Experience]]&lt;=5,"Early Career",
IF(Table1[[#This Row],[Years_Experience]]&lt;=15,"Mid Career","Senior Level"))</f>
        <v>Senior Level</v>
      </c>
      <c r="T1146" t="str">
        <f>IF(Table1[[#This Row],[AI_Exposure_Index]]&gt;=0.7,"High Exposure", IF(Table1[[#This Row],[AI_Exposure_Index]]&gt;=0.3,"Medium Exposure","Low Exposure"))</f>
        <v>High Exposure</v>
      </c>
    </row>
    <row r="1147" spans="1:20" x14ac:dyDescent="0.25">
      <c r="A1147" t="s">
        <v>28</v>
      </c>
      <c r="B1147">
        <v>41039</v>
      </c>
      <c r="C1147" s="1">
        <v>9</v>
      </c>
      <c r="D1147" t="s">
        <v>22</v>
      </c>
      <c r="E1147" s="7">
        <v>0.66</v>
      </c>
      <c r="F1147" s="2">
        <v>0.05</v>
      </c>
      <c r="G1147" s="7">
        <v>0.46</v>
      </c>
      <c r="H1147" s="9" t="s">
        <v>27</v>
      </c>
      <c r="I1147">
        <v>0.23</v>
      </c>
      <c r="J1147">
        <v>0.34</v>
      </c>
      <c r="K1147">
        <v>1</v>
      </c>
      <c r="L1147">
        <v>0.83</v>
      </c>
      <c r="M1147">
        <v>0.88</v>
      </c>
      <c r="N1147">
        <v>0.94</v>
      </c>
      <c r="O1147">
        <v>0.34</v>
      </c>
      <c r="P1147">
        <v>0.3</v>
      </c>
      <c r="Q1147">
        <v>0.23</v>
      </c>
      <c r="R1147" s="2">
        <v>0.83</v>
      </c>
      <c r="S1147" t="str">
        <f>IF(Table1[[#This Row],[Years_Experience]]&lt;=5,"Early Career",
IF(Table1[[#This Row],[Years_Experience]]&lt;=15,"Mid Career","Senior Level"))</f>
        <v>Mid Career</v>
      </c>
      <c r="T1147" t="str">
        <f>IF(Table1[[#This Row],[AI_Exposure_Index]]&gt;=0.7,"High Exposure", IF(Table1[[#This Row],[AI_Exposure_Index]]&gt;=0.3,"Medium Exposure","Low Exposure"))</f>
        <v>Low Exposure</v>
      </c>
    </row>
    <row r="1148" spans="1:20" x14ac:dyDescent="0.25">
      <c r="A1148" t="s">
        <v>30</v>
      </c>
      <c r="B1148">
        <v>102816</v>
      </c>
      <c r="C1148" s="1">
        <v>5</v>
      </c>
      <c r="D1148" t="s">
        <v>38</v>
      </c>
      <c r="E1148" s="7">
        <v>0.73</v>
      </c>
      <c r="F1148" s="2">
        <v>0.91</v>
      </c>
      <c r="G1148" s="7">
        <v>0.57999999999999996</v>
      </c>
      <c r="H1148" s="9" t="s">
        <v>27</v>
      </c>
      <c r="I1148">
        <v>0.55000000000000004</v>
      </c>
      <c r="J1148">
        <v>0.54</v>
      </c>
      <c r="K1148">
        <v>0.72</v>
      </c>
      <c r="L1148">
        <v>0.21</v>
      </c>
      <c r="M1148">
        <v>0.16</v>
      </c>
      <c r="N1148">
        <v>0.65</v>
      </c>
      <c r="O1148">
        <v>0.28999999999999998</v>
      </c>
      <c r="P1148">
        <v>0.97</v>
      </c>
      <c r="Q1148">
        <v>0.45</v>
      </c>
      <c r="R1148" s="2">
        <v>0.11</v>
      </c>
      <c r="S1148" t="str">
        <f>IF(Table1[[#This Row],[Years_Experience]]&lt;=5,"Early Career",
IF(Table1[[#This Row],[Years_Experience]]&lt;=15,"Mid Career","Senior Level"))</f>
        <v>Early Career</v>
      </c>
      <c r="T1148" t="str">
        <f>IF(Table1[[#This Row],[AI_Exposure_Index]]&gt;=0.7,"High Exposure", IF(Table1[[#This Row],[AI_Exposure_Index]]&gt;=0.3,"Medium Exposure","Low Exposure"))</f>
        <v>High Exposure</v>
      </c>
    </row>
    <row r="1149" spans="1:20" x14ac:dyDescent="0.25">
      <c r="A1149" t="s">
        <v>36</v>
      </c>
      <c r="B1149">
        <v>133722</v>
      </c>
      <c r="C1149" s="1">
        <v>9</v>
      </c>
      <c r="D1149" t="s">
        <v>38</v>
      </c>
      <c r="E1149" s="7">
        <v>0.65</v>
      </c>
      <c r="F1149" s="2">
        <v>0.31</v>
      </c>
      <c r="G1149" s="7">
        <v>0.47</v>
      </c>
      <c r="H1149" s="9" t="s">
        <v>27</v>
      </c>
      <c r="I1149">
        <v>0.96</v>
      </c>
      <c r="J1149">
        <v>0.41</v>
      </c>
      <c r="K1149">
        <v>0.35</v>
      </c>
      <c r="L1149">
        <v>0.44</v>
      </c>
      <c r="M1149">
        <v>0.01</v>
      </c>
      <c r="N1149">
        <v>0.13</v>
      </c>
      <c r="O1149">
        <v>0.85</v>
      </c>
      <c r="P1149">
        <v>0.98</v>
      </c>
      <c r="Q1149">
        <v>0.16</v>
      </c>
      <c r="R1149" s="2">
        <v>0.54</v>
      </c>
      <c r="S1149" t="str">
        <f>IF(Table1[[#This Row],[Years_Experience]]&lt;=5,"Early Career",
IF(Table1[[#This Row],[Years_Experience]]&lt;=15,"Mid Career","Senior Level"))</f>
        <v>Mid Career</v>
      </c>
      <c r="T1149" t="str">
        <f>IF(Table1[[#This Row],[AI_Exposure_Index]]&gt;=0.7,"High Exposure", IF(Table1[[#This Row],[AI_Exposure_Index]]&gt;=0.3,"Medium Exposure","Low Exposure"))</f>
        <v>Medium Exposure</v>
      </c>
    </row>
    <row r="1150" spans="1:20" x14ac:dyDescent="0.25">
      <c r="A1150" t="s">
        <v>33</v>
      </c>
      <c r="B1150">
        <v>136657</v>
      </c>
      <c r="C1150" s="1">
        <v>8</v>
      </c>
      <c r="D1150" t="s">
        <v>22</v>
      </c>
      <c r="E1150" s="7">
        <v>0.69</v>
      </c>
      <c r="F1150" s="2">
        <v>0.16</v>
      </c>
      <c r="G1150" s="7">
        <v>0.93</v>
      </c>
      <c r="H1150" s="9" t="s">
        <v>20</v>
      </c>
      <c r="I1150">
        <v>0.71</v>
      </c>
      <c r="J1150">
        <v>0.15</v>
      </c>
      <c r="K1150">
        <v>0.39</v>
      </c>
      <c r="L1150">
        <v>0.06</v>
      </c>
      <c r="M1150">
        <v>0.43</v>
      </c>
      <c r="N1150">
        <v>0.78</v>
      </c>
      <c r="O1150">
        <v>0.55000000000000004</v>
      </c>
      <c r="P1150">
        <v>0.65</v>
      </c>
      <c r="Q1150">
        <v>0.33</v>
      </c>
      <c r="R1150" s="2">
        <v>0.16</v>
      </c>
      <c r="S1150" t="str">
        <f>IF(Table1[[#This Row],[Years_Experience]]&lt;=5,"Early Career",
IF(Table1[[#This Row],[Years_Experience]]&lt;=15,"Mid Career","Senior Level"))</f>
        <v>Mid Career</v>
      </c>
      <c r="T1150" t="str">
        <f>IF(Table1[[#This Row],[AI_Exposure_Index]]&gt;=0.7,"High Exposure", IF(Table1[[#This Row],[AI_Exposure_Index]]&gt;=0.3,"Medium Exposure","Low Exposure"))</f>
        <v>Low Exposure</v>
      </c>
    </row>
    <row r="1151" spans="1:20" x14ac:dyDescent="0.25">
      <c r="A1151" t="s">
        <v>43</v>
      </c>
      <c r="B1151">
        <v>135817</v>
      </c>
      <c r="C1151" s="1">
        <v>9</v>
      </c>
      <c r="D1151" t="s">
        <v>25</v>
      </c>
      <c r="E1151" s="7">
        <v>1.1399999999999999</v>
      </c>
      <c r="F1151" s="2">
        <v>0.82</v>
      </c>
      <c r="G1151" s="7">
        <v>0.11</v>
      </c>
      <c r="H1151" s="9" t="s">
        <v>23</v>
      </c>
      <c r="I1151">
        <v>0.42</v>
      </c>
      <c r="J1151">
        <v>0.8</v>
      </c>
      <c r="K1151">
        <v>0.54</v>
      </c>
      <c r="L1151">
        <v>0.3</v>
      </c>
      <c r="M1151">
        <v>0.27</v>
      </c>
      <c r="N1151">
        <v>0.22</v>
      </c>
      <c r="O1151">
        <v>0.82</v>
      </c>
      <c r="P1151">
        <v>0.57999999999999996</v>
      </c>
      <c r="Q1151">
        <v>0.71</v>
      </c>
      <c r="R1151" s="2">
        <v>0.86</v>
      </c>
      <c r="S1151" t="str">
        <f>IF(Table1[[#This Row],[Years_Experience]]&lt;=5,"Early Career",
IF(Table1[[#This Row],[Years_Experience]]&lt;=15,"Mid Career","Senior Level"))</f>
        <v>Mid Career</v>
      </c>
      <c r="T1151" t="str">
        <f>IF(Table1[[#This Row],[AI_Exposure_Index]]&gt;=0.7,"High Exposure", IF(Table1[[#This Row],[AI_Exposure_Index]]&gt;=0.3,"Medium Exposure","Low Exposure"))</f>
        <v>High Exposure</v>
      </c>
    </row>
    <row r="1152" spans="1:20" x14ac:dyDescent="0.25">
      <c r="A1152" t="s">
        <v>26</v>
      </c>
      <c r="B1152">
        <v>93483</v>
      </c>
      <c r="C1152" s="1">
        <v>25</v>
      </c>
      <c r="D1152" t="s">
        <v>22</v>
      </c>
      <c r="E1152" s="7">
        <v>0.68</v>
      </c>
      <c r="F1152" s="2">
        <v>0.25</v>
      </c>
      <c r="G1152" s="7">
        <v>0.48</v>
      </c>
      <c r="H1152" s="9" t="s">
        <v>27</v>
      </c>
      <c r="I1152">
        <v>0.04</v>
      </c>
      <c r="J1152">
        <v>0.79</v>
      </c>
      <c r="K1152">
        <v>0.88</v>
      </c>
      <c r="L1152">
        <v>0.69</v>
      </c>
      <c r="M1152">
        <v>0.27</v>
      </c>
      <c r="N1152">
        <v>0.12</v>
      </c>
      <c r="O1152">
        <v>0.38</v>
      </c>
      <c r="P1152">
        <v>0.83</v>
      </c>
      <c r="Q1152">
        <v>0.35</v>
      </c>
      <c r="R1152" s="2">
        <v>0.03</v>
      </c>
      <c r="S1152" t="str">
        <f>IF(Table1[[#This Row],[Years_Experience]]&lt;=5,"Early Career",
IF(Table1[[#This Row],[Years_Experience]]&lt;=15,"Mid Career","Senior Level"))</f>
        <v>Senior Level</v>
      </c>
      <c r="T1152" t="str">
        <f>IF(Table1[[#This Row],[AI_Exposure_Index]]&gt;=0.7,"High Exposure", IF(Table1[[#This Row],[AI_Exposure_Index]]&gt;=0.3,"Medium Exposure","Low Exposure"))</f>
        <v>Low Exposure</v>
      </c>
    </row>
    <row r="1153" spans="1:20" x14ac:dyDescent="0.25">
      <c r="A1153" t="s">
        <v>39</v>
      </c>
      <c r="B1153">
        <v>111165</v>
      </c>
      <c r="C1153" s="1">
        <v>4</v>
      </c>
      <c r="D1153" t="s">
        <v>22</v>
      </c>
      <c r="E1153" s="7">
        <v>1.18</v>
      </c>
      <c r="F1153" s="2">
        <v>0.99</v>
      </c>
      <c r="G1153" s="7">
        <v>0.93</v>
      </c>
      <c r="H1153" s="9" t="s">
        <v>20</v>
      </c>
      <c r="I1153">
        <v>0.77</v>
      </c>
      <c r="J1153">
        <v>0.54</v>
      </c>
      <c r="K1153">
        <v>0.15</v>
      </c>
      <c r="L1153">
        <v>0.35</v>
      </c>
      <c r="M1153">
        <v>0.57999999999999996</v>
      </c>
      <c r="N1153">
        <v>0.87</v>
      </c>
      <c r="O1153">
        <v>0.27</v>
      </c>
      <c r="P1153">
        <v>0.12</v>
      </c>
      <c r="Q1153">
        <v>0.56000000000000005</v>
      </c>
      <c r="R1153" s="2">
        <v>0.18</v>
      </c>
      <c r="S1153" t="str">
        <f>IF(Table1[[#This Row],[Years_Experience]]&lt;=5,"Early Career",
IF(Table1[[#This Row],[Years_Experience]]&lt;=15,"Mid Career","Senior Level"))</f>
        <v>Early Career</v>
      </c>
      <c r="T1153" t="str">
        <f>IF(Table1[[#This Row],[AI_Exposure_Index]]&gt;=0.7,"High Exposure", IF(Table1[[#This Row],[AI_Exposure_Index]]&gt;=0.3,"Medium Exposure","Low Exposure"))</f>
        <v>High Exposure</v>
      </c>
    </row>
    <row r="1154" spans="1:20" x14ac:dyDescent="0.25">
      <c r="A1154" t="s">
        <v>36</v>
      </c>
      <c r="B1154">
        <v>73815</v>
      </c>
      <c r="C1154" s="1">
        <v>28</v>
      </c>
      <c r="D1154" t="s">
        <v>22</v>
      </c>
      <c r="E1154" s="7">
        <v>0.73</v>
      </c>
      <c r="F1154" s="2">
        <v>0.26</v>
      </c>
      <c r="G1154" s="7">
        <v>0.46</v>
      </c>
      <c r="H1154" s="9" t="s">
        <v>27</v>
      </c>
      <c r="I1154">
        <v>0.59</v>
      </c>
      <c r="J1154">
        <v>0.55000000000000004</v>
      </c>
      <c r="K1154">
        <v>0.24</v>
      </c>
      <c r="L1154">
        <v>0.89</v>
      </c>
      <c r="M1154">
        <v>0.11</v>
      </c>
      <c r="N1154">
        <v>0.04</v>
      </c>
      <c r="O1154">
        <v>0.6</v>
      </c>
      <c r="P1154">
        <v>0.12</v>
      </c>
      <c r="Q1154">
        <v>0.5</v>
      </c>
      <c r="R1154" s="2">
        <v>0.95</v>
      </c>
      <c r="S1154" t="str">
        <f>IF(Table1[[#This Row],[Years_Experience]]&lt;=5,"Early Career",
IF(Table1[[#This Row],[Years_Experience]]&lt;=15,"Mid Career","Senior Level"))</f>
        <v>Senior Level</v>
      </c>
      <c r="T1154" t="str">
        <f>IF(Table1[[#This Row],[AI_Exposure_Index]]&gt;=0.7,"High Exposure", IF(Table1[[#This Row],[AI_Exposure_Index]]&gt;=0.3,"Medium Exposure","Low Exposure"))</f>
        <v>Low Exposure</v>
      </c>
    </row>
    <row r="1155" spans="1:20" x14ac:dyDescent="0.25">
      <c r="A1155" t="s">
        <v>24</v>
      </c>
      <c r="B1155">
        <v>40244</v>
      </c>
      <c r="C1155" s="1">
        <v>20</v>
      </c>
      <c r="D1155" t="s">
        <v>22</v>
      </c>
      <c r="E1155" s="7">
        <v>1.07</v>
      </c>
      <c r="F1155" s="2">
        <v>0.62</v>
      </c>
      <c r="G1155" s="7">
        <v>0.74</v>
      </c>
      <c r="H1155" s="9" t="s">
        <v>20</v>
      </c>
      <c r="I1155">
        <v>0.43</v>
      </c>
      <c r="J1155">
        <v>0.34</v>
      </c>
      <c r="K1155">
        <v>0.95</v>
      </c>
      <c r="L1155">
        <v>0.24</v>
      </c>
      <c r="M1155">
        <v>0.47</v>
      </c>
      <c r="N1155">
        <v>0.94</v>
      </c>
      <c r="O1155">
        <v>0.79</v>
      </c>
      <c r="P1155">
        <v>0.96</v>
      </c>
      <c r="Q1155">
        <v>0.61</v>
      </c>
      <c r="R1155" s="2">
        <v>0.33</v>
      </c>
      <c r="S1155" t="str">
        <f>IF(Table1[[#This Row],[Years_Experience]]&lt;=5,"Early Career",
IF(Table1[[#This Row],[Years_Experience]]&lt;=15,"Mid Career","Senior Level"))</f>
        <v>Senior Level</v>
      </c>
      <c r="T1155" t="str">
        <f>IF(Table1[[#This Row],[AI_Exposure_Index]]&gt;=0.7,"High Exposure", IF(Table1[[#This Row],[AI_Exposure_Index]]&gt;=0.3,"Medium Exposure","Low Exposure"))</f>
        <v>Medium Exposure</v>
      </c>
    </row>
    <row r="1156" spans="1:20" x14ac:dyDescent="0.25">
      <c r="A1156" t="s">
        <v>36</v>
      </c>
      <c r="B1156">
        <v>116483</v>
      </c>
      <c r="C1156" s="1">
        <v>5</v>
      </c>
      <c r="D1156" t="s">
        <v>25</v>
      </c>
      <c r="E1156" s="7">
        <v>0.66</v>
      </c>
      <c r="F1156" s="2">
        <v>0.28999999999999998</v>
      </c>
      <c r="G1156" s="7">
        <v>0.57999999999999996</v>
      </c>
      <c r="H1156" s="9" t="s">
        <v>27</v>
      </c>
      <c r="I1156">
        <v>0.64</v>
      </c>
      <c r="J1156">
        <v>0.88</v>
      </c>
      <c r="K1156">
        <v>0.96</v>
      </c>
      <c r="L1156">
        <v>0.86</v>
      </c>
      <c r="M1156">
        <v>0.06</v>
      </c>
      <c r="N1156">
        <v>0.66</v>
      </c>
      <c r="O1156">
        <v>0.78</v>
      </c>
      <c r="P1156">
        <v>0.98</v>
      </c>
      <c r="Q1156">
        <v>0.37</v>
      </c>
      <c r="R1156" s="2">
        <v>0.17</v>
      </c>
      <c r="S1156" t="str">
        <f>IF(Table1[[#This Row],[Years_Experience]]&lt;=5,"Early Career",
IF(Table1[[#This Row],[Years_Experience]]&lt;=15,"Mid Career","Senior Level"))</f>
        <v>Early Career</v>
      </c>
      <c r="T1156" t="str">
        <f>IF(Table1[[#This Row],[AI_Exposure_Index]]&gt;=0.7,"High Exposure", IF(Table1[[#This Row],[AI_Exposure_Index]]&gt;=0.3,"Medium Exposure","Low Exposure"))</f>
        <v>Low Exposure</v>
      </c>
    </row>
    <row r="1157" spans="1:20" x14ac:dyDescent="0.25">
      <c r="A1157" t="s">
        <v>36</v>
      </c>
      <c r="B1157">
        <v>149346</v>
      </c>
      <c r="C1157" s="1">
        <v>28</v>
      </c>
      <c r="D1157" t="s">
        <v>25</v>
      </c>
      <c r="E1157" s="7">
        <v>1.1000000000000001</v>
      </c>
      <c r="F1157" s="2">
        <v>0.32</v>
      </c>
      <c r="G1157" s="7">
        <v>0.46</v>
      </c>
      <c r="H1157" s="9" t="s">
        <v>27</v>
      </c>
      <c r="I1157">
        <v>0.4</v>
      </c>
      <c r="J1157">
        <v>0.73</v>
      </c>
      <c r="K1157">
        <v>0.36</v>
      </c>
      <c r="L1157">
        <v>0.69</v>
      </c>
      <c r="M1157">
        <v>0.01</v>
      </c>
      <c r="N1157">
        <v>0.32</v>
      </c>
      <c r="O1157">
        <v>0.32</v>
      </c>
      <c r="P1157">
        <v>0.75</v>
      </c>
      <c r="Q1157">
        <v>0.31</v>
      </c>
      <c r="R1157" s="2">
        <v>0.63</v>
      </c>
      <c r="S1157" t="str">
        <f>IF(Table1[[#This Row],[Years_Experience]]&lt;=5,"Early Career",
IF(Table1[[#This Row],[Years_Experience]]&lt;=15,"Mid Career","Senior Level"))</f>
        <v>Senior Level</v>
      </c>
      <c r="T1157" t="str">
        <f>IF(Table1[[#This Row],[AI_Exposure_Index]]&gt;=0.7,"High Exposure", IF(Table1[[#This Row],[AI_Exposure_Index]]&gt;=0.3,"Medium Exposure","Low Exposure"))</f>
        <v>Medium Exposure</v>
      </c>
    </row>
    <row r="1158" spans="1:20" x14ac:dyDescent="0.25">
      <c r="A1158" t="s">
        <v>34</v>
      </c>
      <c r="B1158">
        <v>104399</v>
      </c>
      <c r="C1158" s="1">
        <v>19</v>
      </c>
      <c r="D1158" t="s">
        <v>22</v>
      </c>
      <c r="E1158" s="7">
        <v>1.1000000000000001</v>
      </c>
      <c r="F1158" s="2">
        <v>0.66</v>
      </c>
      <c r="G1158" s="7">
        <v>0.47</v>
      </c>
      <c r="H1158" s="9" t="s">
        <v>27</v>
      </c>
      <c r="I1158">
        <v>0.37</v>
      </c>
      <c r="J1158">
        <v>0.56000000000000005</v>
      </c>
      <c r="K1158">
        <v>0.06</v>
      </c>
      <c r="L1158">
        <v>0.88</v>
      </c>
      <c r="M1158">
        <v>0.83</v>
      </c>
      <c r="N1158">
        <v>0.35</v>
      </c>
      <c r="O1158">
        <v>0.56999999999999995</v>
      </c>
      <c r="P1158">
        <v>0.93</v>
      </c>
      <c r="Q1158">
        <v>0.27</v>
      </c>
      <c r="R1158" s="2">
        <v>0.74</v>
      </c>
      <c r="S1158" t="str">
        <f>IF(Table1[[#This Row],[Years_Experience]]&lt;=5,"Early Career",
IF(Table1[[#This Row],[Years_Experience]]&lt;=15,"Mid Career","Senior Level"))</f>
        <v>Senior Level</v>
      </c>
      <c r="T1158" t="str">
        <f>IF(Table1[[#This Row],[AI_Exposure_Index]]&gt;=0.7,"High Exposure", IF(Table1[[#This Row],[AI_Exposure_Index]]&gt;=0.3,"Medium Exposure","Low Exposure"))</f>
        <v>Medium Exposure</v>
      </c>
    </row>
    <row r="1159" spans="1:20" x14ac:dyDescent="0.25">
      <c r="A1159" t="s">
        <v>30</v>
      </c>
      <c r="B1159">
        <v>92327</v>
      </c>
      <c r="C1159" s="1">
        <v>4</v>
      </c>
      <c r="D1159" t="s">
        <v>25</v>
      </c>
      <c r="E1159" s="7">
        <v>0.68</v>
      </c>
      <c r="F1159" s="2">
        <v>0.53</v>
      </c>
      <c r="G1159" s="7">
        <v>0.55000000000000004</v>
      </c>
      <c r="H1159" s="9" t="s">
        <v>27</v>
      </c>
      <c r="I1159">
        <v>0.28999999999999998</v>
      </c>
      <c r="J1159">
        <v>0.79</v>
      </c>
      <c r="K1159">
        <v>0.81</v>
      </c>
      <c r="L1159">
        <v>0.46</v>
      </c>
      <c r="M1159">
        <v>0.18</v>
      </c>
      <c r="N1159">
        <v>0.65</v>
      </c>
      <c r="O1159">
        <v>0.99</v>
      </c>
      <c r="P1159">
        <v>0.62</v>
      </c>
      <c r="Q1159">
        <v>0.04</v>
      </c>
      <c r="R1159" s="2">
        <v>0.02</v>
      </c>
      <c r="S1159" t="str">
        <f>IF(Table1[[#This Row],[Years_Experience]]&lt;=5,"Early Career",
IF(Table1[[#This Row],[Years_Experience]]&lt;=15,"Mid Career","Senior Level"))</f>
        <v>Early Career</v>
      </c>
      <c r="T1159" t="str">
        <f>IF(Table1[[#This Row],[AI_Exposure_Index]]&gt;=0.7,"High Exposure", IF(Table1[[#This Row],[AI_Exposure_Index]]&gt;=0.3,"Medium Exposure","Low Exposure"))</f>
        <v>Medium Exposure</v>
      </c>
    </row>
    <row r="1160" spans="1:20" x14ac:dyDescent="0.25">
      <c r="A1160" t="s">
        <v>31</v>
      </c>
      <c r="B1160">
        <v>111399</v>
      </c>
      <c r="C1160" s="1">
        <v>1</v>
      </c>
      <c r="D1160" t="s">
        <v>22</v>
      </c>
      <c r="E1160" s="7">
        <v>1.31</v>
      </c>
      <c r="F1160" s="2">
        <v>0.2</v>
      </c>
      <c r="G1160" s="7">
        <v>0.26</v>
      </c>
      <c r="H1160" s="9" t="s">
        <v>23</v>
      </c>
      <c r="I1160">
        <v>0.26</v>
      </c>
      <c r="J1160">
        <v>0.33</v>
      </c>
      <c r="K1160">
        <v>0.24</v>
      </c>
      <c r="L1160">
        <v>0.91</v>
      </c>
      <c r="M1160">
        <v>0.5</v>
      </c>
      <c r="N1160">
        <v>0.66</v>
      </c>
      <c r="O1160">
        <v>0.42</v>
      </c>
      <c r="P1160">
        <v>0.63</v>
      </c>
      <c r="Q1160">
        <v>0.39</v>
      </c>
      <c r="R1160" s="2">
        <v>0.34</v>
      </c>
      <c r="S1160" t="str">
        <f>IF(Table1[[#This Row],[Years_Experience]]&lt;=5,"Early Career",
IF(Table1[[#This Row],[Years_Experience]]&lt;=15,"Mid Career","Senior Level"))</f>
        <v>Early Career</v>
      </c>
      <c r="T1160" t="str">
        <f>IF(Table1[[#This Row],[AI_Exposure_Index]]&gt;=0.7,"High Exposure", IF(Table1[[#This Row],[AI_Exposure_Index]]&gt;=0.3,"Medium Exposure","Low Exposure"))</f>
        <v>Low Exposure</v>
      </c>
    </row>
    <row r="1161" spans="1:20" x14ac:dyDescent="0.25">
      <c r="A1161" t="s">
        <v>31</v>
      </c>
      <c r="B1161">
        <v>114267</v>
      </c>
      <c r="C1161" s="1">
        <v>28</v>
      </c>
      <c r="D1161" t="s">
        <v>22</v>
      </c>
      <c r="E1161" s="7">
        <v>0.79</v>
      </c>
      <c r="F1161" s="2">
        <v>0.59</v>
      </c>
      <c r="G1161" s="7">
        <v>0.09</v>
      </c>
      <c r="H1161" s="9" t="s">
        <v>23</v>
      </c>
      <c r="I1161">
        <v>0.37</v>
      </c>
      <c r="J1161">
        <v>0.42</v>
      </c>
      <c r="K1161">
        <v>0.63</v>
      </c>
      <c r="L1161">
        <v>0.91</v>
      </c>
      <c r="M1161">
        <v>0.04</v>
      </c>
      <c r="N1161">
        <v>0.24</v>
      </c>
      <c r="O1161">
        <v>0.19</v>
      </c>
      <c r="P1161">
        <v>0.5</v>
      </c>
      <c r="Q1161">
        <v>0.43</v>
      </c>
      <c r="R1161" s="2">
        <v>0.73</v>
      </c>
      <c r="S1161" t="str">
        <f>IF(Table1[[#This Row],[Years_Experience]]&lt;=5,"Early Career",
IF(Table1[[#This Row],[Years_Experience]]&lt;=15,"Mid Career","Senior Level"))</f>
        <v>Senior Level</v>
      </c>
      <c r="T1161" t="str">
        <f>IF(Table1[[#This Row],[AI_Exposure_Index]]&gt;=0.7,"High Exposure", IF(Table1[[#This Row],[AI_Exposure_Index]]&gt;=0.3,"Medium Exposure","Low Exposure"))</f>
        <v>Medium Exposure</v>
      </c>
    </row>
    <row r="1162" spans="1:20" x14ac:dyDescent="0.25">
      <c r="A1162" t="s">
        <v>41</v>
      </c>
      <c r="B1162">
        <v>93537</v>
      </c>
      <c r="C1162" s="1">
        <v>18</v>
      </c>
      <c r="D1162" t="s">
        <v>25</v>
      </c>
      <c r="E1162" s="7">
        <v>1.3</v>
      </c>
      <c r="F1162" s="2">
        <v>0.95</v>
      </c>
      <c r="G1162" s="7">
        <v>0.75</v>
      </c>
      <c r="H1162" s="9" t="s">
        <v>20</v>
      </c>
      <c r="I1162">
        <v>0.28999999999999998</v>
      </c>
      <c r="J1162">
        <v>0.98</v>
      </c>
      <c r="K1162">
        <v>0.37</v>
      </c>
      <c r="L1162">
        <v>0.78</v>
      </c>
      <c r="M1162">
        <v>0.45</v>
      </c>
      <c r="N1162">
        <v>0.86</v>
      </c>
      <c r="O1162">
        <v>0.7</v>
      </c>
      <c r="P1162">
        <v>0.02</v>
      </c>
      <c r="Q1162">
        <v>0.28999999999999998</v>
      </c>
      <c r="R1162" s="2">
        <v>0.56000000000000005</v>
      </c>
      <c r="S1162" t="str">
        <f>IF(Table1[[#This Row],[Years_Experience]]&lt;=5,"Early Career",
IF(Table1[[#This Row],[Years_Experience]]&lt;=15,"Mid Career","Senior Level"))</f>
        <v>Senior Level</v>
      </c>
      <c r="T1162" t="str">
        <f>IF(Table1[[#This Row],[AI_Exposure_Index]]&gt;=0.7,"High Exposure", IF(Table1[[#This Row],[AI_Exposure_Index]]&gt;=0.3,"Medium Exposure","Low Exposure"))</f>
        <v>High Exposure</v>
      </c>
    </row>
    <row r="1163" spans="1:20" x14ac:dyDescent="0.25">
      <c r="A1163" t="s">
        <v>42</v>
      </c>
      <c r="B1163">
        <v>144147</v>
      </c>
      <c r="C1163" s="1">
        <v>11</v>
      </c>
      <c r="D1163" t="s">
        <v>38</v>
      </c>
      <c r="E1163" s="7">
        <v>1.1000000000000001</v>
      </c>
      <c r="F1163" s="2">
        <v>0.1</v>
      </c>
      <c r="G1163" s="7">
        <v>0.42</v>
      </c>
      <c r="H1163" s="9" t="s">
        <v>27</v>
      </c>
      <c r="I1163">
        <v>0.89</v>
      </c>
      <c r="J1163">
        <v>0.77</v>
      </c>
      <c r="K1163">
        <v>0.37</v>
      </c>
      <c r="L1163">
        <v>0.17</v>
      </c>
      <c r="M1163">
        <v>0.01</v>
      </c>
      <c r="N1163">
        <v>0.62</v>
      </c>
      <c r="O1163">
        <v>0.41</v>
      </c>
      <c r="P1163">
        <v>0.31</v>
      </c>
      <c r="Q1163">
        <v>0.99</v>
      </c>
      <c r="R1163" s="2">
        <v>0.47</v>
      </c>
      <c r="S1163" t="str">
        <f>IF(Table1[[#This Row],[Years_Experience]]&lt;=5,"Early Career",
IF(Table1[[#This Row],[Years_Experience]]&lt;=15,"Mid Career","Senior Level"))</f>
        <v>Mid Career</v>
      </c>
      <c r="T1163" t="str">
        <f>IF(Table1[[#This Row],[AI_Exposure_Index]]&gt;=0.7,"High Exposure", IF(Table1[[#This Row],[AI_Exposure_Index]]&gt;=0.3,"Medium Exposure","Low Exposure"))</f>
        <v>Low Exposure</v>
      </c>
    </row>
    <row r="1164" spans="1:20" x14ac:dyDescent="0.25">
      <c r="A1164" t="s">
        <v>24</v>
      </c>
      <c r="B1164">
        <v>126172</v>
      </c>
      <c r="C1164" s="1">
        <v>19</v>
      </c>
      <c r="D1164" t="s">
        <v>19</v>
      </c>
      <c r="E1164" s="7">
        <v>0.51</v>
      </c>
      <c r="F1164" s="2">
        <v>0.18</v>
      </c>
      <c r="G1164" s="7">
        <v>0.8</v>
      </c>
      <c r="H1164" s="9" t="s">
        <v>20</v>
      </c>
      <c r="I1164">
        <v>0.67</v>
      </c>
      <c r="J1164">
        <v>0.51</v>
      </c>
      <c r="K1164">
        <v>0.89</v>
      </c>
      <c r="L1164">
        <v>0.43</v>
      </c>
      <c r="M1164">
        <v>0.31</v>
      </c>
      <c r="N1164">
        <v>0.92</v>
      </c>
      <c r="O1164">
        <v>0.41</v>
      </c>
      <c r="P1164">
        <v>0.27</v>
      </c>
      <c r="Q1164">
        <v>0.1</v>
      </c>
      <c r="R1164" s="2">
        <v>0.79</v>
      </c>
      <c r="S1164" t="str">
        <f>IF(Table1[[#This Row],[Years_Experience]]&lt;=5,"Early Career",
IF(Table1[[#This Row],[Years_Experience]]&lt;=15,"Mid Career","Senior Level"))</f>
        <v>Senior Level</v>
      </c>
      <c r="T1164" t="str">
        <f>IF(Table1[[#This Row],[AI_Exposure_Index]]&gt;=0.7,"High Exposure", IF(Table1[[#This Row],[AI_Exposure_Index]]&gt;=0.3,"Medium Exposure","Low Exposure"))</f>
        <v>Low Exposure</v>
      </c>
    </row>
    <row r="1165" spans="1:20" x14ac:dyDescent="0.25">
      <c r="A1165" t="s">
        <v>26</v>
      </c>
      <c r="B1165">
        <v>108267</v>
      </c>
      <c r="C1165" s="1">
        <v>16</v>
      </c>
      <c r="D1165" t="s">
        <v>38</v>
      </c>
      <c r="E1165" s="7">
        <v>0.86</v>
      </c>
      <c r="F1165" s="2">
        <v>0.03</v>
      </c>
      <c r="G1165" s="7">
        <v>0.6</v>
      </c>
      <c r="H1165" s="9" t="s">
        <v>27</v>
      </c>
      <c r="I1165">
        <v>0.95</v>
      </c>
      <c r="J1165">
        <v>0.38</v>
      </c>
      <c r="K1165">
        <v>0.87</v>
      </c>
      <c r="L1165">
        <v>0.39</v>
      </c>
      <c r="M1165">
        <v>0.18</v>
      </c>
      <c r="N1165">
        <v>0</v>
      </c>
      <c r="O1165">
        <v>0.33</v>
      </c>
      <c r="P1165">
        <v>0.38</v>
      </c>
      <c r="Q1165">
        <v>0.95</v>
      </c>
      <c r="R1165" s="2">
        <v>0.21</v>
      </c>
      <c r="S1165" t="str">
        <f>IF(Table1[[#This Row],[Years_Experience]]&lt;=5,"Early Career",
IF(Table1[[#This Row],[Years_Experience]]&lt;=15,"Mid Career","Senior Level"))</f>
        <v>Senior Level</v>
      </c>
      <c r="T1165" t="str">
        <f>IF(Table1[[#This Row],[AI_Exposure_Index]]&gt;=0.7,"High Exposure", IF(Table1[[#This Row],[AI_Exposure_Index]]&gt;=0.3,"Medium Exposure","Low Exposure"))</f>
        <v>Low Exposure</v>
      </c>
    </row>
    <row r="1166" spans="1:20" x14ac:dyDescent="0.25">
      <c r="A1166" t="s">
        <v>39</v>
      </c>
      <c r="B1166">
        <v>56013</v>
      </c>
      <c r="C1166" s="1">
        <v>0</v>
      </c>
      <c r="D1166" t="s">
        <v>25</v>
      </c>
      <c r="E1166" s="7">
        <v>1.42</v>
      </c>
      <c r="F1166" s="2">
        <v>0.76</v>
      </c>
      <c r="G1166" s="7">
        <v>0.76</v>
      </c>
      <c r="H1166" s="9" t="s">
        <v>20</v>
      </c>
      <c r="I1166">
        <v>0.43</v>
      </c>
      <c r="J1166">
        <v>0.12</v>
      </c>
      <c r="K1166">
        <v>0.46</v>
      </c>
      <c r="L1166">
        <v>0.13</v>
      </c>
      <c r="M1166">
        <v>0.52</v>
      </c>
      <c r="N1166">
        <v>0.73</v>
      </c>
      <c r="O1166">
        <v>0.55000000000000004</v>
      </c>
      <c r="P1166">
        <v>0.25</v>
      </c>
      <c r="Q1166">
        <v>0.35</v>
      </c>
      <c r="R1166" s="2">
        <v>0.64</v>
      </c>
      <c r="S1166" t="str">
        <f>IF(Table1[[#This Row],[Years_Experience]]&lt;=5,"Early Career",
IF(Table1[[#This Row],[Years_Experience]]&lt;=15,"Mid Career","Senior Level"))</f>
        <v>Early Career</v>
      </c>
      <c r="T1166" t="str">
        <f>IF(Table1[[#This Row],[AI_Exposure_Index]]&gt;=0.7,"High Exposure", IF(Table1[[#This Row],[AI_Exposure_Index]]&gt;=0.3,"Medium Exposure","Low Exposure"))</f>
        <v>High Exposure</v>
      </c>
    </row>
    <row r="1167" spans="1:20" x14ac:dyDescent="0.25">
      <c r="A1167" t="s">
        <v>42</v>
      </c>
      <c r="B1167">
        <v>43829</v>
      </c>
      <c r="C1167" s="1">
        <v>14</v>
      </c>
      <c r="D1167" t="s">
        <v>38</v>
      </c>
      <c r="E1167" s="7">
        <v>1.34</v>
      </c>
      <c r="F1167" s="2">
        <v>0.14000000000000001</v>
      </c>
      <c r="G1167" s="7">
        <v>0.49</v>
      </c>
      <c r="H1167" s="9" t="s">
        <v>27</v>
      </c>
      <c r="I1167">
        <v>0.16</v>
      </c>
      <c r="J1167">
        <v>0.12</v>
      </c>
      <c r="K1167">
        <v>0.97</v>
      </c>
      <c r="L1167">
        <v>0.28000000000000003</v>
      </c>
      <c r="M1167">
        <v>0.91</v>
      </c>
      <c r="N1167">
        <v>0.41</v>
      </c>
      <c r="O1167">
        <v>0.39</v>
      </c>
      <c r="P1167">
        <v>0.7</v>
      </c>
      <c r="Q1167">
        <v>0.01</v>
      </c>
      <c r="R1167" s="2">
        <v>0.34</v>
      </c>
      <c r="S1167" t="str">
        <f>IF(Table1[[#This Row],[Years_Experience]]&lt;=5,"Early Career",
IF(Table1[[#This Row],[Years_Experience]]&lt;=15,"Mid Career","Senior Level"))</f>
        <v>Mid Career</v>
      </c>
      <c r="T1167" t="str">
        <f>IF(Table1[[#This Row],[AI_Exposure_Index]]&gt;=0.7,"High Exposure", IF(Table1[[#This Row],[AI_Exposure_Index]]&gt;=0.3,"Medium Exposure","Low Exposure"))</f>
        <v>Low Exposure</v>
      </c>
    </row>
    <row r="1168" spans="1:20" x14ac:dyDescent="0.25">
      <c r="A1168" t="s">
        <v>18</v>
      </c>
      <c r="B1168">
        <v>42391</v>
      </c>
      <c r="C1168" s="1">
        <v>10</v>
      </c>
      <c r="D1168" t="s">
        <v>25</v>
      </c>
      <c r="E1168" s="7">
        <v>1.03</v>
      </c>
      <c r="F1168" s="2">
        <v>0.87</v>
      </c>
      <c r="G1168" s="7">
        <v>0.79</v>
      </c>
      <c r="H1168" s="9" t="s">
        <v>20</v>
      </c>
      <c r="I1168">
        <v>0.27</v>
      </c>
      <c r="J1168">
        <v>0.59</v>
      </c>
      <c r="K1168">
        <v>0.15</v>
      </c>
      <c r="L1168">
        <v>0.25</v>
      </c>
      <c r="M1168">
        <v>0.28999999999999998</v>
      </c>
      <c r="N1168">
        <v>0.61</v>
      </c>
      <c r="O1168">
        <v>0.37</v>
      </c>
      <c r="P1168">
        <v>0.51</v>
      </c>
      <c r="Q1168">
        <v>0.65</v>
      </c>
      <c r="R1168" s="2">
        <v>0.96</v>
      </c>
      <c r="S1168" t="str">
        <f>IF(Table1[[#This Row],[Years_Experience]]&lt;=5,"Early Career",
IF(Table1[[#This Row],[Years_Experience]]&lt;=15,"Mid Career","Senior Level"))</f>
        <v>Mid Career</v>
      </c>
      <c r="T1168" t="str">
        <f>IF(Table1[[#This Row],[AI_Exposure_Index]]&gt;=0.7,"High Exposure", IF(Table1[[#This Row],[AI_Exposure_Index]]&gt;=0.3,"Medium Exposure","Low Exposure"))</f>
        <v>High Exposure</v>
      </c>
    </row>
    <row r="1169" spans="1:20" x14ac:dyDescent="0.25">
      <c r="A1169" t="s">
        <v>31</v>
      </c>
      <c r="B1169">
        <v>55123</v>
      </c>
      <c r="C1169" s="1">
        <v>8</v>
      </c>
      <c r="D1169" t="s">
        <v>19</v>
      </c>
      <c r="E1169" s="7">
        <v>1.45</v>
      </c>
      <c r="F1169" s="2">
        <v>0.75</v>
      </c>
      <c r="G1169" s="7">
        <v>0.17</v>
      </c>
      <c r="H1169" s="9" t="s">
        <v>23</v>
      </c>
      <c r="I1169">
        <v>0.41</v>
      </c>
      <c r="J1169">
        <v>0.08</v>
      </c>
      <c r="K1169">
        <v>0.89</v>
      </c>
      <c r="L1169">
        <v>0.25</v>
      </c>
      <c r="M1169">
        <v>0.06</v>
      </c>
      <c r="N1169">
        <v>0.54</v>
      </c>
      <c r="O1169">
        <v>0.85</v>
      </c>
      <c r="P1169">
        <v>0.41</v>
      </c>
      <c r="Q1169">
        <v>0.78</v>
      </c>
      <c r="R1169" s="2">
        <v>0.84</v>
      </c>
      <c r="S1169" t="str">
        <f>IF(Table1[[#This Row],[Years_Experience]]&lt;=5,"Early Career",
IF(Table1[[#This Row],[Years_Experience]]&lt;=15,"Mid Career","Senior Level"))</f>
        <v>Mid Career</v>
      </c>
      <c r="T1169" t="str">
        <f>IF(Table1[[#This Row],[AI_Exposure_Index]]&gt;=0.7,"High Exposure", IF(Table1[[#This Row],[AI_Exposure_Index]]&gt;=0.3,"Medium Exposure","Low Exposure"))</f>
        <v>High Exposure</v>
      </c>
    </row>
    <row r="1170" spans="1:20" x14ac:dyDescent="0.25">
      <c r="A1170" t="s">
        <v>37</v>
      </c>
      <c r="B1170">
        <v>147420</v>
      </c>
      <c r="C1170" s="1">
        <v>27</v>
      </c>
      <c r="D1170" t="s">
        <v>22</v>
      </c>
      <c r="E1170" s="7">
        <v>1.03</v>
      </c>
      <c r="F1170" s="2">
        <v>0.59</v>
      </c>
      <c r="G1170" s="7">
        <v>0.68</v>
      </c>
      <c r="H1170" s="9" t="s">
        <v>27</v>
      </c>
      <c r="I1170">
        <v>0.73</v>
      </c>
      <c r="J1170">
        <v>0.93</v>
      </c>
      <c r="K1170">
        <v>0.22</v>
      </c>
      <c r="L1170">
        <v>0.31</v>
      </c>
      <c r="M1170">
        <v>7.0000000000000007E-2</v>
      </c>
      <c r="N1170">
        <v>0.5</v>
      </c>
      <c r="O1170">
        <v>0.87</v>
      </c>
      <c r="P1170">
        <v>0.33</v>
      </c>
      <c r="Q1170">
        <v>0.13</v>
      </c>
      <c r="R1170" s="2">
        <v>7.0000000000000007E-2</v>
      </c>
      <c r="S1170" t="str">
        <f>IF(Table1[[#This Row],[Years_Experience]]&lt;=5,"Early Career",
IF(Table1[[#This Row],[Years_Experience]]&lt;=15,"Mid Career","Senior Level"))</f>
        <v>Senior Level</v>
      </c>
      <c r="T1170" t="str">
        <f>IF(Table1[[#This Row],[AI_Exposure_Index]]&gt;=0.7,"High Exposure", IF(Table1[[#This Row],[AI_Exposure_Index]]&gt;=0.3,"Medium Exposure","Low Exposure"))</f>
        <v>Medium Exposure</v>
      </c>
    </row>
    <row r="1171" spans="1:20" x14ac:dyDescent="0.25">
      <c r="A1171" t="s">
        <v>36</v>
      </c>
      <c r="B1171">
        <v>120299</v>
      </c>
      <c r="C1171" s="1">
        <v>5</v>
      </c>
      <c r="D1171" t="s">
        <v>25</v>
      </c>
      <c r="E1171" s="7">
        <v>0.85</v>
      </c>
      <c r="F1171" s="2">
        <v>0.16</v>
      </c>
      <c r="G1171" s="7">
        <v>0.63</v>
      </c>
      <c r="H1171" s="9" t="s">
        <v>27</v>
      </c>
      <c r="I1171">
        <v>0.38</v>
      </c>
      <c r="J1171">
        <v>0.61</v>
      </c>
      <c r="K1171">
        <v>0.5</v>
      </c>
      <c r="L1171">
        <v>0.72</v>
      </c>
      <c r="M1171">
        <v>0.16</v>
      </c>
      <c r="N1171">
        <v>0.92</v>
      </c>
      <c r="O1171">
        <v>0.64</v>
      </c>
      <c r="P1171">
        <v>0.27</v>
      </c>
      <c r="Q1171">
        <v>0.12</v>
      </c>
      <c r="R1171" s="2">
        <v>0.15</v>
      </c>
      <c r="S1171" t="str">
        <f>IF(Table1[[#This Row],[Years_Experience]]&lt;=5,"Early Career",
IF(Table1[[#This Row],[Years_Experience]]&lt;=15,"Mid Career","Senior Level"))</f>
        <v>Early Career</v>
      </c>
      <c r="T1171" t="str">
        <f>IF(Table1[[#This Row],[AI_Exposure_Index]]&gt;=0.7,"High Exposure", IF(Table1[[#This Row],[AI_Exposure_Index]]&gt;=0.3,"Medium Exposure","Low Exposure"))</f>
        <v>Low Exposure</v>
      </c>
    </row>
    <row r="1172" spans="1:20" x14ac:dyDescent="0.25">
      <c r="A1172" t="s">
        <v>32</v>
      </c>
      <c r="B1172">
        <v>69140</v>
      </c>
      <c r="C1172" s="1">
        <v>2</v>
      </c>
      <c r="D1172" t="s">
        <v>22</v>
      </c>
      <c r="E1172" s="7">
        <v>0.88</v>
      </c>
      <c r="F1172" s="2">
        <v>0.59</v>
      </c>
      <c r="G1172" s="7">
        <v>0.43</v>
      </c>
      <c r="H1172" s="9" t="s">
        <v>27</v>
      </c>
      <c r="I1172">
        <v>0.86</v>
      </c>
      <c r="J1172">
        <v>0.87</v>
      </c>
      <c r="K1172">
        <v>0.57999999999999996</v>
      </c>
      <c r="L1172">
        <v>0.52</v>
      </c>
      <c r="M1172">
        <v>0.82</v>
      </c>
      <c r="N1172">
        <v>0.75</v>
      </c>
      <c r="O1172">
        <v>0.4</v>
      </c>
      <c r="P1172">
        <v>0.08</v>
      </c>
      <c r="Q1172">
        <v>0.77</v>
      </c>
      <c r="R1172" s="2">
        <v>0.17</v>
      </c>
      <c r="S1172" t="str">
        <f>IF(Table1[[#This Row],[Years_Experience]]&lt;=5,"Early Career",
IF(Table1[[#This Row],[Years_Experience]]&lt;=15,"Mid Career","Senior Level"))</f>
        <v>Early Career</v>
      </c>
      <c r="T1172" t="str">
        <f>IF(Table1[[#This Row],[AI_Exposure_Index]]&gt;=0.7,"High Exposure", IF(Table1[[#This Row],[AI_Exposure_Index]]&gt;=0.3,"Medium Exposure","Low Exposure"))</f>
        <v>Medium Exposure</v>
      </c>
    </row>
    <row r="1173" spans="1:20" x14ac:dyDescent="0.25">
      <c r="A1173" t="s">
        <v>39</v>
      </c>
      <c r="B1173">
        <v>113698</v>
      </c>
      <c r="C1173" s="1">
        <v>3</v>
      </c>
      <c r="D1173" t="s">
        <v>22</v>
      </c>
      <c r="E1173" s="7">
        <v>1.08</v>
      </c>
      <c r="F1173" s="2">
        <v>0.84</v>
      </c>
      <c r="G1173" s="7">
        <v>0.92</v>
      </c>
      <c r="H1173" s="9" t="s">
        <v>20</v>
      </c>
      <c r="I1173">
        <v>0.48</v>
      </c>
      <c r="J1173">
        <v>0.93</v>
      </c>
      <c r="K1173">
        <v>0.35</v>
      </c>
      <c r="L1173">
        <v>0.72</v>
      </c>
      <c r="M1173">
        <v>0.3</v>
      </c>
      <c r="N1173">
        <v>0</v>
      </c>
      <c r="O1173">
        <v>0.38</v>
      </c>
      <c r="P1173">
        <v>0.74</v>
      </c>
      <c r="Q1173">
        <v>0.15</v>
      </c>
      <c r="R1173" s="2">
        <v>0.5</v>
      </c>
      <c r="S1173" t="str">
        <f>IF(Table1[[#This Row],[Years_Experience]]&lt;=5,"Early Career",
IF(Table1[[#This Row],[Years_Experience]]&lt;=15,"Mid Career","Senior Level"))</f>
        <v>Early Career</v>
      </c>
      <c r="T1173" t="str">
        <f>IF(Table1[[#This Row],[AI_Exposure_Index]]&gt;=0.7,"High Exposure", IF(Table1[[#This Row],[AI_Exposure_Index]]&gt;=0.3,"Medium Exposure","Low Exposure"))</f>
        <v>High Exposure</v>
      </c>
    </row>
    <row r="1174" spans="1:20" x14ac:dyDescent="0.25">
      <c r="A1174" t="s">
        <v>41</v>
      </c>
      <c r="B1174">
        <v>75939</v>
      </c>
      <c r="C1174" s="1">
        <v>26</v>
      </c>
      <c r="D1174" t="s">
        <v>25</v>
      </c>
      <c r="E1174" s="7">
        <v>1.1200000000000001</v>
      </c>
      <c r="F1174" s="2">
        <v>7.0000000000000007E-2</v>
      </c>
      <c r="G1174" s="7">
        <v>0.94</v>
      </c>
      <c r="H1174" s="9" t="s">
        <v>20</v>
      </c>
      <c r="I1174">
        <v>0.31</v>
      </c>
      <c r="J1174">
        <v>0.57999999999999996</v>
      </c>
      <c r="K1174">
        <v>0.95</v>
      </c>
      <c r="L1174">
        <v>0.65</v>
      </c>
      <c r="M1174">
        <v>0.67</v>
      </c>
      <c r="N1174">
        <v>0.18</v>
      </c>
      <c r="O1174">
        <v>0.49</v>
      </c>
      <c r="P1174">
        <v>0.37</v>
      </c>
      <c r="Q1174">
        <v>0.47</v>
      </c>
      <c r="R1174" s="2">
        <v>0.8</v>
      </c>
      <c r="S1174" t="str">
        <f>IF(Table1[[#This Row],[Years_Experience]]&lt;=5,"Early Career",
IF(Table1[[#This Row],[Years_Experience]]&lt;=15,"Mid Career","Senior Level"))</f>
        <v>Senior Level</v>
      </c>
      <c r="T1174" t="str">
        <f>IF(Table1[[#This Row],[AI_Exposure_Index]]&gt;=0.7,"High Exposure", IF(Table1[[#This Row],[AI_Exposure_Index]]&gt;=0.3,"Medium Exposure","Low Exposure"))</f>
        <v>Low Exposure</v>
      </c>
    </row>
    <row r="1175" spans="1:20" x14ac:dyDescent="0.25">
      <c r="A1175" t="s">
        <v>41</v>
      </c>
      <c r="B1175">
        <v>54180</v>
      </c>
      <c r="C1175" s="1">
        <v>13</v>
      </c>
      <c r="D1175" t="s">
        <v>38</v>
      </c>
      <c r="E1175" s="7">
        <v>1.41</v>
      </c>
      <c r="F1175" s="2">
        <v>0.06</v>
      </c>
      <c r="G1175" s="7">
        <v>0.84</v>
      </c>
      <c r="H1175" s="9" t="s">
        <v>20</v>
      </c>
      <c r="I1175">
        <v>0.92</v>
      </c>
      <c r="J1175">
        <v>0.56999999999999995</v>
      </c>
      <c r="K1175">
        <v>7.0000000000000007E-2</v>
      </c>
      <c r="L1175">
        <v>0.55000000000000004</v>
      </c>
      <c r="M1175">
        <v>0.57999999999999996</v>
      </c>
      <c r="N1175">
        <v>0.21</v>
      </c>
      <c r="O1175">
        <v>0.47</v>
      </c>
      <c r="P1175">
        <v>0.46</v>
      </c>
      <c r="Q1175">
        <v>0.62</v>
      </c>
      <c r="R1175" s="2">
        <v>0.26</v>
      </c>
      <c r="S1175" t="str">
        <f>IF(Table1[[#This Row],[Years_Experience]]&lt;=5,"Early Career",
IF(Table1[[#This Row],[Years_Experience]]&lt;=15,"Mid Career","Senior Level"))</f>
        <v>Mid Career</v>
      </c>
      <c r="T1175" t="str">
        <f>IF(Table1[[#This Row],[AI_Exposure_Index]]&gt;=0.7,"High Exposure", IF(Table1[[#This Row],[AI_Exposure_Index]]&gt;=0.3,"Medium Exposure","Low Exposure"))</f>
        <v>Low Exposure</v>
      </c>
    </row>
    <row r="1176" spans="1:20" x14ac:dyDescent="0.25">
      <c r="A1176" t="s">
        <v>43</v>
      </c>
      <c r="B1176">
        <v>125941</v>
      </c>
      <c r="C1176" s="1">
        <v>7</v>
      </c>
      <c r="D1176" t="s">
        <v>19</v>
      </c>
      <c r="E1176" s="7">
        <v>0.95</v>
      </c>
      <c r="F1176" s="2">
        <v>0.24</v>
      </c>
      <c r="G1176" s="7">
        <v>0.08</v>
      </c>
      <c r="H1176" s="9" t="s">
        <v>23</v>
      </c>
      <c r="I1176">
        <v>0.04</v>
      </c>
      <c r="J1176">
        <v>0.32</v>
      </c>
      <c r="K1176">
        <v>0.27</v>
      </c>
      <c r="L1176">
        <v>0.41</v>
      </c>
      <c r="M1176">
        <v>0.96</v>
      </c>
      <c r="N1176">
        <v>0.52</v>
      </c>
      <c r="O1176">
        <v>0.55000000000000004</v>
      </c>
      <c r="P1176">
        <v>0.94</v>
      </c>
      <c r="Q1176">
        <v>0.92</v>
      </c>
      <c r="R1176" s="2">
        <v>0.88</v>
      </c>
      <c r="S1176" t="str">
        <f>IF(Table1[[#This Row],[Years_Experience]]&lt;=5,"Early Career",
IF(Table1[[#This Row],[Years_Experience]]&lt;=15,"Mid Career","Senior Level"))</f>
        <v>Mid Career</v>
      </c>
      <c r="T1176" t="str">
        <f>IF(Table1[[#This Row],[AI_Exposure_Index]]&gt;=0.7,"High Exposure", IF(Table1[[#This Row],[AI_Exposure_Index]]&gt;=0.3,"Medium Exposure","Low Exposure"))</f>
        <v>Low Exposure</v>
      </c>
    </row>
    <row r="1177" spans="1:20" x14ac:dyDescent="0.25">
      <c r="A1177" t="s">
        <v>24</v>
      </c>
      <c r="B1177">
        <v>42003</v>
      </c>
      <c r="C1177" s="1">
        <v>4</v>
      </c>
      <c r="D1177" t="s">
        <v>19</v>
      </c>
      <c r="E1177" s="7">
        <v>1.31</v>
      </c>
      <c r="F1177" s="2">
        <v>0.63</v>
      </c>
      <c r="G1177" s="7">
        <v>0.91</v>
      </c>
      <c r="H1177" s="9" t="s">
        <v>20</v>
      </c>
      <c r="I1177">
        <v>0.57999999999999996</v>
      </c>
      <c r="J1177">
        <v>0.02</v>
      </c>
      <c r="K1177">
        <v>0.97</v>
      </c>
      <c r="L1177">
        <v>0.47</v>
      </c>
      <c r="M1177">
        <v>0.39</v>
      </c>
      <c r="N1177">
        <v>0.39</v>
      </c>
      <c r="O1177">
        <v>0.42</v>
      </c>
      <c r="P1177">
        <v>0.24</v>
      </c>
      <c r="Q1177">
        <v>0.33</v>
      </c>
      <c r="R1177" s="2">
        <v>0.99</v>
      </c>
      <c r="S1177" t="str">
        <f>IF(Table1[[#This Row],[Years_Experience]]&lt;=5,"Early Career",
IF(Table1[[#This Row],[Years_Experience]]&lt;=15,"Mid Career","Senior Level"))</f>
        <v>Early Career</v>
      </c>
      <c r="T1177" t="str">
        <f>IF(Table1[[#This Row],[AI_Exposure_Index]]&gt;=0.7,"High Exposure", IF(Table1[[#This Row],[AI_Exposure_Index]]&gt;=0.3,"Medium Exposure","Low Exposure"))</f>
        <v>Medium Exposure</v>
      </c>
    </row>
    <row r="1178" spans="1:20" x14ac:dyDescent="0.25">
      <c r="A1178" t="s">
        <v>29</v>
      </c>
      <c r="B1178">
        <v>46915</v>
      </c>
      <c r="C1178" s="1">
        <v>29</v>
      </c>
      <c r="D1178" t="s">
        <v>19</v>
      </c>
      <c r="E1178" s="7">
        <v>1.35</v>
      </c>
      <c r="F1178" s="2">
        <v>0.53</v>
      </c>
      <c r="G1178" s="7">
        <v>0.18</v>
      </c>
      <c r="H1178" s="9" t="s">
        <v>23</v>
      </c>
      <c r="I1178">
        <v>0.32</v>
      </c>
      <c r="J1178">
        <v>0.52</v>
      </c>
      <c r="K1178">
        <v>0.11</v>
      </c>
      <c r="L1178">
        <v>0.13</v>
      </c>
      <c r="M1178">
        <v>0.69</v>
      </c>
      <c r="N1178">
        <v>0.92</v>
      </c>
      <c r="O1178">
        <v>0.73</v>
      </c>
      <c r="P1178">
        <v>7.0000000000000007E-2</v>
      </c>
      <c r="Q1178">
        <v>0.4</v>
      </c>
      <c r="R1178" s="2">
        <v>0</v>
      </c>
      <c r="S1178" t="str">
        <f>IF(Table1[[#This Row],[Years_Experience]]&lt;=5,"Early Career",
IF(Table1[[#This Row],[Years_Experience]]&lt;=15,"Mid Career","Senior Level"))</f>
        <v>Senior Level</v>
      </c>
      <c r="T1178" t="str">
        <f>IF(Table1[[#This Row],[AI_Exposure_Index]]&gt;=0.7,"High Exposure", IF(Table1[[#This Row],[AI_Exposure_Index]]&gt;=0.3,"Medium Exposure","Low Exposure"))</f>
        <v>Medium Exposure</v>
      </c>
    </row>
    <row r="1179" spans="1:20" x14ac:dyDescent="0.25">
      <c r="A1179" t="s">
        <v>29</v>
      </c>
      <c r="B1179">
        <v>59179</v>
      </c>
      <c r="C1179" s="1">
        <v>21</v>
      </c>
      <c r="D1179" t="s">
        <v>25</v>
      </c>
      <c r="E1179" s="7">
        <v>1.37</v>
      </c>
      <c r="F1179" s="2">
        <v>0.19</v>
      </c>
      <c r="G1179" s="7">
        <v>0.08</v>
      </c>
      <c r="H1179" s="9" t="s">
        <v>23</v>
      </c>
      <c r="I1179">
        <v>0</v>
      </c>
      <c r="J1179">
        <v>0.45</v>
      </c>
      <c r="K1179">
        <v>0.16</v>
      </c>
      <c r="L1179">
        <v>0.74</v>
      </c>
      <c r="M1179">
        <v>0.92</v>
      </c>
      <c r="N1179">
        <v>0.04</v>
      </c>
      <c r="O1179">
        <v>0.4</v>
      </c>
      <c r="P1179">
        <v>1</v>
      </c>
      <c r="Q1179">
        <v>0.73</v>
      </c>
      <c r="R1179" s="2">
        <v>0.95</v>
      </c>
      <c r="S1179" t="str">
        <f>IF(Table1[[#This Row],[Years_Experience]]&lt;=5,"Early Career",
IF(Table1[[#This Row],[Years_Experience]]&lt;=15,"Mid Career","Senior Level"))</f>
        <v>Senior Level</v>
      </c>
      <c r="T1179" t="str">
        <f>IF(Table1[[#This Row],[AI_Exposure_Index]]&gt;=0.7,"High Exposure", IF(Table1[[#This Row],[AI_Exposure_Index]]&gt;=0.3,"Medium Exposure","Low Exposure"))</f>
        <v>Low Exposure</v>
      </c>
    </row>
    <row r="1180" spans="1:20" x14ac:dyDescent="0.25">
      <c r="A1180" t="s">
        <v>28</v>
      </c>
      <c r="B1180">
        <v>119257</v>
      </c>
      <c r="C1180" s="1">
        <v>5</v>
      </c>
      <c r="D1180" t="s">
        <v>38</v>
      </c>
      <c r="E1180" s="7">
        <v>0.65</v>
      </c>
      <c r="F1180" s="2">
        <v>0.22</v>
      </c>
      <c r="G1180" s="7">
        <v>0.42</v>
      </c>
      <c r="H1180" s="9" t="s">
        <v>27</v>
      </c>
      <c r="I1180">
        <v>0.72</v>
      </c>
      <c r="J1180">
        <v>0.16</v>
      </c>
      <c r="K1180">
        <v>0.52</v>
      </c>
      <c r="L1180">
        <v>0.27</v>
      </c>
      <c r="M1180">
        <v>0.83</v>
      </c>
      <c r="N1180">
        <v>0.01</v>
      </c>
      <c r="O1180">
        <v>0.22</v>
      </c>
      <c r="P1180">
        <v>0.61</v>
      </c>
      <c r="Q1180">
        <v>0.1</v>
      </c>
      <c r="R1180" s="2">
        <v>0.47</v>
      </c>
      <c r="S1180" t="str">
        <f>IF(Table1[[#This Row],[Years_Experience]]&lt;=5,"Early Career",
IF(Table1[[#This Row],[Years_Experience]]&lt;=15,"Mid Career","Senior Level"))</f>
        <v>Early Career</v>
      </c>
      <c r="T1180" t="str">
        <f>IF(Table1[[#This Row],[AI_Exposure_Index]]&gt;=0.7,"High Exposure", IF(Table1[[#This Row],[AI_Exposure_Index]]&gt;=0.3,"Medium Exposure","Low Exposure"))</f>
        <v>Low Exposure</v>
      </c>
    </row>
    <row r="1181" spans="1:20" x14ac:dyDescent="0.25">
      <c r="A1181" t="s">
        <v>44</v>
      </c>
      <c r="B1181">
        <v>113994</v>
      </c>
      <c r="C1181" s="1">
        <v>8</v>
      </c>
      <c r="D1181" t="s">
        <v>25</v>
      </c>
      <c r="E1181" s="7">
        <v>1.1299999999999999</v>
      </c>
      <c r="F1181" s="2">
        <v>0.85</v>
      </c>
      <c r="G1181" s="7">
        <v>0.56000000000000005</v>
      </c>
      <c r="H1181" s="9" t="s">
        <v>27</v>
      </c>
      <c r="I1181">
        <v>0.95</v>
      </c>
      <c r="J1181">
        <v>0.98</v>
      </c>
      <c r="K1181">
        <v>0.65</v>
      </c>
      <c r="L1181">
        <v>0.52</v>
      </c>
      <c r="M1181">
        <v>0.61</v>
      </c>
      <c r="N1181">
        <v>0.38</v>
      </c>
      <c r="O1181">
        <v>0.99</v>
      </c>
      <c r="P1181">
        <v>0.71</v>
      </c>
      <c r="Q1181">
        <v>0.28999999999999998</v>
      </c>
      <c r="R1181" s="2">
        <v>0.06</v>
      </c>
      <c r="S1181" t="str">
        <f>IF(Table1[[#This Row],[Years_Experience]]&lt;=5,"Early Career",
IF(Table1[[#This Row],[Years_Experience]]&lt;=15,"Mid Career","Senior Level"))</f>
        <v>Mid Career</v>
      </c>
      <c r="T1181" t="str">
        <f>IF(Table1[[#This Row],[AI_Exposure_Index]]&gt;=0.7,"High Exposure", IF(Table1[[#This Row],[AI_Exposure_Index]]&gt;=0.3,"Medium Exposure","Low Exposure"))</f>
        <v>High Exposure</v>
      </c>
    </row>
    <row r="1182" spans="1:20" x14ac:dyDescent="0.25">
      <c r="A1182" t="s">
        <v>40</v>
      </c>
      <c r="B1182">
        <v>88742</v>
      </c>
      <c r="C1182" s="1">
        <v>5</v>
      </c>
      <c r="D1182" t="s">
        <v>38</v>
      </c>
      <c r="E1182" s="7">
        <v>1.46</v>
      </c>
      <c r="F1182" s="2">
        <v>0.68</v>
      </c>
      <c r="G1182" s="7">
        <v>0.1</v>
      </c>
      <c r="H1182" s="9" t="s">
        <v>23</v>
      </c>
      <c r="I1182">
        <v>0.55000000000000004</v>
      </c>
      <c r="J1182">
        <v>0.6</v>
      </c>
      <c r="K1182">
        <v>1</v>
      </c>
      <c r="L1182">
        <v>0.2</v>
      </c>
      <c r="M1182">
        <v>0.52</v>
      </c>
      <c r="N1182">
        <v>0.35</v>
      </c>
      <c r="O1182">
        <v>0.53</v>
      </c>
      <c r="P1182">
        <v>0.23</v>
      </c>
      <c r="Q1182">
        <v>0.05</v>
      </c>
      <c r="R1182" s="2">
        <v>0.56999999999999995</v>
      </c>
      <c r="S1182" t="str">
        <f>IF(Table1[[#This Row],[Years_Experience]]&lt;=5,"Early Career",
IF(Table1[[#This Row],[Years_Experience]]&lt;=15,"Mid Career","Senior Level"))</f>
        <v>Early Career</v>
      </c>
      <c r="T1182" t="str">
        <f>IF(Table1[[#This Row],[AI_Exposure_Index]]&gt;=0.7,"High Exposure", IF(Table1[[#This Row],[AI_Exposure_Index]]&gt;=0.3,"Medium Exposure","Low Exposure"))</f>
        <v>Medium Exposure</v>
      </c>
    </row>
    <row r="1183" spans="1:20" x14ac:dyDescent="0.25">
      <c r="A1183" t="s">
        <v>28</v>
      </c>
      <c r="B1183">
        <v>65963</v>
      </c>
      <c r="C1183" s="1">
        <v>15</v>
      </c>
      <c r="D1183" t="s">
        <v>19</v>
      </c>
      <c r="E1183" s="7">
        <v>0.82</v>
      </c>
      <c r="F1183" s="2">
        <v>0.18</v>
      </c>
      <c r="G1183" s="7">
        <v>0.32</v>
      </c>
      <c r="H1183" s="9" t="s">
        <v>27</v>
      </c>
      <c r="I1183">
        <v>0.95</v>
      </c>
      <c r="J1183">
        <v>0.57999999999999996</v>
      </c>
      <c r="K1183">
        <v>0.81</v>
      </c>
      <c r="L1183">
        <v>0.42</v>
      </c>
      <c r="M1183">
        <v>0.9</v>
      </c>
      <c r="N1183">
        <v>0.48</v>
      </c>
      <c r="O1183">
        <v>0.56999999999999995</v>
      </c>
      <c r="P1183">
        <v>0.49</v>
      </c>
      <c r="Q1183">
        <v>0.73</v>
      </c>
      <c r="R1183" s="2">
        <v>0.56999999999999995</v>
      </c>
      <c r="S1183" t="str">
        <f>IF(Table1[[#This Row],[Years_Experience]]&lt;=5,"Early Career",
IF(Table1[[#This Row],[Years_Experience]]&lt;=15,"Mid Career","Senior Level"))</f>
        <v>Mid Career</v>
      </c>
      <c r="T1183" t="str">
        <f>IF(Table1[[#This Row],[AI_Exposure_Index]]&gt;=0.7,"High Exposure", IF(Table1[[#This Row],[AI_Exposure_Index]]&gt;=0.3,"Medium Exposure","Low Exposure"))</f>
        <v>Low Exposure</v>
      </c>
    </row>
    <row r="1184" spans="1:20" x14ac:dyDescent="0.25">
      <c r="A1184" t="s">
        <v>32</v>
      </c>
      <c r="B1184">
        <v>128770</v>
      </c>
      <c r="C1184" s="1">
        <v>11</v>
      </c>
      <c r="D1184" t="s">
        <v>38</v>
      </c>
      <c r="E1184" s="7">
        <v>1.1100000000000001</v>
      </c>
      <c r="F1184" s="2">
        <v>0.15</v>
      </c>
      <c r="G1184" s="7">
        <v>0.5</v>
      </c>
      <c r="H1184" s="9" t="s">
        <v>27</v>
      </c>
      <c r="I1184">
        <v>0.1</v>
      </c>
      <c r="J1184">
        <v>0.4</v>
      </c>
      <c r="K1184">
        <v>0.51</v>
      </c>
      <c r="L1184">
        <v>0.83</v>
      </c>
      <c r="M1184">
        <v>0.08</v>
      </c>
      <c r="N1184">
        <v>0.35</v>
      </c>
      <c r="O1184">
        <v>0.82</v>
      </c>
      <c r="P1184">
        <v>0.65</v>
      </c>
      <c r="Q1184">
        <v>0.28999999999999998</v>
      </c>
      <c r="R1184" s="2">
        <v>0.85</v>
      </c>
      <c r="S1184" t="str">
        <f>IF(Table1[[#This Row],[Years_Experience]]&lt;=5,"Early Career",
IF(Table1[[#This Row],[Years_Experience]]&lt;=15,"Mid Career","Senior Level"))</f>
        <v>Mid Career</v>
      </c>
      <c r="T1184" t="str">
        <f>IF(Table1[[#This Row],[AI_Exposure_Index]]&gt;=0.7,"High Exposure", IF(Table1[[#This Row],[AI_Exposure_Index]]&gt;=0.3,"Medium Exposure","Low Exposure"))</f>
        <v>Low Exposure</v>
      </c>
    </row>
    <row r="1185" spans="1:20" x14ac:dyDescent="0.25">
      <c r="A1185" t="s">
        <v>42</v>
      </c>
      <c r="B1185">
        <v>61977</v>
      </c>
      <c r="C1185" s="1">
        <v>24</v>
      </c>
      <c r="D1185" t="s">
        <v>22</v>
      </c>
      <c r="E1185" s="7">
        <v>1.48</v>
      </c>
      <c r="F1185" s="2">
        <v>0.5</v>
      </c>
      <c r="G1185" s="7">
        <v>0.68</v>
      </c>
      <c r="H1185" s="9" t="s">
        <v>27</v>
      </c>
      <c r="I1185">
        <v>0.36</v>
      </c>
      <c r="J1185">
        <v>0.14000000000000001</v>
      </c>
      <c r="K1185">
        <v>0.33</v>
      </c>
      <c r="L1185">
        <v>0.03</v>
      </c>
      <c r="M1185">
        <v>0.02</v>
      </c>
      <c r="N1185">
        <v>0.4</v>
      </c>
      <c r="O1185">
        <v>0.94</v>
      </c>
      <c r="P1185">
        <v>0.87</v>
      </c>
      <c r="Q1185">
        <v>0.51</v>
      </c>
      <c r="R1185" s="2">
        <v>0.56999999999999995</v>
      </c>
      <c r="S1185" t="str">
        <f>IF(Table1[[#This Row],[Years_Experience]]&lt;=5,"Early Career",
IF(Table1[[#This Row],[Years_Experience]]&lt;=15,"Mid Career","Senior Level"))</f>
        <v>Senior Level</v>
      </c>
      <c r="T1185" t="str">
        <f>IF(Table1[[#This Row],[AI_Exposure_Index]]&gt;=0.7,"High Exposure", IF(Table1[[#This Row],[AI_Exposure_Index]]&gt;=0.3,"Medium Exposure","Low Exposure"))</f>
        <v>Medium Exposure</v>
      </c>
    </row>
    <row r="1186" spans="1:20" x14ac:dyDescent="0.25">
      <c r="A1186" t="s">
        <v>34</v>
      </c>
      <c r="B1186">
        <v>86195</v>
      </c>
      <c r="C1186" s="1">
        <v>10</v>
      </c>
      <c r="D1186" t="s">
        <v>38</v>
      </c>
      <c r="E1186" s="7">
        <v>0.52</v>
      </c>
      <c r="F1186" s="2">
        <v>0.22</v>
      </c>
      <c r="G1186" s="7">
        <v>0.6</v>
      </c>
      <c r="H1186" s="9" t="s">
        <v>27</v>
      </c>
      <c r="I1186">
        <v>0.15</v>
      </c>
      <c r="J1186">
        <v>0.87</v>
      </c>
      <c r="K1186">
        <v>0.64</v>
      </c>
      <c r="L1186">
        <v>0.23</v>
      </c>
      <c r="M1186">
        <v>0.16</v>
      </c>
      <c r="N1186">
        <v>0.63</v>
      </c>
      <c r="O1186">
        <v>0.9</v>
      </c>
      <c r="P1186">
        <v>0.72</v>
      </c>
      <c r="Q1186">
        <v>0.35</v>
      </c>
      <c r="R1186" s="2">
        <v>0.59</v>
      </c>
      <c r="S1186" t="str">
        <f>IF(Table1[[#This Row],[Years_Experience]]&lt;=5,"Early Career",
IF(Table1[[#This Row],[Years_Experience]]&lt;=15,"Mid Career","Senior Level"))</f>
        <v>Mid Career</v>
      </c>
      <c r="T1186" t="str">
        <f>IF(Table1[[#This Row],[AI_Exposure_Index]]&gt;=0.7,"High Exposure", IF(Table1[[#This Row],[AI_Exposure_Index]]&gt;=0.3,"Medium Exposure","Low Exposure"))</f>
        <v>Low Exposure</v>
      </c>
    </row>
    <row r="1187" spans="1:20" x14ac:dyDescent="0.25">
      <c r="A1187" t="s">
        <v>37</v>
      </c>
      <c r="B1187">
        <v>35136</v>
      </c>
      <c r="C1187" s="1">
        <v>17</v>
      </c>
      <c r="D1187" t="s">
        <v>19</v>
      </c>
      <c r="E1187" s="7">
        <v>1.25</v>
      </c>
      <c r="F1187" s="2">
        <v>1</v>
      </c>
      <c r="G1187" s="7">
        <v>0.55000000000000004</v>
      </c>
      <c r="H1187" s="9" t="s">
        <v>27</v>
      </c>
      <c r="I1187">
        <v>0.42</v>
      </c>
      <c r="J1187">
        <v>0.62</v>
      </c>
      <c r="K1187">
        <v>0.34</v>
      </c>
      <c r="L1187">
        <v>0.03</v>
      </c>
      <c r="M1187">
        <v>0.4</v>
      </c>
      <c r="N1187">
        <v>0.93</v>
      </c>
      <c r="O1187">
        <v>0.63</v>
      </c>
      <c r="P1187">
        <v>0.08</v>
      </c>
      <c r="Q1187">
        <v>0.88</v>
      </c>
      <c r="R1187" s="2">
        <v>0.27</v>
      </c>
      <c r="S1187" t="str">
        <f>IF(Table1[[#This Row],[Years_Experience]]&lt;=5,"Early Career",
IF(Table1[[#This Row],[Years_Experience]]&lt;=15,"Mid Career","Senior Level"))</f>
        <v>Senior Level</v>
      </c>
      <c r="T1187" t="str">
        <f>IF(Table1[[#This Row],[AI_Exposure_Index]]&gt;=0.7,"High Exposure", IF(Table1[[#This Row],[AI_Exposure_Index]]&gt;=0.3,"Medium Exposure","Low Exposure"))</f>
        <v>High Exposure</v>
      </c>
    </row>
    <row r="1188" spans="1:20" x14ac:dyDescent="0.25">
      <c r="A1188" t="s">
        <v>30</v>
      </c>
      <c r="B1188">
        <v>139950</v>
      </c>
      <c r="C1188" s="1">
        <v>28</v>
      </c>
      <c r="D1188" t="s">
        <v>19</v>
      </c>
      <c r="E1188" s="7">
        <v>1.08</v>
      </c>
      <c r="F1188" s="2">
        <v>0.3</v>
      </c>
      <c r="G1188" s="7">
        <v>0.52</v>
      </c>
      <c r="H1188" s="9" t="s">
        <v>27</v>
      </c>
      <c r="I1188">
        <v>0.49</v>
      </c>
      <c r="J1188">
        <v>0.72</v>
      </c>
      <c r="K1188">
        <v>0.32</v>
      </c>
      <c r="L1188">
        <v>0.78</v>
      </c>
      <c r="M1188">
        <v>0.18</v>
      </c>
      <c r="N1188">
        <v>0.78</v>
      </c>
      <c r="O1188">
        <v>0.66</v>
      </c>
      <c r="P1188">
        <v>0.68</v>
      </c>
      <c r="Q1188">
        <v>0.48</v>
      </c>
      <c r="R1188" s="2">
        <v>0.67</v>
      </c>
      <c r="S1188" t="str">
        <f>IF(Table1[[#This Row],[Years_Experience]]&lt;=5,"Early Career",
IF(Table1[[#This Row],[Years_Experience]]&lt;=15,"Mid Career","Senior Level"))</f>
        <v>Senior Level</v>
      </c>
      <c r="T1188" t="str">
        <f>IF(Table1[[#This Row],[AI_Exposure_Index]]&gt;=0.7,"High Exposure", IF(Table1[[#This Row],[AI_Exposure_Index]]&gt;=0.3,"Medium Exposure","Low Exposure"))</f>
        <v>Medium Exposure</v>
      </c>
    </row>
    <row r="1189" spans="1:20" x14ac:dyDescent="0.25">
      <c r="A1189" t="s">
        <v>34</v>
      </c>
      <c r="B1189">
        <v>133488</v>
      </c>
      <c r="C1189" s="1">
        <v>28</v>
      </c>
      <c r="D1189" t="s">
        <v>22</v>
      </c>
      <c r="E1189" s="7">
        <v>0.56000000000000005</v>
      </c>
      <c r="F1189" s="2">
        <v>0.85</v>
      </c>
      <c r="G1189" s="7">
        <v>0.36</v>
      </c>
      <c r="H1189" s="9" t="s">
        <v>27</v>
      </c>
      <c r="I1189">
        <v>0.57999999999999996</v>
      </c>
      <c r="J1189">
        <v>0.74</v>
      </c>
      <c r="K1189">
        <v>0.08</v>
      </c>
      <c r="L1189">
        <v>0.92</v>
      </c>
      <c r="M1189">
        <v>0.97</v>
      </c>
      <c r="N1189">
        <v>0.61</v>
      </c>
      <c r="O1189">
        <v>0.48</v>
      </c>
      <c r="P1189">
        <v>0.74</v>
      </c>
      <c r="Q1189">
        <v>0.33</v>
      </c>
      <c r="R1189" s="2">
        <v>0.49</v>
      </c>
      <c r="S1189" t="str">
        <f>IF(Table1[[#This Row],[Years_Experience]]&lt;=5,"Early Career",
IF(Table1[[#This Row],[Years_Experience]]&lt;=15,"Mid Career","Senior Level"))</f>
        <v>Senior Level</v>
      </c>
      <c r="T1189" t="str">
        <f>IF(Table1[[#This Row],[AI_Exposure_Index]]&gt;=0.7,"High Exposure", IF(Table1[[#This Row],[AI_Exposure_Index]]&gt;=0.3,"Medium Exposure","Low Exposure"))</f>
        <v>High Exposure</v>
      </c>
    </row>
    <row r="1190" spans="1:20" x14ac:dyDescent="0.25">
      <c r="A1190" t="s">
        <v>40</v>
      </c>
      <c r="B1190">
        <v>87251</v>
      </c>
      <c r="C1190" s="1">
        <v>29</v>
      </c>
      <c r="D1190" t="s">
        <v>22</v>
      </c>
      <c r="E1190" s="7">
        <v>1.43</v>
      </c>
      <c r="F1190" s="2">
        <v>0.96</v>
      </c>
      <c r="G1190" s="7">
        <v>0.12</v>
      </c>
      <c r="H1190" s="9" t="s">
        <v>23</v>
      </c>
      <c r="I1190">
        <v>0.23</v>
      </c>
      <c r="J1190">
        <v>0.3</v>
      </c>
      <c r="K1190">
        <v>0.44</v>
      </c>
      <c r="L1190">
        <v>0.31</v>
      </c>
      <c r="M1190">
        <v>0.37</v>
      </c>
      <c r="N1190">
        <v>0.62</v>
      </c>
      <c r="O1190">
        <v>0.76</v>
      </c>
      <c r="P1190">
        <v>0.74</v>
      </c>
      <c r="Q1190">
        <v>0.81</v>
      </c>
      <c r="R1190" s="2">
        <v>0.03</v>
      </c>
      <c r="S1190" t="str">
        <f>IF(Table1[[#This Row],[Years_Experience]]&lt;=5,"Early Career",
IF(Table1[[#This Row],[Years_Experience]]&lt;=15,"Mid Career","Senior Level"))</f>
        <v>Senior Level</v>
      </c>
      <c r="T1190" t="str">
        <f>IF(Table1[[#This Row],[AI_Exposure_Index]]&gt;=0.7,"High Exposure", IF(Table1[[#This Row],[AI_Exposure_Index]]&gt;=0.3,"Medium Exposure","Low Exposure"))</f>
        <v>High Exposure</v>
      </c>
    </row>
    <row r="1191" spans="1:20" x14ac:dyDescent="0.25">
      <c r="A1191" t="s">
        <v>41</v>
      </c>
      <c r="B1191">
        <v>48456</v>
      </c>
      <c r="C1191" s="1">
        <v>27</v>
      </c>
      <c r="D1191" t="s">
        <v>19</v>
      </c>
      <c r="E1191" s="7">
        <v>1.03</v>
      </c>
      <c r="F1191" s="2">
        <v>0.79</v>
      </c>
      <c r="G1191" s="7">
        <v>0.84</v>
      </c>
      <c r="H1191" s="9" t="s">
        <v>20</v>
      </c>
      <c r="I1191">
        <v>0.05</v>
      </c>
      <c r="J1191">
        <v>0.26</v>
      </c>
      <c r="K1191">
        <v>0.64</v>
      </c>
      <c r="L1191">
        <v>0.86</v>
      </c>
      <c r="M1191">
        <v>0.92</v>
      </c>
      <c r="N1191">
        <v>0.5</v>
      </c>
      <c r="O1191">
        <v>0.55000000000000004</v>
      </c>
      <c r="P1191">
        <v>0.83</v>
      </c>
      <c r="Q1191">
        <v>0.54</v>
      </c>
      <c r="R1191" s="2">
        <v>0.52</v>
      </c>
      <c r="S1191" t="str">
        <f>IF(Table1[[#This Row],[Years_Experience]]&lt;=5,"Early Career",
IF(Table1[[#This Row],[Years_Experience]]&lt;=15,"Mid Career","Senior Level"))</f>
        <v>Senior Level</v>
      </c>
      <c r="T1191" t="str">
        <f>IF(Table1[[#This Row],[AI_Exposure_Index]]&gt;=0.7,"High Exposure", IF(Table1[[#This Row],[AI_Exposure_Index]]&gt;=0.3,"Medium Exposure","Low Exposure"))</f>
        <v>High Exposure</v>
      </c>
    </row>
    <row r="1192" spans="1:20" x14ac:dyDescent="0.25">
      <c r="A1192" t="s">
        <v>24</v>
      </c>
      <c r="B1192">
        <v>134042</v>
      </c>
      <c r="C1192" s="1">
        <v>12</v>
      </c>
      <c r="D1192" t="s">
        <v>25</v>
      </c>
      <c r="E1192" s="7">
        <v>1.41</v>
      </c>
      <c r="F1192" s="2">
        <v>0.79</v>
      </c>
      <c r="G1192" s="7">
        <v>0.75</v>
      </c>
      <c r="H1192" s="9" t="s">
        <v>20</v>
      </c>
      <c r="I1192">
        <v>0.52</v>
      </c>
      <c r="J1192">
        <v>0.84</v>
      </c>
      <c r="K1192">
        <v>0.11</v>
      </c>
      <c r="L1192">
        <v>0.79</v>
      </c>
      <c r="M1192">
        <v>0.18</v>
      </c>
      <c r="N1192">
        <v>0.81</v>
      </c>
      <c r="O1192">
        <v>0.61</v>
      </c>
      <c r="P1192">
        <v>0.19</v>
      </c>
      <c r="Q1192">
        <v>0.47</v>
      </c>
      <c r="R1192" s="2">
        <v>0.68</v>
      </c>
      <c r="S1192" t="str">
        <f>IF(Table1[[#This Row],[Years_Experience]]&lt;=5,"Early Career",
IF(Table1[[#This Row],[Years_Experience]]&lt;=15,"Mid Career","Senior Level"))</f>
        <v>Mid Career</v>
      </c>
      <c r="T1192" t="str">
        <f>IF(Table1[[#This Row],[AI_Exposure_Index]]&gt;=0.7,"High Exposure", IF(Table1[[#This Row],[AI_Exposure_Index]]&gt;=0.3,"Medium Exposure","Low Exposure"))</f>
        <v>High Exposure</v>
      </c>
    </row>
    <row r="1193" spans="1:20" x14ac:dyDescent="0.25">
      <c r="A1193" t="s">
        <v>26</v>
      </c>
      <c r="B1193">
        <v>42054</v>
      </c>
      <c r="C1193" s="1">
        <v>7</v>
      </c>
      <c r="D1193" t="s">
        <v>38</v>
      </c>
      <c r="E1193" s="7">
        <v>1.4</v>
      </c>
      <c r="F1193" s="2">
        <v>0.43</v>
      </c>
      <c r="G1193" s="7">
        <v>0.51</v>
      </c>
      <c r="H1193" s="9" t="s">
        <v>27</v>
      </c>
      <c r="I1193">
        <v>0.51</v>
      </c>
      <c r="J1193">
        <v>0.06</v>
      </c>
      <c r="K1193">
        <v>0.92</v>
      </c>
      <c r="L1193">
        <v>0.18</v>
      </c>
      <c r="M1193">
        <v>0.53</v>
      </c>
      <c r="N1193">
        <v>0.8</v>
      </c>
      <c r="O1193">
        <v>0.22</v>
      </c>
      <c r="P1193">
        <v>0.53</v>
      </c>
      <c r="Q1193">
        <v>0.24</v>
      </c>
      <c r="R1193" s="2">
        <v>0.76</v>
      </c>
      <c r="S1193" t="str">
        <f>IF(Table1[[#This Row],[Years_Experience]]&lt;=5,"Early Career",
IF(Table1[[#This Row],[Years_Experience]]&lt;=15,"Mid Career","Senior Level"))</f>
        <v>Mid Career</v>
      </c>
      <c r="T1193" t="str">
        <f>IF(Table1[[#This Row],[AI_Exposure_Index]]&gt;=0.7,"High Exposure", IF(Table1[[#This Row],[AI_Exposure_Index]]&gt;=0.3,"Medium Exposure","Low Exposure"))</f>
        <v>Medium Exposure</v>
      </c>
    </row>
    <row r="1194" spans="1:20" x14ac:dyDescent="0.25">
      <c r="A1194" t="s">
        <v>29</v>
      </c>
      <c r="B1194">
        <v>73441</v>
      </c>
      <c r="C1194" s="1">
        <v>18</v>
      </c>
      <c r="D1194" t="s">
        <v>22</v>
      </c>
      <c r="E1194" s="7">
        <v>1.39</v>
      </c>
      <c r="F1194" s="2">
        <v>0.86</v>
      </c>
      <c r="G1194" s="7">
        <v>0.21</v>
      </c>
      <c r="H1194" s="9" t="s">
        <v>23</v>
      </c>
      <c r="I1194">
        <v>0.73</v>
      </c>
      <c r="J1194">
        <v>0.55000000000000004</v>
      </c>
      <c r="K1194">
        <v>0.38</v>
      </c>
      <c r="L1194">
        <v>0.65</v>
      </c>
      <c r="M1194">
        <v>0.91</v>
      </c>
      <c r="N1194">
        <v>0.42</v>
      </c>
      <c r="O1194">
        <v>0.31</v>
      </c>
      <c r="P1194">
        <v>0.39</v>
      </c>
      <c r="Q1194">
        <v>0.44</v>
      </c>
      <c r="R1194" s="2">
        <v>7.0000000000000007E-2</v>
      </c>
      <c r="S1194" t="str">
        <f>IF(Table1[[#This Row],[Years_Experience]]&lt;=5,"Early Career",
IF(Table1[[#This Row],[Years_Experience]]&lt;=15,"Mid Career","Senior Level"))</f>
        <v>Senior Level</v>
      </c>
      <c r="T1194" t="str">
        <f>IF(Table1[[#This Row],[AI_Exposure_Index]]&gt;=0.7,"High Exposure", IF(Table1[[#This Row],[AI_Exposure_Index]]&gt;=0.3,"Medium Exposure","Low Exposure"))</f>
        <v>High Exposure</v>
      </c>
    </row>
    <row r="1195" spans="1:20" x14ac:dyDescent="0.25">
      <c r="A1195" t="s">
        <v>44</v>
      </c>
      <c r="B1195">
        <v>80321</v>
      </c>
      <c r="C1195" s="1">
        <v>27</v>
      </c>
      <c r="D1195" t="s">
        <v>25</v>
      </c>
      <c r="E1195" s="7">
        <v>1.1000000000000001</v>
      </c>
      <c r="F1195" s="2">
        <v>0.28999999999999998</v>
      </c>
      <c r="G1195" s="7">
        <v>0.37</v>
      </c>
      <c r="H1195" s="9" t="s">
        <v>27</v>
      </c>
      <c r="I1195">
        <v>0.55000000000000004</v>
      </c>
      <c r="J1195">
        <v>0.86</v>
      </c>
      <c r="K1195">
        <v>0.51</v>
      </c>
      <c r="L1195">
        <v>0.68</v>
      </c>
      <c r="M1195">
        <v>0.08</v>
      </c>
      <c r="N1195">
        <v>0.45</v>
      </c>
      <c r="O1195">
        <v>0.09</v>
      </c>
      <c r="P1195">
        <v>0.6</v>
      </c>
      <c r="Q1195">
        <v>0.28000000000000003</v>
      </c>
      <c r="R1195" s="2">
        <v>0.28999999999999998</v>
      </c>
      <c r="S1195" t="str">
        <f>IF(Table1[[#This Row],[Years_Experience]]&lt;=5,"Early Career",
IF(Table1[[#This Row],[Years_Experience]]&lt;=15,"Mid Career","Senior Level"))</f>
        <v>Senior Level</v>
      </c>
      <c r="T1195" t="str">
        <f>IF(Table1[[#This Row],[AI_Exposure_Index]]&gt;=0.7,"High Exposure", IF(Table1[[#This Row],[AI_Exposure_Index]]&gt;=0.3,"Medium Exposure","Low Exposure"))</f>
        <v>Low Exposure</v>
      </c>
    </row>
    <row r="1196" spans="1:20" x14ac:dyDescent="0.25">
      <c r="A1196" t="s">
        <v>36</v>
      </c>
      <c r="B1196">
        <v>94566</v>
      </c>
      <c r="C1196" s="1">
        <v>27</v>
      </c>
      <c r="D1196" t="s">
        <v>38</v>
      </c>
      <c r="E1196" s="7">
        <v>1.01</v>
      </c>
      <c r="F1196" s="2">
        <v>0.31</v>
      </c>
      <c r="G1196" s="7">
        <v>0.53</v>
      </c>
      <c r="H1196" s="9" t="s">
        <v>27</v>
      </c>
      <c r="I1196">
        <v>7.0000000000000007E-2</v>
      </c>
      <c r="J1196">
        <v>0.65</v>
      </c>
      <c r="K1196">
        <v>0.49</v>
      </c>
      <c r="L1196">
        <v>0.54</v>
      </c>
      <c r="M1196">
        <v>0.83</v>
      </c>
      <c r="N1196">
        <v>0.34</v>
      </c>
      <c r="O1196">
        <v>0.17</v>
      </c>
      <c r="P1196">
        <v>0.55000000000000004</v>
      </c>
      <c r="Q1196">
        <v>0.95</v>
      </c>
      <c r="R1196" s="2">
        <v>0.52</v>
      </c>
      <c r="S1196" t="str">
        <f>IF(Table1[[#This Row],[Years_Experience]]&lt;=5,"Early Career",
IF(Table1[[#This Row],[Years_Experience]]&lt;=15,"Mid Career","Senior Level"))</f>
        <v>Senior Level</v>
      </c>
      <c r="T1196" t="str">
        <f>IF(Table1[[#This Row],[AI_Exposure_Index]]&gt;=0.7,"High Exposure", IF(Table1[[#This Row],[AI_Exposure_Index]]&gt;=0.3,"Medium Exposure","Low Exposure"))</f>
        <v>Medium Exposure</v>
      </c>
    </row>
    <row r="1197" spans="1:20" x14ac:dyDescent="0.25">
      <c r="A1197" t="s">
        <v>32</v>
      </c>
      <c r="B1197">
        <v>42857</v>
      </c>
      <c r="C1197" s="1">
        <v>5</v>
      </c>
      <c r="D1197" t="s">
        <v>19</v>
      </c>
      <c r="E1197" s="7">
        <v>1.02</v>
      </c>
      <c r="F1197" s="2">
        <v>0.76</v>
      </c>
      <c r="G1197" s="7">
        <v>0.56000000000000005</v>
      </c>
      <c r="H1197" s="9" t="s">
        <v>27</v>
      </c>
      <c r="I1197">
        <v>0.41</v>
      </c>
      <c r="J1197">
        <v>0.53</v>
      </c>
      <c r="K1197">
        <v>0.51</v>
      </c>
      <c r="L1197">
        <v>0.71</v>
      </c>
      <c r="M1197">
        <v>0.41</v>
      </c>
      <c r="N1197">
        <v>0.1</v>
      </c>
      <c r="O1197">
        <v>0.79</v>
      </c>
      <c r="P1197">
        <v>0.68</v>
      </c>
      <c r="Q1197">
        <v>0.95</v>
      </c>
      <c r="R1197" s="2">
        <v>0.43</v>
      </c>
      <c r="S1197" t="str">
        <f>IF(Table1[[#This Row],[Years_Experience]]&lt;=5,"Early Career",
IF(Table1[[#This Row],[Years_Experience]]&lt;=15,"Mid Career","Senior Level"))</f>
        <v>Early Career</v>
      </c>
      <c r="T1197" t="str">
        <f>IF(Table1[[#This Row],[AI_Exposure_Index]]&gt;=0.7,"High Exposure", IF(Table1[[#This Row],[AI_Exposure_Index]]&gt;=0.3,"Medium Exposure","Low Exposure"))</f>
        <v>High Exposure</v>
      </c>
    </row>
    <row r="1198" spans="1:20" x14ac:dyDescent="0.25">
      <c r="A1198" t="s">
        <v>40</v>
      </c>
      <c r="B1198">
        <v>114271</v>
      </c>
      <c r="C1198" s="1">
        <v>7</v>
      </c>
      <c r="D1198" t="s">
        <v>38</v>
      </c>
      <c r="E1198" s="7">
        <v>1.27</v>
      </c>
      <c r="F1198" s="2">
        <v>0.12</v>
      </c>
      <c r="G1198" s="7">
        <v>7.0000000000000007E-2</v>
      </c>
      <c r="H1198" s="9" t="s">
        <v>23</v>
      </c>
      <c r="I1198">
        <v>0.91</v>
      </c>
      <c r="J1198">
        <v>0.28000000000000003</v>
      </c>
      <c r="K1198">
        <v>0.9</v>
      </c>
      <c r="L1198">
        <v>0.77</v>
      </c>
      <c r="M1198">
        <v>0.87</v>
      </c>
      <c r="N1198">
        <v>0.21</v>
      </c>
      <c r="O1198">
        <v>0.6</v>
      </c>
      <c r="P1198">
        <v>0.09</v>
      </c>
      <c r="Q1198">
        <v>0.2</v>
      </c>
      <c r="R1198" s="2">
        <v>0.31</v>
      </c>
      <c r="S1198" t="str">
        <f>IF(Table1[[#This Row],[Years_Experience]]&lt;=5,"Early Career",
IF(Table1[[#This Row],[Years_Experience]]&lt;=15,"Mid Career","Senior Level"))</f>
        <v>Mid Career</v>
      </c>
      <c r="T1198" t="str">
        <f>IF(Table1[[#This Row],[AI_Exposure_Index]]&gt;=0.7,"High Exposure", IF(Table1[[#This Row],[AI_Exposure_Index]]&gt;=0.3,"Medium Exposure","Low Exposure"))</f>
        <v>Low Exposure</v>
      </c>
    </row>
    <row r="1199" spans="1:20" x14ac:dyDescent="0.25">
      <c r="A1199" t="s">
        <v>34</v>
      </c>
      <c r="B1199">
        <v>104745</v>
      </c>
      <c r="C1199" s="1">
        <v>20</v>
      </c>
      <c r="D1199" t="s">
        <v>25</v>
      </c>
      <c r="E1199" s="7">
        <v>1.32</v>
      </c>
      <c r="F1199" s="2">
        <v>0.85</v>
      </c>
      <c r="G1199" s="7">
        <v>0.6</v>
      </c>
      <c r="H1199" s="9" t="s">
        <v>27</v>
      </c>
      <c r="I1199">
        <v>0.63</v>
      </c>
      <c r="J1199">
        <v>0.68</v>
      </c>
      <c r="K1199">
        <v>0.81</v>
      </c>
      <c r="L1199">
        <v>0.66</v>
      </c>
      <c r="M1199">
        <v>0.33</v>
      </c>
      <c r="N1199">
        <v>0.38</v>
      </c>
      <c r="O1199">
        <v>0.9</v>
      </c>
      <c r="P1199">
        <v>0.02</v>
      </c>
      <c r="Q1199">
        <v>0.7</v>
      </c>
      <c r="R1199" s="2">
        <v>0.95</v>
      </c>
      <c r="S1199" t="str">
        <f>IF(Table1[[#This Row],[Years_Experience]]&lt;=5,"Early Career",
IF(Table1[[#This Row],[Years_Experience]]&lt;=15,"Mid Career","Senior Level"))</f>
        <v>Senior Level</v>
      </c>
      <c r="T1199" t="str">
        <f>IF(Table1[[#This Row],[AI_Exposure_Index]]&gt;=0.7,"High Exposure", IF(Table1[[#This Row],[AI_Exposure_Index]]&gt;=0.3,"Medium Exposure","Low Exposure"))</f>
        <v>High Exposure</v>
      </c>
    </row>
    <row r="1200" spans="1:20" x14ac:dyDescent="0.25">
      <c r="A1200" t="s">
        <v>28</v>
      </c>
      <c r="B1200">
        <v>119729</v>
      </c>
      <c r="C1200" s="1">
        <v>24</v>
      </c>
      <c r="D1200" t="s">
        <v>19</v>
      </c>
      <c r="E1200" s="7">
        <v>1.19</v>
      </c>
      <c r="F1200" s="2">
        <v>0.99</v>
      </c>
      <c r="G1200" s="7">
        <v>0.31</v>
      </c>
      <c r="H1200" s="9" t="s">
        <v>27</v>
      </c>
      <c r="I1200">
        <v>0.83</v>
      </c>
      <c r="J1200">
        <v>0.28000000000000003</v>
      </c>
      <c r="K1200">
        <v>0.45</v>
      </c>
      <c r="L1200">
        <v>0.31</v>
      </c>
      <c r="M1200">
        <v>0.27</v>
      </c>
      <c r="N1200">
        <v>0.43</v>
      </c>
      <c r="O1200">
        <v>0.38</v>
      </c>
      <c r="P1200">
        <v>0.63</v>
      </c>
      <c r="Q1200">
        <v>0.81</v>
      </c>
      <c r="R1200" s="2">
        <v>0.3</v>
      </c>
      <c r="S1200" t="str">
        <f>IF(Table1[[#This Row],[Years_Experience]]&lt;=5,"Early Career",
IF(Table1[[#This Row],[Years_Experience]]&lt;=15,"Mid Career","Senior Level"))</f>
        <v>Senior Level</v>
      </c>
      <c r="T1200" t="str">
        <f>IF(Table1[[#This Row],[AI_Exposure_Index]]&gt;=0.7,"High Exposure", IF(Table1[[#This Row],[AI_Exposure_Index]]&gt;=0.3,"Medium Exposure","Low Exposure"))</f>
        <v>High Exposure</v>
      </c>
    </row>
    <row r="1201" spans="1:20" x14ac:dyDescent="0.25">
      <c r="A1201" t="s">
        <v>35</v>
      </c>
      <c r="B1201">
        <v>58134</v>
      </c>
      <c r="C1201" s="1">
        <v>20</v>
      </c>
      <c r="D1201" t="s">
        <v>38</v>
      </c>
      <c r="E1201" s="7">
        <v>1.17</v>
      </c>
      <c r="F1201" s="2">
        <v>0.67</v>
      </c>
      <c r="G1201" s="7">
        <v>0.66</v>
      </c>
      <c r="H1201" s="9" t="s">
        <v>27</v>
      </c>
      <c r="I1201">
        <v>0.02</v>
      </c>
      <c r="J1201">
        <v>0.85</v>
      </c>
      <c r="K1201">
        <v>0.52</v>
      </c>
      <c r="L1201">
        <v>0.62</v>
      </c>
      <c r="M1201">
        <v>0.09</v>
      </c>
      <c r="N1201">
        <v>0.43</v>
      </c>
      <c r="O1201">
        <v>0.23</v>
      </c>
      <c r="P1201">
        <v>0.25</v>
      </c>
      <c r="Q1201">
        <v>0.5</v>
      </c>
      <c r="R1201" s="2">
        <v>0.81</v>
      </c>
      <c r="S1201" t="str">
        <f>IF(Table1[[#This Row],[Years_Experience]]&lt;=5,"Early Career",
IF(Table1[[#This Row],[Years_Experience]]&lt;=15,"Mid Career","Senior Level"))</f>
        <v>Senior Level</v>
      </c>
      <c r="T1201" t="str">
        <f>IF(Table1[[#This Row],[AI_Exposure_Index]]&gt;=0.7,"High Exposure", IF(Table1[[#This Row],[AI_Exposure_Index]]&gt;=0.3,"Medium Exposure","Low Exposure"))</f>
        <v>Medium Exposure</v>
      </c>
    </row>
    <row r="1202" spans="1:20" x14ac:dyDescent="0.25">
      <c r="A1202" t="s">
        <v>41</v>
      </c>
      <c r="B1202">
        <v>57987</v>
      </c>
      <c r="C1202" s="1">
        <v>28</v>
      </c>
      <c r="D1202" t="s">
        <v>25</v>
      </c>
      <c r="E1202" s="7">
        <v>1.04</v>
      </c>
      <c r="F1202" s="2">
        <v>0.59</v>
      </c>
      <c r="G1202" s="7">
        <v>0.81</v>
      </c>
      <c r="H1202" s="9" t="s">
        <v>20</v>
      </c>
      <c r="I1202">
        <v>0.97</v>
      </c>
      <c r="J1202">
        <v>0.56000000000000005</v>
      </c>
      <c r="K1202">
        <v>0.25</v>
      </c>
      <c r="L1202">
        <v>0.23</v>
      </c>
      <c r="M1202">
        <v>0.61</v>
      </c>
      <c r="N1202">
        <v>0.52</v>
      </c>
      <c r="O1202">
        <v>0.01</v>
      </c>
      <c r="P1202">
        <v>0.83</v>
      </c>
      <c r="Q1202">
        <v>0.7</v>
      </c>
      <c r="R1202" s="2">
        <v>0.66</v>
      </c>
      <c r="S1202" t="str">
        <f>IF(Table1[[#This Row],[Years_Experience]]&lt;=5,"Early Career",
IF(Table1[[#This Row],[Years_Experience]]&lt;=15,"Mid Career","Senior Level"))</f>
        <v>Senior Level</v>
      </c>
      <c r="T1202" t="str">
        <f>IF(Table1[[#This Row],[AI_Exposure_Index]]&gt;=0.7,"High Exposure", IF(Table1[[#This Row],[AI_Exposure_Index]]&gt;=0.3,"Medium Exposure","Low Exposure"))</f>
        <v>Medium Exposure</v>
      </c>
    </row>
    <row r="1203" spans="1:20" x14ac:dyDescent="0.25">
      <c r="A1203" t="s">
        <v>34</v>
      </c>
      <c r="B1203">
        <v>135454</v>
      </c>
      <c r="C1203" s="1">
        <v>1</v>
      </c>
      <c r="D1203" t="s">
        <v>22</v>
      </c>
      <c r="E1203" s="7">
        <v>1.44</v>
      </c>
      <c r="F1203" s="2">
        <v>0.36</v>
      </c>
      <c r="G1203" s="7">
        <v>0.65</v>
      </c>
      <c r="H1203" s="9" t="s">
        <v>27</v>
      </c>
      <c r="I1203">
        <v>0.28999999999999998</v>
      </c>
      <c r="J1203">
        <v>0.16</v>
      </c>
      <c r="K1203">
        <v>0.45</v>
      </c>
      <c r="L1203">
        <v>0.36</v>
      </c>
      <c r="M1203">
        <v>0.68</v>
      </c>
      <c r="N1203">
        <v>0.97</v>
      </c>
      <c r="O1203">
        <v>0.36</v>
      </c>
      <c r="P1203">
        <v>0.06</v>
      </c>
      <c r="Q1203">
        <v>0.9</v>
      </c>
      <c r="R1203" s="2">
        <v>0.04</v>
      </c>
      <c r="S1203" t="str">
        <f>IF(Table1[[#This Row],[Years_Experience]]&lt;=5,"Early Career",
IF(Table1[[#This Row],[Years_Experience]]&lt;=15,"Mid Career","Senior Level"))</f>
        <v>Early Career</v>
      </c>
      <c r="T1203" t="str">
        <f>IF(Table1[[#This Row],[AI_Exposure_Index]]&gt;=0.7,"High Exposure", IF(Table1[[#This Row],[AI_Exposure_Index]]&gt;=0.3,"Medium Exposure","Low Exposure"))</f>
        <v>Medium Exposure</v>
      </c>
    </row>
    <row r="1204" spans="1:20" x14ac:dyDescent="0.25">
      <c r="A1204" t="s">
        <v>28</v>
      </c>
      <c r="B1204">
        <v>60539</v>
      </c>
      <c r="C1204" s="1">
        <v>3</v>
      </c>
      <c r="D1204" t="s">
        <v>22</v>
      </c>
      <c r="E1204" s="7">
        <v>1.44</v>
      </c>
      <c r="F1204" s="2">
        <v>0.66</v>
      </c>
      <c r="G1204" s="7">
        <v>0.38</v>
      </c>
      <c r="H1204" s="9" t="s">
        <v>27</v>
      </c>
      <c r="I1204">
        <v>0.04</v>
      </c>
      <c r="J1204">
        <v>0.49</v>
      </c>
      <c r="K1204">
        <v>0.45</v>
      </c>
      <c r="L1204">
        <v>0.33</v>
      </c>
      <c r="M1204">
        <v>0.96</v>
      </c>
      <c r="N1204">
        <v>0.82</v>
      </c>
      <c r="O1204">
        <v>0.66</v>
      </c>
      <c r="P1204">
        <v>0.16</v>
      </c>
      <c r="Q1204">
        <v>0.73</v>
      </c>
      <c r="R1204" s="2">
        <v>0.73</v>
      </c>
      <c r="S1204" t="str">
        <f>IF(Table1[[#This Row],[Years_Experience]]&lt;=5,"Early Career",
IF(Table1[[#This Row],[Years_Experience]]&lt;=15,"Mid Career","Senior Level"))</f>
        <v>Early Career</v>
      </c>
      <c r="T1204" t="str">
        <f>IF(Table1[[#This Row],[AI_Exposure_Index]]&gt;=0.7,"High Exposure", IF(Table1[[#This Row],[AI_Exposure_Index]]&gt;=0.3,"Medium Exposure","Low Exposure"))</f>
        <v>Medium Exposure</v>
      </c>
    </row>
    <row r="1205" spans="1:20" x14ac:dyDescent="0.25">
      <c r="A1205" t="s">
        <v>35</v>
      </c>
      <c r="B1205">
        <v>113081</v>
      </c>
      <c r="C1205" s="1">
        <v>17</v>
      </c>
      <c r="D1205" t="s">
        <v>22</v>
      </c>
      <c r="E1205" s="7">
        <v>0.67</v>
      </c>
      <c r="F1205" s="2">
        <v>0.92</v>
      </c>
      <c r="G1205" s="7">
        <v>0.41</v>
      </c>
      <c r="H1205" s="9" t="s">
        <v>27</v>
      </c>
      <c r="I1205">
        <v>0.06</v>
      </c>
      <c r="J1205">
        <v>0.8</v>
      </c>
      <c r="K1205">
        <v>0.62</v>
      </c>
      <c r="L1205">
        <v>0.31</v>
      </c>
      <c r="M1205">
        <v>0.16</v>
      </c>
      <c r="N1205">
        <v>0.04</v>
      </c>
      <c r="O1205">
        <v>0.17</v>
      </c>
      <c r="P1205">
        <v>0.45</v>
      </c>
      <c r="Q1205">
        <v>0.25</v>
      </c>
      <c r="R1205" s="2">
        <v>0.26</v>
      </c>
      <c r="S1205" t="str">
        <f>IF(Table1[[#This Row],[Years_Experience]]&lt;=5,"Early Career",
IF(Table1[[#This Row],[Years_Experience]]&lt;=15,"Mid Career","Senior Level"))</f>
        <v>Senior Level</v>
      </c>
      <c r="T1205" t="str">
        <f>IF(Table1[[#This Row],[AI_Exposure_Index]]&gt;=0.7,"High Exposure", IF(Table1[[#This Row],[AI_Exposure_Index]]&gt;=0.3,"Medium Exposure","Low Exposure"))</f>
        <v>High Exposure</v>
      </c>
    </row>
    <row r="1206" spans="1:20" x14ac:dyDescent="0.25">
      <c r="A1206" t="s">
        <v>32</v>
      </c>
      <c r="B1206">
        <v>146180</v>
      </c>
      <c r="C1206" s="1">
        <v>1</v>
      </c>
      <c r="D1206" t="s">
        <v>25</v>
      </c>
      <c r="E1206" s="7">
        <v>1.23</v>
      </c>
      <c r="F1206" s="2">
        <v>0.52</v>
      </c>
      <c r="G1206" s="7">
        <v>0.31</v>
      </c>
      <c r="H1206" s="9" t="s">
        <v>27</v>
      </c>
      <c r="I1206">
        <v>0.37</v>
      </c>
      <c r="J1206">
        <v>0.48</v>
      </c>
      <c r="K1206">
        <v>0.19</v>
      </c>
      <c r="L1206">
        <v>0.12</v>
      </c>
      <c r="M1206">
        <v>0.87</v>
      </c>
      <c r="N1206">
        <v>0.94</v>
      </c>
      <c r="O1206">
        <v>0.08</v>
      </c>
      <c r="P1206">
        <v>0.35</v>
      </c>
      <c r="Q1206">
        <v>0.96</v>
      </c>
      <c r="R1206" s="2">
        <v>0.08</v>
      </c>
      <c r="S1206" t="str">
        <f>IF(Table1[[#This Row],[Years_Experience]]&lt;=5,"Early Career",
IF(Table1[[#This Row],[Years_Experience]]&lt;=15,"Mid Career","Senior Level"))</f>
        <v>Early Career</v>
      </c>
      <c r="T1206" t="str">
        <f>IF(Table1[[#This Row],[AI_Exposure_Index]]&gt;=0.7,"High Exposure", IF(Table1[[#This Row],[AI_Exposure_Index]]&gt;=0.3,"Medium Exposure","Low Exposure"))</f>
        <v>Medium Exposure</v>
      </c>
    </row>
    <row r="1207" spans="1:20" x14ac:dyDescent="0.25">
      <c r="A1207" t="s">
        <v>31</v>
      </c>
      <c r="B1207">
        <v>140164</v>
      </c>
      <c r="C1207" s="1">
        <v>17</v>
      </c>
      <c r="D1207" t="s">
        <v>22</v>
      </c>
      <c r="E1207" s="7">
        <v>1.48</v>
      </c>
      <c r="F1207" s="2">
        <v>0.97</v>
      </c>
      <c r="G1207" s="7">
        <v>0.17</v>
      </c>
      <c r="H1207" s="9" t="s">
        <v>23</v>
      </c>
      <c r="I1207">
        <v>0.16</v>
      </c>
      <c r="J1207">
        <v>0.2</v>
      </c>
      <c r="K1207">
        <v>0.89</v>
      </c>
      <c r="L1207">
        <v>0.91</v>
      </c>
      <c r="M1207">
        <v>0.61</v>
      </c>
      <c r="N1207">
        <v>0.77</v>
      </c>
      <c r="O1207">
        <v>0.74</v>
      </c>
      <c r="P1207">
        <v>0.66</v>
      </c>
      <c r="Q1207">
        <v>0.83</v>
      </c>
      <c r="R1207" s="2">
        <v>0.69</v>
      </c>
      <c r="S1207" t="str">
        <f>IF(Table1[[#This Row],[Years_Experience]]&lt;=5,"Early Career",
IF(Table1[[#This Row],[Years_Experience]]&lt;=15,"Mid Career","Senior Level"))</f>
        <v>Senior Level</v>
      </c>
      <c r="T1207" t="str">
        <f>IF(Table1[[#This Row],[AI_Exposure_Index]]&gt;=0.7,"High Exposure", IF(Table1[[#This Row],[AI_Exposure_Index]]&gt;=0.3,"Medium Exposure","Low Exposure"))</f>
        <v>High Exposure</v>
      </c>
    </row>
    <row r="1208" spans="1:20" x14ac:dyDescent="0.25">
      <c r="A1208" t="s">
        <v>35</v>
      </c>
      <c r="B1208">
        <v>54599</v>
      </c>
      <c r="C1208" s="1">
        <v>27</v>
      </c>
      <c r="D1208" t="s">
        <v>19</v>
      </c>
      <c r="E1208" s="7">
        <v>1.24</v>
      </c>
      <c r="F1208" s="2">
        <v>0.24</v>
      </c>
      <c r="G1208" s="7">
        <v>0.49</v>
      </c>
      <c r="H1208" s="9" t="s">
        <v>27</v>
      </c>
      <c r="I1208">
        <v>0.28999999999999998</v>
      </c>
      <c r="J1208">
        <v>0.8</v>
      </c>
      <c r="K1208">
        <v>0.7</v>
      </c>
      <c r="L1208">
        <v>0.94</v>
      </c>
      <c r="M1208">
        <v>0.17</v>
      </c>
      <c r="N1208">
        <v>0.65</v>
      </c>
      <c r="O1208">
        <v>0.24</v>
      </c>
      <c r="P1208">
        <v>0.9</v>
      </c>
      <c r="Q1208">
        <v>0.1</v>
      </c>
      <c r="R1208" s="2">
        <v>0.66</v>
      </c>
      <c r="S1208" t="str">
        <f>IF(Table1[[#This Row],[Years_Experience]]&lt;=5,"Early Career",
IF(Table1[[#This Row],[Years_Experience]]&lt;=15,"Mid Career","Senior Level"))</f>
        <v>Senior Level</v>
      </c>
      <c r="T1208" t="str">
        <f>IF(Table1[[#This Row],[AI_Exposure_Index]]&gt;=0.7,"High Exposure", IF(Table1[[#This Row],[AI_Exposure_Index]]&gt;=0.3,"Medium Exposure","Low Exposure"))</f>
        <v>Low Exposure</v>
      </c>
    </row>
    <row r="1209" spans="1:20" x14ac:dyDescent="0.25">
      <c r="A1209" t="s">
        <v>26</v>
      </c>
      <c r="B1209">
        <v>68921</v>
      </c>
      <c r="C1209" s="1">
        <v>19</v>
      </c>
      <c r="D1209" t="s">
        <v>19</v>
      </c>
      <c r="E1209" s="7">
        <v>1.45</v>
      </c>
      <c r="F1209" s="2">
        <v>0.35</v>
      </c>
      <c r="G1209" s="7">
        <v>0.64</v>
      </c>
      <c r="H1209" s="9" t="s">
        <v>27</v>
      </c>
      <c r="I1209">
        <v>0.28999999999999998</v>
      </c>
      <c r="J1209">
        <v>0.01</v>
      </c>
      <c r="K1209">
        <v>0.3</v>
      </c>
      <c r="L1209">
        <v>0.28000000000000003</v>
      </c>
      <c r="M1209">
        <v>0.89</v>
      </c>
      <c r="N1209">
        <v>0.97</v>
      </c>
      <c r="O1209">
        <v>7.0000000000000007E-2</v>
      </c>
      <c r="P1209">
        <v>0.47</v>
      </c>
      <c r="Q1209">
        <v>0.55000000000000004</v>
      </c>
      <c r="R1209" s="2">
        <v>0.09</v>
      </c>
      <c r="S1209" t="str">
        <f>IF(Table1[[#This Row],[Years_Experience]]&lt;=5,"Early Career",
IF(Table1[[#This Row],[Years_Experience]]&lt;=15,"Mid Career","Senior Level"))</f>
        <v>Senior Level</v>
      </c>
      <c r="T1209" t="str">
        <f>IF(Table1[[#This Row],[AI_Exposure_Index]]&gt;=0.7,"High Exposure", IF(Table1[[#This Row],[AI_Exposure_Index]]&gt;=0.3,"Medium Exposure","Low Exposure"))</f>
        <v>Medium Exposure</v>
      </c>
    </row>
    <row r="1210" spans="1:20" x14ac:dyDescent="0.25">
      <c r="A1210" t="s">
        <v>44</v>
      </c>
      <c r="B1210">
        <v>140747</v>
      </c>
      <c r="C1210" s="1">
        <v>11</v>
      </c>
      <c r="D1210" t="s">
        <v>22</v>
      </c>
      <c r="E1210" s="7">
        <v>1.46</v>
      </c>
      <c r="F1210" s="2">
        <v>0.65</v>
      </c>
      <c r="G1210" s="7">
        <v>0.43</v>
      </c>
      <c r="H1210" s="9" t="s">
        <v>27</v>
      </c>
      <c r="I1210">
        <v>0.21</v>
      </c>
      <c r="J1210">
        <v>0.56000000000000005</v>
      </c>
      <c r="K1210">
        <v>0.54</v>
      </c>
      <c r="L1210">
        <v>0.59</v>
      </c>
      <c r="M1210">
        <v>0.35</v>
      </c>
      <c r="N1210">
        <v>0.01</v>
      </c>
      <c r="O1210">
        <v>0.04</v>
      </c>
      <c r="P1210">
        <v>0.66</v>
      </c>
      <c r="Q1210">
        <v>0.52</v>
      </c>
      <c r="R1210" s="2">
        <v>0.82</v>
      </c>
      <c r="S1210" t="str">
        <f>IF(Table1[[#This Row],[Years_Experience]]&lt;=5,"Early Career",
IF(Table1[[#This Row],[Years_Experience]]&lt;=15,"Mid Career","Senior Level"))</f>
        <v>Mid Career</v>
      </c>
      <c r="T1210" t="str">
        <f>IF(Table1[[#This Row],[AI_Exposure_Index]]&gt;=0.7,"High Exposure", IF(Table1[[#This Row],[AI_Exposure_Index]]&gt;=0.3,"Medium Exposure","Low Exposure"))</f>
        <v>Medium Exposure</v>
      </c>
    </row>
    <row r="1211" spans="1:20" x14ac:dyDescent="0.25">
      <c r="A1211" t="s">
        <v>28</v>
      </c>
      <c r="B1211">
        <v>138809</v>
      </c>
      <c r="C1211" s="1">
        <v>19</v>
      </c>
      <c r="D1211" t="s">
        <v>38</v>
      </c>
      <c r="E1211" s="7">
        <v>0.93</v>
      </c>
      <c r="F1211" s="2">
        <v>0.82</v>
      </c>
      <c r="G1211" s="7">
        <v>0.34</v>
      </c>
      <c r="H1211" s="9" t="s">
        <v>27</v>
      </c>
      <c r="I1211">
        <v>0.98</v>
      </c>
      <c r="J1211">
        <v>0.51</v>
      </c>
      <c r="K1211">
        <v>0.63</v>
      </c>
      <c r="L1211">
        <v>0.67</v>
      </c>
      <c r="M1211">
        <v>0.36</v>
      </c>
      <c r="N1211">
        <v>0.75</v>
      </c>
      <c r="O1211">
        <v>0.87</v>
      </c>
      <c r="P1211">
        <v>0.39</v>
      </c>
      <c r="Q1211">
        <v>0.66</v>
      </c>
      <c r="R1211" s="2">
        <v>0.76</v>
      </c>
      <c r="S1211" t="str">
        <f>IF(Table1[[#This Row],[Years_Experience]]&lt;=5,"Early Career",
IF(Table1[[#This Row],[Years_Experience]]&lt;=15,"Mid Career","Senior Level"))</f>
        <v>Senior Level</v>
      </c>
      <c r="T1211" t="str">
        <f>IF(Table1[[#This Row],[AI_Exposure_Index]]&gt;=0.7,"High Exposure", IF(Table1[[#This Row],[AI_Exposure_Index]]&gt;=0.3,"Medium Exposure","Low Exposure"))</f>
        <v>High Exposure</v>
      </c>
    </row>
    <row r="1212" spans="1:20" x14ac:dyDescent="0.25">
      <c r="A1212" t="s">
        <v>30</v>
      </c>
      <c r="B1212">
        <v>35983</v>
      </c>
      <c r="C1212" s="1">
        <v>19</v>
      </c>
      <c r="D1212" t="s">
        <v>38</v>
      </c>
      <c r="E1212" s="7">
        <v>0.61</v>
      </c>
      <c r="F1212" s="2">
        <v>0.33</v>
      </c>
      <c r="G1212" s="7">
        <v>0.54</v>
      </c>
      <c r="H1212" s="9" t="s">
        <v>27</v>
      </c>
      <c r="I1212">
        <v>0.8</v>
      </c>
      <c r="J1212">
        <v>0.61</v>
      </c>
      <c r="K1212">
        <v>0.18</v>
      </c>
      <c r="L1212">
        <v>0.55000000000000004</v>
      </c>
      <c r="M1212">
        <v>0.83</v>
      </c>
      <c r="N1212">
        <v>0.3</v>
      </c>
      <c r="O1212">
        <v>0.83</v>
      </c>
      <c r="P1212">
        <v>0.78</v>
      </c>
      <c r="Q1212">
        <v>0.02</v>
      </c>
      <c r="R1212" s="2">
        <v>0.24</v>
      </c>
      <c r="S1212" t="str">
        <f>IF(Table1[[#This Row],[Years_Experience]]&lt;=5,"Early Career",
IF(Table1[[#This Row],[Years_Experience]]&lt;=15,"Mid Career","Senior Level"))</f>
        <v>Senior Level</v>
      </c>
      <c r="T1212" t="str">
        <f>IF(Table1[[#This Row],[AI_Exposure_Index]]&gt;=0.7,"High Exposure", IF(Table1[[#This Row],[AI_Exposure_Index]]&gt;=0.3,"Medium Exposure","Low Exposure"))</f>
        <v>Medium Exposure</v>
      </c>
    </row>
    <row r="1213" spans="1:20" x14ac:dyDescent="0.25">
      <c r="A1213" t="s">
        <v>18</v>
      </c>
      <c r="B1213">
        <v>47946</v>
      </c>
      <c r="C1213" s="1">
        <v>7</v>
      </c>
      <c r="D1213" t="s">
        <v>25</v>
      </c>
      <c r="E1213" s="7">
        <v>1.38</v>
      </c>
      <c r="F1213" s="2">
        <v>0.72</v>
      </c>
      <c r="G1213" s="7">
        <v>0.86</v>
      </c>
      <c r="H1213" s="9" t="s">
        <v>20</v>
      </c>
      <c r="I1213">
        <v>0.38</v>
      </c>
      <c r="J1213">
        <v>0.18</v>
      </c>
      <c r="K1213">
        <v>0.76</v>
      </c>
      <c r="L1213">
        <v>0.21</v>
      </c>
      <c r="M1213">
        <v>0.7</v>
      </c>
      <c r="N1213">
        <v>0.18</v>
      </c>
      <c r="O1213">
        <v>0.09</v>
      </c>
      <c r="P1213">
        <v>0.25</v>
      </c>
      <c r="Q1213">
        <v>0.28000000000000003</v>
      </c>
      <c r="R1213" s="2">
        <v>0.65</v>
      </c>
      <c r="S1213" t="str">
        <f>IF(Table1[[#This Row],[Years_Experience]]&lt;=5,"Early Career",
IF(Table1[[#This Row],[Years_Experience]]&lt;=15,"Mid Career","Senior Level"))</f>
        <v>Mid Career</v>
      </c>
      <c r="T1213" t="str">
        <f>IF(Table1[[#This Row],[AI_Exposure_Index]]&gt;=0.7,"High Exposure", IF(Table1[[#This Row],[AI_Exposure_Index]]&gt;=0.3,"Medium Exposure","Low Exposure"))</f>
        <v>High Exposure</v>
      </c>
    </row>
    <row r="1214" spans="1:20" x14ac:dyDescent="0.25">
      <c r="A1214" t="s">
        <v>41</v>
      </c>
      <c r="B1214">
        <v>138295</v>
      </c>
      <c r="C1214" s="1">
        <v>29</v>
      </c>
      <c r="D1214" t="s">
        <v>19</v>
      </c>
      <c r="E1214" s="7">
        <v>0.53</v>
      </c>
      <c r="F1214" s="2">
        <v>0.2</v>
      </c>
      <c r="G1214" s="7">
        <v>0.83</v>
      </c>
      <c r="H1214" s="9" t="s">
        <v>20</v>
      </c>
      <c r="I1214">
        <v>0.08</v>
      </c>
      <c r="J1214">
        <v>0.47</v>
      </c>
      <c r="K1214">
        <v>0.93</v>
      </c>
      <c r="L1214">
        <v>0.72</v>
      </c>
      <c r="M1214">
        <v>0.08</v>
      </c>
      <c r="N1214">
        <v>0.22</v>
      </c>
      <c r="O1214">
        <v>0.67</v>
      </c>
      <c r="P1214">
        <v>0.89</v>
      </c>
      <c r="Q1214">
        <v>0.03</v>
      </c>
      <c r="R1214" s="2">
        <v>0.81</v>
      </c>
      <c r="S1214" t="str">
        <f>IF(Table1[[#This Row],[Years_Experience]]&lt;=5,"Early Career",
IF(Table1[[#This Row],[Years_Experience]]&lt;=15,"Mid Career","Senior Level"))</f>
        <v>Senior Level</v>
      </c>
      <c r="T1214" t="str">
        <f>IF(Table1[[#This Row],[AI_Exposure_Index]]&gt;=0.7,"High Exposure", IF(Table1[[#This Row],[AI_Exposure_Index]]&gt;=0.3,"Medium Exposure","Low Exposure"))</f>
        <v>Low Exposure</v>
      </c>
    </row>
    <row r="1215" spans="1:20" x14ac:dyDescent="0.25">
      <c r="A1215" t="s">
        <v>43</v>
      </c>
      <c r="B1215">
        <v>97806</v>
      </c>
      <c r="C1215" s="1">
        <v>11</v>
      </c>
      <c r="D1215" t="s">
        <v>19</v>
      </c>
      <c r="E1215" s="7">
        <v>1.46</v>
      </c>
      <c r="F1215" s="2">
        <v>0.55000000000000004</v>
      </c>
      <c r="G1215" s="7">
        <v>0.24</v>
      </c>
      <c r="H1215" s="9" t="s">
        <v>23</v>
      </c>
      <c r="I1215">
        <v>0.85</v>
      </c>
      <c r="J1215">
        <v>0.35</v>
      </c>
      <c r="K1215">
        <v>0.55000000000000004</v>
      </c>
      <c r="L1215">
        <v>0.62</v>
      </c>
      <c r="M1215">
        <v>0.32</v>
      </c>
      <c r="N1215">
        <v>0.56999999999999995</v>
      </c>
      <c r="O1215">
        <v>0.24</v>
      </c>
      <c r="P1215">
        <v>0.14000000000000001</v>
      </c>
      <c r="Q1215">
        <v>0.37</v>
      </c>
      <c r="R1215" s="2">
        <v>0.74</v>
      </c>
      <c r="S1215" t="str">
        <f>IF(Table1[[#This Row],[Years_Experience]]&lt;=5,"Early Career",
IF(Table1[[#This Row],[Years_Experience]]&lt;=15,"Mid Career","Senior Level"))</f>
        <v>Mid Career</v>
      </c>
      <c r="T1215" t="str">
        <f>IF(Table1[[#This Row],[AI_Exposure_Index]]&gt;=0.7,"High Exposure", IF(Table1[[#This Row],[AI_Exposure_Index]]&gt;=0.3,"Medium Exposure","Low Exposure"))</f>
        <v>Medium Exposure</v>
      </c>
    </row>
    <row r="1216" spans="1:20" x14ac:dyDescent="0.25">
      <c r="A1216" t="s">
        <v>36</v>
      </c>
      <c r="B1216">
        <v>111339</v>
      </c>
      <c r="C1216" s="1">
        <v>0</v>
      </c>
      <c r="D1216" t="s">
        <v>38</v>
      </c>
      <c r="E1216" s="7">
        <v>1.1399999999999999</v>
      </c>
      <c r="F1216" s="2">
        <v>0.46</v>
      </c>
      <c r="G1216" s="7">
        <v>0.34</v>
      </c>
      <c r="H1216" s="9" t="s">
        <v>27</v>
      </c>
      <c r="I1216">
        <v>0.9</v>
      </c>
      <c r="J1216">
        <v>0.56999999999999995</v>
      </c>
      <c r="K1216">
        <v>0.78</v>
      </c>
      <c r="L1216">
        <v>0.79</v>
      </c>
      <c r="M1216">
        <v>0.26</v>
      </c>
      <c r="N1216">
        <v>0.53</v>
      </c>
      <c r="O1216">
        <v>0.96</v>
      </c>
      <c r="P1216">
        <v>0.09</v>
      </c>
      <c r="Q1216">
        <v>0.68</v>
      </c>
      <c r="R1216" s="2">
        <v>0.96</v>
      </c>
      <c r="S1216" t="str">
        <f>IF(Table1[[#This Row],[Years_Experience]]&lt;=5,"Early Career",
IF(Table1[[#This Row],[Years_Experience]]&lt;=15,"Mid Career","Senior Level"))</f>
        <v>Early Career</v>
      </c>
      <c r="T1216" t="str">
        <f>IF(Table1[[#This Row],[AI_Exposure_Index]]&gt;=0.7,"High Exposure", IF(Table1[[#This Row],[AI_Exposure_Index]]&gt;=0.3,"Medium Exposure","Low Exposure"))</f>
        <v>Medium Exposure</v>
      </c>
    </row>
    <row r="1217" spans="1:20" x14ac:dyDescent="0.25">
      <c r="A1217" t="s">
        <v>36</v>
      </c>
      <c r="B1217">
        <v>70720</v>
      </c>
      <c r="C1217" s="1">
        <v>17</v>
      </c>
      <c r="D1217" t="s">
        <v>38</v>
      </c>
      <c r="E1217" s="7">
        <v>1.43</v>
      </c>
      <c r="F1217" s="2">
        <v>0.86</v>
      </c>
      <c r="G1217" s="7">
        <v>0.6</v>
      </c>
      <c r="H1217" s="9" t="s">
        <v>27</v>
      </c>
      <c r="I1217">
        <v>0.23</v>
      </c>
      <c r="J1217">
        <v>0.33</v>
      </c>
      <c r="K1217">
        <v>0.04</v>
      </c>
      <c r="L1217">
        <v>0.83</v>
      </c>
      <c r="M1217">
        <v>0.85</v>
      </c>
      <c r="N1217">
        <v>0.63</v>
      </c>
      <c r="O1217">
        <v>0.35</v>
      </c>
      <c r="P1217">
        <v>0.08</v>
      </c>
      <c r="Q1217">
        <v>0.75</v>
      </c>
      <c r="R1217" s="2">
        <v>0.73</v>
      </c>
      <c r="S1217" t="str">
        <f>IF(Table1[[#This Row],[Years_Experience]]&lt;=5,"Early Career",
IF(Table1[[#This Row],[Years_Experience]]&lt;=15,"Mid Career","Senior Level"))</f>
        <v>Senior Level</v>
      </c>
      <c r="T1217" t="str">
        <f>IF(Table1[[#This Row],[AI_Exposure_Index]]&gt;=0.7,"High Exposure", IF(Table1[[#This Row],[AI_Exposure_Index]]&gt;=0.3,"Medium Exposure","Low Exposure"))</f>
        <v>High Exposure</v>
      </c>
    </row>
    <row r="1218" spans="1:20" x14ac:dyDescent="0.25">
      <c r="A1218" t="s">
        <v>32</v>
      </c>
      <c r="B1218">
        <v>50914</v>
      </c>
      <c r="C1218" s="1">
        <v>19</v>
      </c>
      <c r="D1218" t="s">
        <v>38</v>
      </c>
      <c r="E1218" s="7">
        <v>1.33</v>
      </c>
      <c r="F1218" s="2">
        <v>0.73</v>
      </c>
      <c r="G1218" s="7">
        <v>0.6</v>
      </c>
      <c r="H1218" s="9" t="s">
        <v>27</v>
      </c>
      <c r="I1218">
        <v>0.63</v>
      </c>
      <c r="J1218">
        <v>0.43</v>
      </c>
      <c r="K1218">
        <v>0.9</v>
      </c>
      <c r="L1218">
        <v>0.65</v>
      </c>
      <c r="M1218">
        <v>0.4</v>
      </c>
      <c r="N1218">
        <v>0.08</v>
      </c>
      <c r="O1218">
        <v>0.28999999999999998</v>
      </c>
      <c r="P1218">
        <v>0.54</v>
      </c>
      <c r="Q1218">
        <v>0.28000000000000003</v>
      </c>
      <c r="R1218" s="2">
        <v>0.22</v>
      </c>
      <c r="S1218" t="str">
        <f>IF(Table1[[#This Row],[Years_Experience]]&lt;=5,"Early Career",
IF(Table1[[#This Row],[Years_Experience]]&lt;=15,"Mid Career","Senior Level"))</f>
        <v>Senior Level</v>
      </c>
      <c r="T1218" t="str">
        <f>IF(Table1[[#This Row],[AI_Exposure_Index]]&gt;=0.7,"High Exposure", IF(Table1[[#This Row],[AI_Exposure_Index]]&gt;=0.3,"Medium Exposure","Low Exposure"))</f>
        <v>High Exposure</v>
      </c>
    </row>
    <row r="1219" spans="1:20" x14ac:dyDescent="0.25">
      <c r="A1219" t="s">
        <v>28</v>
      </c>
      <c r="B1219">
        <v>112684</v>
      </c>
      <c r="C1219" s="1">
        <v>28</v>
      </c>
      <c r="D1219" t="s">
        <v>38</v>
      </c>
      <c r="E1219" s="7">
        <v>1.3</v>
      </c>
      <c r="F1219" s="2">
        <v>0.17</v>
      </c>
      <c r="G1219" s="7">
        <v>0.49</v>
      </c>
      <c r="H1219" s="9" t="s">
        <v>27</v>
      </c>
      <c r="I1219">
        <v>0.56999999999999995</v>
      </c>
      <c r="J1219">
        <v>0.15</v>
      </c>
      <c r="K1219">
        <v>0.32</v>
      </c>
      <c r="L1219">
        <v>0.41</v>
      </c>
      <c r="M1219">
        <v>0.81</v>
      </c>
      <c r="N1219">
        <v>0.77</v>
      </c>
      <c r="O1219">
        <v>0.22</v>
      </c>
      <c r="P1219">
        <v>0.62</v>
      </c>
      <c r="Q1219">
        <v>0.24</v>
      </c>
      <c r="R1219" s="2">
        <v>0.99</v>
      </c>
      <c r="S1219" t="str">
        <f>IF(Table1[[#This Row],[Years_Experience]]&lt;=5,"Early Career",
IF(Table1[[#This Row],[Years_Experience]]&lt;=15,"Mid Career","Senior Level"))</f>
        <v>Senior Level</v>
      </c>
      <c r="T1219" t="str">
        <f>IF(Table1[[#This Row],[AI_Exposure_Index]]&gt;=0.7,"High Exposure", IF(Table1[[#This Row],[AI_Exposure_Index]]&gt;=0.3,"Medium Exposure","Low Exposure"))</f>
        <v>Low Exposure</v>
      </c>
    </row>
    <row r="1220" spans="1:20" x14ac:dyDescent="0.25">
      <c r="A1220" t="s">
        <v>32</v>
      </c>
      <c r="B1220">
        <v>55568</v>
      </c>
      <c r="C1220" s="1">
        <v>19</v>
      </c>
      <c r="D1220" t="s">
        <v>22</v>
      </c>
      <c r="E1220" s="7">
        <v>1.2</v>
      </c>
      <c r="F1220" s="2">
        <v>0.56000000000000005</v>
      </c>
      <c r="G1220" s="7">
        <v>0.62</v>
      </c>
      <c r="H1220" s="9" t="s">
        <v>27</v>
      </c>
      <c r="I1220">
        <v>0.72</v>
      </c>
      <c r="J1220">
        <v>0.7</v>
      </c>
      <c r="K1220">
        <v>0.96</v>
      </c>
      <c r="L1220">
        <v>0.6</v>
      </c>
      <c r="M1220">
        <v>0.64</v>
      </c>
      <c r="N1220">
        <v>0.85</v>
      </c>
      <c r="O1220">
        <v>0.67</v>
      </c>
      <c r="P1220">
        <v>0.73</v>
      </c>
      <c r="Q1220">
        <v>0.23</v>
      </c>
      <c r="R1220" s="2">
        <v>0.37</v>
      </c>
      <c r="S1220" t="str">
        <f>IF(Table1[[#This Row],[Years_Experience]]&lt;=5,"Early Career",
IF(Table1[[#This Row],[Years_Experience]]&lt;=15,"Mid Career","Senior Level"))</f>
        <v>Senior Level</v>
      </c>
      <c r="T1220" t="str">
        <f>IF(Table1[[#This Row],[AI_Exposure_Index]]&gt;=0.7,"High Exposure", IF(Table1[[#This Row],[AI_Exposure_Index]]&gt;=0.3,"Medium Exposure","Low Exposure"))</f>
        <v>Medium Exposure</v>
      </c>
    </row>
    <row r="1221" spans="1:20" x14ac:dyDescent="0.25">
      <c r="A1221" t="s">
        <v>37</v>
      </c>
      <c r="B1221">
        <v>130965</v>
      </c>
      <c r="C1221" s="1">
        <v>29</v>
      </c>
      <c r="D1221" t="s">
        <v>25</v>
      </c>
      <c r="E1221" s="7">
        <v>0.96</v>
      </c>
      <c r="F1221" s="2">
        <v>0.51</v>
      </c>
      <c r="G1221" s="7">
        <v>0.7</v>
      </c>
      <c r="H1221" s="9" t="s">
        <v>27</v>
      </c>
      <c r="I1221">
        <v>0.61</v>
      </c>
      <c r="J1221">
        <v>0.79</v>
      </c>
      <c r="K1221">
        <v>0.33</v>
      </c>
      <c r="L1221">
        <v>0.83</v>
      </c>
      <c r="M1221">
        <v>0.62</v>
      </c>
      <c r="N1221">
        <v>0.7</v>
      </c>
      <c r="O1221">
        <v>0.28999999999999998</v>
      </c>
      <c r="P1221">
        <v>0.55000000000000004</v>
      </c>
      <c r="Q1221">
        <v>0.63</v>
      </c>
      <c r="R1221" s="2">
        <v>0.59</v>
      </c>
      <c r="S1221" t="str">
        <f>IF(Table1[[#This Row],[Years_Experience]]&lt;=5,"Early Career",
IF(Table1[[#This Row],[Years_Experience]]&lt;=15,"Mid Career","Senior Level"))</f>
        <v>Senior Level</v>
      </c>
      <c r="T1221" t="str">
        <f>IF(Table1[[#This Row],[AI_Exposure_Index]]&gt;=0.7,"High Exposure", IF(Table1[[#This Row],[AI_Exposure_Index]]&gt;=0.3,"Medium Exposure","Low Exposure"))</f>
        <v>Medium Exposure</v>
      </c>
    </row>
    <row r="1222" spans="1:20" x14ac:dyDescent="0.25">
      <c r="A1222" t="s">
        <v>40</v>
      </c>
      <c r="B1222">
        <v>38861</v>
      </c>
      <c r="C1222" s="1">
        <v>29</v>
      </c>
      <c r="D1222" t="s">
        <v>38</v>
      </c>
      <c r="E1222" s="7">
        <v>1.47</v>
      </c>
      <c r="F1222" s="2">
        <v>0.9</v>
      </c>
      <c r="G1222" s="7">
        <v>0.22</v>
      </c>
      <c r="H1222" s="9" t="s">
        <v>23</v>
      </c>
      <c r="I1222">
        <v>0.97</v>
      </c>
      <c r="J1222">
        <v>0.83</v>
      </c>
      <c r="K1222">
        <v>0.27</v>
      </c>
      <c r="L1222">
        <v>0.43</v>
      </c>
      <c r="M1222">
        <v>0.24</v>
      </c>
      <c r="N1222">
        <v>0</v>
      </c>
      <c r="O1222">
        <v>0.19</v>
      </c>
      <c r="P1222">
        <v>0</v>
      </c>
      <c r="Q1222">
        <v>0.72</v>
      </c>
      <c r="R1222" s="2">
        <v>0.43</v>
      </c>
      <c r="S1222" t="str">
        <f>IF(Table1[[#This Row],[Years_Experience]]&lt;=5,"Early Career",
IF(Table1[[#This Row],[Years_Experience]]&lt;=15,"Mid Career","Senior Level"))</f>
        <v>Senior Level</v>
      </c>
      <c r="T1222" t="str">
        <f>IF(Table1[[#This Row],[AI_Exposure_Index]]&gt;=0.7,"High Exposure", IF(Table1[[#This Row],[AI_Exposure_Index]]&gt;=0.3,"Medium Exposure","Low Exposure"))</f>
        <v>High Exposure</v>
      </c>
    </row>
    <row r="1223" spans="1:20" x14ac:dyDescent="0.25">
      <c r="A1223" t="s">
        <v>31</v>
      </c>
      <c r="B1223">
        <v>88812</v>
      </c>
      <c r="C1223" s="1">
        <v>18</v>
      </c>
      <c r="D1223" t="s">
        <v>38</v>
      </c>
      <c r="E1223" s="7">
        <v>1.33</v>
      </c>
      <c r="F1223" s="2">
        <v>0.76</v>
      </c>
      <c r="G1223" s="7">
        <v>0.28999999999999998</v>
      </c>
      <c r="H1223" s="9" t="s">
        <v>23</v>
      </c>
      <c r="I1223">
        <v>0.64</v>
      </c>
      <c r="J1223">
        <v>0.46</v>
      </c>
      <c r="K1223">
        <v>0.31</v>
      </c>
      <c r="L1223">
        <v>0.22</v>
      </c>
      <c r="M1223">
        <v>0.21</v>
      </c>
      <c r="N1223">
        <v>0.41</v>
      </c>
      <c r="O1223">
        <v>0.99</v>
      </c>
      <c r="P1223">
        <v>0</v>
      </c>
      <c r="Q1223">
        <v>0.2</v>
      </c>
      <c r="R1223" s="2">
        <v>0.19</v>
      </c>
      <c r="S1223" t="str">
        <f>IF(Table1[[#This Row],[Years_Experience]]&lt;=5,"Early Career",
IF(Table1[[#This Row],[Years_Experience]]&lt;=15,"Mid Career","Senior Level"))</f>
        <v>Senior Level</v>
      </c>
      <c r="T1223" t="str">
        <f>IF(Table1[[#This Row],[AI_Exposure_Index]]&gt;=0.7,"High Exposure", IF(Table1[[#This Row],[AI_Exposure_Index]]&gt;=0.3,"Medium Exposure","Low Exposure"))</f>
        <v>High Exposure</v>
      </c>
    </row>
    <row r="1224" spans="1:20" x14ac:dyDescent="0.25">
      <c r="A1224" t="s">
        <v>28</v>
      </c>
      <c r="B1224">
        <v>104900</v>
      </c>
      <c r="C1224" s="1">
        <v>16</v>
      </c>
      <c r="D1224" t="s">
        <v>22</v>
      </c>
      <c r="E1224" s="7">
        <v>0.96</v>
      </c>
      <c r="F1224" s="2">
        <v>0.35</v>
      </c>
      <c r="G1224" s="7">
        <v>0.36</v>
      </c>
      <c r="H1224" s="9" t="s">
        <v>27</v>
      </c>
      <c r="I1224">
        <v>0.4</v>
      </c>
      <c r="J1224">
        <v>0.1</v>
      </c>
      <c r="K1224">
        <v>0.53</v>
      </c>
      <c r="L1224">
        <v>0.1</v>
      </c>
      <c r="M1224">
        <v>0.79</v>
      </c>
      <c r="N1224">
        <v>0.56999999999999995</v>
      </c>
      <c r="O1224">
        <v>0.72</v>
      </c>
      <c r="P1224">
        <v>0.42</v>
      </c>
      <c r="Q1224">
        <v>0.38</v>
      </c>
      <c r="R1224" s="2">
        <v>0.1</v>
      </c>
      <c r="S1224" t="str">
        <f>IF(Table1[[#This Row],[Years_Experience]]&lt;=5,"Early Career",
IF(Table1[[#This Row],[Years_Experience]]&lt;=15,"Mid Career","Senior Level"))</f>
        <v>Senior Level</v>
      </c>
      <c r="T1224" t="str">
        <f>IF(Table1[[#This Row],[AI_Exposure_Index]]&gt;=0.7,"High Exposure", IF(Table1[[#This Row],[AI_Exposure_Index]]&gt;=0.3,"Medium Exposure","Low Exposure"))</f>
        <v>Medium Exposure</v>
      </c>
    </row>
    <row r="1225" spans="1:20" x14ac:dyDescent="0.25">
      <c r="A1225" t="s">
        <v>29</v>
      </c>
      <c r="B1225">
        <v>121814</v>
      </c>
      <c r="C1225" s="1">
        <v>0</v>
      </c>
      <c r="D1225" t="s">
        <v>25</v>
      </c>
      <c r="E1225" s="7">
        <v>0.97</v>
      </c>
      <c r="F1225" s="2">
        <v>0.51</v>
      </c>
      <c r="G1225" s="7">
        <v>0.24</v>
      </c>
      <c r="H1225" s="9" t="s">
        <v>23</v>
      </c>
      <c r="I1225">
        <v>0.83</v>
      </c>
      <c r="J1225">
        <v>0.75</v>
      </c>
      <c r="K1225">
        <v>0.14000000000000001</v>
      </c>
      <c r="L1225">
        <v>0.62</v>
      </c>
      <c r="M1225">
        <v>0.08</v>
      </c>
      <c r="N1225">
        <v>0.69</v>
      </c>
      <c r="O1225">
        <v>0.38</v>
      </c>
      <c r="P1225">
        <v>0.13</v>
      </c>
      <c r="Q1225">
        <v>0.86</v>
      </c>
      <c r="R1225" s="2">
        <v>0.61</v>
      </c>
      <c r="S1225" t="str">
        <f>IF(Table1[[#This Row],[Years_Experience]]&lt;=5,"Early Career",
IF(Table1[[#This Row],[Years_Experience]]&lt;=15,"Mid Career","Senior Level"))</f>
        <v>Early Career</v>
      </c>
      <c r="T1225" t="str">
        <f>IF(Table1[[#This Row],[AI_Exposure_Index]]&gt;=0.7,"High Exposure", IF(Table1[[#This Row],[AI_Exposure_Index]]&gt;=0.3,"Medium Exposure","Low Exposure"))</f>
        <v>Medium Exposure</v>
      </c>
    </row>
    <row r="1226" spans="1:20" x14ac:dyDescent="0.25">
      <c r="A1226" t="s">
        <v>39</v>
      </c>
      <c r="B1226">
        <v>112283</v>
      </c>
      <c r="C1226" s="1">
        <v>22</v>
      </c>
      <c r="D1226" t="s">
        <v>22</v>
      </c>
      <c r="E1226" s="7">
        <v>1.04</v>
      </c>
      <c r="F1226" s="2">
        <v>0.03</v>
      </c>
      <c r="G1226" s="7">
        <v>0.93</v>
      </c>
      <c r="H1226" s="9" t="s">
        <v>20</v>
      </c>
      <c r="I1226">
        <v>0.6</v>
      </c>
      <c r="J1226">
        <v>0.97</v>
      </c>
      <c r="K1226">
        <v>0.14000000000000001</v>
      </c>
      <c r="L1226">
        <v>0.56999999999999995</v>
      </c>
      <c r="M1226">
        <v>0.8</v>
      </c>
      <c r="N1226">
        <v>0.53</v>
      </c>
      <c r="O1226">
        <v>0.09</v>
      </c>
      <c r="P1226">
        <v>0.57999999999999996</v>
      </c>
      <c r="Q1226">
        <v>0.61</v>
      </c>
      <c r="R1226" s="2">
        <v>0.73</v>
      </c>
      <c r="S1226" t="str">
        <f>IF(Table1[[#This Row],[Years_Experience]]&lt;=5,"Early Career",
IF(Table1[[#This Row],[Years_Experience]]&lt;=15,"Mid Career","Senior Level"))</f>
        <v>Senior Level</v>
      </c>
      <c r="T1226" t="str">
        <f>IF(Table1[[#This Row],[AI_Exposure_Index]]&gt;=0.7,"High Exposure", IF(Table1[[#This Row],[AI_Exposure_Index]]&gt;=0.3,"Medium Exposure","Low Exposure"))</f>
        <v>Low Exposure</v>
      </c>
    </row>
    <row r="1227" spans="1:20" x14ac:dyDescent="0.25">
      <c r="A1227" t="s">
        <v>29</v>
      </c>
      <c r="B1227">
        <v>79678</v>
      </c>
      <c r="C1227" s="1">
        <v>0</v>
      </c>
      <c r="D1227" t="s">
        <v>38</v>
      </c>
      <c r="E1227" s="7">
        <v>1.1599999999999999</v>
      </c>
      <c r="F1227" s="2">
        <v>0.77</v>
      </c>
      <c r="G1227" s="7">
        <v>0.1</v>
      </c>
      <c r="H1227" s="9" t="s">
        <v>23</v>
      </c>
      <c r="I1227">
        <v>0.4</v>
      </c>
      <c r="J1227">
        <v>0.78</v>
      </c>
      <c r="K1227">
        <v>0.95</v>
      </c>
      <c r="L1227">
        <v>0.08</v>
      </c>
      <c r="M1227">
        <v>0.54</v>
      </c>
      <c r="N1227">
        <v>0.31</v>
      </c>
      <c r="O1227">
        <v>0.23</v>
      </c>
      <c r="P1227">
        <v>0.51</v>
      </c>
      <c r="Q1227">
        <v>0.61</v>
      </c>
      <c r="R1227" s="2">
        <v>0.01</v>
      </c>
      <c r="S1227" t="str">
        <f>IF(Table1[[#This Row],[Years_Experience]]&lt;=5,"Early Career",
IF(Table1[[#This Row],[Years_Experience]]&lt;=15,"Mid Career","Senior Level"))</f>
        <v>Early Career</v>
      </c>
      <c r="T1227" t="str">
        <f>IF(Table1[[#This Row],[AI_Exposure_Index]]&gt;=0.7,"High Exposure", IF(Table1[[#This Row],[AI_Exposure_Index]]&gt;=0.3,"Medium Exposure","Low Exposure"))</f>
        <v>High Exposure</v>
      </c>
    </row>
    <row r="1228" spans="1:20" x14ac:dyDescent="0.25">
      <c r="A1228" t="s">
        <v>43</v>
      </c>
      <c r="B1228">
        <v>136020</v>
      </c>
      <c r="C1228" s="1">
        <v>27</v>
      </c>
      <c r="D1228" t="s">
        <v>38</v>
      </c>
      <c r="E1228" s="7">
        <v>1.47</v>
      </c>
      <c r="F1228" s="2">
        <v>0.82</v>
      </c>
      <c r="G1228" s="7">
        <v>0.1</v>
      </c>
      <c r="H1228" s="9" t="s">
        <v>23</v>
      </c>
      <c r="I1228">
        <v>0.59</v>
      </c>
      <c r="J1228">
        <v>0.43</v>
      </c>
      <c r="K1228">
        <v>0.33</v>
      </c>
      <c r="L1228">
        <v>0.56999999999999995</v>
      </c>
      <c r="M1228">
        <v>0.78</v>
      </c>
      <c r="N1228">
        <v>0.02</v>
      </c>
      <c r="O1228">
        <v>0.97</v>
      </c>
      <c r="P1228">
        <v>0.81</v>
      </c>
      <c r="Q1228">
        <v>0.75</v>
      </c>
      <c r="R1228" s="2">
        <v>0.76</v>
      </c>
      <c r="S1228" t="str">
        <f>IF(Table1[[#This Row],[Years_Experience]]&lt;=5,"Early Career",
IF(Table1[[#This Row],[Years_Experience]]&lt;=15,"Mid Career","Senior Level"))</f>
        <v>Senior Level</v>
      </c>
      <c r="T1228" t="str">
        <f>IF(Table1[[#This Row],[AI_Exposure_Index]]&gt;=0.7,"High Exposure", IF(Table1[[#This Row],[AI_Exposure_Index]]&gt;=0.3,"Medium Exposure","Low Exposure"))</f>
        <v>High Exposure</v>
      </c>
    </row>
    <row r="1229" spans="1:20" x14ac:dyDescent="0.25">
      <c r="A1229" t="s">
        <v>26</v>
      </c>
      <c r="B1229">
        <v>127155</v>
      </c>
      <c r="C1229" s="1">
        <v>3</v>
      </c>
      <c r="D1229" t="s">
        <v>22</v>
      </c>
      <c r="E1229" s="7">
        <v>0.89</v>
      </c>
      <c r="F1229" s="2">
        <v>0.75</v>
      </c>
      <c r="G1229" s="7">
        <v>0.66</v>
      </c>
      <c r="H1229" s="9" t="s">
        <v>27</v>
      </c>
      <c r="I1229">
        <v>0.18</v>
      </c>
      <c r="J1229">
        <v>0.28999999999999998</v>
      </c>
      <c r="K1229">
        <v>0.55000000000000004</v>
      </c>
      <c r="L1229">
        <v>0.32</v>
      </c>
      <c r="M1229">
        <v>0.42</v>
      </c>
      <c r="N1229">
        <v>0.49</v>
      </c>
      <c r="O1229">
        <v>0.86</v>
      </c>
      <c r="P1229">
        <v>0.52</v>
      </c>
      <c r="Q1229">
        <v>0.36</v>
      </c>
      <c r="R1229" s="2">
        <v>0.25</v>
      </c>
      <c r="S1229" t="str">
        <f>IF(Table1[[#This Row],[Years_Experience]]&lt;=5,"Early Career",
IF(Table1[[#This Row],[Years_Experience]]&lt;=15,"Mid Career","Senior Level"))</f>
        <v>Early Career</v>
      </c>
      <c r="T1229" t="str">
        <f>IF(Table1[[#This Row],[AI_Exposure_Index]]&gt;=0.7,"High Exposure", IF(Table1[[#This Row],[AI_Exposure_Index]]&gt;=0.3,"Medium Exposure","Low Exposure"))</f>
        <v>High Exposure</v>
      </c>
    </row>
    <row r="1230" spans="1:20" x14ac:dyDescent="0.25">
      <c r="A1230" t="s">
        <v>31</v>
      </c>
      <c r="B1230">
        <v>94813</v>
      </c>
      <c r="C1230" s="1">
        <v>15</v>
      </c>
      <c r="D1230" t="s">
        <v>38</v>
      </c>
      <c r="E1230" s="7">
        <v>1.25</v>
      </c>
      <c r="F1230" s="2">
        <v>0.52</v>
      </c>
      <c r="G1230" s="7">
        <v>0.08</v>
      </c>
      <c r="H1230" s="9" t="s">
        <v>23</v>
      </c>
      <c r="I1230">
        <v>0.22</v>
      </c>
      <c r="J1230">
        <v>0.38</v>
      </c>
      <c r="K1230">
        <v>0.36</v>
      </c>
      <c r="L1230">
        <v>0.39</v>
      </c>
      <c r="M1230">
        <v>0.79</v>
      </c>
      <c r="N1230">
        <v>0.32</v>
      </c>
      <c r="O1230">
        <v>0.5</v>
      </c>
      <c r="P1230">
        <v>0.62</v>
      </c>
      <c r="Q1230">
        <v>0.23</v>
      </c>
      <c r="R1230" s="2">
        <v>0.72</v>
      </c>
      <c r="S1230" t="str">
        <f>IF(Table1[[#This Row],[Years_Experience]]&lt;=5,"Early Career",
IF(Table1[[#This Row],[Years_Experience]]&lt;=15,"Mid Career","Senior Level"))</f>
        <v>Mid Career</v>
      </c>
      <c r="T1230" t="str">
        <f>IF(Table1[[#This Row],[AI_Exposure_Index]]&gt;=0.7,"High Exposure", IF(Table1[[#This Row],[AI_Exposure_Index]]&gt;=0.3,"Medium Exposure","Low Exposure"))</f>
        <v>Medium Exposure</v>
      </c>
    </row>
    <row r="1231" spans="1:20" x14ac:dyDescent="0.25">
      <c r="A1231" t="s">
        <v>26</v>
      </c>
      <c r="B1231">
        <v>127501</v>
      </c>
      <c r="C1231" s="1">
        <v>7</v>
      </c>
      <c r="D1231" t="s">
        <v>22</v>
      </c>
      <c r="E1231" s="7">
        <v>1.31</v>
      </c>
      <c r="F1231" s="2">
        <v>0.45</v>
      </c>
      <c r="G1231" s="7">
        <v>0.4</v>
      </c>
      <c r="H1231" s="9" t="s">
        <v>27</v>
      </c>
      <c r="I1231">
        <v>0.88</v>
      </c>
      <c r="J1231">
        <v>0.56000000000000005</v>
      </c>
      <c r="K1231">
        <v>0.61</v>
      </c>
      <c r="L1231">
        <v>0.88</v>
      </c>
      <c r="M1231">
        <v>0.82</v>
      </c>
      <c r="N1231">
        <v>0.6</v>
      </c>
      <c r="O1231">
        <v>0.75</v>
      </c>
      <c r="P1231">
        <v>0.43</v>
      </c>
      <c r="Q1231">
        <v>0.55000000000000004</v>
      </c>
      <c r="R1231" s="2">
        <v>0.06</v>
      </c>
      <c r="S1231" t="str">
        <f>IF(Table1[[#This Row],[Years_Experience]]&lt;=5,"Early Career",
IF(Table1[[#This Row],[Years_Experience]]&lt;=15,"Mid Career","Senior Level"))</f>
        <v>Mid Career</v>
      </c>
      <c r="T1231" t="str">
        <f>IF(Table1[[#This Row],[AI_Exposure_Index]]&gt;=0.7,"High Exposure", IF(Table1[[#This Row],[AI_Exposure_Index]]&gt;=0.3,"Medium Exposure","Low Exposure"))</f>
        <v>Medium Exposure</v>
      </c>
    </row>
    <row r="1232" spans="1:20" x14ac:dyDescent="0.25">
      <c r="A1232" t="s">
        <v>24</v>
      </c>
      <c r="B1232">
        <v>90843</v>
      </c>
      <c r="C1232" s="1">
        <v>27</v>
      </c>
      <c r="D1232" t="s">
        <v>19</v>
      </c>
      <c r="E1232" s="7">
        <v>0.56000000000000005</v>
      </c>
      <c r="F1232" s="2">
        <v>0.83</v>
      </c>
      <c r="G1232" s="7">
        <v>0.74</v>
      </c>
      <c r="H1232" s="9" t="s">
        <v>20</v>
      </c>
      <c r="I1232">
        <v>0.8</v>
      </c>
      <c r="J1232">
        <v>0</v>
      </c>
      <c r="K1232">
        <v>0.28000000000000003</v>
      </c>
      <c r="L1232">
        <v>0.57999999999999996</v>
      </c>
      <c r="M1232">
        <v>0.6</v>
      </c>
      <c r="N1232">
        <v>0.78</v>
      </c>
      <c r="O1232">
        <v>0.51</v>
      </c>
      <c r="P1232">
        <v>0.51</v>
      </c>
      <c r="Q1232">
        <v>0.73</v>
      </c>
      <c r="R1232" s="2">
        <v>0.5</v>
      </c>
      <c r="S1232" t="str">
        <f>IF(Table1[[#This Row],[Years_Experience]]&lt;=5,"Early Career",
IF(Table1[[#This Row],[Years_Experience]]&lt;=15,"Mid Career","Senior Level"))</f>
        <v>Senior Level</v>
      </c>
      <c r="T1232" t="str">
        <f>IF(Table1[[#This Row],[AI_Exposure_Index]]&gt;=0.7,"High Exposure", IF(Table1[[#This Row],[AI_Exposure_Index]]&gt;=0.3,"Medium Exposure","Low Exposure"))</f>
        <v>High Exposure</v>
      </c>
    </row>
    <row r="1233" spans="1:20" x14ac:dyDescent="0.25">
      <c r="A1233" t="s">
        <v>28</v>
      </c>
      <c r="B1233">
        <v>34715</v>
      </c>
      <c r="C1233" s="1">
        <v>6</v>
      </c>
      <c r="D1233" t="s">
        <v>22</v>
      </c>
      <c r="E1233" s="7">
        <v>0.9</v>
      </c>
      <c r="F1233" s="2">
        <v>0.9</v>
      </c>
      <c r="G1233" s="7">
        <v>0.45</v>
      </c>
      <c r="H1233" s="9" t="s">
        <v>27</v>
      </c>
      <c r="I1233">
        <v>0</v>
      </c>
      <c r="J1233">
        <v>0.61</v>
      </c>
      <c r="K1233">
        <v>0.03</v>
      </c>
      <c r="L1233">
        <v>0.5</v>
      </c>
      <c r="M1233">
        <v>0.8</v>
      </c>
      <c r="N1233">
        <v>0.55000000000000004</v>
      </c>
      <c r="O1233">
        <v>0.27</v>
      </c>
      <c r="P1233">
        <v>0.79</v>
      </c>
      <c r="Q1233">
        <v>0.27</v>
      </c>
      <c r="R1233" s="2">
        <v>0.73</v>
      </c>
      <c r="S1233" t="str">
        <f>IF(Table1[[#This Row],[Years_Experience]]&lt;=5,"Early Career",
IF(Table1[[#This Row],[Years_Experience]]&lt;=15,"Mid Career","Senior Level"))</f>
        <v>Mid Career</v>
      </c>
      <c r="T1233" t="str">
        <f>IF(Table1[[#This Row],[AI_Exposure_Index]]&gt;=0.7,"High Exposure", IF(Table1[[#This Row],[AI_Exposure_Index]]&gt;=0.3,"Medium Exposure","Low Exposure"))</f>
        <v>High Exposure</v>
      </c>
    </row>
    <row r="1234" spans="1:20" x14ac:dyDescent="0.25">
      <c r="A1234" t="s">
        <v>36</v>
      </c>
      <c r="B1234">
        <v>44870</v>
      </c>
      <c r="C1234" s="1">
        <v>15</v>
      </c>
      <c r="D1234" t="s">
        <v>22</v>
      </c>
      <c r="E1234" s="7">
        <v>0.72</v>
      </c>
      <c r="F1234" s="2">
        <v>0.72</v>
      </c>
      <c r="G1234" s="7">
        <v>0.41</v>
      </c>
      <c r="H1234" s="9" t="s">
        <v>27</v>
      </c>
      <c r="I1234">
        <v>0.75</v>
      </c>
      <c r="J1234">
        <v>0.18</v>
      </c>
      <c r="K1234">
        <v>0.25</v>
      </c>
      <c r="L1234">
        <v>0.02</v>
      </c>
      <c r="M1234">
        <v>0.72</v>
      </c>
      <c r="N1234">
        <v>0.62</v>
      </c>
      <c r="O1234">
        <v>0.69</v>
      </c>
      <c r="P1234">
        <v>0.21</v>
      </c>
      <c r="Q1234">
        <v>0.69</v>
      </c>
      <c r="R1234" s="2">
        <v>0.6</v>
      </c>
      <c r="S1234" t="str">
        <f>IF(Table1[[#This Row],[Years_Experience]]&lt;=5,"Early Career",
IF(Table1[[#This Row],[Years_Experience]]&lt;=15,"Mid Career","Senior Level"))</f>
        <v>Mid Career</v>
      </c>
      <c r="T1234" t="str">
        <f>IF(Table1[[#This Row],[AI_Exposure_Index]]&gt;=0.7,"High Exposure", IF(Table1[[#This Row],[AI_Exposure_Index]]&gt;=0.3,"Medium Exposure","Low Exposure"))</f>
        <v>High Exposure</v>
      </c>
    </row>
    <row r="1235" spans="1:20" x14ac:dyDescent="0.25">
      <c r="A1235" t="s">
        <v>39</v>
      </c>
      <c r="B1235">
        <v>45432</v>
      </c>
      <c r="C1235" s="1">
        <v>11</v>
      </c>
      <c r="D1235" t="s">
        <v>25</v>
      </c>
      <c r="E1235" s="7">
        <v>1.07</v>
      </c>
      <c r="F1235" s="2">
        <v>0.44</v>
      </c>
      <c r="G1235" s="7">
        <v>0.82</v>
      </c>
      <c r="H1235" s="9" t="s">
        <v>20</v>
      </c>
      <c r="I1235">
        <v>0.64</v>
      </c>
      <c r="J1235">
        <v>0.18</v>
      </c>
      <c r="K1235">
        <v>0.54</v>
      </c>
      <c r="L1235">
        <v>0.45</v>
      </c>
      <c r="M1235">
        <v>0.46</v>
      </c>
      <c r="N1235">
        <v>0.47</v>
      </c>
      <c r="O1235">
        <v>0.88</v>
      </c>
      <c r="P1235">
        <v>0.82</v>
      </c>
      <c r="Q1235">
        <v>0.63</v>
      </c>
      <c r="R1235" s="2">
        <v>0.72</v>
      </c>
      <c r="S1235" t="str">
        <f>IF(Table1[[#This Row],[Years_Experience]]&lt;=5,"Early Career",
IF(Table1[[#This Row],[Years_Experience]]&lt;=15,"Mid Career","Senior Level"))</f>
        <v>Mid Career</v>
      </c>
      <c r="T1235" t="str">
        <f>IF(Table1[[#This Row],[AI_Exposure_Index]]&gt;=0.7,"High Exposure", IF(Table1[[#This Row],[AI_Exposure_Index]]&gt;=0.3,"Medium Exposure","Low Exposure"))</f>
        <v>Medium Exposure</v>
      </c>
    </row>
    <row r="1236" spans="1:20" x14ac:dyDescent="0.25">
      <c r="A1236" t="s">
        <v>30</v>
      </c>
      <c r="B1236">
        <v>102964</v>
      </c>
      <c r="C1236" s="1">
        <v>5</v>
      </c>
      <c r="D1236" t="s">
        <v>25</v>
      </c>
      <c r="E1236" s="7">
        <v>0.99</v>
      </c>
      <c r="F1236" s="2">
        <v>0.74</v>
      </c>
      <c r="G1236" s="7">
        <v>0.43</v>
      </c>
      <c r="H1236" s="9" t="s">
        <v>27</v>
      </c>
      <c r="I1236">
        <v>0.14000000000000001</v>
      </c>
      <c r="J1236">
        <v>0.08</v>
      </c>
      <c r="K1236">
        <v>0.04</v>
      </c>
      <c r="L1236">
        <v>0.16</v>
      </c>
      <c r="M1236">
        <v>0.03</v>
      </c>
      <c r="N1236">
        <v>0.73</v>
      </c>
      <c r="O1236">
        <v>0.25</v>
      </c>
      <c r="P1236">
        <v>0.37</v>
      </c>
      <c r="Q1236">
        <v>0.82</v>
      </c>
      <c r="R1236" s="2">
        <v>0.11</v>
      </c>
      <c r="S1236" t="str">
        <f>IF(Table1[[#This Row],[Years_Experience]]&lt;=5,"Early Career",
IF(Table1[[#This Row],[Years_Experience]]&lt;=15,"Mid Career","Senior Level"))</f>
        <v>Early Career</v>
      </c>
      <c r="T1236" t="str">
        <f>IF(Table1[[#This Row],[AI_Exposure_Index]]&gt;=0.7,"High Exposure", IF(Table1[[#This Row],[AI_Exposure_Index]]&gt;=0.3,"Medium Exposure","Low Exposure"))</f>
        <v>High Exposure</v>
      </c>
    </row>
    <row r="1237" spans="1:20" x14ac:dyDescent="0.25">
      <c r="A1237" t="s">
        <v>36</v>
      </c>
      <c r="B1237">
        <v>127677</v>
      </c>
      <c r="C1237" s="1">
        <v>13</v>
      </c>
      <c r="D1237" t="s">
        <v>38</v>
      </c>
      <c r="E1237" s="7">
        <v>0.84</v>
      </c>
      <c r="F1237" s="2">
        <v>0.64</v>
      </c>
      <c r="G1237" s="7">
        <v>0.35</v>
      </c>
      <c r="H1237" s="9" t="s">
        <v>27</v>
      </c>
      <c r="I1237">
        <v>0.09</v>
      </c>
      <c r="J1237">
        <v>0.34</v>
      </c>
      <c r="K1237">
        <v>0.14000000000000001</v>
      </c>
      <c r="L1237">
        <v>0.27</v>
      </c>
      <c r="M1237">
        <v>0.05</v>
      </c>
      <c r="N1237">
        <v>0.6</v>
      </c>
      <c r="O1237">
        <v>0.15</v>
      </c>
      <c r="P1237">
        <v>0.76</v>
      </c>
      <c r="Q1237">
        <v>0.22</v>
      </c>
      <c r="R1237" s="2">
        <v>0.8</v>
      </c>
      <c r="S1237" t="str">
        <f>IF(Table1[[#This Row],[Years_Experience]]&lt;=5,"Early Career",
IF(Table1[[#This Row],[Years_Experience]]&lt;=15,"Mid Career","Senior Level"))</f>
        <v>Mid Career</v>
      </c>
      <c r="T1237" t="str">
        <f>IF(Table1[[#This Row],[AI_Exposure_Index]]&gt;=0.7,"High Exposure", IF(Table1[[#This Row],[AI_Exposure_Index]]&gt;=0.3,"Medium Exposure","Low Exposure"))</f>
        <v>Medium Exposure</v>
      </c>
    </row>
    <row r="1238" spans="1:20" x14ac:dyDescent="0.25">
      <c r="A1238" t="s">
        <v>39</v>
      </c>
      <c r="B1238">
        <v>36918</v>
      </c>
      <c r="C1238" s="1">
        <v>16</v>
      </c>
      <c r="D1238" t="s">
        <v>38</v>
      </c>
      <c r="E1238" s="7">
        <v>1.25</v>
      </c>
      <c r="F1238" s="2">
        <v>0.24</v>
      </c>
      <c r="G1238" s="7">
        <v>0.92</v>
      </c>
      <c r="H1238" s="9" t="s">
        <v>20</v>
      </c>
      <c r="I1238">
        <v>0.88</v>
      </c>
      <c r="J1238">
        <v>0.78</v>
      </c>
      <c r="K1238">
        <v>0.41</v>
      </c>
      <c r="L1238">
        <v>0.98</v>
      </c>
      <c r="M1238">
        <v>0.38</v>
      </c>
      <c r="N1238">
        <v>0.64</v>
      </c>
      <c r="O1238">
        <v>0.16</v>
      </c>
      <c r="P1238">
        <v>0.98</v>
      </c>
      <c r="Q1238">
        <v>0.7</v>
      </c>
      <c r="R1238" s="2">
        <v>0.75</v>
      </c>
      <c r="S1238" t="str">
        <f>IF(Table1[[#This Row],[Years_Experience]]&lt;=5,"Early Career",
IF(Table1[[#This Row],[Years_Experience]]&lt;=15,"Mid Career","Senior Level"))</f>
        <v>Senior Level</v>
      </c>
      <c r="T1238" t="str">
        <f>IF(Table1[[#This Row],[AI_Exposure_Index]]&gt;=0.7,"High Exposure", IF(Table1[[#This Row],[AI_Exposure_Index]]&gt;=0.3,"Medium Exposure","Low Exposure"))</f>
        <v>Low Exposure</v>
      </c>
    </row>
    <row r="1239" spans="1:20" x14ac:dyDescent="0.25">
      <c r="A1239" t="s">
        <v>42</v>
      </c>
      <c r="B1239">
        <v>78634</v>
      </c>
      <c r="C1239" s="1">
        <v>1</v>
      </c>
      <c r="D1239" t="s">
        <v>25</v>
      </c>
      <c r="E1239" s="7">
        <v>1.27</v>
      </c>
      <c r="F1239" s="2">
        <v>0.76</v>
      </c>
      <c r="G1239" s="7">
        <v>0.56999999999999995</v>
      </c>
      <c r="H1239" s="9" t="s">
        <v>27</v>
      </c>
      <c r="I1239">
        <v>0.28999999999999998</v>
      </c>
      <c r="J1239">
        <v>0.49</v>
      </c>
      <c r="K1239">
        <v>0.11</v>
      </c>
      <c r="L1239">
        <v>0.47</v>
      </c>
      <c r="M1239">
        <v>0.24</v>
      </c>
      <c r="N1239">
        <v>0.35</v>
      </c>
      <c r="O1239">
        <v>0.16</v>
      </c>
      <c r="P1239">
        <v>0.23</v>
      </c>
      <c r="Q1239">
        <v>0.08</v>
      </c>
      <c r="R1239" s="2">
        <v>0.92</v>
      </c>
      <c r="S1239" t="str">
        <f>IF(Table1[[#This Row],[Years_Experience]]&lt;=5,"Early Career",
IF(Table1[[#This Row],[Years_Experience]]&lt;=15,"Mid Career","Senior Level"))</f>
        <v>Early Career</v>
      </c>
      <c r="T1239" t="str">
        <f>IF(Table1[[#This Row],[AI_Exposure_Index]]&gt;=0.7,"High Exposure", IF(Table1[[#This Row],[AI_Exposure_Index]]&gt;=0.3,"Medium Exposure","Low Exposure"))</f>
        <v>High Exposure</v>
      </c>
    </row>
    <row r="1240" spans="1:20" x14ac:dyDescent="0.25">
      <c r="A1240" t="s">
        <v>18</v>
      </c>
      <c r="B1240">
        <v>95199</v>
      </c>
      <c r="C1240" s="1">
        <v>20</v>
      </c>
      <c r="D1240" t="s">
        <v>22</v>
      </c>
      <c r="E1240" s="7">
        <v>1.04</v>
      </c>
      <c r="F1240" s="2">
        <v>0.4</v>
      </c>
      <c r="G1240" s="7">
        <v>0.86</v>
      </c>
      <c r="H1240" s="9" t="s">
        <v>20</v>
      </c>
      <c r="I1240">
        <v>0.92</v>
      </c>
      <c r="J1240">
        <v>0.18</v>
      </c>
      <c r="K1240">
        <v>0.3</v>
      </c>
      <c r="L1240">
        <v>0.98</v>
      </c>
      <c r="M1240">
        <v>0.37</v>
      </c>
      <c r="N1240">
        <v>0.02</v>
      </c>
      <c r="O1240">
        <v>0.15</v>
      </c>
      <c r="P1240">
        <v>0.03</v>
      </c>
      <c r="Q1240">
        <v>0.99</v>
      </c>
      <c r="R1240" s="2">
        <v>0.28000000000000003</v>
      </c>
      <c r="S1240" t="str">
        <f>IF(Table1[[#This Row],[Years_Experience]]&lt;=5,"Early Career",
IF(Table1[[#This Row],[Years_Experience]]&lt;=15,"Mid Career","Senior Level"))</f>
        <v>Senior Level</v>
      </c>
      <c r="T1240" t="str">
        <f>IF(Table1[[#This Row],[AI_Exposure_Index]]&gt;=0.7,"High Exposure", IF(Table1[[#This Row],[AI_Exposure_Index]]&gt;=0.3,"Medium Exposure","Low Exposure"))</f>
        <v>Medium Exposure</v>
      </c>
    </row>
    <row r="1241" spans="1:20" x14ac:dyDescent="0.25">
      <c r="A1241" t="s">
        <v>18</v>
      </c>
      <c r="B1241">
        <v>115062</v>
      </c>
      <c r="C1241" s="1">
        <v>6</v>
      </c>
      <c r="D1241" t="s">
        <v>38</v>
      </c>
      <c r="E1241" s="7">
        <v>1.1000000000000001</v>
      </c>
      <c r="F1241" s="2">
        <v>1</v>
      </c>
      <c r="G1241" s="7">
        <v>0.71</v>
      </c>
      <c r="H1241" s="9" t="s">
        <v>20</v>
      </c>
      <c r="I1241">
        <v>0.08</v>
      </c>
      <c r="J1241">
        <v>0.48</v>
      </c>
      <c r="K1241">
        <v>0.41</v>
      </c>
      <c r="L1241">
        <v>0.61</v>
      </c>
      <c r="M1241">
        <v>0.44</v>
      </c>
      <c r="N1241">
        <v>0.93</v>
      </c>
      <c r="O1241">
        <v>0.53</v>
      </c>
      <c r="P1241">
        <v>0.69</v>
      </c>
      <c r="Q1241">
        <v>0.9</v>
      </c>
      <c r="R1241" s="2">
        <v>0.15</v>
      </c>
      <c r="S1241" t="str">
        <f>IF(Table1[[#This Row],[Years_Experience]]&lt;=5,"Early Career",
IF(Table1[[#This Row],[Years_Experience]]&lt;=15,"Mid Career","Senior Level"))</f>
        <v>Mid Career</v>
      </c>
      <c r="T1241" t="str">
        <f>IF(Table1[[#This Row],[AI_Exposure_Index]]&gt;=0.7,"High Exposure", IF(Table1[[#This Row],[AI_Exposure_Index]]&gt;=0.3,"Medium Exposure","Low Exposure"))</f>
        <v>High Exposure</v>
      </c>
    </row>
    <row r="1242" spans="1:20" x14ac:dyDescent="0.25">
      <c r="A1242" t="s">
        <v>35</v>
      </c>
      <c r="B1242">
        <v>119007</v>
      </c>
      <c r="C1242" s="1">
        <v>17</v>
      </c>
      <c r="D1242" t="s">
        <v>38</v>
      </c>
      <c r="E1242" s="7">
        <v>1.19</v>
      </c>
      <c r="F1242" s="2">
        <v>0.78</v>
      </c>
      <c r="G1242" s="7">
        <v>0.48</v>
      </c>
      <c r="H1242" s="9" t="s">
        <v>27</v>
      </c>
      <c r="I1242">
        <v>0.42</v>
      </c>
      <c r="J1242">
        <v>7.0000000000000007E-2</v>
      </c>
      <c r="K1242">
        <v>0.01</v>
      </c>
      <c r="L1242">
        <v>0.53</v>
      </c>
      <c r="M1242">
        <v>0.42</v>
      </c>
      <c r="N1242">
        <v>0.8</v>
      </c>
      <c r="O1242">
        <v>0.54</v>
      </c>
      <c r="P1242">
        <v>0.94</v>
      </c>
      <c r="Q1242">
        <v>0.2</v>
      </c>
      <c r="R1242" s="2">
        <v>0.99</v>
      </c>
      <c r="S1242" t="str">
        <f>IF(Table1[[#This Row],[Years_Experience]]&lt;=5,"Early Career",
IF(Table1[[#This Row],[Years_Experience]]&lt;=15,"Mid Career","Senior Level"))</f>
        <v>Senior Level</v>
      </c>
      <c r="T1242" t="str">
        <f>IF(Table1[[#This Row],[AI_Exposure_Index]]&gt;=0.7,"High Exposure", IF(Table1[[#This Row],[AI_Exposure_Index]]&gt;=0.3,"Medium Exposure","Low Exposure"))</f>
        <v>High Exposure</v>
      </c>
    </row>
    <row r="1243" spans="1:20" x14ac:dyDescent="0.25">
      <c r="A1243" t="s">
        <v>43</v>
      </c>
      <c r="B1243">
        <v>58333</v>
      </c>
      <c r="C1243" s="1">
        <v>13</v>
      </c>
      <c r="D1243" t="s">
        <v>22</v>
      </c>
      <c r="E1243" s="7">
        <v>1</v>
      </c>
      <c r="F1243" s="2">
        <v>0.64</v>
      </c>
      <c r="G1243" s="7">
        <v>0.14000000000000001</v>
      </c>
      <c r="H1243" s="9" t="s">
        <v>23</v>
      </c>
      <c r="I1243">
        <v>0.14000000000000001</v>
      </c>
      <c r="J1243">
        <v>0.13</v>
      </c>
      <c r="K1243">
        <v>0.71</v>
      </c>
      <c r="L1243">
        <v>0.38</v>
      </c>
      <c r="M1243">
        <v>0.96</v>
      </c>
      <c r="N1243">
        <v>0.33</v>
      </c>
      <c r="O1243">
        <v>0.98</v>
      </c>
      <c r="P1243">
        <v>0.21</v>
      </c>
      <c r="Q1243">
        <v>0.1</v>
      </c>
      <c r="R1243" s="2">
        <v>0.31</v>
      </c>
      <c r="S1243" t="str">
        <f>IF(Table1[[#This Row],[Years_Experience]]&lt;=5,"Early Career",
IF(Table1[[#This Row],[Years_Experience]]&lt;=15,"Mid Career","Senior Level"))</f>
        <v>Mid Career</v>
      </c>
      <c r="T1243" t="str">
        <f>IF(Table1[[#This Row],[AI_Exposure_Index]]&gt;=0.7,"High Exposure", IF(Table1[[#This Row],[AI_Exposure_Index]]&gt;=0.3,"Medium Exposure","Low Exposure"))</f>
        <v>Medium Exposure</v>
      </c>
    </row>
    <row r="1244" spans="1:20" x14ac:dyDescent="0.25">
      <c r="A1244" t="s">
        <v>36</v>
      </c>
      <c r="B1244">
        <v>140415</v>
      </c>
      <c r="C1244" s="1">
        <v>12</v>
      </c>
      <c r="D1244" t="s">
        <v>22</v>
      </c>
      <c r="E1244" s="7">
        <v>0.64</v>
      </c>
      <c r="F1244" s="2">
        <v>0.52</v>
      </c>
      <c r="G1244" s="7">
        <v>0.38</v>
      </c>
      <c r="H1244" s="9" t="s">
        <v>27</v>
      </c>
      <c r="I1244">
        <v>0.31</v>
      </c>
      <c r="J1244">
        <v>0.59</v>
      </c>
      <c r="K1244">
        <v>0.33</v>
      </c>
      <c r="L1244">
        <v>0.75</v>
      </c>
      <c r="M1244">
        <v>0.62</v>
      </c>
      <c r="N1244">
        <v>0.87</v>
      </c>
      <c r="O1244">
        <v>0.5</v>
      </c>
      <c r="P1244">
        <v>0.33</v>
      </c>
      <c r="Q1244">
        <v>1</v>
      </c>
      <c r="R1244" s="2">
        <v>0.36</v>
      </c>
      <c r="S1244" t="str">
        <f>IF(Table1[[#This Row],[Years_Experience]]&lt;=5,"Early Career",
IF(Table1[[#This Row],[Years_Experience]]&lt;=15,"Mid Career","Senior Level"))</f>
        <v>Mid Career</v>
      </c>
      <c r="T1244" t="str">
        <f>IF(Table1[[#This Row],[AI_Exposure_Index]]&gt;=0.7,"High Exposure", IF(Table1[[#This Row],[AI_Exposure_Index]]&gt;=0.3,"Medium Exposure","Low Exposure"))</f>
        <v>Medium Exposure</v>
      </c>
    </row>
    <row r="1245" spans="1:20" x14ac:dyDescent="0.25">
      <c r="A1245" t="s">
        <v>35</v>
      </c>
      <c r="B1245">
        <v>89151</v>
      </c>
      <c r="C1245" s="1">
        <v>21</v>
      </c>
      <c r="D1245" t="s">
        <v>22</v>
      </c>
      <c r="E1245" s="7">
        <v>0.59</v>
      </c>
      <c r="F1245" s="2">
        <v>0.81</v>
      </c>
      <c r="G1245" s="7">
        <v>0.45</v>
      </c>
      <c r="H1245" s="9" t="s">
        <v>27</v>
      </c>
      <c r="I1245">
        <v>0.09</v>
      </c>
      <c r="J1245">
        <v>0.14000000000000001</v>
      </c>
      <c r="K1245">
        <v>0</v>
      </c>
      <c r="L1245">
        <v>0.01</v>
      </c>
      <c r="M1245">
        <v>0.38</v>
      </c>
      <c r="N1245">
        <v>0.81</v>
      </c>
      <c r="O1245">
        <v>0.59</v>
      </c>
      <c r="P1245">
        <v>0.63</v>
      </c>
      <c r="Q1245">
        <v>0.52</v>
      </c>
      <c r="R1245" s="2">
        <v>0.82</v>
      </c>
      <c r="S1245" t="str">
        <f>IF(Table1[[#This Row],[Years_Experience]]&lt;=5,"Early Career",
IF(Table1[[#This Row],[Years_Experience]]&lt;=15,"Mid Career","Senior Level"))</f>
        <v>Senior Level</v>
      </c>
      <c r="T1245" t="str">
        <f>IF(Table1[[#This Row],[AI_Exposure_Index]]&gt;=0.7,"High Exposure", IF(Table1[[#This Row],[AI_Exposure_Index]]&gt;=0.3,"Medium Exposure","Low Exposure"))</f>
        <v>High Exposure</v>
      </c>
    </row>
    <row r="1246" spans="1:20" x14ac:dyDescent="0.25">
      <c r="A1246" t="s">
        <v>41</v>
      </c>
      <c r="B1246">
        <v>62784</v>
      </c>
      <c r="C1246" s="1">
        <v>17</v>
      </c>
      <c r="D1246" t="s">
        <v>19</v>
      </c>
      <c r="E1246" s="7">
        <v>1.31</v>
      </c>
      <c r="F1246" s="2">
        <v>0.85</v>
      </c>
      <c r="G1246" s="7">
        <v>0.75</v>
      </c>
      <c r="H1246" s="9" t="s">
        <v>20</v>
      </c>
      <c r="I1246">
        <v>0.59</v>
      </c>
      <c r="J1246">
        <v>0.57999999999999996</v>
      </c>
      <c r="K1246">
        <v>0.53</v>
      </c>
      <c r="L1246">
        <v>0.48</v>
      </c>
      <c r="M1246">
        <v>0.09</v>
      </c>
      <c r="N1246">
        <v>0.1</v>
      </c>
      <c r="O1246">
        <v>0.9</v>
      </c>
      <c r="P1246">
        <v>0.63</v>
      </c>
      <c r="Q1246">
        <v>0.26</v>
      </c>
      <c r="R1246" s="2">
        <v>0.28000000000000003</v>
      </c>
      <c r="S1246" t="str">
        <f>IF(Table1[[#This Row],[Years_Experience]]&lt;=5,"Early Career",
IF(Table1[[#This Row],[Years_Experience]]&lt;=15,"Mid Career","Senior Level"))</f>
        <v>Senior Level</v>
      </c>
      <c r="T1246" t="str">
        <f>IF(Table1[[#This Row],[AI_Exposure_Index]]&gt;=0.7,"High Exposure", IF(Table1[[#This Row],[AI_Exposure_Index]]&gt;=0.3,"Medium Exposure","Low Exposure"))</f>
        <v>High Exposure</v>
      </c>
    </row>
    <row r="1247" spans="1:20" x14ac:dyDescent="0.25">
      <c r="A1247" t="s">
        <v>35</v>
      </c>
      <c r="B1247">
        <v>143268</v>
      </c>
      <c r="C1247" s="1">
        <v>17</v>
      </c>
      <c r="D1247" t="s">
        <v>19</v>
      </c>
      <c r="E1247" s="7">
        <v>0.94</v>
      </c>
      <c r="F1247" s="2">
        <v>0.41</v>
      </c>
      <c r="G1247" s="7">
        <v>0.32</v>
      </c>
      <c r="H1247" s="9" t="s">
        <v>27</v>
      </c>
      <c r="I1247">
        <v>0.14000000000000001</v>
      </c>
      <c r="J1247">
        <v>0.39</v>
      </c>
      <c r="K1247">
        <v>0.7</v>
      </c>
      <c r="L1247">
        <v>0.05</v>
      </c>
      <c r="M1247">
        <v>0.33</v>
      </c>
      <c r="N1247">
        <v>0.7</v>
      </c>
      <c r="O1247">
        <v>0.79</v>
      </c>
      <c r="P1247">
        <v>0.19</v>
      </c>
      <c r="Q1247">
        <v>0.73</v>
      </c>
      <c r="R1247" s="2">
        <v>0.96</v>
      </c>
      <c r="S1247" t="str">
        <f>IF(Table1[[#This Row],[Years_Experience]]&lt;=5,"Early Career",
IF(Table1[[#This Row],[Years_Experience]]&lt;=15,"Mid Career","Senior Level"))</f>
        <v>Senior Level</v>
      </c>
      <c r="T1247" t="str">
        <f>IF(Table1[[#This Row],[AI_Exposure_Index]]&gt;=0.7,"High Exposure", IF(Table1[[#This Row],[AI_Exposure_Index]]&gt;=0.3,"Medium Exposure","Low Exposure"))</f>
        <v>Medium Exposure</v>
      </c>
    </row>
    <row r="1248" spans="1:20" x14ac:dyDescent="0.25">
      <c r="A1248" t="s">
        <v>41</v>
      </c>
      <c r="B1248">
        <v>85134</v>
      </c>
      <c r="C1248" s="1">
        <v>17</v>
      </c>
      <c r="D1248" t="s">
        <v>38</v>
      </c>
      <c r="E1248" s="7">
        <v>1.21</v>
      </c>
      <c r="F1248" s="2">
        <v>0.79</v>
      </c>
      <c r="G1248" s="7">
        <v>0.76</v>
      </c>
      <c r="H1248" s="9" t="s">
        <v>20</v>
      </c>
      <c r="I1248">
        <v>0.63</v>
      </c>
      <c r="J1248">
        <v>0.64</v>
      </c>
      <c r="K1248">
        <v>0.41</v>
      </c>
      <c r="L1248">
        <v>0.49</v>
      </c>
      <c r="M1248">
        <v>0.69</v>
      </c>
      <c r="N1248">
        <v>0.95</v>
      </c>
      <c r="O1248">
        <v>0.3</v>
      </c>
      <c r="P1248">
        <v>0.25</v>
      </c>
      <c r="Q1248">
        <v>0.6</v>
      </c>
      <c r="R1248" s="2">
        <v>0.13</v>
      </c>
      <c r="S1248" t="str">
        <f>IF(Table1[[#This Row],[Years_Experience]]&lt;=5,"Early Career",
IF(Table1[[#This Row],[Years_Experience]]&lt;=15,"Mid Career","Senior Level"))</f>
        <v>Senior Level</v>
      </c>
      <c r="T1248" t="str">
        <f>IF(Table1[[#This Row],[AI_Exposure_Index]]&gt;=0.7,"High Exposure", IF(Table1[[#This Row],[AI_Exposure_Index]]&gt;=0.3,"Medium Exposure","Low Exposure"))</f>
        <v>High Exposure</v>
      </c>
    </row>
    <row r="1249" spans="1:20" x14ac:dyDescent="0.25">
      <c r="A1249" t="s">
        <v>42</v>
      </c>
      <c r="B1249">
        <v>87109</v>
      </c>
      <c r="C1249" s="1">
        <v>10</v>
      </c>
      <c r="D1249" t="s">
        <v>19</v>
      </c>
      <c r="E1249" s="7">
        <v>0.99</v>
      </c>
      <c r="F1249" s="2">
        <v>0.09</v>
      </c>
      <c r="G1249" s="7">
        <v>0.55000000000000004</v>
      </c>
      <c r="H1249" s="9" t="s">
        <v>27</v>
      </c>
      <c r="I1249">
        <v>7.0000000000000007E-2</v>
      </c>
      <c r="J1249">
        <v>0.21</v>
      </c>
      <c r="K1249">
        <v>0.34</v>
      </c>
      <c r="L1249">
        <v>0.37</v>
      </c>
      <c r="M1249">
        <v>0.68</v>
      </c>
      <c r="N1249">
        <v>0.53</v>
      </c>
      <c r="O1249">
        <v>0.38</v>
      </c>
      <c r="P1249">
        <v>0.45</v>
      </c>
      <c r="Q1249">
        <v>0.01</v>
      </c>
      <c r="R1249" s="2">
        <v>0.77</v>
      </c>
      <c r="S1249" t="str">
        <f>IF(Table1[[#This Row],[Years_Experience]]&lt;=5,"Early Career",
IF(Table1[[#This Row],[Years_Experience]]&lt;=15,"Mid Career","Senior Level"))</f>
        <v>Mid Career</v>
      </c>
      <c r="T1249" t="str">
        <f>IF(Table1[[#This Row],[AI_Exposure_Index]]&gt;=0.7,"High Exposure", IF(Table1[[#This Row],[AI_Exposure_Index]]&gt;=0.3,"Medium Exposure","Low Exposure"))</f>
        <v>Low Exposure</v>
      </c>
    </row>
    <row r="1250" spans="1:20" x14ac:dyDescent="0.25">
      <c r="A1250" t="s">
        <v>26</v>
      </c>
      <c r="B1250">
        <v>114116</v>
      </c>
      <c r="C1250" s="1">
        <v>1</v>
      </c>
      <c r="D1250" t="s">
        <v>19</v>
      </c>
      <c r="E1250" s="7">
        <v>1.04</v>
      </c>
      <c r="F1250" s="2">
        <v>0.83</v>
      </c>
      <c r="G1250" s="7">
        <v>0.51</v>
      </c>
      <c r="H1250" s="9" t="s">
        <v>27</v>
      </c>
      <c r="I1250">
        <v>0.7</v>
      </c>
      <c r="J1250">
        <v>0.86</v>
      </c>
      <c r="K1250">
        <v>0.94</v>
      </c>
      <c r="L1250">
        <v>0.54</v>
      </c>
      <c r="M1250">
        <v>0.15</v>
      </c>
      <c r="N1250">
        <v>0.88</v>
      </c>
      <c r="O1250">
        <v>0.04</v>
      </c>
      <c r="P1250">
        <v>0.81</v>
      </c>
      <c r="Q1250">
        <v>0.68</v>
      </c>
      <c r="R1250" s="2">
        <v>0.9</v>
      </c>
      <c r="S1250" t="str">
        <f>IF(Table1[[#This Row],[Years_Experience]]&lt;=5,"Early Career",
IF(Table1[[#This Row],[Years_Experience]]&lt;=15,"Mid Career","Senior Level"))</f>
        <v>Early Career</v>
      </c>
      <c r="T1250" t="str">
        <f>IF(Table1[[#This Row],[AI_Exposure_Index]]&gt;=0.7,"High Exposure", IF(Table1[[#This Row],[AI_Exposure_Index]]&gt;=0.3,"Medium Exposure","Low Exposure"))</f>
        <v>High Exposure</v>
      </c>
    </row>
    <row r="1251" spans="1:20" x14ac:dyDescent="0.25">
      <c r="A1251" t="s">
        <v>21</v>
      </c>
      <c r="B1251">
        <v>39495</v>
      </c>
      <c r="C1251" s="1">
        <v>3</v>
      </c>
      <c r="D1251" t="s">
        <v>19</v>
      </c>
      <c r="E1251" s="7">
        <v>1.1100000000000001</v>
      </c>
      <c r="F1251" s="2">
        <v>0.05</v>
      </c>
      <c r="G1251" s="7">
        <v>0.08</v>
      </c>
      <c r="H1251" s="9" t="s">
        <v>23</v>
      </c>
      <c r="I1251">
        <v>0.08</v>
      </c>
      <c r="J1251">
        <v>0.45</v>
      </c>
      <c r="K1251">
        <v>0.1</v>
      </c>
      <c r="L1251">
        <v>0.73</v>
      </c>
      <c r="M1251">
        <v>0.97</v>
      </c>
      <c r="N1251">
        <v>0.56999999999999995</v>
      </c>
      <c r="O1251">
        <v>0.24</v>
      </c>
      <c r="P1251">
        <v>0.84</v>
      </c>
      <c r="Q1251">
        <v>0.85</v>
      </c>
      <c r="R1251" s="2">
        <v>0.73</v>
      </c>
      <c r="S1251" t="str">
        <f>IF(Table1[[#This Row],[Years_Experience]]&lt;=5,"Early Career",
IF(Table1[[#This Row],[Years_Experience]]&lt;=15,"Mid Career","Senior Level"))</f>
        <v>Early Career</v>
      </c>
      <c r="T1251" t="str">
        <f>IF(Table1[[#This Row],[AI_Exposure_Index]]&gt;=0.7,"High Exposure", IF(Table1[[#This Row],[AI_Exposure_Index]]&gt;=0.3,"Medium Exposure","Low Exposure"))</f>
        <v>Low Exposure</v>
      </c>
    </row>
    <row r="1252" spans="1:20" x14ac:dyDescent="0.25">
      <c r="A1252" t="s">
        <v>36</v>
      </c>
      <c r="B1252">
        <v>115380</v>
      </c>
      <c r="C1252" s="1">
        <v>12</v>
      </c>
      <c r="D1252" t="s">
        <v>22</v>
      </c>
      <c r="E1252" s="7">
        <v>0.66</v>
      </c>
      <c r="F1252" s="2">
        <v>0.87</v>
      </c>
      <c r="G1252" s="7">
        <v>0.67</v>
      </c>
      <c r="H1252" s="9" t="s">
        <v>27</v>
      </c>
      <c r="I1252">
        <v>0.95</v>
      </c>
      <c r="J1252">
        <v>0.87</v>
      </c>
      <c r="K1252">
        <v>0.25</v>
      </c>
      <c r="L1252">
        <v>0.86</v>
      </c>
      <c r="M1252">
        <v>0.5</v>
      </c>
      <c r="N1252">
        <v>0.59</v>
      </c>
      <c r="O1252">
        <v>0.84</v>
      </c>
      <c r="P1252">
        <v>0.03</v>
      </c>
      <c r="Q1252">
        <v>0.36</v>
      </c>
      <c r="R1252" s="2">
        <v>0.82</v>
      </c>
      <c r="S1252" t="str">
        <f>IF(Table1[[#This Row],[Years_Experience]]&lt;=5,"Early Career",
IF(Table1[[#This Row],[Years_Experience]]&lt;=15,"Mid Career","Senior Level"))</f>
        <v>Mid Career</v>
      </c>
      <c r="T1252" t="str">
        <f>IF(Table1[[#This Row],[AI_Exposure_Index]]&gt;=0.7,"High Exposure", IF(Table1[[#This Row],[AI_Exposure_Index]]&gt;=0.3,"Medium Exposure","Low Exposure"))</f>
        <v>High Exposure</v>
      </c>
    </row>
    <row r="1253" spans="1:20" x14ac:dyDescent="0.25">
      <c r="A1253" t="s">
        <v>42</v>
      </c>
      <c r="B1253">
        <v>117843</v>
      </c>
      <c r="C1253" s="1">
        <v>5</v>
      </c>
      <c r="D1253" t="s">
        <v>19</v>
      </c>
      <c r="E1253" s="7">
        <v>0.67</v>
      </c>
      <c r="F1253" s="2">
        <v>0.85</v>
      </c>
      <c r="G1253" s="7">
        <v>0.57999999999999996</v>
      </c>
      <c r="H1253" s="9" t="s">
        <v>27</v>
      </c>
      <c r="I1253">
        <v>0.15</v>
      </c>
      <c r="J1253">
        <v>0.79</v>
      </c>
      <c r="K1253">
        <v>0.25</v>
      </c>
      <c r="L1253">
        <v>0.74</v>
      </c>
      <c r="M1253">
        <v>0.46</v>
      </c>
      <c r="N1253">
        <v>0.99</v>
      </c>
      <c r="O1253">
        <v>0.57999999999999996</v>
      </c>
      <c r="P1253">
        <v>0.63</v>
      </c>
      <c r="Q1253">
        <v>0.37</v>
      </c>
      <c r="R1253" s="2">
        <v>0.73</v>
      </c>
      <c r="S1253" t="str">
        <f>IF(Table1[[#This Row],[Years_Experience]]&lt;=5,"Early Career",
IF(Table1[[#This Row],[Years_Experience]]&lt;=15,"Mid Career","Senior Level"))</f>
        <v>Early Career</v>
      </c>
      <c r="T1253" t="str">
        <f>IF(Table1[[#This Row],[AI_Exposure_Index]]&gt;=0.7,"High Exposure", IF(Table1[[#This Row],[AI_Exposure_Index]]&gt;=0.3,"Medium Exposure","Low Exposure"))</f>
        <v>High Exposure</v>
      </c>
    </row>
    <row r="1254" spans="1:20" x14ac:dyDescent="0.25">
      <c r="A1254" t="s">
        <v>28</v>
      </c>
      <c r="B1254">
        <v>84104</v>
      </c>
      <c r="C1254" s="1">
        <v>12</v>
      </c>
      <c r="D1254" t="s">
        <v>38</v>
      </c>
      <c r="E1254" s="7">
        <v>1.1100000000000001</v>
      </c>
      <c r="F1254" s="2">
        <v>0.02</v>
      </c>
      <c r="G1254" s="7">
        <v>0.63</v>
      </c>
      <c r="H1254" s="9" t="s">
        <v>27</v>
      </c>
      <c r="I1254">
        <v>0.24</v>
      </c>
      <c r="J1254">
        <v>0.22</v>
      </c>
      <c r="K1254">
        <v>0.61</v>
      </c>
      <c r="L1254">
        <v>0.82</v>
      </c>
      <c r="M1254">
        <v>0.25</v>
      </c>
      <c r="N1254">
        <v>0.93</v>
      </c>
      <c r="O1254">
        <v>0.93</v>
      </c>
      <c r="P1254">
        <v>0.2</v>
      </c>
      <c r="Q1254">
        <v>0.26</v>
      </c>
      <c r="R1254" s="2">
        <v>0.7</v>
      </c>
      <c r="S1254" t="str">
        <f>IF(Table1[[#This Row],[Years_Experience]]&lt;=5,"Early Career",
IF(Table1[[#This Row],[Years_Experience]]&lt;=15,"Mid Career","Senior Level"))</f>
        <v>Mid Career</v>
      </c>
      <c r="T1254" t="str">
        <f>IF(Table1[[#This Row],[AI_Exposure_Index]]&gt;=0.7,"High Exposure", IF(Table1[[#This Row],[AI_Exposure_Index]]&gt;=0.3,"Medium Exposure","Low Exposure"))</f>
        <v>Low Exposure</v>
      </c>
    </row>
    <row r="1255" spans="1:20" x14ac:dyDescent="0.25">
      <c r="A1255" t="s">
        <v>26</v>
      </c>
      <c r="B1255">
        <v>81179</v>
      </c>
      <c r="C1255" s="1">
        <v>29</v>
      </c>
      <c r="D1255" t="s">
        <v>19</v>
      </c>
      <c r="E1255" s="7">
        <v>0.94</v>
      </c>
      <c r="F1255" s="2">
        <v>0.71</v>
      </c>
      <c r="G1255" s="7">
        <v>0.37</v>
      </c>
      <c r="H1255" s="9" t="s">
        <v>27</v>
      </c>
      <c r="I1255">
        <v>0.46</v>
      </c>
      <c r="J1255">
        <v>0.61</v>
      </c>
      <c r="K1255">
        <v>0.33</v>
      </c>
      <c r="L1255">
        <v>0.51</v>
      </c>
      <c r="M1255">
        <v>0.13</v>
      </c>
      <c r="N1255">
        <v>0.45</v>
      </c>
      <c r="O1255">
        <v>0.09</v>
      </c>
      <c r="P1255">
        <v>0.05</v>
      </c>
      <c r="Q1255">
        <v>0.86</v>
      </c>
      <c r="R1255" s="2">
        <v>0.21</v>
      </c>
      <c r="S1255" t="str">
        <f>IF(Table1[[#This Row],[Years_Experience]]&lt;=5,"Early Career",
IF(Table1[[#This Row],[Years_Experience]]&lt;=15,"Mid Career","Senior Level"))</f>
        <v>Senior Level</v>
      </c>
      <c r="T1255" t="str">
        <f>IF(Table1[[#This Row],[AI_Exposure_Index]]&gt;=0.7,"High Exposure", IF(Table1[[#This Row],[AI_Exposure_Index]]&gt;=0.3,"Medium Exposure","Low Exposure"))</f>
        <v>High Exposure</v>
      </c>
    </row>
    <row r="1256" spans="1:20" x14ac:dyDescent="0.25">
      <c r="A1256" t="s">
        <v>43</v>
      </c>
      <c r="B1256">
        <v>120404</v>
      </c>
      <c r="C1256" s="1">
        <v>26</v>
      </c>
      <c r="D1256" t="s">
        <v>38</v>
      </c>
      <c r="E1256" s="7">
        <v>0.76</v>
      </c>
      <c r="F1256" s="2">
        <v>0.15</v>
      </c>
      <c r="G1256" s="7">
        <v>0.14000000000000001</v>
      </c>
      <c r="H1256" s="9" t="s">
        <v>23</v>
      </c>
      <c r="I1256">
        <v>0.14000000000000001</v>
      </c>
      <c r="J1256">
        <v>0.05</v>
      </c>
      <c r="K1256">
        <v>0.88</v>
      </c>
      <c r="L1256">
        <v>0.01</v>
      </c>
      <c r="M1256">
        <v>0.06</v>
      </c>
      <c r="N1256">
        <v>0.81</v>
      </c>
      <c r="O1256">
        <v>0.28000000000000003</v>
      </c>
      <c r="P1256">
        <v>0.72</v>
      </c>
      <c r="Q1256">
        <v>0.15</v>
      </c>
      <c r="R1256" s="2">
        <v>0.24</v>
      </c>
      <c r="S1256" t="str">
        <f>IF(Table1[[#This Row],[Years_Experience]]&lt;=5,"Early Career",
IF(Table1[[#This Row],[Years_Experience]]&lt;=15,"Mid Career","Senior Level"))</f>
        <v>Senior Level</v>
      </c>
      <c r="T1256" t="str">
        <f>IF(Table1[[#This Row],[AI_Exposure_Index]]&gt;=0.7,"High Exposure", IF(Table1[[#This Row],[AI_Exposure_Index]]&gt;=0.3,"Medium Exposure","Low Exposure"))</f>
        <v>Low Exposure</v>
      </c>
    </row>
    <row r="1257" spans="1:20" x14ac:dyDescent="0.25">
      <c r="A1257" t="s">
        <v>21</v>
      </c>
      <c r="B1257">
        <v>127119</v>
      </c>
      <c r="C1257" s="1">
        <v>25</v>
      </c>
      <c r="D1257" t="s">
        <v>25</v>
      </c>
      <c r="E1257" s="7">
        <v>0.56999999999999995</v>
      </c>
      <c r="F1257" s="2">
        <v>0.99</v>
      </c>
      <c r="G1257" s="7">
        <v>0.15</v>
      </c>
      <c r="H1257" s="9" t="s">
        <v>23</v>
      </c>
      <c r="I1257">
        <v>0.04</v>
      </c>
      <c r="J1257">
        <v>0.2</v>
      </c>
      <c r="K1257">
        <v>0.91</v>
      </c>
      <c r="L1257">
        <v>0.1</v>
      </c>
      <c r="M1257">
        <v>0.86</v>
      </c>
      <c r="N1257">
        <v>0.18</v>
      </c>
      <c r="O1257">
        <v>0.86</v>
      </c>
      <c r="P1257">
        <v>0.54</v>
      </c>
      <c r="Q1257">
        <v>0.88</v>
      </c>
      <c r="R1257" s="2">
        <v>0.15</v>
      </c>
      <c r="S1257" t="str">
        <f>IF(Table1[[#This Row],[Years_Experience]]&lt;=5,"Early Career",
IF(Table1[[#This Row],[Years_Experience]]&lt;=15,"Mid Career","Senior Level"))</f>
        <v>Senior Level</v>
      </c>
      <c r="T1257" t="str">
        <f>IF(Table1[[#This Row],[AI_Exposure_Index]]&gt;=0.7,"High Exposure", IF(Table1[[#This Row],[AI_Exposure_Index]]&gt;=0.3,"Medium Exposure","Low Exposure"))</f>
        <v>High Exposure</v>
      </c>
    </row>
    <row r="1258" spans="1:20" x14ac:dyDescent="0.25">
      <c r="A1258" t="s">
        <v>26</v>
      </c>
      <c r="B1258">
        <v>84232</v>
      </c>
      <c r="C1258" s="1">
        <v>19</v>
      </c>
      <c r="D1258" t="s">
        <v>19</v>
      </c>
      <c r="E1258" s="7">
        <v>1.04</v>
      </c>
      <c r="F1258" s="2">
        <v>0.68</v>
      </c>
      <c r="G1258" s="7">
        <v>0.62</v>
      </c>
      <c r="H1258" s="9" t="s">
        <v>27</v>
      </c>
      <c r="I1258">
        <v>0.65</v>
      </c>
      <c r="J1258">
        <v>0.88</v>
      </c>
      <c r="K1258">
        <v>0.38</v>
      </c>
      <c r="L1258">
        <v>0.59</v>
      </c>
      <c r="M1258">
        <v>0.87</v>
      </c>
      <c r="N1258">
        <v>0.21</v>
      </c>
      <c r="O1258">
        <v>0.49</v>
      </c>
      <c r="P1258">
        <v>0.96</v>
      </c>
      <c r="Q1258">
        <v>0.47</v>
      </c>
      <c r="R1258" s="2">
        <v>0.25</v>
      </c>
      <c r="S1258" t="str">
        <f>IF(Table1[[#This Row],[Years_Experience]]&lt;=5,"Early Career",
IF(Table1[[#This Row],[Years_Experience]]&lt;=15,"Mid Career","Senior Level"))</f>
        <v>Senior Level</v>
      </c>
      <c r="T1258" t="str">
        <f>IF(Table1[[#This Row],[AI_Exposure_Index]]&gt;=0.7,"High Exposure", IF(Table1[[#This Row],[AI_Exposure_Index]]&gt;=0.3,"Medium Exposure","Low Exposure"))</f>
        <v>Medium Exposure</v>
      </c>
    </row>
    <row r="1259" spans="1:20" x14ac:dyDescent="0.25">
      <c r="A1259" t="s">
        <v>24</v>
      </c>
      <c r="B1259">
        <v>38689</v>
      </c>
      <c r="C1259" s="1">
        <v>14</v>
      </c>
      <c r="D1259" t="s">
        <v>38</v>
      </c>
      <c r="E1259" s="7">
        <v>1.47</v>
      </c>
      <c r="F1259" s="2">
        <v>0.59</v>
      </c>
      <c r="G1259" s="7">
        <v>0.74</v>
      </c>
      <c r="H1259" s="9" t="s">
        <v>20</v>
      </c>
      <c r="I1259">
        <v>0.85</v>
      </c>
      <c r="J1259">
        <v>0.7</v>
      </c>
      <c r="K1259">
        <v>0.77</v>
      </c>
      <c r="L1259">
        <v>0.28000000000000003</v>
      </c>
      <c r="M1259">
        <v>0.28999999999999998</v>
      </c>
      <c r="N1259">
        <v>0.91</v>
      </c>
      <c r="O1259">
        <v>0.36</v>
      </c>
      <c r="P1259">
        <v>0.06</v>
      </c>
      <c r="Q1259">
        <v>0.6</v>
      </c>
      <c r="R1259" s="2">
        <v>0.12</v>
      </c>
      <c r="S1259" t="str">
        <f>IF(Table1[[#This Row],[Years_Experience]]&lt;=5,"Early Career",
IF(Table1[[#This Row],[Years_Experience]]&lt;=15,"Mid Career","Senior Level"))</f>
        <v>Mid Career</v>
      </c>
      <c r="T1259" t="str">
        <f>IF(Table1[[#This Row],[AI_Exposure_Index]]&gt;=0.7,"High Exposure", IF(Table1[[#This Row],[AI_Exposure_Index]]&gt;=0.3,"Medium Exposure","Low Exposure"))</f>
        <v>Medium Exposure</v>
      </c>
    </row>
    <row r="1260" spans="1:20" x14ac:dyDescent="0.25">
      <c r="A1260" t="s">
        <v>39</v>
      </c>
      <c r="B1260">
        <v>143466</v>
      </c>
      <c r="C1260" s="1">
        <v>16</v>
      </c>
      <c r="D1260" t="s">
        <v>25</v>
      </c>
      <c r="E1260" s="7">
        <v>1.37</v>
      </c>
      <c r="F1260" s="2">
        <v>0.64</v>
      </c>
      <c r="G1260" s="7">
        <v>0.9</v>
      </c>
      <c r="H1260" s="9" t="s">
        <v>20</v>
      </c>
      <c r="I1260">
        <v>0.11</v>
      </c>
      <c r="J1260">
        <v>0.38</v>
      </c>
      <c r="K1260">
        <v>0.77</v>
      </c>
      <c r="L1260">
        <v>0.42</v>
      </c>
      <c r="M1260">
        <v>0.97</v>
      </c>
      <c r="N1260">
        <v>0.74</v>
      </c>
      <c r="O1260">
        <v>0.02</v>
      </c>
      <c r="P1260">
        <v>0.88</v>
      </c>
      <c r="Q1260">
        <v>0.1</v>
      </c>
      <c r="R1260" s="2">
        <v>0.14000000000000001</v>
      </c>
      <c r="S1260" t="str">
        <f>IF(Table1[[#This Row],[Years_Experience]]&lt;=5,"Early Career",
IF(Table1[[#This Row],[Years_Experience]]&lt;=15,"Mid Career","Senior Level"))</f>
        <v>Senior Level</v>
      </c>
      <c r="T1260" t="str">
        <f>IF(Table1[[#This Row],[AI_Exposure_Index]]&gt;=0.7,"High Exposure", IF(Table1[[#This Row],[AI_Exposure_Index]]&gt;=0.3,"Medium Exposure","Low Exposure"))</f>
        <v>Medium Exposure</v>
      </c>
    </row>
    <row r="1261" spans="1:20" x14ac:dyDescent="0.25">
      <c r="A1261" t="s">
        <v>34</v>
      </c>
      <c r="B1261">
        <v>141038</v>
      </c>
      <c r="C1261" s="1">
        <v>14</v>
      </c>
      <c r="D1261" t="s">
        <v>22</v>
      </c>
      <c r="E1261" s="7">
        <v>1.04</v>
      </c>
      <c r="F1261" s="2">
        <v>0.86</v>
      </c>
      <c r="G1261" s="7">
        <v>0.42</v>
      </c>
      <c r="H1261" s="9" t="s">
        <v>27</v>
      </c>
      <c r="I1261">
        <v>0.35</v>
      </c>
      <c r="J1261">
        <v>0.34</v>
      </c>
      <c r="K1261">
        <v>0.33</v>
      </c>
      <c r="L1261">
        <v>0.24</v>
      </c>
      <c r="M1261">
        <v>0.61</v>
      </c>
      <c r="N1261">
        <v>0.9</v>
      </c>
      <c r="O1261">
        <v>0.31</v>
      </c>
      <c r="P1261">
        <v>0.19</v>
      </c>
      <c r="Q1261">
        <v>0.84</v>
      </c>
      <c r="R1261" s="2">
        <v>0.74</v>
      </c>
      <c r="S1261" t="str">
        <f>IF(Table1[[#This Row],[Years_Experience]]&lt;=5,"Early Career",
IF(Table1[[#This Row],[Years_Experience]]&lt;=15,"Mid Career","Senior Level"))</f>
        <v>Mid Career</v>
      </c>
      <c r="T1261" t="str">
        <f>IF(Table1[[#This Row],[AI_Exposure_Index]]&gt;=0.7,"High Exposure", IF(Table1[[#This Row],[AI_Exposure_Index]]&gt;=0.3,"Medium Exposure","Low Exposure"))</f>
        <v>High Exposure</v>
      </c>
    </row>
    <row r="1262" spans="1:20" x14ac:dyDescent="0.25">
      <c r="A1262" t="s">
        <v>33</v>
      </c>
      <c r="B1262">
        <v>117526</v>
      </c>
      <c r="C1262" s="1">
        <v>20</v>
      </c>
      <c r="D1262" t="s">
        <v>19</v>
      </c>
      <c r="E1262" s="7">
        <v>0.64</v>
      </c>
      <c r="F1262" s="2">
        <v>0.17</v>
      </c>
      <c r="G1262" s="7">
        <v>0.84</v>
      </c>
      <c r="H1262" s="9" t="s">
        <v>20</v>
      </c>
      <c r="I1262">
        <v>0.61</v>
      </c>
      <c r="J1262">
        <v>0.48</v>
      </c>
      <c r="K1262">
        <v>0.6</v>
      </c>
      <c r="L1262">
        <v>0.18</v>
      </c>
      <c r="M1262">
        <v>0.48</v>
      </c>
      <c r="N1262">
        <v>0.66</v>
      </c>
      <c r="O1262">
        <v>0.43</v>
      </c>
      <c r="P1262">
        <v>0.68</v>
      </c>
      <c r="Q1262">
        <v>0.45</v>
      </c>
      <c r="R1262" s="2">
        <v>0.33</v>
      </c>
      <c r="S1262" t="str">
        <f>IF(Table1[[#This Row],[Years_Experience]]&lt;=5,"Early Career",
IF(Table1[[#This Row],[Years_Experience]]&lt;=15,"Mid Career","Senior Level"))</f>
        <v>Senior Level</v>
      </c>
      <c r="T1262" t="str">
        <f>IF(Table1[[#This Row],[AI_Exposure_Index]]&gt;=0.7,"High Exposure", IF(Table1[[#This Row],[AI_Exposure_Index]]&gt;=0.3,"Medium Exposure","Low Exposure"))</f>
        <v>Low Exposure</v>
      </c>
    </row>
    <row r="1263" spans="1:20" x14ac:dyDescent="0.25">
      <c r="A1263" t="s">
        <v>35</v>
      </c>
      <c r="B1263">
        <v>99503</v>
      </c>
      <c r="C1263" s="1">
        <v>19</v>
      </c>
      <c r="D1263" t="s">
        <v>38</v>
      </c>
      <c r="E1263" s="7">
        <v>0.52</v>
      </c>
      <c r="F1263" s="2">
        <v>0.41</v>
      </c>
      <c r="G1263" s="7">
        <v>0.56999999999999995</v>
      </c>
      <c r="H1263" s="9" t="s">
        <v>27</v>
      </c>
      <c r="I1263">
        <v>0.85</v>
      </c>
      <c r="J1263">
        <v>0.35</v>
      </c>
      <c r="K1263">
        <v>0.05</v>
      </c>
      <c r="L1263">
        <v>0.99</v>
      </c>
      <c r="M1263">
        <v>0.26</v>
      </c>
      <c r="N1263">
        <v>0.13</v>
      </c>
      <c r="O1263">
        <v>0.37</v>
      </c>
      <c r="P1263">
        <v>0.74</v>
      </c>
      <c r="Q1263">
        <v>0.28999999999999998</v>
      </c>
      <c r="R1263" s="2">
        <v>0.56999999999999995</v>
      </c>
      <c r="S1263" t="str">
        <f>IF(Table1[[#This Row],[Years_Experience]]&lt;=5,"Early Career",
IF(Table1[[#This Row],[Years_Experience]]&lt;=15,"Mid Career","Senior Level"))</f>
        <v>Senior Level</v>
      </c>
      <c r="T1263" t="str">
        <f>IF(Table1[[#This Row],[AI_Exposure_Index]]&gt;=0.7,"High Exposure", IF(Table1[[#This Row],[AI_Exposure_Index]]&gt;=0.3,"Medium Exposure","Low Exposure"))</f>
        <v>Medium Exposure</v>
      </c>
    </row>
    <row r="1264" spans="1:20" x14ac:dyDescent="0.25">
      <c r="A1264" t="s">
        <v>31</v>
      </c>
      <c r="B1264">
        <v>39157</v>
      </c>
      <c r="C1264" s="1">
        <v>6</v>
      </c>
      <c r="D1264" t="s">
        <v>19</v>
      </c>
      <c r="E1264" s="7">
        <v>0.83</v>
      </c>
      <c r="F1264" s="2">
        <v>0.12</v>
      </c>
      <c r="G1264" s="7">
        <v>0.23</v>
      </c>
      <c r="H1264" s="9" t="s">
        <v>23</v>
      </c>
      <c r="I1264">
        <v>0.61</v>
      </c>
      <c r="J1264">
        <v>0.12</v>
      </c>
      <c r="K1264">
        <v>0.16</v>
      </c>
      <c r="L1264">
        <v>0.64</v>
      </c>
      <c r="M1264">
        <v>0.81</v>
      </c>
      <c r="N1264">
        <v>0.35</v>
      </c>
      <c r="O1264">
        <v>0.6</v>
      </c>
      <c r="P1264">
        <v>0.17</v>
      </c>
      <c r="Q1264">
        <v>0.31</v>
      </c>
      <c r="R1264" s="2">
        <v>0.02</v>
      </c>
      <c r="S1264" t="str">
        <f>IF(Table1[[#This Row],[Years_Experience]]&lt;=5,"Early Career",
IF(Table1[[#This Row],[Years_Experience]]&lt;=15,"Mid Career","Senior Level"))</f>
        <v>Mid Career</v>
      </c>
      <c r="T1264" t="str">
        <f>IF(Table1[[#This Row],[AI_Exposure_Index]]&gt;=0.7,"High Exposure", IF(Table1[[#This Row],[AI_Exposure_Index]]&gt;=0.3,"Medium Exposure","Low Exposure"))</f>
        <v>Low Exposure</v>
      </c>
    </row>
    <row r="1265" spans="1:20" x14ac:dyDescent="0.25">
      <c r="A1265" t="s">
        <v>37</v>
      </c>
      <c r="B1265">
        <v>143565</v>
      </c>
      <c r="C1265" s="1">
        <v>6</v>
      </c>
      <c r="D1265" t="s">
        <v>22</v>
      </c>
      <c r="E1265" s="7">
        <v>1.32</v>
      </c>
      <c r="F1265" s="2">
        <v>0.4</v>
      </c>
      <c r="G1265" s="7">
        <v>0.57999999999999996</v>
      </c>
      <c r="H1265" s="9" t="s">
        <v>27</v>
      </c>
      <c r="I1265">
        <v>0.83</v>
      </c>
      <c r="J1265">
        <v>0.28999999999999998</v>
      </c>
      <c r="K1265">
        <v>0.19</v>
      </c>
      <c r="L1265">
        <v>0.97</v>
      </c>
      <c r="M1265">
        <v>0.72</v>
      </c>
      <c r="N1265">
        <v>0.83</v>
      </c>
      <c r="O1265">
        <v>0.01</v>
      </c>
      <c r="P1265">
        <v>0.35</v>
      </c>
      <c r="Q1265">
        <v>0.74</v>
      </c>
      <c r="R1265" s="2">
        <v>0.08</v>
      </c>
      <c r="S1265" t="str">
        <f>IF(Table1[[#This Row],[Years_Experience]]&lt;=5,"Early Career",
IF(Table1[[#This Row],[Years_Experience]]&lt;=15,"Mid Career","Senior Level"))</f>
        <v>Mid Career</v>
      </c>
      <c r="T1265" t="str">
        <f>IF(Table1[[#This Row],[AI_Exposure_Index]]&gt;=0.7,"High Exposure", IF(Table1[[#This Row],[AI_Exposure_Index]]&gt;=0.3,"Medium Exposure","Low Exposure"))</f>
        <v>Medium Exposure</v>
      </c>
    </row>
    <row r="1266" spans="1:20" x14ac:dyDescent="0.25">
      <c r="A1266" t="s">
        <v>21</v>
      </c>
      <c r="B1266">
        <v>107952</v>
      </c>
      <c r="C1266" s="1">
        <v>16</v>
      </c>
      <c r="D1266" t="s">
        <v>19</v>
      </c>
      <c r="E1266" s="7">
        <v>0.52</v>
      </c>
      <c r="F1266" s="2">
        <v>0.43</v>
      </c>
      <c r="G1266" s="7">
        <v>0.11</v>
      </c>
      <c r="H1266" s="9" t="s">
        <v>23</v>
      </c>
      <c r="I1266">
        <v>0.28000000000000003</v>
      </c>
      <c r="J1266">
        <v>0.11</v>
      </c>
      <c r="K1266">
        <v>0.63</v>
      </c>
      <c r="L1266">
        <v>0.24</v>
      </c>
      <c r="M1266">
        <v>0.28000000000000003</v>
      </c>
      <c r="N1266">
        <v>0.9</v>
      </c>
      <c r="O1266">
        <v>0.47</v>
      </c>
      <c r="P1266">
        <v>0.39</v>
      </c>
      <c r="Q1266">
        <v>0.72</v>
      </c>
      <c r="R1266" s="2">
        <v>0.91</v>
      </c>
      <c r="S1266" t="str">
        <f>IF(Table1[[#This Row],[Years_Experience]]&lt;=5,"Early Career",
IF(Table1[[#This Row],[Years_Experience]]&lt;=15,"Mid Career","Senior Level"))</f>
        <v>Senior Level</v>
      </c>
      <c r="T1266" t="str">
        <f>IF(Table1[[#This Row],[AI_Exposure_Index]]&gt;=0.7,"High Exposure", IF(Table1[[#This Row],[AI_Exposure_Index]]&gt;=0.3,"Medium Exposure","Low Exposure"))</f>
        <v>Medium Exposure</v>
      </c>
    </row>
    <row r="1267" spans="1:20" x14ac:dyDescent="0.25">
      <c r="A1267" t="s">
        <v>30</v>
      </c>
      <c r="B1267">
        <v>81224</v>
      </c>
      <c r="C1267" s="1">
        <v>2</v>
      </c>
      <c r="D1267" t="s">
        <v>22</v>
      </c>
      <c r="E1267" s="7">
        <v>1.1100000000000001</v>
      </c>
      <c r="F1267" s="2">
        <v>0.45</v>
      </c>
      <c r="G1267" s="7">
        <v>0.43</v>
      </c>
      <c r="H1267" s="9" t="s">
        <v>27</v>
      </c>
      <c r="I1267">
        <v>0.77</v>
      </c>
      <c r="J1267">
        <v>0.97</v>
      </c>
      <c r="K1267">
        <v>0.94</v>
      </c>
      <c r="L1267">
        <v>0.27</v>
      </c>
      <c r="M1267">
        <v>0.23</v>
      </c>
      <c r="N1267">
        <v>0.96</v>
      </c>
      <c r="O1267">
        <v>0.46</v>
      </c>
      <c r="P1267">
        <v>0.21</v>
      </c>
      <c r="Q1267">
        <v>0.71</v>
      </c>
      <c r="R1267" s="2">
        <v>0.28000000000000003</v>
      </c>
      <c r="S1267" t="str">
        <f>IF(Table1[[#This Row],[Years_Experience]]&lt;=5,"Early Career",
IF(Table1[[#This Row],[Years_Experience]]&lt;=15,"Mid Career","Senior Level"))</f>
        <v>Early Career</v>
      </c>
      <c r="T1267" t="str">
        <f>IF(Table1[[#This Row],[AI_Exposure_Index]]&gt;=0.7,"High Exposure", IF(Table1[[#This Row],[AI_Exposure_Index]]&gt;=0.3,"Medium Exposure","Low Exposure"))</f>
        <v>Medium Exposure</v>
      </c>
    </row>
    <row r="1268" spans="1:20" x14ac:dyDescent="0.25">
      <c r="A1268" t="s">
        <v>36</v>
      </c>
      <c r="B1268">
        <v>49517</v>
      </c>
      <c r="C1268" s="1">
        <v>21</v>
      </c>
      <c r="D1268" t="s">
        <v>38</v>
      </c>
      <c r="E1268" s="7">
        <v>0.66</v>
      </c>
      <c r="F1268" s="2">
        <v>0.88</v>
      </c>
      <c r="G1268" s="7">
        <v>0.33</v>
      </c>
      <c r="H1268" s="9" t="s">
        <v>27</v>
      </c>
      <c r="I1268">
        <v>0.27</v>
      </c>
      <c r="J1268">
        <v>0.61</v>
      </c>
      <c r="K1268">
        <v>0.12</v>
      </c>
      <c r="L1268">
        <v>0.47</v>
      </c>
      <c r="M1268">
        <v>0.63</v>
      </c>
      <c r="N1268">
        <v>0.85</v>
      </c>
      <c r="O1268">
        <v>0.23</v>
      </c>
      <c r="P1268">
        <v>0.82</v>
      </c>
      <c r="Q1268">
        <v>0.23</v>
      </c>
      <c r="R1268" s="2">
        <v>0.68</v>
      </c>
      <c r="S1268" t="str">
        <f>IF(Table1[[#This Row],[Years_Experience]]&lt;=5,"Early Career",
IF(Table1[[#This Row],[Years_Experience]]&lt;=15,"Mid Career","Senior Level"))</f>
        <v>Senior Level</v>
      </c>
      <c r="T1268" t="str">
        <f>IF(Table1[[#This Row],[AI_Exposure_Index]]&gt;=0.7,"High Exposure", IF(Table1[[#This Row],[AI_Exposure_Index]]&gt;=0.3,"Medium Exposure","Low Exposure"))</f>
        <v>High Exposure</v>
      </c>
    </row>
    <row r="1269" spans="1:20" x14ac:dyDescent="0.25">
      <c r="A1269" t="s">
        <v>42</v>
      </c>
      <c r="B1269">
        <v>70849</v>
      </c>
      <c r="C1269" s="1">
        <v>22</v>
      </c>
      <c r="D1269" t="s">
        <v>38</v>
      </c>
      <c r="E1269" s="7">
        <v>1.21</v>
      </c>
      <c r="F1269" s="2">
        <v>0.11</v>
      </c>
      <c r="G1269" s="7">
        <v>0.39</v>
      </c>
      <c r="H1269" s="9" t="s">
        <v>27</v>
      </c>
      <c r="I1269">
        <v>0.18</v>
      </c>
      <c r="J1269">
        <v>0.36</v>
      </c>
      <c r="K1269">
        <v>0.65</v>
      </c>
      <c r="L1269">
        <v>0.23</v>
      </c>
      <c r="M1269">
        <v>0.18</v>
      </c>
      <c r="N1269">
        <v>0.01</v>
      </c>
      <c r="O1269">
        <v>0.47</v>
      </c>
      <c r="P1269">
        <v>0.43</v>
      </c>
      <c r="Q1269">
        <v>0.23</v>
      </c>
      <c r="R1269" s="2">
        <v>0.05</v>
      </c>
      <c r="S1269" t="str">
        <f>IF(Table1[[#This Row],[Years_Experience]]&lt;=5,"Early Career",
IF(Table1[[#This Row],[Years_Experience]]&lt;=15,"Mid Career","Senior Level"))</f>
        <v>Senior Level</v>
      </c>
      <c r="T1269" t="str">
        <f>IF(Table1[[#This Row],[AI_Exposure_Index]]&gt;=0.7,"High Exposure", IF(Table1[[#This Row],[AI_Exposure_Index]]&gt;=0.3,"Medium Exposure","Low Exposure"))</f>
        <v>Low Exposure</v>
      </c>
    </row>
    <row r="1270" spans="1:20" x14ac:dyDescent="0.25">
      <c r="A1270" t="s">
        <v>32</v>
      </c>
      <c r="B1270">
        <v>142277</v>
      </c>
      <c r="C1270" s="1">
        <v>24</v>
      </c>
      <c r="D1270" t="s">
        <v>19</v>
      </c>
      <c r="E1270" s="7">
        <v>1.22</v>
      </c>
      <c r="F1270" s="2">
        <v>0.79</v>
      </c>
      <c r="G1270" s="7">
        <v>0.64</v>
      </c>
      <c r="H1270" s="9" t="s">
        <v>27</v>
      </c>
      <c r="I1270">
        <v>0.01</v>
      </c>
      <c r="J1270">
        <v>0.97</v>
      </c>
      <c r="K1270">
        <v>0.34</v>
      </c>
      <c r="L1270">
        <v>0.99</v>
      </c>
      <c r="M1270">
        <v>0.25</v>
      </c>
      <c r="N1270">
        <v>0.47</v>
      </c>
      <c r="O1270">
        <v>0.35</v>
      </c>
      <c r="P1270">
        <v>0.36</v>
      </c>
      <c r="Q1270">
        <v>0.84</v>
      </c>
      <c r="R1270" s="2">
        <v>0.75</v>
      </c>
      <c r="S1270" t="str">
        <f>IF(Table1[[#This Row],[Years_Experience]]&lt;=5,"Early Career",
IF(Table1[[#This Row],[Years_Experience]]&lt;=15,"Mid Career","Senior Level"))</f>
        <v>Senior Level</v>
      </c>
      <c r="T1270" t="str">
        <f>IF(Table1[[#This Row],[AI_Exposure_Index]]&gt;=0.7,"High Exposure", IF(Table1[[#This Row],[AI_Exposure_Index]]&gt;=0.3,"Medium Exposure","Low Exposure"))</f>
        <v>High Exposure</v>
      </c>
    </row>
    <row r="1271" spans="1:20" x14ac:dyDescent="0.25">
      <c r="A1271" t="s">
        <v>18</v>
      </c>
      <c r="B1271">
        <v>137251</v>
      </c>
      <c r="C1271" s="1">
        <v>25</v>
      </c>
      <c r="D1271" t="s">
        <v>25</v>
      </c>
      <c r="E1271" s="7">
        <v>0.96</v>
      </c>
      <c r="F1271" s="2">
        <v>0.61</v>
      </c>
      <c r="G1271" s="7">
        <v>0.72</v>
      </c>
      <c r="H1271" s="9" t="s">
        <v>20</v>
      </c>
      <c r="I1271">
        <v>1</v>
      </c>
      <c r="J1271">
        <v>0.55000000000000004</v>
      </c>
      <c r="K1271">
        <v>0.7</v>
      </c>
      <c r="L1271">
        <v>0.41</v>
      </c>
      <c r="M1271">
        <v>0.55000000000000004</v>
      </c>
      <c r="N1271">
        <v>0.94</v>
      </c>
      <c r="O1271">
        <v>0.17</v>
      </c>
      <c r="P1271">
        <v>0.28999999999999998</v>
      </c>
      <c r="Q1271">
        <v>0.15</v>
      </c>
      <c r="R1271" s="2">
        <v>0.79</v>
      </c>
      <c r="S1271" t="str">
        <f>IF(Table1[[#This Row],[Years_Experience]]&lt;=5,"Early Career",
IF(Table1[[#This Row],[Years_Experience]]&lt;=15,"Mid Career","Senior Level"))</f>
        <v>Senior Level</v>
      </c>
      <c r="T1271" t="str">
        <f>IF(Table1[[#This Row],[AI_Exposure_Index]]&gt;=0.7,"High Exposure", IF(Table1[[#This Row],[AI_Exposure_Index]]&gt;=0.3,"Medium Exposure","Low Exposure"))</f>
        <v>Medium Exposure</v>
      </c>
    </row>
    <row r="1272" spans="1:20" x14ac:dyDescent="0.25">
      <c r="A1272" t="s">
        <v>30</v>
      </c>
      <c r="B1272">
        <v>42979</v>
      </c>
      <c r="C1272" s="1">
        <v>1</v>
      </c>
      <c r="D1272" t="s">
        <v>38</v>
      </c>
      <c r="E1272" s="7">
        <v>0.8</v>
      </c>
      <c r="F1272" s="2">
        <v>0.08</v>
      </c>
      <c r="G1272" s="7">
        <v>0.51</v>
      </c>
      <c r="H1272" s="9" t="s">
        <v>27</v>
      </c>
      <c r="I1272">
        <v>0.41</v>
      </c>
      <c r="J1272">
        <v>0.04</v>
      </c>
      <c r="K1272">
        <v>0.96</v>
      </c>
      <c r="L1272">
        <v>0.95</v>
      </c>
      <c r="M1272">
        <v>0.28000000000000003</v>
      </c>
      <c r="N1272">
        <v>0.73</v>
      </c>
      <c r="O1272">
        <v>0.57999999999999996</v>
      </c>
      <c r="P1272">
        <v>0.24</v>
      </c>
      <c r="Q1272">
        <v>0.26</v>
      </c>
      <c r="R1272" s="2">
        <v>0.49</v>
      </c>
      <c r="S1272" t="str">
        <f>IF(Table1[[#This Row],[Years_Experience]]&lt;=5,"Early Career",
IF(Table1[[#This Row],[Years_Experience]]&lt;=15,"Mid Career","Senior Level"))</f>
        <v>Early Career</v>
      </c>
      <c r="T1272" t="str">
        <f>IF(Table1[[#This Row],[AI_Exposure_Index]]&gt;=0.7,"High Exposure", IF(Table1[[#This Row],[AI_Exposure_Index]]&gt;=0.3,"Medium Exposure","Low Exposure"))</f>
        <v>Low Exposure</v>
      </c>
    </row>
    <row r="1273" spans="1:20" x14ac:dyDescent="0.25">
      <c r="A1273" t="s">
        <v>29</v>
      </c>
      <c r="B1273">
        <v>102868</v>
      </c>
      <c r="C1273" s="1">
        <v>7</v>
      </c>
      <c r="D1273" t="s">
        <v>38</v>
      </c>
      <c r="E1273" s="7">
        <v>1.31</v>
      </c>
      <c r="F1273" s="2">
        <v>0.28999999999999998</v>
      </c>
      <c r="G1273" s="7">
        <v>0.17</v>
      </c>
      <c r="H1273" s="9" t="s">
        <v>23</v>
      </c>
      <c r="I1273">
        <v>0.65</v>
      </c>
      <c r="J1273">
        <v>0.19</v>
      </c>
      <c r="K1273">
        <v>0.53</v>
      </c>
      <c r="L1273">
        <v>0.32</v>
      </c>
      <c r="M1273">
        <v>0.53</v>
      </c>
      <c r="N1273">
        <v>0.78</v>
      </c>
      <c r="O1273">
        <v>0.77</v>
      </c>
      <c r="P1273">
        <v>0.35</v>
      </c>
      <c r="Q1273">
        <v>0.69</v>
      </c>
      <c r="R1273" s="2">
        <v>0.94</v>
      </c>
      <c r="S1273" t="str">
        <f>IF(Table1[[#This Row],[Years_Experience]]&lt;=5,"Early Career",
IF(Table1[[#This Row],[Years_Experience]]&lt;=15,"Mid Career","Senior Level"))</f>
        <v>Mid Career</v>
      </c>
      <c r="T1273" t="str">
        <f>IF(Table1[[#This Row],[AI_Exposure_Index]]&gt;=0.7,"High Exposure", IF(Table1[[#This Row],[AI_Exposure_Index]]&gt;=0.3,"Medium Exposure","Low Exposure"))</f>
        <v>Low Exposure</v>
      </c>
    </row>
    <row r="1274" spans="1:20" x14ac:dyDescent="0.25">
      <c r="A1274" t="s">
        <v>33</v>
      </c>
      <c r="B1274">
        <v>31649</v>
      </c>
      <c r="C1274" s="1">
        <v>0</v>
      </c>
      <c r="D1274" t="s">
        <v>38</v>
      </c>
      <c r="E1274" s="7">
        <v>1.42</v>
      </c>
      <c r="F1274" s="2">
        <v>0.56999999999999995</v>
      </c>
      <c r="G1274" s="7">
        <v>0.8</v>
      </c>
      <c r="H1274" s="9" t="s">
        <v>20</v>
      </c>
      <c r="I1274">
        <v>0.63</v>
      </c>
      <c r="J1274">
        <v>0.89</v>
      </c>
      <c r="K1274">
        <v>0.59</v>
      </c>
      <c r="L1274">
        <v>0.61</v>
      </c>
      <c r="M1274">
        <v>0.72</v>
      </c>
      <c r="N1274">
        <v>0.88</v>
      </c>
      <c r="O1274">
        <v>0.09</v>
      </c>
      <c r="P1274">
        <v>0.34</v>
      </c>
      <c r="Q1274">
        <v>0.4</v>
      </c>
      <c r="R1274" s="2">
        <v>0.91</v>
      </c>
      <c r="S1274" t="str">
        <f>IF(Table1[[#This Row],[Years_Experience]]&lt;=5,"Early Career",
IF(Table1[[#This Row],[Years_Experience]]&lt;=15,"Mid Career","Senior Level"))</f>
        <v>Early Career</v>
      </c>
      <c r="T1274" t="str">
        <f>IF(Table1[[#This Row],[AI_Exposure_Index]]&gt;=0.7,"High Exposure", IF(Table1[[#This Row],[AI_Exposure_Index]]&gt;=0.3,"Medium Exposure","Low Exposure"))</f>
        <v>Medium Exposure</v>
      </c>
    </row>
    <row r="1275" spans="1:20" x14ac:dyDescent="0.25">
      <c r="A1275" t="s">
        <v>37</v>
      </c>
      <c r="B1275">
        <v>91305</v>
      </c>
      <c r="C1275" s="1">
        <v>20</v>
      </c>
      <c r="D1275" t="s">
        <v>25</v>
      </c>
      <c r="E1275" s="7">
        <v>0.62</v>
      </c>
      <c r="F1275" s="2">
        <v>0.12</v>
      </c>
      <c r="G1275" s="7">
        <v>0.67</v>
      </c>
      <c r="H1275" s="9" t="s">
        <v>27</v>
      </c>
      <c r="I1275">
        <v>0.3</v>
      </c>
      <c r="J1275">
        <v>0.24</v>
      </c>
      <c r="K1275">
        <v>0.04</v>
      </c>
      <c r="L1275">
        <v>0.28000000000000003</v>
      </c>
      <c r="M1275">
        <v>0.69</v>
      </c>
      <c r="N1275">
        <v>0.43</v>
      </c>
      <c r="O1275">
        <v>0.52</v>
      </c>
      <c r="P1275">
        <v>0.92</v>
      </c>
      <c r="Q1275">
        <v>0.11</v>
      </c>
      <c r="R1275" s="2">
        <v>7.0000000000000007E-2</v>
      </c>
      <c r="S1275" t="str">
        <f>IF(Table1[[#This Row],[Years_Experience]]&lt;=5,"Early Career",
IF(Table1[[#This Row],[Years_Experience]]&lt;=15,"Mid Career","Senior Level"))</f>
        <v>Senior Level</v>
      </c>
      <c r="T1275" t="str">
        <f>IF(Table1[[#This Row],[AI_Exposure_Index]]&gt;=0.7,"High Exposure", IF(Table1[[#This Row],[AI_Exposure_Index]]&gt;=0.3,"Medium Exposure","Low Exposure"))</f>
        <v>Low Exposure</v>
      </c>
    </row>
    <row r="1276" spans="1:20" x14ac:dyDescent="0.25">
      <c r="A1276" t="s">
        <v>34</v>
      </c>
      <c r="B1276">
        <v>38738</v>
      </c>
      <c r="C1276" s="1">
        <v>16</v>
      </c>
      <c r="D1276" t="s">
        <v>25</v>
      </c>
      <c r="E1276" s="7">
        <v>0.76</v>
      </c>
      <c r="F1276" s="2">
        <v>0.77</v>
      </c>
      <c r="G1276" s="7">
        <v>0.43</v>
      </c>
      <c r="H1276" s="9" t="s">
        <v>27</v>
      </c>
      <c r="I1276">
        <v>0.31</v>
      </c>
      <c r="J1276">
        <v>0.65</v>
      </c>
      <c r="K1276">
        <v>0.06</v>
      </c>
      <c r="L1276">
        <v>0.49</v>
      </c>
      <c r="M1276">
        <v>0.13</v>
      </c>
      <c r="N1276">
        <v>0.82</v>
      </c>
      <c r="O1276">
        <v>0.38</v>
      </c>
      <c r="P1276">
        <v>0.53</v>
      </c>
      <c r="Q1276">
        <v>0.03</v>
      </c>
      <c r="R1276" s="2">
        <v>0.06</v>
      </c>
      <c r="S1276" t="str">
        <f>IF(Table1[[#This Row],[Years_Experience]]&lt;=5,"Early Career",
IF(Table1[[#This Row],[Years_Experience]]&lt;=15,"Mid Career","Senior Level"))</f>
        <v>Senior Level</v>
      </c>
      <c r="T1276" t="str">
        <f>IF(Table1[[#This Row],[AI_Exposure_Index]]&gt;=0.7,"High Exposure", IF(Table1[[#This Row],[AI_Exposure_Index]]&gt;=0.3,"Medium Exposure","Low Exposure"))</f>
        <v>High Exposure</v>
      </c>
    </row>
    <row r="1277" spans="1:20" x14ac:dyDescent="0.25">
      <c r="A1277" t="s">
        <v>28</v>
      </c>
      <c r="B1277">
        <v>55775</v>
      </c>
      <c r="C1277" s="1">
        <v>24</v>
      </c>
      <c r="D1277" t="s">
        <v>25</v>
      </c>
      <c r="E1277" s="7">
        <v>1.21</v>
      </c>
      <c r="F1277" s="2">
        <v>0.77</v>
      </c>
      <c r="G1277" s="7">
        <v>0.59</v>
      </c>
      <c r="H1277" s="9" t="s">
        <v>27</v>
      </c>
      <c r="I1277">
        <v>0.1</v>
      </c>
      <c r="J1277">
        <v>0.69</v>
      </c>
      <c r="K1277">
        <v>0.18</v>
      </c>
      <c r="L1277">
        <v>0.1</v>
      </c>
      <c r="M1277">
        <v>0.76</v>
      </c>
      <c r="N1277">
        <v>0.89</v>
      </c>
      <c r="O1277">
        <v>0.72</v>
      </c>
      <c r="P1277">
        <v>0.81</v>
      </c>
      <c r="Q1277">
        <v>0.99</v>
      </c>
      <c r="R1277" s="2">
        <v>0.13</v>
      </c>
      <c r="S1277" t="str">
        <f>IF(Table1[[#This Row],[Years_Experience]]&lt;=5,"Early Career",
IF(Table1[[#This Row],[Years_Experience]]&lt;=15,"Mid Career","Senior Level"))</f>
        <v>Senior Level</v>
      </c>
      <c r="T1277" t="str">
        <f>IF(Table1[[#This Row],[AI_Exposure_Index]]&gt;=0.7,"High Exposure", IF(Table1[[#This Row],[AI_Exposure_Index]]&gt;=0.3,"Medium Exposure","Low Exposure"))</f>
        <v>High Exposure</v>
      </c>
    </row>
    <row r="1278" spans="1:20" x14ac:dyDescent="0.25">
      <c r="A1278" t="s">
        <v>30</v>
      </c>
      <c r="B1278">
        <v>45569</v>
      </c>
      <c r="C1278" s="1">
        <v>3</v>
      </c>
      <c r="D1278" t="s">
        <v>22</v>
      </c>
      <c r="E1278" s="7">
        <v>1.31</v>
      </c>
      <c r="F1278" s="2">
        <v>0.6</v>
      </c>
      <c r="G1278" s="7">
        <v>0.56000000000000005</v>
      </c>
      <c r="H1278" s="9" t="s">
        <v>27</v>
      </c>
      <c r="I1278">
        <v>0.56999999999999995</v>
      </c>
      <c r="J1278">
        <v>0.7</v>
      </c>
      <c r="K1278">
        <v>0.32</v>
      </c>
      <c r="L1278">
        <v>0.92</v>
      </c>
      <c r="M1278">
        <v>0.12</v>
      </c>
      <c r="N1278">
        <v>0.32</v>
      </c>
      <c r="O1278">
        <v>0.03</v>
      </c>
      <c r="P1278">
        <v>0.27</v>
      </c>
      <c r="Q1278">
        <v>0.22</v>
      </c>
      <c r="R1278" s="2">
        <v>0.05</v>
      </c>
      <c r="S1278" t="str">
        <f>IF(Table1[[#This Row],[Years_Experience]]&lt;=5,"Early Career",
IF(Table1[[#This Row],[Years_Experience]]&lt;=15,"Mid Career","Senior Level"))</f>
        <v>Early Career</v>
      </c>
      <c r="T1278" t="str">
        <f>IF(Table1[[#This Row],[AI_Exposure_Index]]&gt;=0.7,"High Exposure", IF(Table1[[#This Row],[AI_Exposure_Index]]&gt;=0.3,"Medium Exposure","Low Exposure"))</f>
        <v>Medium Exposure</v>
      </c>
    </row>
    <row r="1279" spans="1:20" x14ac:dyDescent="0.25">
      <c r="A1279" t="s">
        <v>40</v>
      </c>
      <c r="B1279">
        <v>89327</v>
      </c>
      <c r="C1279" s="1">
        <v>3</v>
      </c>
      <c r="D1279" t="s">
        <v>38</v>
      </c>
      <c r="E1279" s="7">
        <v>0.57999999999999996</v>
      </c>
      <c r="F1279" s="2">
        <v>0.47</v>
      </c>
      <c r="G1279" s="7">
        <v>0.12</v>
      </c>
      <c r="H1279" s="9" t="s">
        <v>23</v>
      </c>
      <c r="I1279">
        <v>0.95</v>
      </c>
      <c r="J1279">
        <v>0.11</v>
      </c>
      <c r="K1279">
        <v>0.31</v>
      </c>
      <c r="L1279">
        <v>0.04</v>
      </c>
      <c r="M1279">
        <v>0.15</v>
      </c>
      <c r="N1279">
        <v>0.7</v>
      </c>
      <c r="O1279">
        <v>0.37</v>
      </c>
      <c r="P1279">
        <v>0.45</v>
      </c>
      <c r="Q1279">
        <v>0.16</v>
      </c>
      <c r="R1279" s="2">
        <v>0.68</v>
      </c>
      <c r="S1279" t="str">
        <f>IF(Table1[[#This Row],[Years_Experience]]&lt;=5,"Early Career",
IF(Table1[[#This Row],[Years_Experience]]&lt;=15,"Mid Career","Senior Level"))</f>
        <v>Early Career</v>
      </c>
      <c r="T1279" t="str">
        <f>IF(Table1[[#This Row],[AI_Exposure_Index]]&gt;=0.7,"High Exposure", IF(Table1[[#This Row],[AI_Exposure_Index]]&gt;=0.3,"Medium Exposure","Low Exposure"))</f>
        <v>Medium Exposure</v>
      </c>
    </row>
    <row r="1280" spans="1:20" x14ac:dyDescent="0.25">
      <c r="A1280" t="s">
        <v>34</v>
      </c>
      <c r="B1280">
        <v>142674</v>
      </c>
      <c r="C1280" s="1">
        <v>24</v>
      </c>
      <c r="D1280" t="s">
        <v>38</v>
      </c>
      <c r="E1280" s="7">
        <v>0.54</v>
      </c>
      <c r="F1280" s="2">
        <v>0.18</v>
      </c>
      <c r="G1280" s="7">
        <v>0.33</v>
      </c>
      <c r="H1280" s="9" t="s">
        <v>27</v>
      </c>
      <c r="I1280">
        <v>0.66</v>
      </c>
      <c r="J1280">
        <v>0.14000000000000001</v>
      </c>
      <c r="K1280">
        <v>0.49</v>
      </c>
      <c r="L1280">
        <v>0.15</v>
      </c>
      <c r="M1280">
        <v>0.17</v>
      </c>
      <c r="N1280">
        <v>0</v>
      </c>
      <c r="O1280">
        <v>0.32</v>
      </c>
      <c r="P1280">
        <v>0.09</v>
      </c>
      <c r="Q1280">
        <v>0.39</v>
      </c>
      <c r="R1280" s="2">
        <v>0.6</v>
      </c>
      <c r="S1280" t="str">
        <f>IF(Table1[[#This Row],[Years_Experience]]&lt;=5,"Early Career",
IF(Table1[[#This Row],[Years_Experience]]&lt;=15,"Mid Career","Senior Level"))</f>
        <v>Senior Level</v>
      </c>
      <c r="T1280" t="str">
        <f>IF(Table1[[#This Row],[AI_Exposure_Index]]&gt;=0.7,"High Exposure", IF(Table1[[#This Row],[AI_Exposure_Index]]&gt;=0.3,"Medium Exposure","Low Exposure"))</f>
        <v>Low Exposure</v>
      </c>
    </row>
    <row r="1281" spans="1:20" x14ac:dyDescent="0.25">
      <c r="A1281" t="s">
        <v>24</v>
      </c>
      <c r="B1281">
        <v>67602</v>
      </c>
      <c r="C1281" s="1">
        <v>10</v>
      </c>
      <c r="D1281" t="s">
        <v>38</v>
      </c>
      <c r="E1281" s="7">
        <v>1.24</v>
      </c>
      <c r="F1281" s="2">
        <v>0.71</v>
      </c>
      <c r="G1281" s="7">
        <v>0.87</v>
      </c>
      <c r="H1281" s="9" t="s">
        <v>20</v>
      </c>
      <c r="I1281">
        <v>0.94</v>
      </c>
      <c r="J1281">
        <v>0.24</v>
      </c>
      <c r="K1281">
        <v>0.19</v>
      </c>
      <c r="L1281">
        <v>0.61</v>
      </c>
      <c r="M1281">
        <v>0.59</v>
      </c>
      <c r="N1281">
        <v>0.51</v>
      </c>
      <c r="O1281">
        <v>0</v>
      </c>
      <c r="P1281">
        <v>0.56000000000000005</v>
      </c>
      <c r="Q1281">
        <v>0.93</v>
      </c>
      <c r="R1281" s="2">
        <v>0.33</v>
      </c>
      <c r="S1281" t="str">
        <f>IF(Table1[[#This Row],[Years_Experience]]&lt;=5,"Early Career",
IF(Table1[[#This Row],[Years_Experience]]&lt;=15,"Mid Career","Senior Level"))</f>
        <v>Mid Career</v>
      </c>
      <c r="T1281" t="str">
        <f>IF(Table1[[#This Row],[AI_Exposure_Index]]&gt;=0.7,"High Exposure", IF(Table1[[#This Row],[AI_Exposure_Index]]&gt;=0.3,"Medium Exposure","Low Exposure"))</f>
        <v>High Exposure</v>
      </c>
    </row>
    <row r="1282" spans="1:20" x14ac:dyDescent="0.25">
      <c r="A1282" t="s">
        <v>30</v>
      </c>
      <c r="B1282">
        <v>68057</v>
      </c>
      <c r="C1282" s="1">
        <v>12</v>
      </c>
      <c r="D1282" t="s">
        <v>38</v>
      </c>
      <c r="E1282" s="7">
        <v>0.64</v>
      </c>
      <c r="F1282" s="2">
        <v>0.36</v>
      </c>
      <c r="G1282" s="7">
        <v>0.46</v>
      </c>
      <c r="H1282" s="9" t="s">
        <v>27</v>
      </c>
      <c r="I1282">
        <v>0.49</v>
      </c>
      <c r="J1282">
        <v>0.63</v>
      </c>
      <c r="K1282">
        <v>0.5</v>
      </c>
      <c r="L1282">
        <v>0.54</v>
      </c>
      <c r="M1282">
        <v>0.02</v>
      </c>
      <c r="N1282">
        <v>0.25</v>
      </c>
      <c r="O1282">
        <v>0.31</v>
      </c>
      <c r="P1282">
        <v>0.99</v>
      </c>
      <c r="Q1282">
        <v>0.3</v>
      </c>
      <c r="R1282" s="2">
        <v>0.9</v>
      </c>
      <c r="S1282" t="str">
        <f>IF(Table1[[#This Row],[Years_Experience]]&lt;=5,"Early Career",
IF(Table1[[#This Row],[Years_Experience]]&lt;=15,"Mid Career","Senior Level"))</f>
        <v>Mid Career</v>
      </c>
      <c r="T1282" t="str">
        <f>IF(Table1[[#This Row],[AI_Exposure_Index]]&gt;=0.7,"High Exposure", IF(Table1[[#This Row],[AI_Exposure_Index]]&gt;=0.3,"Medium Exposure","Low Exposure"))</f>
        <v>Medium Exposure</v>
      </c>
    </row>
    <row r="1283" spans="1:20" x14ac:dyDescent="0.25">
      <c r="A1283" t="s">
        <v>28</v>
      </c>
      <c r="B1283">
        <v>108104</v>
      </c>
      <c r="C1283" s="1">
        <v>26</v>
      </c>
      <c r="D1283" t="s">
        <v>19</v>
      </c>
      <c r="E1283" s="7">
        <v>0.75</v>
      </c>
      <c r="F1283" s="2">
        <v>0.1</v>
      </c>
      <c r="G1283" s="7">
        <v>0.41</v>
      </c>
      <c r="H1283" s="9" t="s">
        <v>27</v>
      </c>
      <c r="I1283">
        <v>0.98</v>
      </c>
      <c r="J1283">
        <v>0.67</v>
      </c>
      <c r="K1283">
        <v>0.93</v>
      </c>
      <c r="L1283">
        <v>0.83</v>
      </c>
      <c r="M1283">
        <v>0.57999999999999996</v>
      </c>
      <c r="N1283">
        <v>0.68</v>
      </c>
      <c r="O1283">
        <v>0.62</v>
      </c>
      <c r="P1283">
        <v>0.67</v>
      </c>
      <c r="Q1283">
        <v>0.26</v>
      </c>
      <c r="R1283" s="2">
        <v>0.41</v>
      </c>
      <c r="S1283" t="str">
        <f>IF(Table1[[#This Row],[Years_Experience]]&lt;=5,"Early Career",
IF(Table1[[#This Row],[Years_Experience]]&lt;=15,"Mid Career","Senior Level"))</f>
        <v>Senior Level</v>
      </c>
      <c r="T1283" t="str">
        <f>IF(Table1[[#This Row],[AI_Exposure_Index]]&gt;=0.7,"High Exposure", IF(Table1[[#This Row],[AI_Exposure_Index]]&gt;=0.3,"Medium Exposure","Low Exposure"))</f>
        <v>Low Exposure</v>
      </c>
    </row>
    <row r="1284" spans="1:20" x14ac:dyDescent="0.25">
      <c r="A1284" t="s">
        <v>40</v>
      </c>
      <c r="B1284">
        <v>139418</v>
      </c>
      <c r="C1284" s="1">
        <v>27</v>
      </c>
      <c r="D1284" t="s">
        <v>38</v>
      </c>
      <c r="E1284" s="7">
        <v>0.98</v>
      </c>
      <c r="F1284" s="2">
        <v>0.04</v>
      </c>
      <c r="G1284" s="7">
        <v>0.26</v>
      </c>
      <c r="H1284" s="9" t="s">
        <v>23</v>
      </c>
      <c r="I1284">
        <v>0.49</v>
      </c>
      <c r="J1284">
        <v>0.55000000000000004</v>
      </c>
      <c r="K1284">
        <v>0.2</v>
      </c>
      <c r="L1284">
        <v>0.79</v>
      </c>
      <c r="M1284">
        <v>0.36</v>
      </c>
      <c r="N1284">
        <v>0.96</v>
      </c>
      <c r="O1284">
        <v>0.99</v>
      </c>
      <c r="P1284">
        <v>0.92</v>
      </c>
      <c r="Q1284">
        <v>0.08</v>
      </c>
      <c r="R1284" s="2">
        <v>0.33</v>
      </c>
      <c r="S1284" t="str">
        <f>IF(Table1[[#This Row],[Years_Experience]]&lt;=5,"Early Career",
IF(Table1[[#This Row],[Years_Experience]]&lt;=15,"Mid Career","Senior Level"))</f>
        <v>Senior Level</v>
      </c>
      <c r="T1284" t="str">
        <f>IF(Table1[[#This Row],[AI_Exposure_Index]]&gt;=0.7,"High Exposure", IF(Table1[[#This Row],[AI_Exposure_Index]]&gt;=0.3,"Medium Exposure","Low Exposure"))</f>
        <v>Low Exposure</v>
      </c>
    </row>
    <row r="1285" spans="1:20" x14ac:dyDescent="0.25">
      <c r="A1285" t="s">
        <v>37</v>
      </c>
      <c r="B1285">
        <v>65411</v>
      </c>
      <c r="C1285" s="1">
        <v>11</v>
      </c>
      <c r="D1285" t="s">
        <v>25</v>
      </c>
      <c r="E1285" s="7">
        <v>1.41</v>
      </c>
      <c r="F1285" s="2">
        <v>0.8</v>
      </c>
      <c r="G1285" s="7">
        <v>0.53</v>
      </c>
      <c r="H1285" s="9" t="s">
        <v>27</v>
      </c>
      <c r="I1285">
        <v>0.48</v>
      </c>
      <c r="J1285">
        <v>0.11</v>
      </c>
      <c r="K1285">
        <v>0.84</v>
      </c>
      <c r="L1285">
        <v>0.75</v>
      </c>
      <c r="M1285">
        <v>0.06</v>
      </c>
      <c r="N1285">
        <v>0.21</v>
      </c>
      <c r="O1285">
        <v>0.56000000000000005</v>
      </c>
      <c r="P1285">
        <v>0.68</v>
      </c>
      <c r="Q1285">
        <v>0.14000000000000001</v>
      </c>
      <c r="R1285" s="2">
        <v>0.24</v>
      </c>
      <c r="S1285" t="str">
        <f>IF(Table1[[#This Row],[Years_Experience]]&lt;=5,"Early Career",
IF(Table1[[#This Row],[Years_Experience]]&lt;=15,"Mid Career","Senior Level"))</f>
        <v>Mid Career</v>
      </c>
      <c r="T1285" t="str">
        <f>IF(Table1[[#This Row],[AI_Exposure_Index]]&gt;=0.7,"High Exposure", IF(Table1[[#This Row],[AI_Exposure_Index]]&gt;=0.3,"Medium Exposure","Low Exposure"))</f>
        <v>High Exposure</v>
      </c>
    </row>
    <row r="1286" spans="1:20" x14ac:dyDescent="0.25">
      <c r="A1286" t="s">
        <v>28</v>
      </c>
      <c r="B1286">
        <v>139497</v>
      </c>
      <c r="C1286" s="1">
        <v>2</v>
      </c>
      <c r="D1286" t="s">
        <v>38</v>
      </c>
      <c r="E1286" s="7">
        <v>1.42</v>
      </c>
      <c r="F1286" s="2">
        <v>0.22</v>
      </c>
      <c r="G1286" s="7">
        <v>0.59</v>
      </c>
      <c r="H1286" s="9" t="s">
        <v>27</v>
      </c>
      <c r="I1286">
        <v>0.74</v>
      </c>
      <c r="J1286">
        <v>0.79</v>
      </c>
      <c r="K1286">
        <v>0.36</v>
      </c>
      <c r="L1286">
        <v>0.77</v>
      </c>
      <c r="M1286">
        <v>0.98</v>
      </c>
      <c r="N1286">
        <v>0.7</v>
      </c>
      <c r="O1286">
        <v>0.42</v>
      </c>
      <c r="P1286">
        <v>0.72</v>
      </c>
      <c r="Q1286">
        <v>0.9</v>
      </c>
      <c r="R1286" s="2">
        <v>0.13</v>
      </c>
      <c r="S1286" t="str">
        <f>IF(Table1[[#This Row],[Years_Experience]]&lt;=5,"Early Career",
IF(Table1[[#This Row],[Years_Experience]]&lt;=15,"Mid Career","Senior Level"))</f>
        <v>Early Career</v>
      </c>
      <c r="T1286" t="str">
        <f>IF(Table1[[#This Row],[AI_Exposure_Index]]&gt;=0.7,"High Exposure", IF(Table1[[#This Row],[AI_Exposure_Index]]&gt;=0.3,"Medium Exposure","Low Exposure"))</f>
        <v>Low Exposure</v>
      </c>
    </row>
    <row r="1287" spans="1:20" x14ac:dyDescent="0.25">
      <c r="A1287" t="s">
        <v>29</v>
      </c>
      <c r="B1287">
        <v>53043</v>
      </c>
      <c r="C1287" s="1">
        <v>0</v>
      </c>
      <c r="D1287" t="s">
        <v>25</v>
      </c>
      <c r="E1287" s="7">
        <v>1.45</v>
      </c>
      <c r="F1287" s="2">
        <v>0.92</v>
      </c>
      <c r="G1287" s="7">
        <v>0.17</v>
      </c>
      <c r="H1287" s="9" t="s">
        <v>23</v>
      </c>
      <c r="I1287">
        <v>0.37</v>
      </c>
      <c r="J1287">
        <v>0.28000000000000003</v>
      </c>
      <c r="K1287">
        <v>0.5</v>
      </c>
      <c r="L1287">
        <v>0.93</v>
      </c>
      <c r="M1287">
        <v>0.15</v>
      </c>
      <c r="N1287">
        <v>0.42</v>
      </c>
      <c r="O1287">
        <v>0.91</v>
      </c>
      <c r="P1287">
        <v>0.35</v>
      </c>
      <c r="Q1287">
        <v>0.77</v>
      </c>
      <c r="R1287" s="2">
        <v>0.39</v>
      </c>
      <c r="S1287" t="str">
        <f>IF(Table1[[#This Row],[Years_Experience]]&lt;=5,"Early Career",
IF(Table1[[#This Row],[Years_Experience]]&lt;=15,"Mid Career","Senior Level"))</f>
        <v>Early Career</v>
      </c>
      <c r="T1287" t="str">
        <f>IF(Table1[[#This Row],[AI_Exposure_Index]]&gt;=0.7,"High Exposure", IF(Table1[[#This Row],[AI_Exposure_Index]]&gt;=0.3,"Medium Exposure","Low Exposure"))</f>
        <v>High Exposure</v>
      </c>
    </row>
    <row r="1288" spans="1:20" x14ac:dyDescent="0.25">
      <c r="A1288" t="s">
        <v>28</v>
      </c>
      <c r="B1288">
        <v>139732</v>
      </c>
      <c r="C1288" s="1">
        <v>15</v>
      </c>
      <c r="D1288" t="s">
        <v>22</v>
      </c>
      <c r="E1288" s="7">
        <v>0.89</v>
      </c>
      <c r="F1288" s="2">
        <v>0.98</v>
      </c>
      <c r="G1288" s="7">
        <v>0.64</v>
      </c>
      <c r="H1288" s="9" t="s">
        <v>27</v>
      </c>
      <c r="I1288">
        <v>0.99</v>
      </c>
      <c r="J1288">
        <v>0.98</v>
      </c>
      <c r="K1288">
        <v>0.43</v>
      </c>
      <c r="L1288">
        <v>0.49</v>
      </c>
      <c r="M1288">
        <v>0.3</v>
      </c>
      <c r="N1288">
        <v>0.31</v>
      </c>
      <c r="O1288">
        <v>0.49</v>
      </c>
      <c r="P1288">
        <v>0.2</v>
      </c>
      <c r="Q1288">
        <v>0.71</v>
      </c>
      <c r="R1288" s="2">
        <v>0.54</v>
      </c>
      <c r="S1288" t="str">
        <f>IF(Table1[[#This Row],[Years_Experience]]&lt;=5,"Early Career",
IF(Table1[[#This Row],[Years_Experience]]&lt;=15,"Mid Career","Senior Level"))</f>
        <v>Mid Career</v>
      </c>
      <c r="T1288" t="str">
        <f>IF(Table1[[#This Row],[AI_Exposure_Index]]&gt;=0.7,"High Exposure", IF(Table1[[#This Row],[AI_Exposure_Index]]&gt;=0.3,"Medium Exposure","Low Exposure"))</f>
        <v>High Exposure</v>
      </c>
    </row>
    <row r="1289" spans="1:20" x14ac:dyDescent="0.25">
      <c r="A1289" t="s">
        <v>35</v>
      </c>
      <c r="B1289">
        <v>146332</v>
      </c>
      <c r="C1289" s="1">
        <v>27</v>
      </c>
      <c r="D1289" t="s">
        <v>19</v>
      </c>
      <c r="E1289" s="7">
        <v>0.82</v>
      </c>
      <c r="F1289" s="2">
        <v>0.81</v>
      </c>
      <c r="G1289" s="7">
        <v>0.5</v>
      </c>
      <c r="H1289" s="9" t="s">
        <v>27</v>
      </c>
      <c r="I1289">
        <v>0.75</v>
      </c>
      <c r="J1289">
        <v>0.19</v>
      </c>
      <c r="K1289">
        <v>0.03</v>
      </c>
      <c r="L1289">
        <v>0.85</v>
      </c>
      <c r="M1289">
        <v>0.14000000000000001</v>
      </c>
      <c r="N1289">
        <v>0.89</v>
      </c>
      <c r="O1289">
        <v>0.91</v>
      </c>
      <c r="P1289">
        <v>0.46</v>
      </c>
      <c r="Q1289">
        <v>0.81</v>
      </c>
      <c r="R1289" s="2">
        <v>0.36</v>
      </c>
      <c r="S1289" t="str">
        <f>IF(Table1[[#This Row],[Years_Experience]]&lt;=5,"Early Career",
IF(Table1[[#This Row],[Years_Experience]]&lt;=15,"Mid Career","Senior Level"))</f>
        <v>Senior Level</v>
      </c>
      <c r="T1289" t="str">
        <f>IF(Table1[[#This Row],[AI_Exposure_Index]]&gt;=0.7,"High Exposure", IF(Table1[[#This Row],[AI_Exposure_Index]]&gt;=0.3,"Medium Exposure","Low Exposure"))</f>
        <v>High Exposure</v>
      </c>
    </row>
    <row r="1290" spans="1:20" x14ac:dyDescent="0.25">
      <c r="A1290" t="s">
        <v>39</v>
      </c>
      <c r="B1290">
        <v>110314</v>
      </c>
      <c r="C1290" s="1">
        <v>5</v>
      </c>
      <c r="D1290" t="s">
        <v>38</v>
      </c>
      <c r="E1290" s="7">
        <v>0.57999999999999996</v>
      </c>
      <c r="F1290" s="2">
        <v>0.82</v>
      </c>
      <c r="G1290" s="7">
        <v>0.85</v>
      </c>
      <c r="H1290" s="9" t="s">
        <v>20</v>
      </c>
      <c r="I1290">
        <v>0.64</v>
      </c>
      <c r="J1290">
        <v>0</v>
      </c>
      <c r="K1290">
        <v>0.98</v>
      </c>
      <c r="L1290">
        <v>0.41</v>
      </c>
      <c r="M1290">
        <v>0.52</v>
      </c>
      <c r="N1290">
        <v>0.19</v>
      </c>
      <c r="O1290">
        <v>0.61</v>
      </c>
      <c r="P1290">
        <v>0.81</v>
      </c>
      <c r="Q1290">
        <v>0.59</v>
      </c>
      <c r="R1290" s="2">
        <v>0.79</v>
      </c>
      <c r="S1290" t="str">
        <f>IF(Table1[[#This Row],[Years_Experience]]&lt;=5,"Early Career",
IF(Table1[[#This Row],[Years_Experience]]&lt;=15,"Mid Career","Senior Level"))</f>
        <v>Early Career</v>
      </c>
      <c r="T1290" t="str">
        <f>IF(Table1[[#This Row],[AI_Exposure_Index]]&gt;=0.7,"High Exposure", IF(Table1[[#This Row],[AI_Exposure_Index]]&gt;=0.3,"Medium Exposure","Low Exposure"))</f>
        <v>High Exposure</v>
      </c>
    </row>
    <row r="1291" spans="1:20" x14ac:dyDescent="0.25">
      <c r="A1291" t="s">
        <v>32</v>
      </c>
      <c r="B1291">
        <v>147230</v>
      </c>
      <c r="C1291" s="1">
        <v>13</v>
      </c>
      <c r="D1291" t="s">
        <v>22</v>
      </c>
      <c r="E1291" s="7">
        <v>0.87</v>
      </c>
      <c r="F1291" s="2">
        <v>0.5</v>
      </c>
      <c r="G1291" s="7">
        <v>0.6</v>
      </c>
      <c r="H1291" s="9" t="s">
        <v>27</v>
      </c>
      <c r="I1291">
        <v>0.87</v>
      </c>
      <c r="J1291">
        <v>0.88</v>
      </c>
      <c r="K1291">
        <v>0.23</v>
      </c>
      <c r="L1291">
        <v>0.9</v>
      </c>
      <c r="M1291">
        <v>0.34</v>
      </c>
      <c r="N1291">
        <v>0.31</v>
      </c>
      <c r="O1291">
        <v>0.73</v>
      </c>
      <c r="P1291">
        <v>0.3</v>
      </c>
      <c r="Q1291">
        <v>0.05</v>
      </c>
      <c r="R1291" s="2">
        <v>0.37</v>
      </c>
      <c r="S1291" t="str">
        <f>IF(Table1[[#This Row],[Years_Experience]]&lt;=5,"Early Career",
IF(Table1[[#This Row],[Years_Experience]]&lt;=15,"Mid Career","Senior Level"))</f>
        <v>Mid Career</v>
      </c>
      <c r="T1291" t="str">
        <f>IF(Table1[[#This Row],[AI_Exposure_Index]]&gt;=0.7,"High Exposure", IF(Table1[[#This Row],[AI_Exposure_Index]]&gt;=0.3,"Medium Exposure","Low Exposure"))</f>
        <v>Medium Exposure</v>
      </c>
    </row>
    <row r="1292" spans="1:20" x14ac:dyDescent="0.25">
      <c r="A1292" t="s">
        <v>21</v>
      </c>
      <c r="B1292">
        <v>107271</v>
      </c>
      <c r="C1292" s="1">
        <v>15</v>
      </c>
      <c r="D1292" t="s">
        <v>19</v>
      </c>
      <c r="E1292" s="7">
        <v>0.64</v>
      </c>
      <c r="F1292" s="2">
        <v>0.32</v>
      </c>
      <c r="G1292" s="7">
        <v>0.05</v>
      </c>
      <c r="H1292" s="9" t="s">
        <v>23</v>
      </c>
      <c r="I1292">
        <v>0.45</v>
      </c>
      <c r="J1292">
        <v>0.91</v>
      </c>
      <c r="K1292">
        <v>0.31</v>
      </c>
      <c r="L1292">
        <v>0.2</v>
      </c>
      <c r="M1292">
        <v>0.93</v>
      </c>
      <c r="N1292">
        <v>0.11</v>
      </c>
      <c r="O1292">
        <v>0.05</v>
      </c>
      <c r="P1292">
        <v>0.88</v>
      </c>
      <c r="Q1292">
        <v>0.7</v>
      </c>
      <c r="R1292" s="2">
        <v>0.42</v>
      </c>
      <c r="S1292" t="str">
        <f>IF(Table1[[#This Row],[Years_Experience]]&lt;=5,"Early Career",
IF(Table1[[#This Row],[Years_Experience]]&lt;=15,"Mid Career","Senior Level"))</f>
        <v>Mid Career</v>
      </c>
      <c r="T1292" t="str">
        <f>IF(Table1[[#This Row],[AI_Exposure_Index]]&gt;=0.7,"High Exposure", IF(Table1[[#This Row],[AI_Exposure_Index]]&gt;=0.3,"Medium Exposure","Low Exposure"))</f>
        <v>Medium Exposure</v>
      </c>
    </row>
    <row r="1293" spans="1:20" x14ac:dyDescent="0.25">
      <c r="A1293" t="s">
        <v>39</v>
      </c>
      <c r="B1293">
        <v>135812</v>
      </c>
      <c r="C1293" s="1">
        <v>28</v>
      </c>
      <c r="D1293" t="s">
        <v>22</v>
      </c>
      <c r="E1293" s="7">
        <v>0.54</v>
      </c>
      <c r="F1293" s="2">
        <v>0.74</v>
      </c>
      <c r="G1293" s="7">
        <v>0.87</v>
      </c>
      <c r="H1293" s="9" t="s">
        <v>20</v>
      </c>
      <c r="I1293">
        <v>0.64</v>
      </c>
      <c r="J1293">
        <v>0.96</v>
      </c>
      <c r="K1293">
        <v>0.97</v>
      </c>
      <c r="L1293">
        <v>0.38</v>
      </c>
      <c r="M1293">
        <v>0.59</v>
      </c>
      <c r="N1293">
        <v>0.14000000000000001</v>
      </c>
      <c r="O1293">
        <v>7.0000000000000007E-2</v>
      </c>
      <c r="P1293">
        <v>0.43</v>
      </c>
      <c r="Q1293">
        <v>0.69</v>
      </c>
      <c r="R1293" s="2">
        <v>0.56999999999999995</v>
      </c>
      <c r="S1293" t="str">
        <f>IF(Table1[[#This Row],[Years_Experience]]&lt;=5,"Early Career",
IF(Table1[[#This Row],[Years_Experience]]&lt;=15,"Mid Career","Senior Level"))</f>
        <v>Senior Level</v>
      </c>
      <c r="T1293" t="str">
        <f>IF(Table1[[#This Row],[AI_Exposure_Index]]&gt;=0.7,"High Exposure", IF(Table1[[#This Row],[AI_Exposure_Index]]&gt;=0.3,"Medium Exposure","Low Exposure"))</f>
        <v>High Exposure</v>
      </c>
    </row>
    <row r="1294" spans="1:20" x14ac:dyDescent="0.25">
      <c r="A1294" t="s">
        <v>37</v>
      </c>
      <c r="B1294">
        <v>138613</v>
      </c>
      <c r="C1294" s="1">
        <v>9</v>
      </c>
      <c r="D1294" t="s">
        <v>22</v>
      </c>
      <c r="E1294" s="7">
        <v>0.88</v>
      </c>
      <c r="F1294" s="2">
        <v>0.28000000000000003</v>
      </c>
      <c r="G1294" s="7">
        <v>0.56000000000000005</v>
      </c>
      <c r="H1294" s="9" t="s">
        <v>27</v>
      </c>
      <c r="I1294">
        <v>0.33</v>
      </c>
      <c r="J1294">
        <v>0.88</v>
      </c>
      <c r="K1294">
        <v>0.11</v>
      </c>
      <c r="L1294">
        <v>0.04</v>
      </c>
      <c r="M1294">
        <v>0.21</v>
      </c>
      <c r="N1294">
        <v>0.28999999999999998</v>
      </c>
      <c r="O1294">
        <v>0.11</v>
      </c>
      <c r="P1294">
        <v>7.0000000000000007E-2</v>
      </c>
      <c r="Q1294">
        <v>0.76</v>
      </c>
      <c r="R1294" s="2">
        <v>0.16</v>
      </c>
      <c r="S1294" t="str">
        <f>IF(Table1[[#This Row],[Years_Experience]]&lt;=5,"Early Career",
IF(Table1[[#This Row],[Years_Experience]]&lt;=15,"Mid Career","Senior Level"))</f>
        <v>Mid Career</v>
      </c>
      <c r="T1294" t="str">
        <f>IF(Table1[[#This Row],[AI_Exposure_Index]]&gt;=0.7,"High Exposure", IF(Table1[[#This Row],[AI_Exposure_Index]]&gt;=0.3,"Medium Exposure","Low Exposure"))</f>
        <v>Low Exposure</v>
      </c>
    </row>
    <row r="1295" spans="1:20" x14ac:dyDescent="0.25">
      <c r="A1295" t="s">
        <v>43</v>
      </c>
      <c r="B1295">
        <v>82774</v>
      </c>
      <c r="C1295" s="1">
        <v>4</v>
      </c>
      <c r="D1295" t="s">
        <v>19</v>
      </c>
      <c r="E1295" s="7">
        <v>1.17</v>
      </c>
      <c r="F1295" s="2">
        <v>0.37</v>
      </c>
      <c r="G1295" s="7">
        <v>0.11</v>
      </c>
      <c r="H1295" s="9" t="s">
        <v>23</v>
      </c>
      <c r="I1295">
        <v>0.24</v>
      </c>
      <c r="J1295">
        <v>0.56999999999999995</v>
      </c>
      <c r="K1295">
        <v>0.56000000000000005</v>
      </c>
      <c r="L1295">
        <v>0.77</v>
      </c>
      <c r="M1295">
        <v>0.76</v>
      </c>
      <c r="N1295">
        <v>0.67</v>
      </c>
      <c r="O1295">
        <v>0.45</v>
      </c>
      <c r="P1295">
        <v>0.89</v>
      </c>
      <c r="Q1295">
        <v>0.62</v>
      </c>
      <c r="R1295" s="2">
        <v>0.99</v>
      </c>
      <c r="S1295" t="str">
        <f>IF(Table1[[#This Row],[Years_Experience]]&lt;=5,"Early Career",
IF(Table1[[#This Row],[Years_Experience]]&lt;=15,"Mid Career","Senior Level"))</f>
        <v>Early Career</v>
      </c>
      <c r="T1295" t="str">
        <f>IF(Table1[[#This Row],[AI_Exposure_Index]]&gt;=0.7,"High Exposure", IF(Table1[[#This Row],[AI_Exposure_Index]]&gt;=0.3,"Medium Exposure","Low Exposure"))</f>
        <v>Medium Exposure</v>
      </c>
    </row>
    <row r="1296" spans="1:20" x14ac:dyDescent="0.25">
      <c r="A1296" t="s">
        <v>41</v>
      </c>
      <c r="B1296">
        <v>44436</v>
      </c>
      <c r="C1296" s="1">
        <v>10</v>
      </c>
      <c r="D1296" t="s">
        <v>38</v>
      </c>
      <c r="E1296" s="7">
        <v>0.82</v>
      </c>
      <c r="F1296" s="2">
        <v>0.04</v>
      </c>
      <c r="G1296" s="7">
        <v>0.84</v>
      </c>
      <c r="H1296" s="9" t="s">
        <v>20</v>
      </c>
      <c r="I1296">
        <v>0.72</v>
      </c>
      <c r="J1296">
        <v>0.55000000000000004</v>
      </c>
      <c r="K1296">
        <v>0.79</v>
      </c>
      <c r="L1296">
        <v>0.28000000000000003</v>
      </c>
      <c r="M1296">
        <v>0.18</v>
      </c>
      <c r="N1296">
        <v>0.05</v>
      </c>
      <c r="O1296">
        <v>0.56999999999999995</v>
      </c>
      <c r="P1296">
        <v>0.69</v>
      </c>
      <c r="Q1296">
        <v>0.33</v>
      </c>
      <c r="R1296" s="2">
        <v>0.61</v>
      </c>
      <c r="S1296" t="str">
        <f>IF(Table1[[#This Row],[Years_Experience]]&lt;=5,"Early Career",
IF(Table1[[#This Row],[Years_Experience]]&lt;=15,"Mid Career","Senior Level"))</f>
        <v>Mid Career</v>
      </c>
      <c r="T1296" t="str">
        <f>IF(Table1[[#This Row],[AI_Exposure_Index]]&gt;=0.7,"High Exposure", IF(Table1[[#This Row],[AI_Exposure_Index]]&gt;=0.3,"Medium Exposure","Low Exposure"))</f>
        <v>Low Exposure</v>
      </c>
    </row>
    <row r="1297" spans="1:20" x14ac:dyDescent="0.25">
      <c r="A1297" t="s">
        <v>41</v>
      </c>
      <c r="B1297">
        <v>41573</v>
      </c>
      <c r="C1297" s="1">
        <v>6</v>
      </c>
      <c r="D1297" t="s">
        <v>25</v>
      </c>
      <c r="E1297" s="7">
        <v>1.2</v>
      </c>
      <c r="F1297" s="2">
        <v>0.1</v>
      </c>
      <c r="G1297" s="7">
        <v>0.79</v>
      </c>
      <c r="H1297" s="9" t="s">
        <v>20</v>
      </c>
      <c r="I1297">
        <v>0.67</v>
      </c>
      <c r="J1297">
        <v>0.83</v>
      </c>
      <c r="K1297">
        <v>0.85</v>
      </c>
      <c r="L1297">
        <v>0.17</v>
      </c>
      <c r="M1297">
        <v>0.49</v>
      </c>
      <c r="N1297">
        <v>0.73</v>
      </c>
      <c r="O1297">
        <v>0.77</v>
      </c>
      <c r="P1297">
        <v>0.78</v>
      </c>
      <c r="Q1297">
        <v>0.23</v>
      </c>
      <c r="R1297" s="2">
        <v>0.19</v>
      </c>
      <c r="S1297" t="str">
        <f>IF(Table1[[#This Row],[Years_Experience]]&lt;=5,"Early Career",
IF(Table1[[#This Row],[Years_Experience]]&lt;=15,"Mid Career","Senior Level"))</f>
        <v>Mid Career</v>
      </c>
      <c r="T1297" t="str">
        <f>IF(Table1[[#This Row],[AI_Exposure_Index]]&gt;=0.7,"High Exposure", IF(Table1[[#This Row],[AI_Exposure_Index]]&gt;=0.3,"Medium Exposure","Low Exposure"))</f>
        <v>Low Exposure</v>
      </c>
    </row>
    <row r="1298" spans="1:20" x14ac:dyDescent="0.25">
      <c r="A1298" t="s">
        <v>21</v>
      </c>
      <c r="B1298">
        <v>99269</v>
      </c>
      <c r="C1298" s="1">
        <v>3</v>
      </c>
      <c r="D1298" t="s">
        <v>38</v>
      </c>
      <c r="E1298" s="7">
        <v>0.82</v>
      </c>
      <c r="F1298" s="2">
        <v>0.74</v>
      </c>
      <c r="G1298" s="7">
        <v>0.08</v>
      </c>
      <c r="H1298" s="9" t="s">
        <v>23</v>
      </c>
      <c r="I1298">
        <v>0.72</v>
      </c>
      <c r="J1298">
        <v>0.3</v>
      </c>
      <c r="K1298">
        <v>0.17</v>
      </c>
      <c r="L1298">
        <v>0.15</v>
      </c>
      <c r="M1298">
        <v>0.31</v>
      </c>
      <c r="N1298">
        <v>0.59</v>
      </c>
      <c r="O1298">
        <v>0.36</v>
      </c>
      <c r="P1298">
        <v>0.02</v>
      </c>
      <c r="Q1298">
        <v>0.1</v>
      </c>
      <c r="R1298" s="2">
        <v>0.28999999999999998</v>
      </c>
      <c r="S1298" t="str">
        <f>IF(Table1[[#This Row],[Years_Experience]]&lt;=5,"Early Career",
IF(Table1[[#This Row],[Years_Experience]]&lt;=15,"Mid Career","Senior Level"))</f>
        <v>Early Career</v>
      </c>
      <c r="T1298" t="str">
        <f>IF(Table1[[#This Row],[AI_Exposure_Index]]&gt;=0.7,"High Exposure", IF(Table1[[#This Row],[AI_Exposure_Index]]&gt;=0.3,"Medium Exposure","Low Exposure"))</f>
        <v>High Exposure</v>
      </c>
    </row>
    <row r="1299" spans="1:20" x14ac:dyDescent="0.25">
      <c r="A1299" t="s">
        <v>36</v>
      </c>
      <c r="B1299">
        <v>55734</v>
      </c>
      <c r="C1299" s="1">
        <v>17</v>
      </c>
      <c r="D1299" t="s">
        <v>22</v>
      </c>
      <c r="E1299" s="7">
        <v>1.06</v>
      </c>
      <c r="F1299" s="2">
        <v>0.1</v>
      </c>
      <c r="G1299" s="7">
        <v>0.35</v>
      </c>
      <c r="H1299" s="9" t="s">
        <v>27</v>
      </c>
      <c r="I1299">
        <v>0.21</v>
      </c>
      <c r="J1299">
        <v>0.17</v>
      </c>
      <c r="K1299">
        <v>7.0000000000000007E-2</v>
      </c>
      <c r="L1299">
        <v>0.67</v>
      </c>
      <c r="M1299">
        <v>0.46</v>
      </c>
      <c r="N1299">
        <v>0.83</v>
      </c>
      <c r="O1299">
        <v>0.1</v>
      </c>
      <c r="P1299">
        <v>0.14000000000000001</v>
      </c>
      <c r="Q1299">
        <v>0.31</v>
      </c>
      <c r="R1299" s="2">
        <v>0.77</v>
      </c>
      <c r="S1299" t="str">
        <f>IF(Table1[[#This Row],[Years_Experience]]&lt;=5,"Early Career",
IF(Table1[[#This Row],[Years_Experience]]&lt;=15,"Mid Career","Senior Level"))</f>
        <v>Senior Level</v>
      </c>
      <c r="T1299" t="str">
        <f>IF(Table1[[#This Row],[AI_Exposure_Index]]&gt;=0.7,"High Exposure", IF(Table1[[#This Row],[AI_Exposure_Index]]&gt;=0.3,"Medium Exposure","Low Exposure"))</f>
        <v>Low Exposure</v>
      </c>
    </row>
    <row r="1300" spans="1:20" x14ac:dyDescent="0.25">
      <c r="A1300" t="s">
        <v>42</v>
      </c>
      <c r="B1300">
        <v>43764</v>
      </c>
      <c r="C1300" s="1">
        <v>25</v>
      </c>
      <c r="D1300" t="s">
        <v>38</v>
      </c>
      <c r="E1300" s="7">
        <v>0.8</v>
      </c>
      <c r="F1300" s="2">
        <v>0.41</v>
      </c>
      <c r="G1300" s="7">
        <v>0.33</v>
      </c>
      <c r="H1300" s="9" t="s">
        <v>27</v>
      </c>
      <c r="I1300">
        <v>0.94</v>
      </c>
      <c r="J1300">
        <v>0.55000000000000004</v>
      </c>
      <c r="K1300">
        <v>0.79</v>
      </c>
      <c r="L1300">
        <v>0.66</v>
      </c>
      <c r="M1300">
        <v>0.51</v>
      </c>
      <c r="N1300">
        <v>0.09</v>
      </c>
      <c r="O1300">
        <v>0.64</v>
      </c>
      <c r="P1300">
        <v>0.16</v>
      </c>
      <c r="Q1300">
        <v>0.41</v>
      </c>
      <c r="R1300" s="2">
        <v>0.63</v>
      </c>
      <c r="S1300" t="str">
        <f>IF(Table1[[#This Row],[Years_Experience]]&lt;=5,"Early Career",
IF(Table1[[#This Row],[Years_Experience]]&lt;=15,"Mid Career","Senior Level"))</f>
        <v>Senior Level</v>
      </c>
      <c r="T1300" t="str">
        <f>IF(Table1[[#This Row],[AI_Exposure_Index]]&gt;=0.7,"High Exposure", IF(Table1[[#This Row],[AI_Exposure_Index]]&gt;=0.3,"Medium Exposure","Low Exposure"))</f>
        <v>Medium Exposure</v>
      </c>
    </row>
    <row r="1301" spans="1:20" x14ac:dyDescent="0.25">
      <c r="A1301" t="s">
        <v>41</v>
      </c>
      <c r="B1301">
        <v>40485</v>
      </c>
      <c r="C1301" s="1">
        <v>2</v>
      </c>
      <c r="D1301" t="s">
        <v>25</v>
      </c>
      <c r="E1301" s="7">
        <v>1.17</v>
      </c>
      <c r="F1301" s="2">
        <v>0.69</v>
      </c>
      <c r="G1301" s="7">
        <v>0.74</v>
      </c>
      <c r="H1301" s="9" t="s">
        <v>20</v>
      </c>
      <c r="I1301">
        <v>0.35</v>
      </c>
      <c r="J1301">
        <v>0.04</v>
      </c>
      <c r="K1301">
        <v>0.72</v>
      </c>
      <c r="L1301">
        <v>0.95</v>
      </c>
      <c r="M1301">
        <v>0.26</v>
      </c>
      <c r="N1301">
        <v>0.09</v>
      </c>
      <c r="O1301">
        <v>0.48</v>
      </c>
      <c r="P1301">
        <v>0.86</v>
      </c>
      <c r="Q1301">
        <v>0.55000000000000004</v>
      </c>
      <c r="R1301" s="2">
        <v>0.05</v>
      </c>
      <c r="S1301" t="str">
        <f>IF(Table1[[#This Row],[Years_Experience]]&lt;=5,"Early Career",
IF(Table1[[#This Row],[Years_Experience]]&lt;=15,"Mid Career","Senior Level"))</f>
        <v>Early Career</v>
      </c>
      <c r="T1301" t="str">
        <f>IF(Table1[[#This Row],[AI_Exposure_Index]]&gt;=0.7,"High Exposure", IF(Table1[[#This Row],[AI_Exposure_Index]]&gt;=0.3,"Medium Exposure","Low Exposure"))</f>
        <v>Medium Exposure</v>
      </c>
    </row>
    <row r="1302" spans="1:20" x14ac:dyDescent="0.25">
      <c r="A1302" t="s">
        <v>18</v>
      </c>
      <c r="B1302">
        <v>83804</v>
      </c>
      <c r="C1302" s="1">
        <v>21</v>
      </c>
      <c r="D1302" t="s">
        <v>38</v>
      </c>
      <c r="E1302" s="7">
        <v>0.54</v>
      </c>
      <c r="F1302" s="2">
        <v>0.22</v>
      </c>
      <c r="G1302" s="7">
        <v>0.84</v>
      </c>
      <c r="H1302" s="9" t="s">
        <v>20</v>
      </c>
      <c r="I1302">
        <v>0.13</v>
      </c>
      <c r="J1302">
        <v>0.34</v>
      </c>
      <c r="K1302">
        <v>0.51</v>
      </c>
      <c r="L1302">
        <v>0.9</v>
      </c>
      <c r="M1302">
        <v>0.08</v>
      </c>
      <c r="N1302">
        <v>0.67</v>
      </c>
      <c r="O1302">
        <v>0.01</v>
      </c>
      <c r="P1302">
        <v>0.63</v>
      </c>
      <c r="Q1302">
        <v>0.55000000000000004</v>
      </c>
      <c r="R1302" s="2">
        <v>0.81</v>
      </c>
      <c r="S1302" t="str">
        <f>IF(Table1[[#This Row],[Years_Experience]]&lt;=5,"Early Career",
IF(Table1[[#This Row],[Years_Experience]]&lt;=15,"Mid Career","Senior Level"))</f>
        <v>Senior Level</v>
      </c>
      <c r="T1302" t="str">
        <f>IF(Table1[[#This Row],[AI_Exposure_Index]]&gt;=0.7,"High Exposure", IF(Table1[[#This Row],[AI_Exposure_Index]]&gt;=0.3,"Medium Exposure","Low Exposure"))</f>
        <v>Low Exposure</v>
      </c>
    </row>
    <row r="1303" spans="1:20" x14ac:dyDescent="0.25">
      <c r="A1303" t="s">
        <v>28</v>
      </c>
      <c r="B1303">
        <v>97635</v>
      </c>
      <c r="C1303" s="1">
        <v>18</v>
      </c>
      <c r="D1303" t="s">
        <v>25</v>
      </c>
      <c r="E1303" s="7">
        <v>0.74</v>
      </c>
      <c r="F1303" s="2">
        <v>0.35</v>
      </c>
      <c r="G1303" s="7">
        <v>0.33</v>
      </c>
      <c r="H1303" s="9" t="s">
        <v>27</v>
      </c>
      <c r="I1303">
        <v>0.53</v>
      </c>
      <c r="J1303">
        <v>0.89</v>
      </c>
      <c r="K1303">
        <v>0.51</v>
      </c>
      <c r="L1303">
        <v>0.74</v>
      </c>
      <c r="M1303">
        <v>0.3</v>
      </c>
      <c r="N1303">
        <v>0.45</v>
      </c>
      <c r="O1303">
        <v>0.32</v>
      </c>
      <c r="P1303">
        <v>0.11</v>
      </c>
      <c r="Q1303">
        <v>0.42</v>
      </c>
      <c r="R1303" s="2">
        <v>0.76</v>
      </c>
      <c r="S1303" t="str">
        <f>IF(Table1[[#This Row],[Years_Experience]]&lt;=5,"Early Career",
IF(Table1[[#This Row],[Years_Experience]]&lt;=15,"Mid Career","Senior Level"))</f>
        <v>Senior Level</v>
      </c>
      <c r="T1303" t="str">
        <f>IF(Table1[[#This Row],[AI_Exposure_Index]]&gt;=0.7,"High Exposure", IF(Table1[[#This Row],[AI_Exposure_Index]]&gt;=0.3,"Medium Exposure","Low Exposure"))</f>
        <v>Medium Exposure</v>
      </c>
    </row>
    <row r="1304" spans="1:20" x14ac:dyDescent="0.25">
      <c r="A1304" t="s">
        <v>18</v>
      </c>
      <c r="B1304">
        <v>100880</v>
      </c>
      <c r="C1304" s="1">
        <v>19</v>
      </c>
      <c r="D1304" t="s">
        <v>38</v>
      </c>
      <c r="E1304" s="7">
        <v>1.26</v>
      </c>
      <c r="F1304" s="2">
        <v>0.65</v>
      </c>
      <c r="G1304" s="7">
        <v>0.78</v>
      </c>
      <c r="H1304" s="9" t="s">
        <v>20</v>
      </c>
      <c r="I1304">
        <v>0.8</v>
      </c>
      <c r="J1304">
        <v>0.34</v>
      </c>
      <c r="K1304">
        <v>0.26</v>
      </c>
      <c r="L1304">
        <v>0.22</v>
      </c>
      <c r="M1304">
        <v>0.2</v>
      </c>
      <c r="N1304">
        <v>0.74</v>
      </c>
      <c r="O1304">
        <v>0.89</v>
      </c>
      <c r="P1304">
        <v>0.23</v>
      </c>
      <c r="Q1304">
        <v>0.09</v>
      </c>
      <c r="R1304" s="2">
        <v>0.31</v>
      </c>
      <c r="S1304" t="str">
        <f>IF(Table1[[#This Row],[Years_Experience]]&lt;=5,"Early Career",
IF(Table1[[#This Row],[Years_Experience]]&lt;=15,"Mid Career","Senior Level"))</f>
        <v>Senior Level</v>
      </c>
      <c r="T1304" t="str">
        <f>IF(Table1[[#This Row],[AI_Exposure_Index]]&gt;=0.7,"High Exposure", IF(Table1[[#This Row],[AI_Exposure_Index]]&gt;=0.3,"Medium Exposure","Low Exposure"))</f>
        <v>Medium Exposure</v>
      </c>
    </row>
    <row r="1305" spans="1:20" x14ac:dyDescent="0.25">
      <c r="A1305" t="s">
        <v>43</v>
      </c>
      <c r="B1305">
        <v>74344</v>
      </c>
      <c r="C1305" s="1">
        <v>20</v>
      </c>
      <c r="D1305" t="s">
        <v>38</v>
      </c>
      <c r="E1305" s="7">
        <v>1.05</v>
      </c>
      <c r="F1305" s="2">
        <v>0.37</v>
      </c>
      <c r="G1305" s="7">
        <v>0.24</v>
      </c>
      <c r="H1305" s="9" t="s">
        <v>23</v>
      </c>
      <c r="I1305">
        <v>0.41</v>
      </c>
      <c r="J1305">
        <v>1</v>
      </c>
      <c r="K1305">
        <v>0.3</v>
      </c>
      <c r="L1305">
        <v>0.98</v>
      </c>
      <c r="M1305">
        <v>0.2</v>
      </c>
      <c r="N1305">
        <v>0.11</v>
      </c>
      <c r="O1305">
        <v>0.75</v>
      </c>
      <c r="P1305">
        <v>0.7</v>
      </c>
      <c r="Q1305">
        <v>0.81</v>
      </c>
      <c r="R1305" s="2">
        <v>0.34</v>
      </c>
      <c r="S1305" t="str">
        <f>IF(Table1[[#This Row],[Years_Experience]]&lt;=5,"Early Career",
IF(Table1[[#This Row],[Years_Experience]]&lt;=15,"Mid Career","Senior Level"))</f>
        <v>Senior Level</v>
      </c>
      <c r="T1305" t="str">
        <f>IF(Table1[[#This Row],[AI_Exposure_Index]]&gt;=0.7,"High Exposure", IF(Table1[[#This Row],[AI_Exposure_Index]]&gt;=0.3,"Medium Exposure","Low Exposure"))</f>
        <v>Medium Exposure</v>
      </c>
    </row>
    <row r="1306" spans="1:20" x14ac:dyDescent="0.25">
      <c r="A1306" t="s">
        <v>35</v>
      </c>
      <c r="B1306">
        <v>122424</v>
      </c>
      <c r="C1306" s="1">
        <v>26</v>
      </c>
      <c r="D1306" t="s">
        <v>19</v>
      </c>
      <c r="E1306" s="7">
        <v>0.53</v>
      </c>
      <c r="F1306" s="2">
        <v>0.12</v>
      </c>
      <c r="G1306" s="7">
        <v>0.42</v>
      </c>
      <c r="H1306" s="9" t="s">
        <v>27</v>
      </c>
      <c r="I1306">
        <v>0.8</v>
      </c>
      <c r="J1306">
        <v>0.67</v>
      </c>
      <c r="K1306">
        <v>0.44</v>
      </c>
      <c r="L1306">
        <v>0.26</v>
      </c>
      <c r="M1306">
        <v>0.06</v>
      </c>
      <c r="N1306">
        <v>0.34</v>
      </c>
      <c r="O1306">
        <v>0.46</v>
      </c>
      <c r="P1306">
        <v>0.69</v>
      </c>
      <c r="Q1306">
        <v>0.65</v>
      </c>
      <c r="R1306" s="2">
        <v>0.95</v>
      </c>
      <c r="S1306" t="str">
        <f>IF(Table1[[#This Row],[Years_Experience]]&lt;=5,"Early Career",
IF(Table1[[#This Row],[Years_Experience]]&lt;=15,"Mid Career","Senior Level"))</f>
        <v>Senior Level</v>
      </c>
      <c r="T1306" t="str">
        <f>IF(Table1[[#This Row],[AI_Exposure_Index]]&gt;=0.7,"High Exposure", IF(Table1[[#This Row],[AI_Exposure_Index]]&gt;=0.3,"Medium Exposure","Low Exposure"))</f>
        <v>Low Exposure</v>
      </c>
    </row>
    <row r="1307" spans="1:20" x14ac:dyDescent="0.25">
      <c r="A1307" t="s">
        <v>32</v>
      </c>
      <c r="B1307">
        <v>131388</v>
      </c>
      <c r="C1307" s="1">
        <v>29</v>
      </c>
      <c r="D1307" t="s">
        <v>38</v>
      </c>
      <c r="E1307" s="7">
        <v>0.98</v>
      </c>
      <c r="F1307" s="2">
        <v>0.34</v>
      </c>
      <c r="G1307" s="7">
        <v>0.56999999999999995</v>
      </c>
      <c r="H1307" s="9" t="s">
        <v>27</v>
      </c>
      <c r="I1307">
        <v>0.5</v>
      </c>
      <c r="J1307">
        <v>0.91</v>
      </c>
      <c r="K1307">
        <v>0.61</v>
      </c>
      <c r="L1307">
        <v>0.04</v>
      </c>
      <c r="M1307">
        <v>0.11</v>
      </c>
      <c r="N1307">
        <v>0.75</v>
      </c>
      <c r="O1307">
        <v>0.72</v>
      </c>
      <c r="P1307">
        <v>0.15</v>
      </c>
      <c r="Q1307">
        <v>0.06</v>
      </c>
      <c r="R1307" s="2">
        <v>0.57999999999999996</v>
      </c>
      <c r="S1307" t="str">
        <f>IF(Table1[[#This Row],[Years_Experience]]&lt;=5,"Early Career",
IF(Table1[[#This Row],[Years_Experience]]&lt;=15,"Mid Career","Senior Level"))</f>
        <v>Senior Level</v>
      </c>
      <c r="T1307" t="str">
        <f>IF(Table1[[#This Row],[AI_Exposure_Index]]&gt;=0.7,"High Exposure", IF(Table1[[#This Row],[AI_Exposure_Index]]&gt;=0.3,"Medium Exposure","Low Exposure"))</f>
        <v>Medium Exposure</v>
      </c>
    </row>
    <row r="1308" spans="1:20" x14ac:dyDescent="0.25">
      <c r="A1308" t="s">
        <v>40</v>
      </c>
      <c r="B1308">
        <v>146649</v>
      </c>
      <c r="C1308" s="1">
        <v>9</v>
      </c>
      <c r="D1308" t="s">
        <v>25</v>
      </c>
      <c r="E1308" s="7">
        <v>0.97</v>
      </c>
      <c r="F1308" s="2">
        <v>0.14000000000000001</v>
      </c>
      <c r="G1308" s="7">
        <v>0.13</v>
      </c>
      <c r="H1308" s="9" t="s">
        <v>23</v>
      </c>
      <c r="I1308">
        <v>0.93</v>
      </c>
      <c r="J1308">
        <v>0.22</v>
      </c>
      <c r="K1308">
        <v>0.73</v>
      </c>
      <c r="L1308">
        <v>0.52</v>
      </c>
      <c r="M1308">
        <v>0.01</v>
      </c>
      <c r="N1308">
        <v>0.52</v>
      </c>
      <c r="O1308">
        <v>0.1</v>
      </c>
      <c r="P1308">
        <v>0.66</v>
      </c>
      <c r="Q1308">
        <v>0.56999999999999995</v>
      </c>
      <c r="R1308" s="2">
        <v>0.01</v>
      </c>
      <c r="S1308" t="str">
        <f>IF(Table1[[#This Row],[Years_Experience]]&lt;=5,"Early Career",
IF(Table1[[#This Row],[Years_Experience]]&lt;=15,"Mid Career","Senior Level"))</f>
        <v>Mid Career</v>
      </c>
      <c r="T1308" t="str">
        <f>IF(Table1[[#This Row],[AI_Exposure_Index]]&gt;=0.7,"High Exposure", IF(Table1[[#This Row],[AI_Exposure_Index]]&gt;=0.3,"Medium Exposure","Low Exposure"))</f>
        <v>Low Exposure</v>
      </c>
    </row>
    <row r="1309" spans="1:20" x14ac:dyDescent="0.25">
      <c r="A1309" t="s">
        <v>36</v>
      </c>
      <c r="B1309">
        <v>79117</v>
      </c>
      <c r="C1309" s="1">
        <v>3</v>
      </c>
      <c r="D1309" t="s">
        <v>22</v>
      </c>
      <c r="E1309" s="7">
        <v>1.24</v>
      </c>
      <c r="F1309" s="2">
        <v>0.01</v>
      </c>
      <c r="G1309" s="7">
        <v>0.59</v>
      </c>
      <c r="H1309" s="9" t="s">
        <v>27</v>
      </c>
      <c r="I1309">
        <v>0.17</v>
      </c>
      <c r="J1309">
        <v>0.96</v>
      </c>
      <c r="K1309">
        <v>0.22</v>
      </c>
      <c r="L1309">
        <v>0.46</v>
      </c>
      <c r="M1309">
        <v>0.11</v>
      </c>
      <c r="N1309">
        <v>0.6</v>
      </c>
      <c r="O1309">
        <v>0.38</v>
      </c>
      <c r="P1309">
        <v>0.35</v>
      </c>
      <c r="Q1309">
        <v>0.83</v>
      </c>
      <c r="R1309" s="2">
        <v>0.01</v>
      </c>
      <c r="S1309" t="str">
        <f>IF(Table1[[#This Row],[Years_Experience]]&lt;=5,"Early Career",
IF(Table1[[#This Row],[Years_Experience]]&lt;=15,"Mid Career","Senior Level"))</f>
        <v>Early Career</v>
      </c>
      <c r="T1309" t="str">
        <f>IF(Table1[[#This Row],[AI_Exposure_Index]]&gt;=0.7,"High Exposure", IF(Table1[[#This Row],[AI_Exposure_Index]]&gt;=0.3,"Medium Exposure","Low Exposure"))</f>
        <v>Low Exposure</v>
      </c>
    </row>
    <row r="1310" spans="1:20" x14ac:dyDescent="0.25">
      <c r="A1310" t="s">
        <v>41</v>
      </c>
      <c r="B1310">
        <v>45685</v>
      </c>
      <c r="C1310" s="1">
        <v>27</v>
      </c>
      <c r="D1310" t="s">
        <v>25</v>
      </c>
      <c r="E1310" s="7">
        <v>1.49</v>
      </c>
      <c r="F1310" s="2">
        <v>0.56999999999999995</v>
      </c>
      <c r="G1310" s="7">
        <v>0.85</v>
      </c>
      <c r="H1310" s="9" t="s">
        <v>20</v>
      </c>
      <c r="I1310">
        <v>0.06</v>
      </c>
      <c r="J1310">
        <v>0.05</v>
      </c>
      <c r="K1310">
        <v>0.88</v>
      </c>
      <c r="L1310">
        <v>0.84</v>
      </c>
      <c r="M1310">
        <v>0.35</v>
      </c>
      <c r="N1310">
        <v>0.62</v>
      </c>
      <c r="O1310">
        <v>0.49</v>
      </c>
      <c r="P1310">
        <v>0.97</v>
      </c>
      <c r="Q1310">
        <v>0.95</v>
      </c>
      <c r="R1310" s="2">
        <v>0.98</v>
      </c>
      <c r="S1310" t="str">
        <f>IF(Table1[[#This Row],[Years_Experience]]&lt;=5,"Early Career",
IF(Table1[[#This Row],[Years_Experience]]&lt;=15,"Mid Career","Senior Level"))</f>
        <v>Senior Level</v>
      </c>
      <c r="T1310" t="str">
        <f>IF(Table1[[#This Row],[AI_Exposure_Index]]&gt;=0.7,"High Exposure", IF(Table1[[#This Row],[AI_Exposure_Index]]&gt;=0.3,"Medium Exposure","Low Exposure"))</f>
        <v>Medium Exposure</v>
      </c>
    </row>
    <row r="1311" spans="1:20" x14ac:dyDescent="0.25">
      <c r="A1311" t="s">
        <v>39</v>
      </c>
      <c r="B1311">
        <v>134031</v>
      </c>
      <c r="C1311" s="1">
        <v>16</v>
      </c>
      <c r="D1311" t="s">
        <v>19</v>
      </c>
      <c r="E1311" s="7">
        <v>0.72</v>
      </c>
      <c r="F1311" s="2">
        <v>0.91</v>
      </c>
      <c r="G1311" s="7">
        <v>0.91</v>
      </c>
      <c r="H1311" s="9" t="s">
        <v>20</v>
      </c>
      <c r="I1311">
        <v>0.71</v>
      </c>
      <c r="J1311">
        <v>0.96</v>
      </c>
      <c r="K1311">
        <v>0.56999999999999995</v>
      </c>
      <c r="L1311">
        <v>0.09</v>
      </c>
      <c r="M1311">
        <v>0.6</v>
      </c>
      <c r="N1311">
        <v>0.69</v>
      </c>
      <c r="O1311">
        <v>0.22</v>
      </c>
      <c r="P1311">
        <v>0.39</v>
      </c>
      <c r="Q1311">
        <v>0.6</v>
      </c>
      <c r="R1311" s="2">
        <v>0.37</v>
      </c>
      <c r="S1311" t="str">
        <f>IF(Table1[[#This Row],[Years_Experience]]&lt;=5,"Early Career",
IF(Table1[[#This Row],[Years_Experience]]&lt;=15,"Mid Career","Senior Level"))</f>
        <v>Senior Level</v>
      </c>
      <c r="T1311" t="str">
        <f>IF(Table1[[#This Row],[AI_Exposure_Index]]&gt;=0.7,"High Exposure", IF(Table1[[#This Row],[AI_Exposure_Index]]&gt;=0.3,"Medium Exposure","Low Exposure"))</f>
        <v>High Exposure</v>
      </c>
    </row>
    <row r="1312" spans="1:20" x14ac:dyDescent="0.25">
      <c r="A1312" t="s">
        <v>43</v>
      </c>
      <c r="B1312">
        <v>67595</v>
      </c>
      <c r="C1312" s="1">
        <v>16</v>
      </c>
      <c r="D1312" t="s">
        <v>25</v>
      </c>
      <c r="E1312" s="7">
        <v>1.44</v>
      </c>
      <c r="F1312" s="2">
        <v>0.13</v>
      </c>
      <c r="G1312" s="7">
        <v>0.24</v>
      </c>
      <c r="H1312" s="9" t="s">
        <v>23</v>
      </c>
      <c r="I1312">
        <v>0</v>
      </c>
      <c r="J1312">
        <v>0.77</v>
      </c>
      <c r="K1312">
        <v>0.74</v>
      </c>
      <c r="L1312">
        <v>0.01</v>
      </c>
      <c r="M1312">
        <v>0.37</v>
      </c>
      <c r="N1312">
        <v>0.61</v>
      </c>
      <c r="O1312">
        <v>0.45</v>
      </c>
      <c r="P1312">
        <v>0.78</v>
      </c>
      <c r="Q1312">
        <v>0.43</v>
      </c>
      <c r="R1312" s="2">
        <v>0.15</v>
      </c>
      <c r="S1312" t="str">
        <f>IF(Table1[[#This Row],[Years_Experience]]&lt;=5,"Early Career",
IF(Table1[[#This Row],[Years_Experience]]&lt;=15,"Mid Career","Senior Level"))</f>
        <v>Senior Level</v>
      </c>
      <c r="T1312" t="str">
        <f>IF(Table1[[#This Row],[AI_Exposure_Index]]&gt;=0.7,"High Exposure", IF(Table1[[#This Row],[AI_Exposure_Index]]&gt;=0.3,"Medium Exposure","Low Exposure"))</f>
        <v>Low Exposure</v>
      </c>
    </row>
    <row r="1313" spans="1:20" x14ac:dyDescent="0.25">
      <c r="A1313" t="s">
        <v>44</v>
      </c>
      <c r="B1313">
        <v>54541</v>
      </c>
      <c r="C1313" s="1">
        <v>1</v>
      </c>
      <c r="D1313" t="s">
        <v>19</v>
      </c>
      <c r="E1313" s="7">
        <v>1.22</v>
      </c>
      <c r="F1313" s="2">
        <v>0.24</v>
      </c>
      <c r="G1313" s="7">
        <v>0.36</v>
      </c>
      <c r="H1313" s="9" t="s">
        <v>27</v>
      </c>
      <c r="I1313">
        <v>0.33</v>
      </c>
      <c r="J1313">
        <v>0.44</v>
      </c>
      <c r="K1313">
        <v>0.19</v>
      </c>
      <c r="L1313">
        <v>0.45</v>
      </c>
      <c r="M1313">
        <v>0.16</v>
      </c>
      <c r="N1313">
        <v>0.56000000000000005</v>
      </c>
      <c r="O1313">
        <v>0.66</v>
      </c>
      <c r="P1313">
        <v>0.06</v>
      </c>
      <c r="Q1313">
        <v>0.87</v>
      </c>
      <c r="R1313" s="2">
        <v>0.19</v>
      </c>
      <c r="S1313" t="str">
        <f>IF(Table1[[#This Row],[Years_Experience]]&lt;=5,"Early Career",
IF(Table1[[#This Row],[Years_Experience]]&lt;=15,"Mid Career","Senior Level"))</f>
        <v>Early Career</v>
      </c>
      <c r="T1313" t="str">
        <f>IF(Table1[[#This Row],[AI_Exposure_Index]]&gt;=0.7,"High Exposure", IF(Table1[[#This Row],[AI_Exposure_Index]]&gt;=0.3,"Medium Exposure","Low Exposure"))</f>
        <v>Low Exposure</v>
      </c>
    </row>
    <row r="1314" spans="1:20" x14ac:dyDescent="0.25">
      <c r="A1314" t="s">
        <v>24</v>
      </c>
      <c r="B1314">
        <v>118598</v>
      </c>
      <c r="C1314" s="1">
        <v>7</v>
      </c>
      <c r="D1314" t="s">
        <v>38</v>
      </c>
      <c r="E1314" s="7">
        <v>0.97</v>
      </c>
      <c r="F1314" s="2">
        <v>0.66</v>
      </c>
      <c r="G1314" s="7">
        <v>0.82</v>
      </c>
      <c r="H1314" s="9" t="s">
        <v>20</v>
      </c>
      <c r="I1314">
        <v>0.13</v>
      </c>
      <c r="J1314">
        <v>0.81</v>
      </c>
      <c r="K1314">
        <v>0.62</v>
      </c>
      <c r="L1314">
        <v>0.14000000000000001</v>
      </c>
      <c r="M1314">
        <v>0.37</v>
      </c>
      <c r="N1314">
        <v>0.81</v>
      </c>
      <c r="O1314">
        <v>0.56999999999999995</v>
      </c>
      <c r="P1314">
        <v>0.11</v>
      </c>
      <c r="Q1314">
        <v>0.37</v>
      </c>
      <c r="R1314" s="2">
        <v>0.24</v>
      </c>
      <c r="S1314" t="str">
        <f>IF(Table1[[#This Row],[Years_Experience]]&lt;=5,"Early Career",
IF(Table1[[#This Row],[Years_Experience]]&lt;=15,"Mid Career","Senior Level"))</f>
        <v>Mid Career</v>
      </c>
      <c r="T1314" t="str">
        <f>IF(Table1[[#This Row],[AI_Exposure_Index]]&gt;=0.7,"High Exposure", IF(Table1[[#This Row],[AI_Exposure_Index]]&gt;=0.3,"Medium Exposure","Low Exposure"))</f>
        <v>Medium Exposure</v>
      </c>
    </row>
    <row r="1315" spans="1:20" x14ac:dyDescent="0.25">
      <c r="A1315" t="s">
        <v>32</v>
      </c>
      <c r="B1315">
        <v>70785</v>
      </c>
      <c r="C1315" s="1">
        <v>10</v>
      </c>
      <c r="D1315" t="s">
        <v>25</v>
      </c>
      <c r="E1315" s="7">
        <v>1.1299999999999999</v>
      </c>
      <c r="F1315" s="2">
        <v>0.6</v>
      </c>
      <c r="G1315" s="7">
        <v>0.61</v>
      </c>
      <c r="H1315" s="9" t="s">
        <v>27</v>
      </c>
      <c r="I1315">
        <v>0.15</v>
      </c>
      <c r="J1315">
        <v>0.97</v>
      </c>
      <c r="K1315">
        <v>0.36</v>
      </c>
      <c r="L1315">
        <v>0.63</v>
      </c>
      <c r="M1315">
        <v>0.47</v>
      </c>
      <c r="N1315">
        <v>0.47</v>
      </c>
      <c r="O1315">
        <v>0.7</v>
      </c>
      <c r="P1315">
        <v>0.99</v>
      </c>
      <c r="Q1315">
        <v>0.66</v>
      </c>
      <c r="R1315" s="2">
        <v>0.79</v>
      </c>
      <c r="S1315" t="str">
        <f>IF(Table1[[#This Row],[Years_Experience]]&lt;=5,"Early Career",
IF(Table1[[#This Row],[Years_Experience]]&lt;=15,"Mid Career","Senior Level"))</f>
        <v>Mid Career</v>
      </c>
      <c r="T1315" t="str">
        <f>IF(Table1[[#This Row],[AI_Exposure_Index]]&gt;=0.7,"High Exposure", IF(Table1[[#This Row],[AI_Exposure_Index]]&gt;=0.3,"Medium Exposure","Low Exposure"))</f>
        <v>Medium Exposure</v>
      </c>
    </row>
    <row r="1316" spans="1:20" x14ac:dyDescent="0.25">
      <c r="A1316" t="s">
        <v>44</v>
      </c>
      <c r="B1316">
        <v>131633</v>
      </c>
      <c r="C1316" s="1">
        <v>28</v>
      </c>
      <c r="D1316" t="s">
        <v>25</v>
      </c>
      <c r="E1316" s="7">
        <v>0.81</v>
      </c>
      <c r="F1316" s="2">
        <v>0.18</v>
      </c>
      <c r="G1316" s="7">
        <v>0.61</v>
      </c>
      <c r="H1316" s="9" t="s">
        <v>27</v>
      </c>
      <c r="I1316">
        <v>0.45</v>
      </c>
      <c r="J1316">
        <v>0.88</v>
      </c>
      <c r="K1316">
        <v>0.15</v>
      </c>
      <c r="L1316">
        <v>0.51</v>
      </c>
      <c r="M1316">
        <v>0.65</v>
      </c>
      <c r="N1316">
        <v>0.52</v>
      </c>
      <c r="O1316">
        <v>0.89</v>
      </c>
      <c r="P1316">
        <v>0.99</v>
      </c>
      <c r="Q1316">
        <v>0.12</v>
      </c>
      <c r="R1316" s="2">
        <v>0.13</v>
      </c>
      <c r="S1316" t="str">
        <f>IF(Table1[[#This Row],[Years_Experience]]&lt;=5,"Early Career",
IF(Table1[[#This Row],[Years_Experience]]&lt;=15,"Mid Career","Senior Level"))</f>
        <v>Senior Level</v>
      </c>
      <c r="T1316" t="str">
        <f>IF(Table1[[#This Row],[AI_Exposure_Index]]&gt;=0.7,"High Exposure", IF(Table1[[#This Row],[AI_Exposure_Index]]&gt;=0.3,"Medium Exposure","Low Exposure"))</f>
        <v>Low Exposure</v>
      </c>
    </row>
    <row r="1317" spans="1:20" x14ac:dyDescent="0.25">
      <c r="A1317" t="s">
        <v>34</v>
      </c>
      <c r="B1317">
        <v>90359</v>
      </c>
      <c r="C1317" s="1">
        <v>15</v>
      </c>
      <c r="D1317" t="s">
        <v>19</v>
      </c>
      <c r="E1317" s="7">
        <v>0.87</v>
      </c>
      <c r="F1317" s="2">
        <v>0.68</v>
      </c>
      <c r="G1317" s="7">
        <v>0.59</v>
      </c>
      <c r="H1317" s="9" t="s">
        <v>27</v>
      </c>
      <c r="I1317">
        <v>0.41</v>
      </c>
      <c r="J1317">
        <v>0.63</v>
      </c>
      <c r="K1317">
        <v>0.77</v>
      </c>
      <c r="L1317">
        <v>0.55000000000000004</v>
      </c>
      <c r="M1317">
        <v>0.54</v>
      </c>
      <c r="N1317">
        <v>0.09</v>
      </c>
      <c r="O1317">
        <v>0.41</v>
      </c>
      <c r="P1317">
        <v>0.55000000000000004</v>
      </c>
      <c r="Q1317">
        <v>0.46</v>
      </c>
      <c r="R1317" s="2">
        <v>0.9</v>
      </c>
      <c r="S1317" t="str">
        <f>IF(Table1[[#This Row],[Years_Experience]]&lt;=5,"Early Career",
IF(Table1[[#This Row],[Years_Experience]]&lt;=15,"Mid Career","Senior Level"))</f>
        <v>Mid Career</v>
      </c>
      <c r="T1317" t="str">
        <f>IF(Table1[[#This Row],[AI_Exposure_Index]]&gt;=0.7,"High Exposure", IF(Table1[[#This Row],[AI_Exposure_Index]]&gt;=0.3,"Medium Exposure","Low Exposure"))</f>
        <v>Medium Exposure</v>
      </c>
    </row>
    <row r="1318" spans="1:20" x14ac:dyDescent="0.25">
      <c r="A1318" t="s">
        <v>43</v>
      </c>
      <c r="B1318">
        <v>55642</v>
      </c>
      <c r="C1318" s="1">
        <v>3</v>
      </c>
      <c r="D1318" t="s">
        <v>38</v>
      </c>
      <c r="E1318" s="7">
        <v>0.88</v>
      </c>
      <c r="F1318" s="2">
        <v>0.82</v>
      </c>
      <c r="G1318" s="7">
        <v>0.23</v>
      </c>
      <c r="H1318" s="9" t="s">
        <v>23</v>
      </c>
      <c r="I1318">
        <v>0.4</v>
      </c>
      <c r="J1318">
        <v>0.23</v>
      </c>
      <c r="K1318">
        <v>0.34</v>
      </c>
      <c r="L1318">
        <v>7.0000000000000007E-2</v>
      </c>
      <c r="M1318">
        <v>0.33</v>
      </c>
      <c r="N1318">
        <v>0.46</v>
      </c>
      <c r="O1318">
        <v>0.96</v>
      </c>
      <c r="P1318">
        <v>0.31</v>
      </c>
      <c r="Q1318">
        <v>0.9</v>
      </c>
      <c r="R1318" s="2">
        <v>0.23</v>
      </c>
      <c r="S1318" t="str">
        <f>IF(Table1[[#This Row],[Years_Experience]]&lt;=5,"Early Career",
IF(Table1[[#This Row],[Years_Experience]]&lt;=15,"Mid Career","Senior Level"))</f>
        <v>Early Career</v>
      </c>
      <c r="T1318" t="str">
        <f>IF(Table1[[#This Row],[AI_Exposure_Index]]&gt;=0.7,"High Exposure", IF(Table1[[#This Row],[AI_Exposure_Index]]&gt;=0.3,"Medium Exposure","Low Exposure"))</f>
        <v>High Exposure</v>
      </c>
    </row>
    <row r="1319" spans="1:20" x14ac:dyDescent="0.25">
      <c r="A1319" t="s">
        <v>32</v>
      </c>
      <c r="B1319">
        <v>117657</v>
      </c>
      <c r="C1319" s="1">
        <v>0</v>
      </c>
      <c r="D1319" t="s">
        <v>19</v>
      </c>
      <c r="E1319" s="7">
        <v>1.17</v>
      </c>
      <c r="F1319" s="2">
        <v>0.52</v>
      </c>
      <c r="G1319" s="7">
        <v>0.32</v>
      </c>
      <c r="H1319" s="9" t="s">
        <v>27</v>
      </c>
      <c r="I1319">
        <v>0.22</v>
      </c>
      <c r="J1319">
        <v>0.46</v>
      </c>
      <c r="K1319">
        <v>0.33</v>
      </c>
      <c r="L1319">
        <v>0.71</v>
      </c>
      <c r="M1319">
        <v>0.51</v>
      </c>
      <c r="N1319">
        <v>0.16</v>
      </c>
      <c r="O1319">
        <v>0.89</v>
      </c>
      <c r="P1319">
        <v>0.28999999999999998</v>
      </c>
      <c r="Q1319">
        <v>0.73</v>
      </c>
      <c r="R1319" s="2">
        <v>0.78</v>
      </c>
      <c r="S1319" t="str">
        <f>IF(Table1[[#This Row],[Years_Experience]]&lt;=5,"Early Career",
IF(Table1[[#This Row],[Years_Experience]]&lt;=15,"Mid Career","Senior Level"))</f>
        <v>Early Career</v>
      </c>
      <c r="T1319" t="str">
        <f>IF(Table1[[#This Row],[AI_Exposure_Index]]&gt;=0.7,"High Exposure", IF(Table1[[#This Row],[AI_Exposure_Index]]&gt;=0.3,"Medium Exposure","Low Exposure"))</f>
        <v>Medium Exposure</v>
      </c>
    </row>
    <row r="1320" spans="1:20" x14ac:dyDescent="0.25">
      <c r="A1320" t="s">
        <v>32</v>
      </c>
      <c r="B1320">
        <v>128525</v>
      </c>
      <c r="C1320" s="1">
        <v>0</v>
      </c>
      <c r="D1320" t="s">
        <v>25</v>
      </c>
      <c r="E1320" s="7">
        <v>1.1200000000000001</v>
      </c>
      <c r="F1320" s="2">
        <v>0.5</v>
      </c>
      <c r="G1320" s="7">
        <v>0.43</v>
      </c>
      <c r="H1320" s="9" t="s">
        <v>27</v>
      </c>
      <c r="I1320">
        <v>0.68</v>
      </c>
      <c r="J1320">
        <v>0.46</v>
      </c>
      <c r="K1320">
        <v>0.44</v>
      </c>
      <c r="L1320">
        <v>0.86</v>
      </c>
      <c r="M1320">
        <v>0.05</v>
      </c>
      <c r="N1320">
        <v>0.88</v>
      </c>
      <c r="O1320">
        <v>0.85</v>
      </c>
      <c r="P1320">
        <v>0.51</v>
      </c>
      <c r="Q1320">
        <v>0.49</v>
      </c>
      <c r="R1320" s="2">
        <v>0.36</v>
      </c>
      <c r="S1320" t="str">
        <f>IF(Table1[[#This Row],[Years_Experience]]&lt;=5,"Early Career",
IF(Table1[[#This Row],[Years_Experience]]&lt;=15,"Mid Career","Senior Level"))</f>
        <v>Early Career</v>
      </c>
      <c r="T1320" t="str">
        <f>IF(Table1[[#This Row],[AI_Exposure_Index]]&gt;=0.7,"High Exposure", IF(Table1[[#This Row],[AI_Exposure_Index]]&gt;=0.3,"Medium Exposure","Low Exposure"))</f>
        <v>Medium Exposure</v>
      </c>
    </row>
    <row r="1321" spans="1:20" x14ac:dyDescent="0.25">
      <c r="A1321" t="s">
        <v>30</v>
      </c>
      <c r="B1321">
        <v>41360</v>
      </c>
      <c r="C1321" s="1">
        <v>18</v>
      </c>
      <c r="D1321" t="s">
        <v>38</v>
      </c>
      <c r="E1321" s="7">
        <v>1.0900000000000001</v>
      </c>
      <c r="F1321" s="2">
        <v>0.11</v>
      </c>
      <c r="G1321" s="7">
        <v>0.56999999999999995</v>
      </c>
      <c r="H1321" s="9" t="s">
        <v>27</v>
      </c>
      <c r="I1321">
        <v>0.93</v>
      </c>
      <c r="J1321">
        <v>0.78</v>
      </c>
      <c r="K1321">
        <v>0.64</v>
      </c>
      <c r="L1321">
        <v>0.12</v>
      </c>
      <c r="M1321">
        <v>0.37</v>
      </c>
      <c r="N1321">
        <v>0.14000000000000001</v>
      </c>
      <c r="O1321">
        <v>0.88</v>
      </c>
      <c r="P1321">
        <v>0.75</v>
      </c>
      <c r="Q1321">
        <v>0.76</v>
      </c>
      <c r="R1321" s="2">
        <v>0.65</v>
      </c>
      <c r="S1321" t="str">
        <f>IF(Table1[[#This Row],[Years_Experience]]&lt;=5,"Early Career",
IF(Table1[[#This Row],[Years_Experience]]&lt;=15,"Mid Career","Senior Level"))</f>
        <v>Senior Level</v>
      </c>
      <c r="T1321" t="str">
        <f>IF(Table1[[#This Row],[AI_Exposure_Index]]&gt;=0.7,"High Exposure", IF(Table1[[#This Row],[AI_Exposure_Index]]&gt;=0.3,"Medium Exposure","Low Exposure"))</f>
        <v>Low Exposure</v>
      </c>
    </row>
    <row r="1322" spans="1:20" x14ac:dyDescent="0.25">
      <c r="A1322" t="s">
        <v>24</v>
      </c>
      <c r="B1322">
        <v>135190</v>
      </c>
      <c r="C1322" s="1">
        <v>10</v>
      </c>
      <c r="D1322" t="s">
        <v>19</v>
      </c>
      <c r="E1322" s="7">
        <v>0.83</v>
      </c>
      <c r="F1322" s="2">
        <v>0.15</v>
      </c>
      <c r="G1322" s="7">
        <v>0.73</v>
      </c>
      <c r="H1322" s="9" t="s">
        <v>20</v>
      </c>
      <c r="I1322">
        <v>0.72</v>
      </c>
      <c r="J1322">
        <v>0.16</v>
      </c>
      <c r="K1322">
        <v>0.7</v>
      </c>
      <c r="L1322">
        <v>0.69</v>
      </c>
      <c r="M1322">
        <v>0.46</v>
      </c>
      <c r="N1322">
        <v>0.14000000000000001</v>
      </c>
      <c r="O1322">
        <v>0.31</v>
      </c>
      <c r="P1322">
        <v>0.32</v>
      </c>
      <c r="Q1322">
        <v>0.7</v>
      </c>
      <c r="R1322" s="2">
        <v>0.11</v>
      </c>
      <c r="S1322" t="str">
        <f>IF(Table1[[#This Row],[Years_Experience]]&lt;=5,"Early Career",
IF(Table1[[#This Row],[Years_Experience]]&lt;=15,"Mid Career","Senior Level"))</f>
        <v>Mid Career</v>
      </c>
      <c r="T1322" t="str">
        <f>IF(Table1[[#This Row],[AI_Exposure_Index]]&gt;=0.7,"High Exposure", IF(Table1[[#This Row],[AI_Exposure_Index]]&gt;=0.3,"Medium Exposure","Low Exposure"))</f>
        <v>Low Exposure</v>
      </c>
    </row>
    <row r="1323" spans="1:20" x14ac:dyDescent="0.25">
      <c r="A1323" t="s">
        <v>35</v>
      </c>
      <c r="B1323">
        <v>81747</v>
      </c>
      <c r="C1323" s="1">
        <v>21</v>
      </c>
      <c r="D1323" t="s">
        <v>25</v>
      </c>
      <c r="E1323" s="7">
        <v>0.77</v>
      </c>
      <c r="F1323" s="2">
        <v>0.48</v>
      </c>
      <c r="G1323" s="7">
        <v>0.45</v>
      </c>
      <c r="H1323" s="9" t="s">
        <v>27</v>
      </c>
      <c r="I1323">
        <v>0.35</v>
      </c>
      <c r="J1323">
        <v>0.06</v>
      </c>
      <c r="K1323">
        <v>0.47</v>
      </c>
      <c r="L1323">
        <v>0.99</v>
      </c>
      <c r="M1323">
        <v>0.3</v>
      </c>
      <c r="N1323">
        <v>0.74</v>
      </c>
      <c r="O1323">
        <v>0.55000000000000004</v>
      </c>
      <c r="P1323">
        <v>0.33</v>
      </c>
      <c r="Q1323">
        <v>0.09</v>
      </c>
      <c r="R1323" s="2">
        <v>0.22</v>
      </c>
      <c r="S1323" t="str">
        <f>IF(Table1[[#This Row],[Years_Experience]]&lt;=5,"Early Career",
IF(Table1[[#This Row],[Years_Experience]]&lt;=15,"Mid Career","Senior Level"))</f>
        <v>Senior Level</v>
      </c>
      <c r="T1323" t="str">
        <f>IF(Table1[[#This Row],[AI_Exposure_Index]]&gt;=0.7,"High Exposure", IF(Table1[[#This Row],[AI_Exposure_Index]]&gt;=0.3,"Medium Exposure","Low Exposure"))</f>
        <v>Medium Exposure</v>
      </c>
    </row>
    <row r="1324" spans="1:20" x14ac:dyDescent="0.25">
      <c r="A1324" t="s">
        <v>33</v>
      </c>
      <c r="B1324">
        <v>131809</v>
      </c>
      <c r="C1324" s="1">
        <v>2</v>
      </c>
      <c r="D1324" t="s">
        <v>25</v>
      </c>
      <c r="E1324" s="7">
        <v>0.64</v>
      </c>
      <c r="F1324" s="2">
        <v>0.28000000000000003</v>
      </c>
      <c r="G1324" s="7">
        <v>0.78</v>
      </c>
      <c r="H1324" s="9" t="s">
        <v>20</v>
      </c>
      <c r="I1324">
        <v>0.57999999999999996</v>
      </c>
      <c r="J1324">
        <v>0.7</v>
      </c>
      <c r="K1324">
        <v>0.39</v>
      </c>
      <c r="L1324">
        <v>0.5</v>
      </c>
      <c r="M1324">
        <v>0.45</v>
      </c>
      <c r="N1324">
        <v>0.01</v>
      </c>
      <c r="O1324">
        <v>0.4</v>
      </c>
      <c r="P1324">
        <v>0.59</v>
      </c>
      <c r="Q1324">
        <v>0.56999999999999995</v>
      </c>
      <c r="R1324" s="2">
        <v>0.75</v>
      </c>
      <c r="S1324" t="str">
        <f>IF(Table1[[#This Row],[Years_Experience]]&lt;=5,"Early Career",
IF(Table1[[#This Row],[Years_Experience]]&lt;=15,"Mid Career","Senior Level"))</f>
        <v>Early Career</v>
      </c>
      <c r="T1324" t="str">
        <f>IF(Table1[[#This Row],[AI_Exposure_Index]]&gt;=0.7,"High Exposure", IF(Table1[[#This Row],[AI_Exposure_Index]]&gt;=0.3,"Medium Exposure","Low Exposure"))</f>
        <v>Low Exposure</v>
      </c>
    </row>
    <row r="1325" spans="1:20" x14ac:dyDescent="0.25">
      <c r="A1325" t="s">
        <v>39</v>
      </c>
      <c r="B1325">
        <v>145070</v>
      </c>
      <c r="C1325" s="1">
        <v>14</v>
      </c>
      <c r="D1325" t="s">
        <v>19</v>
      </c>
      <c r="E1325" s="7">
        <v>0.76</v>
      </c>
      <c r="F1325" s="2">
        <v>0.28000000000000003</v>
      </c>
      <c r="G1325" s="7">
        <v>0.82</v>
      </c>
      <c r="H1325" s="9" t="s">
        <v>20</v>
      </c>
      <c r="I1325">
        <v>0.73</v>
      </c>
      <c r="J1325">
        <v>0.09</v>
      </c>
      <c r="K1325">
        <v>0.95</v>
      </c>
      <c r="L1325">
        <v>0.54</v>
      </c>
      <c r="M1325">
        <v>0.31</v>
      </c>
      <c r="N1325">
        <v>0.69</v>
      </c>
      <c r="O1325">
        <v>0.04</v>
      </c>
      <c r="P1325">
        <v>0.48</v>
      </c>
      <c r="Q1325">
        <v>0.49</v>
      </c>
      <c r="R1325" s="2">
        <v>0.16</v>
      </c>
      <c r="S1325" t="str">
        <f>IF(Table1[[#This Row],[Years_Experience]]&lt;=5,"Early Career",
IF(Table1[[#This Row],[Years_Experience]]&lt;=15,"Mid Career","Senior Level"))</f>
        <v>Mid Career</v>
      </c>
      <c r="T1325" t="str">
        <f>IF(Table1[[#This Row],[AI_Exposure_Index]]&gt;=0.7,"High Exposure", IF(Table1[[#This Row],[AI_Exposure_Index]]&gt;=0.3,"Medium Exposure","Low Exposure"))</f>
        <v>Low Exposure</v>
      </c>
    </row>
    <row r="1326" spans="1:20" x14ac:dyDescent="0.25">
      <c r="A1326" t="s">
        <v>18</v>
      </c>
      <c r="B1326">
        <v>98688</v>
      </c>
      <c r="C1326" s="1">
        <v>8</v>
      </c>
      <c r="D1326" t="s">
        <v>19</v>
      </c>
      <c r="E1326" s="7">
        <v>0.65</v>
      </c>
      <c r="F1326" s="2">
        <v>0.8</v>
      </c>
      <c r="G1326" s="7">
        <v>0.79</v>
      </c>
      <c r="H1326" s="9" t="s">
        <v>20</v>
      </c>
      <c r="I1326">
        <v>0.1</v>
      </c>
      <c r="J1326">
        <v>0.85</v>
      </c>
      <c r="K1326">
        <v>0.32</v>
      </c>
      <c r="L1326">
        <v>0.44</v>
      </c>
      <c r="M1326">
        <v>0.32</v>
      </c>
      <c r="N1326">
        <v>0.31</v>
      </c>
      <c r="O1326">
        <v>0.75</v>
      </c>
      <c r="P1326">
        <v>0.75</v>
      </c>
      <c r="Q1326">
        <v>0.52</v>
      </c>
      <c r="R1326" s="2">
        <v>0.66</v>
      </c>
      <c r="S1326" t="str">
        <f>IF(Table1[[#This Row],[Years_Experience]]&lt;=5,"Early Career",
IF(Table1[[#This Row],[Years_Experience]]&lt;=15,"Mid Career","Senior Level"))</f>
        <v>Mid Career</v>
      </c>
      <c r="T1326" t="str">
        <f>IF(Table1[[#This Row],[AI_Exposure_Index]]&gt;=0.7,"High Exposure", IF(Table1[[#This Row],[AI_Exposure_Index]]&gt;=0.3,"Medium Exposure","Low Exposure"))</f>
        <v>High Exposure</v>
      </c>
    </row>
    <row r="1327" spans="1:20" x14ac:dyDescent="0.25">
      <c r="A1327" t="s">
        <v>18</v>
      </c>
      <c r="B1327">
        <v>53545</v>
      </c>
      <c r="C1327" s="1">
        <v>7</v>
      </c>
      <c r="D1327" t="s">
        <v>38</v>
      </c>
      <c r="E1327" s="7">
        <v>0.56999999999999995</v>
      </c>
      <c r="F1327" s="2">
        <v>0.03</v>
      </c>
      <c r="G1327" s="7">
        <v>0.8</v>
      </c>
      <c r="H1327" s="9" t="s">
        <v>20</v>
      </c>
      <c r="I1327">
        <v>0.75</v>
      </c>
      <c r="J1327">
        <v>0.91</v>
      </c>
      <c r="K1327">
        <v>0.03</v>
      </c>
      <c r="L1327">
        <v>0.37</v>
      </c>
      <c r="M1327">
        <v>0.22</v>
      </c>
      <c r="N1327">
        <v>0.82</v>
      </c>
      <c r="O1327">
        <v>0.85</v>
      </c>
      <c r="P1327">
        <v>0.21</v>
      </c>
      <c r="Q1327">
        <v>0.71</v>
      </c>
      <c r="R1327" s="2">
        <v>0.73</v>
      </c>
      <c r="S1327" t="str">
        <f>IF(Table1[[#This Row],[Years_Experience]]&lt;=5,"Early Career",
IF(Table1[[#This Row],[Years_Experience]]&lt;=15,"Mid Career","Senior Level"))</f>
        <v>Mid Career</v>
      </c>
      <c r="T1327" t="str">
        <f>IF(Table1[[#This Row],[AI_Exposure_Index]]&gt;=0.7,"High Exposure", IF(Table1[[#This Row],[AI_Exposure_Index]]&gt;=0.3,"Medium Exposure","Low Exposure"))</f>
        <v>Low Exposure</v>
      </c>
    </row>
    <row r="1328" spans="1:20" x14ac:dyDescent="0.25">
      <c r="A1328" t="s">
        <v>26</v>
      </c>
      <c r="B1328">
        <v>138322</v>
      </c>
      <c r="C1328" s="1">
        <v>14</v>
      </c>
      <c r="D1328" t="s">
        <v>22</v>
      </c>
      <c r="E1328" s="7">
        <v>1.1200000000000001</v>
      </c>
      <c r="F1328" s="2">
        <v>0.43</v>
      </c>
      <c r="G1328" s="7">
        <v>0.31</v>
      </c>
      <c r="H1328" s="9" t="s">
        <v>27</v>
      </c>
      <c r="I1328">
        <v>0.4</v>
      </c>
      <c r="J1328">
        <v>0.15</v>
      </c>
      <c r="K1328">
        <v>0.54</v>
      </c>
      <c r="L1328">
        <v>0.84</v>
      </c>
      <c r="M1328">
        <v>0.52</v>
      </c>
      <c r="N1328">
        <v>0.04</v>
      </c>
      <c r="O1328">
        <v>0.03</v>
      </c>
      <c r="P1328">
        <v>0.61</v>
      </c>
      <c r="Q1328">
        <v>0.33</v>
      </c>
      <c r="R1328" s="2">
        <v>0.56999999999999995</v>
      </c>
      <c r="S1328" t="str">
        <f>IF(Table1[[#This Row],[Years_Experience]]&lt;=5,"Early Career",
IF(Table1[[#This Row],[Years_Experience]]&lt;=15,"Mid Career","Senior Level"))</f>
        <v>Mid Career</v>
      </c>
      <c r="T1328" t="str">
        <f>IF(Table1[[#This Row],[AI_Exposure_Index]]&gt;=0.7,"High Exposure", IF(Table1[[#This Row],[AI_Exposure_Index]]&gt;=0.3,"Medium Exposure","Low Exposure"))</f>
        <v>Medium Exposure</v>
      </c>
    </row>
    <row r="1329" spans="1:20" x14ac:dyDescent="0.25">
      <c r="A1329" t="s">
        <v>44</v>
      </c>
      <c r="B1329">
        <v>37965</v>
      </c>
      <c r="C1329" s="1">
        <v>2</v>
      </c>
      <c r="D1329" t="s">
        <v>22</v>
      </c>
      <c r="E1329" s="7">
        <v>1.36</v>
      </c>
      <c r="F1329" s="2">
        <v>0.78</v>
      </c>
      <c r="G1329" s="7">
        <v>0.66</v>
      </c>
      <c r="H1329" s="9" t="s">
        <v>27</v>
      </c>
      <c r="I1329">
        <v>0.3</v>
      </c>
      <c r="J1329">
        <v>0.66</v>
      </c>
      <c r="K1329">
        <v>0.28000000000000003</v>
      </c>
      <c r="L1329">
        <v>0.76</v>
      </c>
      <c r="M1329">
        <v>0.12</v>
      </c>
      <c r="N1329">
        <v>0.76</v>
      </c>
      <c r="O1329">
        <v>0.44</v>
      </c>
      <c r="P1329">
        <v>0.86</v>
      </c>
      <c r="Q1329">
        <v>0.74</v>
      </c>
      <c r="R1329" s="2">
        <v>0.38</v>
      </c>
      <c r="S1329" t="str">
        <f>IF(Table1[[#This Row],[Years_Experience]]&lt;=5,"Early Career",
IF(Table1[[#This Row],[Years_Experience]]&lt;=15,"Mid Career","Senior Level"))</f>
        <v>Early Career</v>
      </c>
      <c r="T1329" t="str">
        <f>IF(Table1[[#This Row],[AI_Exposure_Index]]&gt;=0.7,"High Exposure", IF(Table1[[#This Row],[AI_Exposure_Index]]&gt;=0.3,"Medium Exposure","Low Exposure"))</f>
        <v>High Exposure</v>
      </c>
    </row>
    <row r="1330" spans="1:20" x14ac:dyDescent="0.25">
      <c r="A1330" t="s">
        <v>30</v>
      </c>
      <c r="B1330">
        <v>52546</v>
      </c>
      <c r="C1330" s="1">
        <v>18</v>
      </c>
      <c r="D1330" t="s">
        <v>22</v>
      </c>
      <c r="E1330" s="7">
        <v>1.47</v>
      </c>
      <c r="F1330" s="2">
        <v>0.28000000000000003</v>
      </c>
      <c r="G1330" s="7">
        <v>0.61</v>
      </c>
      <c r="H1330" s="9" t="s">
        <v>27</v>
      </c>
      <c r="I1330">
        <v>0.99</v>
      </c>
      <c r="J1330">
        <v>0.05</v>
      </c>
      <c r="K1330">
        <v>0.27</v>
      </c>
      <c r="L1330">
        <v>0.74</v>
      </c>
      <c r="M1330">
        <v>0.92</v>
      </c>
      <c r="N1330">
        <v>0.03</v>
      </c>
      <c r="O1330">
        <v>0</v>
      </c>
      <c r="P1330">
        <v>0.26</v>
      </c>
      <c r="Q1330">
        <v>0.85</v>
      </c>
      <c r="R1330" s="2">
        <v>0.77</v>
      </c>
      <c r="S1330" t="str">
        <f>IF(Table1[[#This Row],[Years_Experience]]&lt;=5,"Early Career",
IF(Table1[[#This Row],[Years_Experience]]&lt;=15,"Mid Career","Senior Level"))</f>
        <v>Senior Level</v>
      </c>
      <c r="T1330" t="str">
        <f>IF(Table1[[#This Row],[AI_Exposure_Index]]&gt;=0.7,"High Exposure", IF(Table1[[#This Row],[AI_Exposure_Index]]&gt;=0.3,"Medium Exposure","Low Exposure"))</f>
        <v>Low Exposure</v>
      </c>
    </row>
    <row r="1331" spans="1:20" x14ac:dyDescent="0.25">
      <c r="A1331" t="s">
        <v>21</v>
      </c>
      <c r="B1331">
        <v>57774</v>
      </c>
      <c r="C1331" s="1">
        <v>12</v>
      </c>
      <c r="D1331" t="s">
        <v>38</v>
      </c>
      <c r="E1331" s="7">
        <v>1.05</v>
      </c>
      <c r="F1331" s="2">
        <v>0</v>
      </c>
      <c r="G1331" s="7">
        <v>0.11</v>
      </c>
      <c r="H1331" s="9" t="s">
        <v>23</v>
      </c>
      <c r="I1331">
        <v>0.75</v>
      </c>
      <c r="J1331">
        <v>0.45</v>
      </c>
      <c r="K1331">
        <v>0.68</v>
      </c>
      <c r="L1331">
        <v>0.85</v>
      </c>
      <c r="M1331">
        <v>0.54</v>
      </c>
      <c r="N1331">
        <v>0.34</v>
      </c>
      <c r="O1331">
        <v>0.77</v>
      </c>
      <c r="P1331">
        <v>0.27</v>
      </c>
      <c r="Q1331">
        <v>0.89</v>
      </c>
      <c r="R1331" s="2">
        <v>7.0000000000000007E-2</v>
      </c>
      <c r="S1331" t="str">
        <f>IF(Table1[[#This Row],[Years_Experience]]&lt;=5,"Early Career",
IF(Table1[[#This Row],[Years_Experience]]&lt;=15,"Mid Career","Senior Level"))</f>
        <v>Mid Career</v>
      </c>
      <c r="T1331" t="str">
        <f>IF(Table1[[#This Row],[AI_Exposure_Index]]&gt;=0.7,"High Exposure", IF(Table1[[#This Row],[AI_Exposure_Index]]&gt;=0.3,"Medium Exposure","Low Exposure"))</f>
        <v>Low Exposure</v>
      </c>
    </row>
    <row r="1332" spans="1:20" x14ac:dyDescent="0.25">
      <c r="A1332" t="s">
        <v>43</v>
      </c>
      <c r="B1332">
        <v>113394</v>
      </c>
      <c r="C1332" s="1">
        <v>0</v>
      </c>
      <c r="D1332" t="s">
        <v>38</v>
      </c>
      <c r="E1332" s="7">
        <v>0.56000000000000005</v>
      </c>
      <c r="F1332" s="2">
        <v>0.09</v>
      </c>
      <c r="G1332" s="7">
        <v>0.14000000000000001</v>
      </c>
      <c r="H1332" s="9" t="s">
        <v>23</v>
      </c>
      <c r="I1332">
        <v>0.96</v>
      </c>
      <c r="J1332">
        <v>0.98</v>
      </c>
      <c r="K1332">
        <v>0.2</v>
      </c>
      <c r="L1332">
        <v>0.15</v>
      </c>
      <c r="M1332">
        <v>0.35</v>
      </c>
      <c r="N1332">
        <v>0.34</v>
      </c>
      <c r="O1332">
        <v>0.76</v>
      </c>
      <c r="P1332">
        <v>0.44</v>
      </c>
      <c r="Q1332">
        <v>0.78</v>
      </c>
      <c r="R1332" s="2">
        <v>0.75</v>
      </c>
      <c r="S1332" t="str">
        <f>IF(Table1[[#This Row],[Years_Experience]]&lt;=5,"Early Career",
IF(Table1[[#This Row],[Years_Experience]]&lt;=15,"Mid Career","Senior Level"))</f>
        <v>Early Career</v>
      </c>
      <c r="T1332" t="str">
        <f>IF(Table1[[#This Row],[AI_Exposure_Index]]&gt;=0.7,"High Exposure", IF(Table1[[#This Row],[AI_Exposure_Index]]&gt;=0.3,"Medium Exposure","Low Exposure"))</f>
        <v>Low Exposure</v>
      </c>
    </row>
    <row r="1333" spans="1:20" x14ac:dyDescent="0.25">
      <c r="A1333" t="s">
        <v>43</v>
      </c>
      <c r="B1333">
        <v>40002</v>
      </c>
      <c r="C1333" s="1">
        <v>10</v>
      </c>
      <c r="D1333" t="s">
        <v>22</v>
      </c>
      <c r="E1333" s="7">
        <v>0.7</v>
      </c>
      <c r="F1333" s="2">
        <v>0.83</v>
      </c>
      <c r="G1333" s="7">
        <v>0.09</v>
      </c>
      <c r="H1333" s="9" t="s">
        <v>23</v>
      </c>
      <c r="I1333">
        <v>0.75</v>
      </c>
      <c r="J1333">
        <v>0.24</v>
      </c>
      <c r="K1333">
        <v>0</v>
      </c>
      <c r="L1333">
        <v>0.91</v>
      </c>
      <c r="M1333">
        <v>0.62</v>
      </c>
      <c r="N1333">
        <v>0.44</v>
      </c>
      <c r="O1333">
        <v>0.73</v>
      </c>
      <c r="P1333">
        <v>0.33</v>
      </c>
      <c r="Q1333">
        <v>0.95</v>
      </c>
      <c r="R1333" s="2">
        <v>7.0000000000000007E-2</v>
      </c>
      <c r="S1333" t="str">
        <f>IF(Table1[[#This Row],[Years_Experience]]&lt;=5,"Early Career",
IF(Table1[[#This Row],[Years_Experience]]&lt;=15,"Mid Career","Senior Level"))</f>
        <v>Mid Career</v>
      </c>
      <c r="T1333" t="str">
        <f>IF(Table1[[#This Row],[AI_Exposure_Index]]&gt;=0.7,"High Exposure", IF(Table1[[#This Row],[AI_Exposure_Index]]&gt;=0.3,"Medium Exposure","Low Exposure"))</f>
        <v>High Exposure</v>
      </c>
    </row>
    <row r="1334" spans="1:20" x14ac:dyDescent="0.25">
      <c r="A1334" t="s">
        <v>21</v>
      </c>
      <c r="B1334">
        <v>107365</v>
      </c>
      <c r="C1334" s="1">
        <v>22</v>
      </c>
      <c r="D1334" t="s">
        <v>22</v>
      </c>
      <c r="E1334" s="7">
        <v>0.97</v>
      </c>
      <c r="F1334" s="2">
        <v>0.78</v>
      </c>
      <c r="G1334" s="7">
        <v>0.24</v>
      </c>
      <c r="H1334" s="9" t="s">
        <v>23</v>
      </c>
      <c r="I1334">
        <v>0.93</v>
      </c>
      <c r="J1334">
        <v>0.74</v>
      </c>
      <c r="K1334">
        <v>0.31</v>
      </c>
      <c r="L1334">
        <v>0.56000000000000005</v>
      </c>
      <c r="M1334">
        <v>0.91</v>
      </c>
      <c r="N1334">
        <v>0.45</v>
      </c>
      <c r="O1334">
        <v>0.68</v>
      </c>
      <c r="P1334">
        <v>0.47</v>
      </c>
      <c r="Q1334">
        <v>0.12</v>
      </c>
      <c r="R1334" s="2">
        <v>0.06</v>
      </c>
      <c r="S1334" t="str">
        <f>IF(Table1[[#This Row],[Years_Experience]]&lt;=5,"Early Career",
IF(Table1[[#This Row],[Years_Experience]]&lt;=15,"Mid Career","Senior Level"))</f>
        <v>Senior Level</v>
      </c>
      <c r="T1334" t="str">
        <f>IF(Table1[[#This Row],[AI_Exposure_Index]]&gt;=0.7,"High Exposure", IF(Table1[[#This Row],[AI_Exposure_Index]]&gt;=0.3,"Medium Exposure","Low Exposure"))</f>
        <v>High Exposure</v>
      </c>
    </row>
    <row r="1335" spans="1:20" x14ac:dyDescent="0.25">
      <c r="A1335" t="s">
        <v>39</v>
      </c>
      <c r="B1335">
        <v>44833</v>
      </c>
      <c r="C1335" s="1">
        <v>18</v>
      </c>
      <c r="D1335" t="s">
        <v>38</v>
      </c>
      <c r="E1335" s="7">
        <v>0.6</v>
      </c>
      <c r="F1335" s="2">
        <v>0.61</v>
      </c>
      <c r="G1335" s="7">
        <v>0.91</v>
      </c>
      <c r="H1335" s="9" t="s">
        <v>20</v>
      </c>
      <c r="I1335">
        <v>0.52</v>
      </c>
      <c r="J1335">
        <v>0.77</v>
      </c>
      <c r="K1335">
        <v>0.13</v>
      </c>
      <c r="L1335">
        <v>0.91</v>
      </c>
      <c r="M1335">
        <v>0.59</v>
      </c>
      <c r="N1335">
        <v>0.74</v>
      </c>
      <c r="O1335">
        <v>0.03</v>
      </c>
      <c r="P1335">
        <v>0.32</v>
      </c>
      <c r="Q1335">
        <v>0.27</v>
      </c>
      <c r="R1335" s="2">
        <v>0.95</v>
      </c>
      <c r="S1335" t="str">
        <f>IF(Table1[[#This Row],[Years_Experience]]&lt;=5,"Early Career",
IF(Table1[[#This Row],[Years_Experience]]&lt;=15,"Mid Career","Senior Level"))</f>
        <v>Senior Level</v>
      </c>
      <c r="T1335" t="str">
        <f>IF(Table1[[#This Row],[AI_Exposure_Index]]&gt;=0.7,"High Exposure", IF(Table1[[#This Row],[AI_Exposure_Index]]&gt;=0.3,"Medium Exposure","Low Exposure"))</f>
        <v>Medium Exposure</v>
      </c>
    </row>
    <row r="1336" spans="1:20" x14ac:dyDescent="0.25">
      <c r="A1336" t="s">
        <v>34</v>
      </c>
      <c r="B1336">
        <v>52844</v>
      </c>
      <c r="C1336" s="1">
        <v>24</v>
      </c>
      <c r="D1336" t="s">
        <v>19</v>
      </c>
      <c r="E1336" s="7">
        <v>0.54</v>
      </c>
      <c r="F1336" s="2">
        <v>0.71</v>
      </c>
      <c r="G1336" s="7">
        <v>0.38</v>
      </c>
      <c r="H1336" s="9" t="s">
        <v>27</v>
      </c>
      <c r="I1336">
        <v>0.34</v>
      </c>
      <c r="J1336">
        <v>0.79</v>
      </c>
      <c r="K1336">
        <v>0.79</v>
      </c>
      <c r="L1336">
        <v>0.95</v>
      </c>
      <c r="M1336">
        <v>0.92</v>
      </c>
      <c r="N1336">
        <v>0.08</v>
      </c>
      <c r="O1336">
        <v>0.83</v>
      </c>
      <c r="P1336">
        <v>0.45</v>
      </c>
      <c r="Q1336">
        <v>0.87</v>
      </c>
      <c r="R1336" s="2">
        <v>0.09</v>
      </c>
      <c r="S1336" t="str">
        <f>IF(Table1[[#This Row],[Years_Experience]]&lt;=5,"Early Career",
IF(Table1[[#This Row],[Years_Experience]]&lt;=15,"Mid Career","Senior Level"))</f>
        <v>Senior Level</v>
      </c>
      <c r="T1336" t="str">
        <f>IF(Table1[[#This Row],[AI_Exposure_Index]]&gt;=0.7,"High Exposure", IF(Table1[[#This Row],[AI_Exposure_Index]]&gt;=0.3,"Medium Exposure","Low Exposure"))</f>
        <v>High Exposure</v>
      </c>
    </row>
    <row r="1337" spans="1:20" x14ac:dyDescent="0.25">
      <c r="A1337" t="s">
        <v>32</v>
      </c>
      <c r="B1337">
        <v>95265</v>
      </c>
      <c r="C1337" s="1">
        <v>6</v>
      </c>
      <c r="D1337" t="s">
        <v>25</v>
      </c>
      <c r="E1337" s="7">
        <v>0.83</v>
      </c>
      <c r="F1337" s="2">
        <v>0.16</v>
      </c>
      <c r="G1337" s="7">
        <v>0.31</v>
      </c>
      <c r="H1337" s="9" t="s">
        <v>27</v>
      </c>
      <c r="I1337">
        <v>0.12</v>
      </c>
      <c r="J1337">
        <v>0.45</v>
      </c>
      <c r="K1337">
        <v>0.82</v>
      </c>
      <c r="L1337">
        <v>0.77</v>
      </c>
      <c r="M1337">
        <v>0.24</v>
      </c>
      <c r="N1337">
        <v>0.15</v>
      </c>
      <c r="O1337">
        <v>0.39</v>
      </c>
      <c r="P1337">
        <v>0.88</v>
      </c>
      <c r="Q1337">
        <v>0.09</v>
      </c>
      <c r="R1337" s="2">
        <v>0.54</v>
      </c>
      <c r="S1337" t="str">
        <f>IF(Table1[[#This Row],[Years_Experience]]&lt;=5,"Early Career",
IF(Table1[[#This Row],[Years_Experience]]&lt;=15,"Mid Career","Senior Level"))</f>
        <v>Mid Career</v>
      </c>
      <c r="T1337" t="str">
        <f>IF(Table1[[#This Row],[AI_Exposure_Index]]&gt;=0.7,"High Exposure", IF(Table1[[#This Row],[AI_Exposure_Index]]&gt;=0.3,"Medium Exposure","Low Exposure"))</f>
        <v>Low Exposure</v>
      </c>
    </row>
    <row r="1338" spans="1:20" x14ac:dyDescent="0.25">
      <c r="A1338" t="s">
        <v>36</v>
      </c>
      <c r="B1338">
        <v>35725</v>
      </c>
      <c r="C1338" s="1">
        <v>9</v>
      </c>
      <c r="D1338" t="s">
        <v>19</v>
      </c>
      <c r="E1338" s="7">
        <v>0.63</v>
      </c>
      <c r="F1338" s="2">
        <v>0.47</v>
      </c>
      <c r="G1338" s="7">
        <v>0.33</v>
      </c>
      <c r="H1338" s="9" t="s">
        <v>27</v>
      </c>
      <c r="I1338">
        <v>0.19</v>
      </c>
      <c r="J1338">
        <v>0.26</v>
      </c>
      <c r="K1338">
        <v>0.28000000000000003</v>
      </c>
      <c r="L1338">
        <v>0.65</v>
      </c>
      <c r="M1338">
        <v>0.05</v>
      </c>
      <c r="N1338">
        <v>0.08</v>
      </c>
      <c r="O1338">
        <v>0.19</v>
      </c>
      <c r="P1338">
        <v>0.87</v>
      </c>
      <c r="Q1338">
        <v>0.63</v>
      </c>
      <c r="R1338" s="2">
        <v>0.73</v>
      </c>
      <c r="S1338" t="str">
        <f>IF(Table1[[#This Row],[Years_Experience]]&lt;=5,"Early Career",
IF(Table1[[#This Row],[Years_Experience]]&lt;=15,"Mid Career","Senior Level"))</f>
        <v>Mid Career</v>
      </c>
      <c r="T1338" t="str">
        <f>IF(Table1[[#This Row],[AI_Exposure_Index]]&gt;=0.7,"High Exposure", IF(Table1[[#This Row],[AI_Exposure_Index]]&gt;=0.3,"Medium Exposure","Low Exposure"))</f>
        <v>Medium Exposure</v>
      </c>
    </row>
    <row r="1339" spans="1:20" x14ac:dyDescent="0.25">
      <c r="A1339" t="s">
        <v>18</v>
      </c>
      <c r="B1339">
        <v>33573</v>
      </c>
      <c r="C1339" s="1">
        <v>21</v>
      </c>
      <c r="D1339" t="s">
        <v>38</v>
      </c>
      <c r="E1339" s="7">
        <v>0.54</v>
      </c>
      <c r="F1339" s="2">
        <v>0.21</v>
      </c>
      <c r="G1339" s="7">
        <v>0.82</v>
      </c>
      <c r="H1339" s="9" t="s">
        <v>20</v>
      </c>
      <c r="I1339">
        <v>0.56999999999999995</v>
      </c>
      <c r="J1339">
        <v>0.9</v>
      </c>
      <c r="K1339">
        <v>0.88</v>
      </c>
      <c r="L1339">
        <v>0.42</v>
      </c>
      <c r="M1339">
        <v>0.42</v>
      </c>
      <c r="N1339">
        <v>0.16</v>
      </c>
      <c r="O1339">
        <v>0.26</v>
      </c>
      <c r="P1339">
        <v>0.93</v>
      </c>
      <c r="Q1339">
        <v>0.14000000000000001</v>
      </c>
      <c r="R1339" s="2">
        <v>0.97</v>
      </c>
      <c r="S1339" t="str">
        <f>IF(Table1[[#This Row],[Years_Experience]]&lt;=5,"Early Career",
IF(Table1[[#This Row],[Years_Experience]]&lt;=15,"Mid Career","Senior Level"))</f>
        <v>Senior Level</v>
      </c>
      <c r="T1339" t="str">
        <f>IF(Table1[[#This Row],[AI_Exposure_Index]]&gt;=0.7,"High Exposure", IF(Table1[[#This Row],[AI_Exposure_Index]]&gt;=0.3,"Medium Exposure","Low Exposure"))</f>
        <v>Low Exposure</v>
      </c>
    </row>
    <row r="1340" spans="1:20" x14ac:dyDescent="0.25">
      <c r="A1340" t="s">
        <v>39</v>
      </c>
      <c r="B1340">
        <v>65744</v>
      </c>
      <c r="C1340" s="1">
        <v>19</v>
      </c>
      <c r="D1340" t="s">
        <v>38</v>
      </c>
      <c r="E1340" s="7">
        <v>1.18</v>
      </c>
      <c r="F1340" s="2">
        <v>0.9</v>
      </c>
      <c r="G1340" s="7">
        <v>0.85</v>
      </c>
      <c r="H1340" s="9" t="s">
        <v>20</v>
      </c>
      <c r="I1340">
        <v>0.71</v>
      </c>
      <c r="J1340">
        <v>0.83</v>
      </c>
      <c r="K1340">
        <v>0.88</v>
      </c>
      <c r="L1340">
        <v>0.64</v>
      </c>
      <c r="M1340">
        <v>0.89</v>
      </c>
      <c r="N1340">
        <v>0.54</v>
      </c>
      <c r="O1340">
        <v>0.28000000000000003</v>
      </c>
      <c r="P1340">
        <v>0.88</v>
      </c>
      <c r="Q1340">
        <v>0.54</v>
      </c>
      <c r="R1340" s="2">
        <v>0.91</v>
      </c>
      <c r="S1340" t="str">
        <f>IF(Table1[[#This Row],[Years_Experience]]&lt;=5,"Early Career",
IF(Table1[[#This Row],[Years_Experience]]&lt;=15,"Mid Career","Senior Level"))</f>
        <v>Senior Level</v>
      </c>
      <c r="T1340" t="str">
        <f>IF(Table1[[#This Row],[AI_Exposure_Index]]&gt;=0.7,"High Exposure", IF(Table1[[#This Row],[AI_Exposure_Index]]&gt;=0.3,"Medium Exposure","Low Exposure"))</f>
        <v>High Exposure</v>
      </c>
    </row>
    <row r="1341" spans="1:20" x14ac:dyDescent="0.25">
      <c r="A1341" t="s">
        <v>39</v>
      </c>
      <c r="B1341">
        <v>58672</v>
      </c>
      <c r="C1341" s="1">
        <v>12</v>
      </c>
      <c r="D1341" t="s">
        <v>38</v>
      </c>
      <c r="E1341" s="7">
        <v>1.45</v>
      </c>
      <c r="F1341" s="2">
        <v>0.4</v>
      </c>
      <c r="G1341" s="7">
        <v>0.76</v>
      </c>
      <c r="H1341" s="9" t="s">
        <v>20</v>
      </c>
      <c r="I1341">
        <v>0.94</v>
      </c>
      <c r="J1341">
        <v>0.95</v>
      </c>
      <c r="K1341">
        <v>0.88</v>
      </c>
      <c r="L1341">
        <v>0.56000000000000005</v>
      </c>
      <c r="M1341">
        <v>0.65</v>
      </c>
      <c r="N1341">
        <v>0.87</v>
      </c>
      <c r="O1341">
        <v>0.78</v>
      </c>
      <c r="P1341">
        <v>0.63</v>
      </c>
      <c r="Q1341">
        <v>0.98</v>
      </c>
      <c r="R1341" s="2">
        <v>0.69</v>
      </c>
      <c r="S1341" t="str">
        <f>IF(Table1[[#This Row],[Years_Experience]]&lt;=5,"Early Career",
IF(Table1[[#This Row],[Years_Experience]]&lt;=15,"Mid Career","Senior Level"))</f>
        <v>Mid Career</v>
      </c>
      <c r="T1341" t="str">
        <f>IF(Table1[[#This Row],[AI_Exposure_Index]]&gt;=0.7,"High Exposure", IF(Table1[[#This Row],[AI_Exposure_Index]]&gt;=0.3,"Medium Exposure","Low Exposure"))</f>
        <v>Medium Exposure</v>
      </c>
    </row>
    <row r="1342" spans="1:20" x14ac:dyDescent="0.25">
      <c r="A1342" t="s">
        <v>26</v>
      </c>
      <c r="B1342">
        <v>107831</v>
      </c>
      <c r="C1342" s="1">
        <v>23</v>
      </c>
      <c r="D1342" t="s">
        <v>19</v>
      </c>
      <c r="E1342" s="7">
        <v>0.64</v>
      </c>
      <c r="F1342" s="2">
        <v>0.06</v>
      </c>
      <c r="G1342" s="7">
        <v>0.48</v>
      </c>
      <c r="H1342" s="9" t="s">
        <v>27</v>
      </c>
      <c r="I1342">
        <v>0.38</v>
      </c>
      <c r="J1342">
        <v>0.78</v>
      </c>
      <c r="K1342">
        <v>0.16</v>
      </c>
      <c r="L1342">
        <v>0.98</v>
      </c>
      <c r="M1342">
        <v>0.32</v>
      </c>
      <c r="N1342">
        <v>0.43</v>
      </c>
      <c r="O1342">
        <v>0.27</v>
      </c>
      <c r="P1342">
        <v>0.57999999999999996</v>
      </c>
      <c r="Q1342">
        <v>0.06</v>
      </c>
      <c r="R1342" s="2">
        <v>0.15</v>
      </c>
      <c r="S1342" t="str">
        <f>IF(Table1[[#This Row],[Years_Experience]]&lt;=5,"Early Career",
IF(Table1[[#This Row],[Years_Experience]]&lt;=15,"Mid Career","Senior Level"))</f>
        <v>Senior Level</v>
      </c>
      <c r="T1342" t="str">
        <f>IF(Table1[[#This Row],[AI_Exposure_Index]]&gt;=0.7,"High Exposure", IF(Table1[[#This Row],[AI_Exposure_Index]]&gt;=0.3,"Medium Exposure","Low Exposure"))</f>
        <v>Low Exposure</v>
      </c>
    </row>
    <row r="1343" spans="1:20" x14ac:dyDescent="0.25">
      <c r="A1343" t="s">
        <v>31</v>
      </c>
      <c r="B1343">
        <v>69215</v>
      </c>
      <c r="C1343" s="1">
        <v>7</v>
      </c>
      <c r="D1343" t="s">
        <v>19</v>
      </c>
      <c r="E1343" s="7">
        <v>0.74</v>
      </c>
      <c r="F1343" s="2">
        <v>0.19</v>
      </c>
      <c r="G1343" s="7">
        <v>0.25</v>
      </c>
      <c r="H1343" s="9" t="s">
        <v>23</v>
      </c>
      <c r="I1343">
        <v>0.09</v>
      </c>
      <c r="J1343">
        <v>0.44</v>
      </c>
      <c r="K1343">
        <v>0.02</v>
      </c>
      <c r="L1343">
        <v>0.35</v>
      </c>
      <c r="M1343">
        <v>0.7</v>
      </c>
      <c r="N1343">
        <v>0.09</v>
      </c>
      <c r="O1343">
        <v>0.89</v>
      </c>
      <c r="P1343">
        <v>0.91</v>
      </c>
      <c r="Q1343">
        <v>0.1</v>
      </c>
      <c r="R1343" s="2">
        <v>0.99</v>
      </c>
      <c r="S1343" t="str">
        <f>IF(Table1[[#This Row],[Years_Experience]]&lt;=5,"Early Career",
IF(Table1[[#This Row],[Years_Experience]]&lt;=15,"Mid Career","Senior Level"))</f>
        <v>Mid Career</v>
      </c>
      <c r="T1343" t="str">
        <f>IF(Table1[[#This Row],[AI_Exposure_Index]]&gt;=0.7,"High Exposure", IF(Table1[[#This Row],[AI_Exposure_Index]]&gt;=0.3,"Medium Exposure","Low Exposure"))</f>
        <v>Low Exposure</v>
      </c>
    </row>
    <row r="1344" spans="1:20" x14ac:dyDescent="0.25">
      <c r="A1344" t="s">
        <v>21</v>
      </c>
      <c r="B1344">
        <v>88769</v>
      </c>
      <c r="C1344" s="1">
        <v>5</v>
      </c>
      <c r="D1344" t="s">
        <v>19</v>
      </c>
      <c r="E1344" s="7">
        <v>0.51</v>
      </c>
      <c r="F1344" s="2">
        <v>0.08</v>
      </c>
      <c r="G1344" s="7">
        <v>0.15</v>
      </c>
      <c r="H1344" s="9" t="s">
        <v>23</v>
      </c>
      <c r="I1344">
        <v>0.63</v>
      </c>
      <c r="J1344">
        <v>0.33</v>
      </c>
      <c r="K1344">
        <v>0.84</v>
      </c>
      <c r="L1344">
        <v>0.72</v>
      </c>
      <c r="M1344">
        <v>0.35</v>
      </c>
      <c r="N1344">
        <v>0.73</v>
      </c>
      <c r="O1344">
        <v>0.94</v>
      </c>
      <c r="P1344">
        <v>0.09</v>
      </c>
      <c r="Q1344">
        <v>0.31</v>
      </c>
      <c r="R1344" s="2">
        <v>0.46</v>
      </c>
      <c r="S1344" t="str">
        <f>IF(Table1[[#This Row],[Years_Experience]]&lt;=5,"Early Career",
IF(Table1[[#This Row],[Years_Experience]]&lt;=15,"Mid Career","Senior Level"))</f>
        <v>Early Career</v>
      </c>
      <c r="T1344" t="str">
        <f>IF(Table1[[#This Row],[AI_Exposure_Index]]&gt;=0.7,"High Exposure", IF(Table1[[#This Row],[AI_Exposure_Index]]&gt;=0.3,"Medium Exposure","Low Exposure"))</f>
        <v>Low Exposure</v>
      </c>
    </row>
    <row r="1345" spans="1:20" x14ac:dyDescent="0.25">
      <c r="A1345" t="s">
        <v>43</v>
      </c>
      <c r="B1345">
        <v>48408</v>
      </c>
      <c r="C1345" s="1">
        <v>9</v>
      </c>
      <c r="D1345" t="s">
        <v>25</v>
      </c>
      <c r="E1345" s="7">
        <v>0.8</v>
      </c>
      <c r="F1345" s="2">
        <v>0.54</v>
      </c>
      <c r="G1345" s="7">
        <v>0.22</v>
      </c>
      <c r="H1345" s="9" t="s">
        <v>23</v>
      </c>
      <c r="I1345">
        <v>0.65</v>
      </c>
      <c r="J1345">
        <v>0.57999999999999996</v>
      </c>
      <c r="K1345">
        <v>0.11</v>
      </c>
      <c r="L1345">
        <v>0.48</v>
      </c>
      <c r="M1345">
        <v>0.36</v>
      </c>
      <c r="N1345">
        <v>0.49</v>
      </c>
      <c r="O1345">
        <v>0.92</v>
      </c>
      <c r="P1345">
        <v>0.48</v>
      </c>
      <c r="Q1345">
        <v>0.01</v>
      </c>
      <c r="R1345" s="2">
        <v>0.44</v>
      </c>
      <c r="S1345" t="str">
        <f>IF(Table1[[#This Row],[Years_Experience]]&lt;=5,"Early Career",
IF(Table1[[#This Row],[Years_Experience]]&lt;=15,"Mid Career","Senior Level"))</f>
        <v>Mid Career</v>
      </c>
      <c r="T1345" t="str">
        <f>IF(Table1[[#This Row],[AI_Exposure_Index]]&gt;=0.7,"High Exposure", IF(Table1[[#This Row],[AI_Exposure_Index]]&gt;=0.3,"Medium Exposure","Low Exposure"))</f>
        <v>Medium Exposure</v>
      </c>
    </row>
    <row r="1346" spans="1:20" x14ac:dyDescent="0.25">
      <c r="A1346" t="s">
        <v>32</v>
      </c>
      <c r="B1346">
        <v>34286</v>
      </c>
      <c r="C1346" s="1">
        <v>3</v>
      </c>
      <c r="D1346" t="s">
        <v>22</v>
      </c>
      <c r="E1346" s="7">
        <v>0.75</v>
      </c>
      <c r="F1346" s="2">
        <v>0.82</v>
      </c>
      <c r="G1346" s="7">
        <v>0.47</v>
      </c>
      <c r="H1346" s="9" t="s">
        <v>27</v>
      </c>
      <c r="I1346">
        <v>0.65</v>
      </c>
      <c r="J1346">
        <v>0.16</v>
      </c>
      <c r="K1346">
        <v>0.74</v>
      </c>
      <c r="L1346">
        <v>0.69</v>
      </c>
      <c r="M1346">
        <v>0.54</v>
      </c>
      <c r="N1346">
        <v>0.56999999999999995</v>
      </c>
      <c r="O1346">
        <v>0.11</v>
      </c>
      <c r="P1346">
        <v>0.44</v>
      </c>
      <c r="Q1346">
        <v>0.09</v>
      </c>
      <c r="R1346" s="2">
        <v>0.31</v>
      </c>
      <c r="S1346" t="str">
        <f>IF(Table1[[#This Row],[Years_Experience]]&lt;=5,"Early Career",
IF(Table1[[#This Row],[Years_Experience]]&lt;=15,"Mid Career","Senior Level"))</f>
        <v>Early Career</v>
      </c>
      <c r="T1346" t="str">
        <f>IF(Table1[[#This Row],[AI_Exposure_Index]]&gt;=0.7,"High Exposure", IF(Table1[[#This Row],[AI_Exposure_Index]]&gt;=0.3,"Medium Exposure","Low Exposure"))</f>
        <v>High Exposure</v>
      </c>
    </row>
    <row r="1347" spans="1:20" x14ac:dyDescent="0.25">
      <c r="A1347" t="s">
        <v>33</v>
      </c>
      <c r="B1347">
        <v>86153</v>
      </c>
      <c r="C1347" s="1">
        <v>11</v>
      </c>
      <c r="D1347" t="s">
        <v>19</v>
      </c>
      <c r="E1347" s="7">
        <v>1.24</v>
      </c>
      <c r="F1347" s="2">
        <v>0.56999999999999995</v>
      </c>
      <c r="G1347" s="7">
        <v>0.84</v>
      </c>
      <c r="H1347" s="9" t="s">
        <v>20</v>
      </c>
      <c r="I1347">
        <v>0.19</v>
      </c>
      <c r="J1347">
        <v>0.59</v>
      </c>
      <c r="K1347">
        <v>0.76</v>
      </c>
      <c r="L1347">
        <v>0.14000000000000001</v>
      </c>
      <c r="M1347">
        <v>0.82</v>
      </c>
      <c r="N1347">
        <v>0.56000000000000005</v>
      </c>
      <c r="O1347">
        <v>0</v>
      </c>
      <c r="P1347">
        <v>0.52</v>
      </c>
      <c r="Q1347">
        <v>0.4</v>
      </c>
      <c r="R1347" s="2">
        <v>0.3</v>
      </c>
      <c r="S1347" t="str">
        <f>IF(Table1[[#This Row],[Years_Experience]]&lt;=5,"Early Career",
IF(Table1[[#This Row],[Years_Experience]]&lt;=15,"Mid Career","Senior Level"))</f>
        <v>Mid Career</v>
      </c>
      <c r="T1347" t="str">
        <f>IF(Table1[[#This Row],[AI_Exposure_Index]]&gt;=0.7,"High Exposure", IF(Table1[[#This Row],[AI_Exposure_Index]]&gt;=0.3,"Medium Exposure","Low Exposure"))</f>
        <v>Medium Exposure</v>
      </c>
    </row>
    <row r="1348" spans="1:20" x14ac:dyDescent="0.25">
      <c r="A1348" t="s">
        <v>40</v>
      </c>
      <c r="B1348">
        <v>102944</v>
      </c>
      <c r="C1348" s="1">
        <v>6</v>
      </c>
      <c r="D1348" t="s">
        <v>25</v>
      </c>
      <c r="E1348" s="7">
        <v>1.26</v>
      </c>
      <c r="F1348" s="2">
        <v>0.9</v>
      </c>
      <c r="G1348" s="7">
        <v>0.26</v>
      </c>
      <c r="H1348" s="9" t="s">
        <v>23</v>
      </c>
      <c r="I1348">
        <v>0.91</v>
      </c>
      <c r="J1348">
        <v>0.91</v>
      </c>
      <c r="K1348">
        <v>0.11</v>
      </c>
      <c r="L1348">
        <v>0.46</v>
      </c>
      <c r="M1348">
        <v>0</v>
      </c>
      <c r="N1348">
        <v>0.51</v>
      </c>
      <c r="O1348">
        <v>0.92</v>
      </c>
      <c r="P1348">
        <v>0.2</v>
      </c>
      <c r="Q1348">
        <v>0.64</v>
      </c>
      <c r="R1348" s="2">
        <v>0.64</v>
      </c>
      <c r="S1348" t="str">
        <f>IF(Table1[[#This Row],[Years_Experience]]&lt;=5,"Early Career",
IF(Table1[[#This Row],[Years_Experience]]&lt;=15,"Mid Career","Senior Level"))</f>
        <v>Mid Career</v>
      </c>
      <c r="T1348" t="str">
        <f>IF(Table1[[#This Row],[AI_Exposure_Index]]&gt;=0.7,"High Exposure", IF(Table1[[#This Row],[AI_Exposure_Index]]&gt;=0.3,"Medium Exposure","Low Exposure"))</f>
        <v>High Exposure</v>
      </c>
    </row>
    <row r="1349" spans="1:20" x14ac:dyDescent="0.25">
      <c r="A1349" t="s">
        <v>40</v>
      </c>
      <c r="B1349">
        <v>92845</v>
      </c>
      <c r="C1349" s="1">
        <v>22</v>
      </c>
      <c r="D1349" t="s">
        <v>25</v>
      </c>
      <c r="E1349" s="7">
        <v>0.96</v>
      </c>
      <c r="F1349" s="2">
        <v>0.24</v>
      </c>
      <c r="G1349" s="7">
        <v>0.1</v>
      </c>
      <c r="H1349" s="9" t="s">
        <v>23</v>
      </c>
      <c r="I1349">
        <v>0.57999999999999996</v>
      </c>
      <c r="J1349">
        <v>0.48</v>
      </c>
      <c r="K1349">
        <v>0.52</v>
      </c>
      <c r="L1349">
        <v>0.13</v>
      </c>
      <c r="M1349">
        <v>0.52</v>
      </c>
      <c r="N1349">
        <v>0.05</v>
      </c>
      <c r="O1349">
        <v>0.88</v>
      </c>
      <c r="P1349">
        <v>0.34</v>
      </c>
      <c r="Q1349">
        <v>0.86</v>
      </c>
      <c r="R1349" s="2">
        <v>0.7</v>
      </c>
      <c r="S1349" t="str">
        <f>IF(Table1[[#This Row],[Years_Experience]]&lt;=5,"Early Career",
IF(Table1[[#This Row],[Years_Experience]]&lt;=15,"Mid Career","Senior Level"))</f>
        <v>Senior Level</v>
      </c>
      <c r="T1349" t="str">
        <f>IF(Table1[[#This Row],[AI_Exposure_Index]]&gt;=0.7,"High Exposure", IF(Table1[[#This Row],[AI_Exposure_Index]]&gt;=0.3,"Medium Exposure","Low Exposure"))</f>
        <v>Low Exposure</v>
      </c>
    </row>
    <row r="1350" spans="1:20" x14ac:dyDescent="0.25">
      <c r="A1350" t="s">
        <v>40</v>
      </c>
      <c r="B1350">
        <v>145429</v>
      </c>
      <c r="C1350" s="1">
        <v>14</v>
      </c>
      <c r="D1350" t="s">
        <v>38</v>
      </c>
      <c r="E1350" s="7">
        <v>0.52</v>
      </c>
      <c r="F1350" s="2">
        <v>0.17</v>
      </c>
      <c r="G1350" s="7">
        <v>0.1</v>
      </c>
      <c r="H1350" s="9" t="s">
        <v>23</v>
      </c>
      <c r="I1350">
        <v>0.54</v>
      </c>
      <c r="J1350">
        <v>0.48</v>
      </c>
      <c r="K1350">
        <v>0.5</v>
      </c>
      <c r="L1350">
        <v>0.25</v>
      </c>
      <c r="M1350">
        <v>0.69</v>
      </c>
      <c r="N1350">
        <v>0.7</v>
      </c>
      <c r="O1350">
        <v>0.36</v>
      </c>
      <c r="P1350">
        <v>0.88</v>
      </c>
      <c r="Q1350">
        <v>0.64</v>
      </c>
      <c r="R1350" s="2">
        <v>0.71</v>
      </c>
      <c r="S1350" t="str">
        <f>IF(Table1[[#This Row],[Years_Experience]]&lt;=5,"Early Career",
IF(Table1[[#This Row],[Years_Experience]]&lt;=15,"Mid Career","Senior Level"))</f>
        <v>Mid Career</v>
      </c>
      <c r="T1350" t="str">
        <f>IF(Table1[[#This Row],[AI_Exposure_Index]]&gt;=0.7,"High Exposure", IF(Table1[[#This Row],[AI_Exposure_Index]]&gt;=0.3,"Medium Exposure","Low Exposure"))</f>
        <v>Low Exposure</v>
      </c>
    </row>
    <row r="1351" spans="1:20" x14ac:dyDescent="0.25">
      <c r="A1351" t="s">
        <v>31</v>
      </c>
      <c r="B1351">
        <v>144621</v>
      </c>
      <c r="C1351" s="1">
        <v>5</v>
      </c>
      <c r="D1351" t="s">
        <v>25</v>
      </c>
      <c r="E1351" s="7">
        <v>1.37</v>
      </c>
      <c r="F1351" s="2">
        <v>0</v>
      </c>
      <c r="G1351" s="7">
        <v>0.26</v>
      </c>
      <c r="H1351" s="9" t="s">
        <v>23</v>
      </c>
      <c r="I1351">
        <v>0.12</v>
      </c>
      <c r="J1351">
        <v>0.37</v>
      </c>
      <c r="K1351">
        <v>0.66</v>
      </c>
      <c r="L1351">
        <v>0.65</v>
      </c>
      <c r="M1351">
        <v>0.86</v>
      </c>
      <c r="N1351">
        <v>0.14000000000000001</v>
      </c>
      <c r="O1351">
        <v>0.43</v>
      </c>
      <c r="P1351">
        <v>0.1</v>
      </c>
      <c r="Q1351">
        <v>0.39</v>
      </c>
      <c r="R1351" s="2">
        <v>0.02</v>
      </c>
      <c r="S1351" t="str">
        <f>IF(Table1[[#This Row],[Years_Experience]]&lt;=5,"Early Career",
IF(Table1[[#This Row],[Years_Experience]]&lt;=15,"Mid Career","Senior Level"))</f>
        <v>Early Career</v>
      </c>
      <c r="T1351" t="str">
        <f>IF(Table1[[#This Row],[AI_Exposure_Index]]&gt;=0.7,"High Exposure", IF(Table1[[#This Row],[AI_Exposure_Index]]&gt;=0.3,"Medium Exposure","Low Exposure"))</f>
        <v>Low Exposure</v>
      </c>
    </row>
    <row r="1352" spans="1:20" x14ac:dyDescent="0.25">
      <c r="A1352" t="s">
        <v>24</v>
      </c>
      <c r="B1352">
        <v>110174</v>
      </c>
      <c r="C1352" s="1">
        <v>4</v>
      </c>
      <c r="D1352" t="s">
        <v>38</v>
      </c>
      <c r="E1352" s="7">
        <v>1.35</v>
      </c>
      <c r="F1352" s="2">
        <v>0.53</v>
      </c>
      <c r="G1352" s="7">
        <v>0.71</v>
      </c>
      <c r="H1352" s="9" t="s">
        <v>20</v>
      </c>
      <c r="I1352">
        <v>0.23</v>
      </c>
      <c r="J1352">
        <v>0.26</v>
      </c>
      <c r="K1352">
        <v>0.39</v>
      </c>
      <c r="L1352">
        <v>0.8</v>
      </c>
      <c r="M1352">
        <v>0.39</v>
      </c>
      <c r="N1352">
        <v>0.2</v>
      </c>
      <c r="O1352">
        <v>0.06</v>
      </c>
      <c r="P1352">
        <v>0.08</v>
      </c>
      <c r="Q1352">
        <v>0.76</v>
      </c>
      <c r="R1352" s="2">
        <v>0.44</v>
      </c>
      <c r="S1352" t="str">
        <f>IF(Table1[[#This Row],[Years_Experience]]&lt;=5,"Early Career",
IF(Table1[[#This Row],[Years_Experience]]&lt;=15,"Mid Career","Senior Level"))</f>
        <v>Early Career</v>
      </c>
      <c r="T1352" t="str">
        <f>IF(Table1[[#This Row],[AI_Exposure_Index]]&gt;=0.7,"High Exposure", IF(Table1[[#This Row],[AI_Exposure_Index]]&gt;=0.3,"Medium Exposure","Low Exposure"))</f>
        <v>Medium Exposure</v>
      </c>
    </row>
    <row r="1353" spans="1:20" x14ac:dyDescent="0.25">
      <c r="A1353" t="s">
        <v>32</v>
      </c>
      <c r="B1353">
        <v>95951</v>
      </c>
      <c r="C1353" s="1">
        <v>3</v>
      </c>
      <c r="D1353" t="s">
        <v>25</v>
      </c>
      <c r="E1353" s="7">
        <v>0.64</v>
      </c>
      <c r="F1353" s="2">
        <v>0.68</v>
      </c>
      <c r="G1353" s="7">
        <v>0.36</v>
      </c>
      <c r="H1353" s="9" t="s">
        <v>27</v>
      </c>
      <c r="I1353">
        <v>0.76</v>
      </c>
      <c r="J1353">
        <v>0.72</v>
      </c>
      <c r="K1353">
        <v>0.38</v>
      </c>
      <c r="L1353">
        <v>0.08</v>
      </c>
      <c r="M1353">
        <v>0.01</v>
      </c>
      <c r="N1353">
        <v>0.28999999999999998</v>
      </c>
      <c r="O1353">
        <v>0.01</v>
      </c>
      <c r="P1353">
        <v>0.23</v>
      </c>
      <c r="Q1353">
        <v>0.42</v>
      </c>
      <c r="R1353" s="2">
        <v>0.12</v>
      </c>
      <c r="S1353" t="str">
        <f>IF(Table1[[#This Row],[Years_Experience]]&lt;=5,"Early Career",
IF(Table1[[#This Row],[Years_Experience]]&lt;=15,"Mid Career","Senior Level"))</f>
        <v>Early Career</v>
      </c>
      <c r="T1353" t="str">
        <f>IF(Table1[[#This Row],[AI_Exposure_Index]]&gt;=0.7,"High Exposure", IF(Table1[[#This Row],[AI_Exposure_Index]]&gt;=0.3,"Medium Exposure","Low Exposure"))</f>
        <v>Medium Exposure</v>
      </c>
    </row>
    <row r="1354" spans="1:20" x14ac:dyDescent="0.25">
      <c r="A1354" t="s">
        <v>28</v>
      </c>
      <c r="B1354">
        <v>132255</v>
      </c>
      <c r="C1354" s="1">
        <v>20</v>
      </c>
      <c r="D1354" t="s">
        <v>38</v>
      </c>
      <c r="E1354" s="7">
        <v>0.61</v>
      </c>
      <c r="F1354" s="2">
        <v>0.92</v>
      </c>
      <c r="G1354" s="7">
        <v>0.38</v>
      </c>
      <c r="H1354" s="9" t="s">
        <v>27</v>
      </c>
      <c r="I1354">
        <v>0.99</v>
      </c>
      <c r="J1354">
        <v>0.02</v>
      </c>
      <c r="K1354">
        <v>0.51</v>
      </c>
      <c r="L1354">
        <v>0.52</v>
      </c>
      <c r="M1354">
        <v>0.26</v>
      </c>
      <c r="N1354">
        <v>0.66</v>
      </c>
      <c r="O1354">
        <v>0.94</v>
      </c>
      <c r="P1354">
        <v>0.45</v>
      </c>
      <c r="Q1354">
        <v>0.75</v>
      </c>
      <c r="R1354" s="2">
        <v>0.65</v>
      </c>
      <c r="S1354" t="str">
        <f>IF(Table1[[#This Row],[Years_Experience]]&lt;=5,"Early Career",
IF(Table1[[#This Row],[Years_Experience]]&lt;=15,"Mid Career","Senior Level"))</f>
        <v>Senior Level</v>
      </c>
      <c r="T1354" t="str">
        <f>IF(Table1[[#This Row],[AI_Exposure_Index]]&gt;=0.7,"High Exposure", IF(Table1[[#This Row],[AI_Exposure_Index]]&gt;=0.3,"Medium Exposure","Low Exposure"))</f>
        <v>High Exposure</v>
      </c>
    </row>
    <row r="1355" spans="1:20" x14ac:dyDescent="0.25">
      <c r="A1355" t="s">
        <v>31</v>
      </c>
      <c r="B1355">
        <v>77052</v>
      </c>
      <c r="C1355" s="1">
        <v>22</v>
      </c>
      <c r="D1355" t="s">
        <v>25</v>
      </c>
      <c r="E1355" s="7">
        <v>1.24</v>
      </c>
      <c r="F1355" s="2">
        <v>0.05</v>
      </c>
      <c r="G1355" s="7">
        <v>0.14000000000000001</v>
      </c>
      <c r="H1355" s="9" t="s">
        <v>23</v>
      </c>
      <c r="I1355">
        <v>0.22</v>
      </c>
      <c r="J1355">
        <v>0.95</v>
      </c>
      <c r="K1355">
        <v>0.77</v>
      </c>
      <c r="L1355">
        <v>0.96</v>
      </c>
      <c r="M1355">
        <v>0.26</v>
      </c>
      <c r="N1355">
        <v>0.84</v>
      </c>
      <c r="O1355">
        <v>0.61</v>
      </c>
      <c r="P1355">
        <v>0.98</v>
      </c>
      <c r="Q1355">
        <v>0.95</v>
      </c>
      <c r="R1355" s="2">
        <v>0.97</v>
      </c>
      <c r="S1355" t="str">
        <f>IF(Table1[[#This Row],[Years_Experience]]&lt;=5,"Early Career",
IF(Table1[[#This Row],[Years_Experience]]&lt;=15,"Mid Career","Senior Level"))</f>
        <v>Senior Level</v>
      </c>
      <c r="T1355" t="str">
        <f>IF(Table1[[#This Row],[AI_Exposure_Index]]&gt;=0.7,"High Exposure", IF(Table1[[#This Row],[AI_Exposure_Index]]&gt;=0.3,"Medium Exposure","Low Exposure"))</f>
        <v>Low Exposure</v>
      </c>
    </row>
    <row r="1356" spans="1:20" x14ac:dyDescent="0.25">
      <c r="A1356" t="s">
        <v>41</v>
      </c>
      <c r="B1356">
        <v>98324</v>
      </c>
      <c r="C1356" s="1">
        <v>21</v>
      </c>
      <c r="D1356" t="s">
        <v>22</v>
      </c>
      <c r="E1356" s="7">
        <v>1.24</v>
      </c>
      <c r="F1356" s="2">
        <v>0.01</v>
      </c>
      <c r="G1356" s="7">
        <v>0.77</v>
      </c>
      <c r="H1356" s="9" t="s">
        <v>20</v>
      </c>
      <c r="I1356">
        <v>0.71</v>
      </c>
      <c r="J1356">
        <v>0.98</v>
      </c>
      <c r="K1356">
        <v>0.04</v>
      </c>
      <c r="L1356">
        <v>0.56999999999999995</v>
      </c>
      <c r="M1356">
        <v>0.73</v>
      </c>
      <c r="N1356">
        <v>0.25</v>
      </c>
      <c r="O1356">
        <v>0.23</v>
      </c>
      <c r="P1356">
        <v>0.06</v>
      </c>
      <c r="Q1356">
        <v>0.09</v>
      </c>
      <c r="R1356" s="2">
        <v>0.66</v>
      </c>
      <c r="S1356" t="str">
        <f>IF(Table1[[#This Row],[Years_Experience]]&lt;=5,"Early Career",
IF(Table1[[#This Row],[Years_Experience]]&lt;=15,"Mid Career","Senior Level"))</f>
        <v>Senior Level</v>
      </c>
      <c r="T1356" t="str">
        <f>IF(Table1[[#This Row],[AI_Exposure_Index]]&gt;=0.7,"High Exposure", IF(Table1[[#This Row],[AI_Exposure_Index]]&gt;=0.3,"Medium Exposure","Low Exposure"))</f>
        <v>Low Exposure</v>
      </c>
    </row>
    <row r="1357" spans="1:20" x14ac:dyDescent="0.25">
      <c r="A1357" t="s">
        <v>26</v>
      </c>
      <c r="B1357">
        <v>127204</v>
      </c>
      <c r="C1357" s="1">
        <v>15</v>
      </c>
      <c r="D1357" t="s">
        <v>38</v>
      </c>
      <c r="E1357" s="7">
        <v>1.47</v>
      </c>
      <c r="F1357" s="2">
        <v>0.03</v>
      </c>
      <c r="G1357" s="7">
        <v>0.56000000000000005</v>
      </c>
      <c r="H1357" s="9" t="s">
        <v>27</v>
      </c>
      <c r="I1357">
        <v>0.52</v>
      </c>
      <c r="J1357">
        <v>0.27</v>
      </c>
      <c r="K1357">
        <v>0.66</v>
      </c>
      <c r="L1357">
        <v>0.36</v>
      </c>
      <c r="M1357">
        <v>0.7</v>
      </c>
      <c r="N1357">
        <v>0.68</v>
      </c>
      <c r="O1357">
        <v>0.09</v>
      </c>
      <c r="P1357">
        <v>0.91</v>
      </c>
      <c r="Q1357">
        <v>0.49</v>
      </c>
      <c r="R1357" s="2">
        <v>0.39</v>
      </c>
      <c r="S1357" t="str">
        <f>IF(Table1[[#This Row],[Years_Experience]]&lt;=5,"Early Career",
IF(Table1[[#This Row],[Years_Experience]]&lt;=15,"Mid Career","Senior Level"))</f>
        <v>Mid Career</v>
      </c>
      <c r="T1357" t="str">
        <f>IF(Table1[[#This Row],[AI_Exposure_Index]]&gt;=0.7,"High Exposure", IF(Table1[[#This Row],[AI_Exposure_Index]]&gt;=0.3,"Medium Exposure","Low Exposure"))</f>
        <v>Low Exposure</v>
      </c>
    </row>
    <row r="1358" spans="1:20" x14ac:dyDescent="0.25">
      <c r="A1358" t="s">
        <v>36</v>
      </c>
      <c r="B1358">
        <v>106489</v>
      </c>
      <c r="C1358" s="1">
        <v>11</v>
      </c>
      <c r="D1358" t="s">
        <v>25</v>
      </c>
      <c r="E1358" s="7">
        <v>1.22</v>
      </c>
      <c r="F1358" s="2">
        <v>0.44</v>
      </c>
      <c r="G1358" s="7">
        <v>0.56000000000000005</v>
      </c>
      <c r="H1358" s="9" t="s">
        <v>27</v>
      </c>
      <c r="I1358">
        <v>0.17</v>
      </c>
      <c r="J1358">
        <v>0.99</v>
      </c>
      <c r="K1358">
        <v>0.46</v>
      </c>
      <c r="L1358">
        <v>0.39</v>
      </c>
      <c r="M1358">
        <v>0.92</v>
      </c>
      <c r="N1358">
        <v>0.53</v>
      </c>
      <c r="O1358">
        <v>0.71</v>
      </c>
      <c r="P1358">
        <v>0.85</v>
      </c>
      <c r="Q1358">
        <v>0.24</v>
      </c>
      <c r="R1358" s="2">
        <v>0.17</v>
      </c>
      <c r="S1358" t="str">
        <f>IF(Table1[[#This Row],[Years_Experience]]&lt;=5,"Early Career",
IF(Table1[[#This Row],[Years_Experience]]&lt;=15,"Mid Career","Senior Level"))</f>
        <v>Mid Career</v>
      </c>
      <c r="T1358" t="str">
        <f>IF(Table1[[#This Row],[AI_Exposure_Index]]&gt;=0.7,"High Exposure", IF(Table1[[#This Row],[AI_Exposure_Index]]&gt;=0.3,"Medium Exposure","Low Exposure"))</f>
        <v>Medium Exposure</v>
      </c>
    </row>
    <row r="1359" spans="1:20" x14ac:dyDescent="0.25">
      <c r="A1359" t="s">
        <v>42</v>
      </c>
      <c r="B1359">
        <v>138906</v>
      </c>
      <c r="C1359" s="1">
        <v>2</v>
      </c>
      <c r="D1359" t="s">
        <v>22</v>
      </c>
      <c r="E1359" s="7">
        <v>0.7</v>
      </c>
      <c r="F1359" s="2">
        <v>0.9</v>
      </c>
      <c r="G1359" s="7">
        <v>0.42</v>
      </c>
      <c r="H1359" s="9" t="s">
        <v>27</v>
      </c>
      <c r="I1359">
        <v>0.28999999999999998</v>
      </c>
      <c r="J1359">
        <v>0.3</v>
      </c>
      <c r="K1359">
        <v>0.67</v>
      </c>
      <c r="L1359">
        <v>0.95</v>
      </c>
      <c r="M1359">
        <v>0.33</v>
      </c>
      <c r="N1359">
        <v>0.41</v>
      </c>
      <c r="O1359">
        <v>0.77</v>
      </c>
      <c r="P1359">
        <v>0.43</v>
      </c>
      <c r="Q1359">
        <v>0.93</v>
      </c>
      <c r="R1359" s="2">
        <v>0.5</v>
      </c>
      <c r="S1359" t="str">
        <f>IF(Table1[[#This Row],[Years_Experience]]&lt;=5,"Early Career",
IF(Table1[[#This Row],[Years_Experience]]&lt;=15,"Mid Career","Senior Level"))</f>
        <v>Early Career</v>
      </c>
      <c r="T1359" t="str">
        <f>IF(Table1[[#This Row],[AI_Exposure_Index]]&gt;=0.7,"High Exposure", IF(Table1[[#This Row],[AI_Exposure_Index]]&gt;=0.3,"Medium Exposure","Low Exposure"))</f>
        <v>High Exposure</v>
      </c>
    </row>
    <row r="1360" spans="1:20" x14ac:dyDescent="0.25">
      <c r="A1360" t="s">
        <v>33</v>
      </c>
      <c r="B1360">
        <v>105477</v>
      </c>
      <c r="C1360" s="1">
        <v>19</v>
      </c>
      <c r="D1360" t="s">
        <v>38</v>
      </c>
      <c r="E1360" s="7">
        <v>0.93</v>
      </c>
      <c r="F1360" s="2">
        <v>0.97</v>
      </c>
      <c r="G1360" s="7">
        <v>0.76</v>
      </c>
      <c r="H1360" s="9" t="s">
        <v>20</v>
      </c>
      <c r="I1360">
        <v>0.18</v>
      </c>
      <c r="J1360">
        <v>1</v>
      </c>
      <c r="K1360">
        <v>0.75</v>
      </c>
      <c r="L1360">
        <v>0.41</v>
      </c>
      <c r="M1360">
        <v>0.83</v>
      </c>
      <c r="N1360">
        <v>0.55000000000000004</v>
      </c>
      <c r="O1360">
        <v>0.32</v>
      </c>
      <c r="P1360">
        <v>0.74</v>
      </c>
      <c r="Q1360">
        <v>0.75</v>
      </c>
      <c r="R1360" s="2">
        <v>0.5</v>
      </c>
      <c r="S1360" t="str">
        <f>IF(Table1[[#This Row],[Years_Experience]]&lt;=5,"Early Career",
IF(Table1[[#This Row],[Years_Experience]]&lt;=15,"Mid Career","Senior Level"))</f>
        <v>Senior Level</v>
      </c>
      <c r="T1360" t="str">
        <f>IF(Table1[[#This Row],[AI_Exposure_Index]]&gt;=0.7,"High Exposure", IF(Table1[[#This Row],[AI_Exposure_Index]]&gt;=0.3,"Medium Exposure","Low Exposure"))</f>
        <v>High Exposure</v>
      </c>
    </row>
    <row r="1361" spans="1:20" x14ac:dyDescent="0.25">
      <c r="A1361" t="s">
        <v>37</v>
      </c>
      <c r="B1361">
        <v>128103</v>
      </c>
      <c r="C1361" s="1">
        <v>21</v>
      </c>
      <c r="D1361" t="s">
        <v>38</v>
      </c>
      <c r="E1361" s="7">
        <v>1.29</v>
      </c>
      <c r="F1361" s="2">
        <v>0.08</v>
      </c>
      <c r="G1361" s="7">
        <v>0.63</v>
      </c>
      <c r="H1361" s="9" t="s">
        <v>27</v>
      </c>
      <c r="I1361">
        <v>0.68</v>
      </c>
      <c r="J1361">
        <v>0.84</v>
      </c>
      <c r="K1361">
        <v>0.72</v>
      </c>
      <c r="L1361">
        <v>0.9</v>
      </c>
      <c r="M1361">
        <v>0.15</v>
      </c>
      <c r="N1361">
        <v>0.39</v>
      </c>
      <c r="O1361">
        <v>0.46</v>
      </c>
      <c r="P1361">
        <v>0.3</v>
      </c>
      <c r="Q1361">
        <v>0.73</v>
      </c>
      <c r="R1361" s="2">
        <v>0.91</v>
      </c>
      <c r="S1361" t="str">
        <f>IF(Table1[[#This Row],[Years_Experience]]&lt;=5,"Early Career",
IF(Table1[[#This Row],[Years_Experience]]&lt;=15,"Mid Career","Senior Level"))</f>
        <v>Senior Level</v>
      </c>
      <c r="T1361" t="str">
        <f>IF(Table1[[#This Row],[AI_Exposure_Index]]&gt;=0.7,"High Exposure", IF(Table1[[#This Row],[AI_Exposure_Index]]&gt;=0.3,"Medium Exposure","Low Exposure"))</f>
        <v>Low Exposure</v>
      </c>
    </row>
    <row r="1362" spans="1:20" x14ac:dyDescent="0.25">
      <c r="A1362" t="s">
        <v>35</v>
      </c>
      <c r="B1362">
        <v>58401</v>
      </c>
      <c r="C1362" s="1">
        <v>4</v>
      </c>
      <c r="D1362" t="s">
        <v>25</v>
      </c>
      <c r="E1362" s="7">
        <v>1.02</v>
      </c>
      <c r="F1362" s="2">
        <v>0.94</v>
      </c>
      <c r="G1362" s="7">
        <v>0.51</v>
      </c>
      <c r="H1362" s="9" t="s">
        <v>27</v>
      </c>
      <c r="I1362">
        <v>0.6</v>
      </c>
      <c r="J1362">
        <v>0.27</v>
      </c>
      <c r="K1362">
        <v>0.38</v>
      </c>
      <c r="L1362">
        <v>0.55000000000000004</v>
      </c>
      <c r="M1362">
        <v>0.94</v>
      </c>
      <c r="N1362">
        <v>0.64</v>
      </c>
      <c r="O1362">
        <v>0.33</v>
      </c>
      <c r="P1362">
        <v>0.01</v>
      </c>
      <c r="Q1362">
        <v>0.98</v>
      </c>
      <c r="R1362" s="2">
        <v>0.49</v>
      </c>
      <c r="S1362" t="str">
        <f>IF(Table1[[#This Row],[Years_Experience]]&lt;=5,"Early Career",
IF(Table1[[#This Row],[Years_Experience]]&lt;=15,"Mid Career","Senior Level"))</f>
        <v>Early Career</v>
      </c>
      <c r="T1362" t="str">
        <f>IF(Table1[[#This Row],[AI_Exposure_Index]]&gt;=0.7,"High Exposure", IF(Table1[[#This Row],[AI_Exposure_Index]]&gt;=0.3,"Medium Exposure","Low Exposure"))</f>
        <v>High Exposure</v>
      </c>
    </row>
    <row r="1363" spans="1:20" x14ac:dyDescent="0.25">
      <c r="A1363" t="s">
        <v>18</v>
      </c>
      <c r="B1363">
        <v>109870</v>
      </c>
      <c r="C1363" s="1">
        <v>14</v>
      </c>
      <c r="D1363" t="s">
        <v>19</v>
      </c>
      <c r="E1363" s="7">
        <v>1.1100000000000001</v>
      </c>
      <c r="F1363" s="2">
        <v>0.55000000000000004</v>
      </c>
      <c r="G1363" s="7">
        <v>0.88</v>
      </c>
      <c r="H1363" s="9" t="s">
        <v>20</v>
      </c>
      <c r="I1363">
        <v>0.32</v>
      </c>
      <c r="J1363">
        <v>0.7</v>
      </c>
      <c r="K1363">
        <v>0.53</v>
      </c>
      <c r="L1363">
        <v>0.67</v>
      </c>
      <c r="M1363">
        <v>0.84</v>
      </c>
      <c r="N1363">
        <v>0.18</v>
      </c>
      <c r="O1363">
        <v>0.61</v>
      </c>
      <c r="P1363">
        <v>0.05</v>
      </c>
      <c r="Q1363">
        <v>0.1</v>
      </c>
      <c r="R1363" s="2">
        <v>0.67</v>
      </c>
      <c r="S1363" t="str">
        <f>IF(Table1[[#This Row],[Years_Experience]]&lt;=5,"Early Career",
IF(Table1[[#This Row],[Years_Experience]]&lt;=15,"Mid Career","Senior Level"))</f>
        <v>Mid Career</v>
      </c>
      <c r="T1363" t="str">
        <f>IF(Table1[[#This Row],[AI_Exposure_Index]]&gt;=0.7,"High Exposure", IF(Table1[[#This Row],[AI_Exposure_Index]]&gt;=0.3,"Medium Exposure","Low Exposure"))</f>
        <v>Medium Exposure</v>
      </c>
    </row>
    <row r="1364" spans="1:20" x14ac:dyDescent="0.25">
      <c r="A1364" t="s">
        <v>29</v>
      </c>
      <c r="B1364">
        <v>93560</v>
      </c>
      <c r="C1364" s="1">
        <v>21</v>
      </c>
      <c r="D1364" t="s">
        <v>22</v>
      </c>
      <c r="E1364" s="7">
        <v>0.72</v>
      </c>
      <c r="F1364" s="2">
        <v>0.6</v>
      </c>
      <c r="G1364" s="7">
        <v>0.13</v>
      </c>
      <c r="H1364" s="9" t="s">
        <v>23</v>
      </c>
      <c r="I1364">
        <v>0.13</v>
      </c>
      <c r="J1364">
        <v>0.25</v>
      </c>
      <c r="K1364">
        <v>0.82</v>
      </c>
      <c r="L1364">
        <v>0.64</v>
      </c>
      <c r="M1364">
        <v>0.95</v>
      </c>
      <c r="N1364">
        <v>0.05</v>
      </c>
      <c r="O1364">
        <v>0.79</v>
      </c>
      <c r="P1364">
        <v>0.7</v>
      </c>
      <c r="Q1364">
        <v>0.26</v>
      </c>
      <c r="R1364" s="2">
        <v>0.73</v>
      </c>
      <c r="S1364" t="str">
        <f>IF(Table1[[#This Row],[Years_Experience]]&lt;=5,"Early Career",
IF(Table1[[#This Row],[Years_Experience]]&lt;=15,"Mid Career","Senior Level"))</f>
        <v>Senior Level</v>
      </c>
      <c r="T1364" t="str">
        <f>IF(Table1[[#This Row],[AI_Exposure_Index]]&gt;=0.7,"High Exposure", IF(Table1[[#This Row],[AI_Exposure_Index]]&gt;=0.3,"Medium Exposure","Low Exposure"))</f>
        <v>Medium Exposure</v>
      </c>
    </row>
    <row r="1365" spans="1:20" x14ac:dyDescent="0.25">
      <c r="A1365" t="s">
        <v>31</v>
      </c>
      <c r="B1365">
        <v>143114</v>
      </c>
      <c r="C1365" s="1">
        <v>15</v>
      </c>
      <c r="D1365" t="s">
        <v>25</v>
      </c>
      <c r="E1365" s="7">
        <v>1.19</v>
      </c>
      <c r="F1365" s="2">
        <v>0.46</v>
      </c>
      <c r="G1365" s="7">
        <v>0.16</v>
      </c>
      <c r="H1365" s="9" t="s">
        <v>23</v>
      </c>
      <c r="I1365">
        <v>0.34</v>
      </c>
      <c r="J1365">
        <v>0.47</v>
      </c>
      <c r="K1365">
        <v>0.9</v>
      </c>
      <c r="L1365">
        <v>0.38</v>
      </c>
      <c r="M1365">
        <v>0.4</v>
      </c>
      <c r="N1365">
        <v>0.61</v>
      </c>
      <c r="O1365">
        <v>0.75</v>
      </c>
      <c r="P1365">
        <v>0.73</v>
      </c>
      <c r="Q1365">
        <v>0.02</v>
      </c>
      <c r="R1365" s="2">
        <v>0.69</v>
      </c>
      <c r="S1365" t="str">
        <f>IF(Table1[[#This Row],[Years_Experience]]&lt;=5,"Early Career",
IF(Table1[[#This Row],[Years_Experience]]&lt;=15,"Mid Career","Senior Level"))</f>
        <v>Mid Career</v>
      </c>
      <c r="T1365" t="str">
        <f>IF(Table1[[#This Row],[AI_Exposure_Index]]&gt;=0.7,"High Exposure", IF(Table1[[#This Row],[AI_Exposure_Index]]&gt;=0.3,"Medium Exposure","Low Exposure"))</f>
        <v>Medium Exposure</v>
      </c>
    </row>
    <row r="1366" spans="1:20" x14ac:dyDescent="0.25">
      <c r="A1366" t="s">
        <v>32</v>
      </c>
      <c r="B1366">
        <v>128960</v>
      </c>
      <c r="C1366" s="1">
        <v>7</v>
      </c>
      <c r="D1366" t="s">
        <v>19</v>
      </c>
      <c r="E1366" s="7">
        <v>1.06</v>
      </c>
      <c r="F1366" s="2">
        <v>0.52</v>
      </c>
      <c r="G1366" s="7">
        <v>0.59</v>
      </c>
      <c r="H1366" s="9" t="s">
        <v>27</v>
      </c>
      <c r="I1366">
        <v>0.83</v>
      </c>
      <c r="J1366">
        <v>0.65</v>
      </c>
      <c r="K1366">
        <v>0.56000000000000005</v>
      </c>
      <c r="L1366">
        <v>0.37</v>
      </c>
      <c r="M1366">
        <v>0.14000000000000001</v>
      </c>
      <c r="N1366">
        <v>0.96</v>
      </c>
      <c r="O1366">
        <v>0.46</v>
      </c>
      <c r="P1366">
        <v>0.56999999999999995</v>
      </c>
      <c r="Q1366">
        <v>0.75</v>
      </c>
      <c r="R1366" s="2">
        <v>7.0000000000000007E-2</v>
      </c>
      <c r="S1366" t="str">
        <f>IF(Table1[[#This Row],[Years_Experience]]&lt;=5,"Early Career",
IF(Table1[[#This Row],[Years_Experience]]&lt;=15,"Mid Career","Senior Level"))</f>
        <v>Mid Career</v>
      </c>
      <c r="T1366" t="str">
        <f>IF(Table1[[#This Row],[AI_Exposure_Index]]&gt;=0.7,"High Exposure", IF(Table1[[#This Row],[AI_Exposure_Index]]&gt;=0.3,"Medium Exposure","Low Exposure"))</f>
        <v>Medium Exposure</v>
      </c>
    </row>
    <row r="1367" spans="1:20" x14ac:dyDescent="0.25">
      <c r="A1367" t="s">
        <v>42</v>
      </c>
      <c r="B1367">
        <v>30125</v>
      </c>
      <c r="C1367" s="1">
        <v>14</v>
      </c>
      <c r="D1367" t="s">
        <v>22</v>
      </c>
      <c r="E1367" s="7">
        <v>1.27</v>
      </c>
      <c r="F1367" s="2">
        <v>0.8</v>
      </c>
      <c r="G1367" s="7">
        <v>0.31</v>
      </c>
      <c r="H1367" s="9" t="s">
        <v>27</v>
      </c>
      <c r="I1367">
        <v>0.53</v>
      </c>
      <c r="J1367">
        <v>0.05</v>
      </c>
      <c r="K1367">
        <v>0.55000000000000004</v>
      </c>
      <c r="L1367">
        <v>0.72</v>
      </c>
      <c r="M1367">
        <v>0.12</v>
      </c>
      <c r="N1367">
        <v>0.69</v>
      </c>
      <c r="O1367">
        <v>0.45</v>
      </c>
      <c r="P1367">
        <v>0.81</v>
      </c>
      <c r="Q1367">
        <v>0.53</v>
      </c>
      <c r="R1367" s="2">
        <v>0.34</v>
      </c>
      <c r="S1367" t="str">
        <f>IF(Table1[[#This Row],[Years_Experience]]&lt;=5,"Early Career",
IF(Table1[[#This Row],[Years_Experience]]&lt;=15,"Mid Career","Senior Level"))</f>
        <v>Mid Career</v>
      </c>
      <c r="T1367" t="str">
        <f>IF(Table1[[#This Row],[AI_Exposure_Index]]&gt;=0.7,"High Exposure", IF(Table1[[#This Row],[AI_Exposure_Index]]&gt;=0.3,"Medium Exposure","Low Exposure"))</f>
        <v>High Exposure</v>
      </c>
    </row>
    <row r="1368" spans="1:20" x14ac:dyDescent="0.25">
      <c r="A1368" t="s">
        <v>26</v>
      </c>
      <c r="B1368">
        <v>121703</v>
      </c>
      <c r="C1368" s="1">
        <v>15</v>
      </c>
      <c r="D1368" t="s">
        <v>19</v>
      </c>
      <c r="E1368" s="7">
        <v>0.95</v>
      </c>
      <c r="F1368" s="2">
        <v>0.9</v>
      </c>
      <c r="G1368" s="7">
        <v>0.46</v>
      </c>
      <c r="H1368" s="9" t="s">
        <v>27</v>
      </c>
      <c r="I1368">
        <v>0.04</v>
      </c>
      <c r="J1368">
        <v>0.36</v>
      </c>
      <c r="K1368">
        <v>0.85</v>
      </c>
      <c r="L1368">
        <v>0.76</v>
      </c>
      <c r="M1368">
        <v>0.22</v>
      </c>
      <c r="N1368">
        <v>0.41</v>
      </c>
      <c r="O1368">
        <v>0.2</v>
      </c>
      <c r="P1368">
        <v>0.95</v>
      </c>
      <c r="Q1368">
        <v>0.6</v>
      </c>
      <c r="R1368" s="2">
        <v>0.75</v>
      </c>
      <c r="S1368" t="str">
        <f>IF(Table1[[#This Row],[Years_Experience]]&lt;=5,"Early Career",
IF(Table1[[#This Row],[Years_Experience]]&lt;=15,"Mid Career","Senior Level"))</f>
        <v>Mid Career</v>
      </c>
      <c r="T1368" t="str">
        <f>IF(Table1[[#This Row],[AI_Exposure_Index]]&gt;=0.7,"High Exposure", IF(Table1[[#This Row],[AI_Exposure_Index]]&gt;=0.3,"Medium Exposure","Low Exposure"))</f>
        <v>High Exposure</v>
      </c>
    </row>
    <row r="1369" spans="1:20" x14ac:dyDescent="0.25">
      <c r="A1369" t="s">
        <v>42</v>
      </c>
      <c r="B1369">
        <v>40736</v>
      </c>
      <c r="C1369" s="1">
        <v>25</v>
      </c>
      <c r="D1369" t="s">
        <v>38</v>
      </c>
      <c r="E1369" s="7">
        <v>1.45</v>
      </c>
      <c r="F1369" s="2">
        <v>0.87</v>
      </c>
      <c r="G1369" s="7">
        <v>0.31</v>
      </c>
      <c r="H1369" s="9" t="s">
        <v>27</v>
      </c>
      <c r="I1369">
        <v>0.98</v>
      </c>
      <c r="J1369">
        <v>0.87</v>
      </c>
      <c r="K1369">
        <v>0.38</v>
      </c>
      <c r="L1369">
        <v>0.84</v>
      </c>
      <c r="M1369">
        <v>0.74</v>
      </c>
      <c r="N1369">
        <v>0.79</v>
      </c>
      <c r="O1369">
        <v>0.22</v>
      </c>
      <c r="P1369">
        <v>0.65</v>
      </c>
      <c r="Q1369">
        <v>0.03</v>
      </c>
      <c r="R1369" s="2">
        <v>0.85</v>
      </c>
      <c r="S1369" t="str">
        <f>IF(Table1[[#This Row],[Years_Experience]]&lt;=5,"Early Career",
IF(Table1[[#This Row],[Years_Experience]]&lt;=15,"Mid Career","Senior Level"))</f>
        <v>Senior Level</v>
      </c>
      <c r="T1369" t="str">
        <f>IF(Table1[[#This Row],[AI_Exposure_Index]]&gt;=0.7,"High Exposure", IF(Table1[[#This Row],[AI_Exposure_Index]]&gt;=0.3,"Medium Exposure","Low Exposure"))</f>
        <v>High Exposure</v>
      </c>
    </row>
    <row r="1370" spans="1:20" x14ac:dyDescent="0.25">
      <c r="A1370" t="s">
        <v>35</v>
      </c>
      <c r="B1370">
        <v>131709</v>
      </c>
      <c r="C1370" s="1">
        <v>25</v>
      </c>
      <c r="D1370" t="s">
        <v>25</v>
      </c>
      <c r="E1370" s="7">
        <v>1.01</v>
      </c>
      <c r="F1370" s="2">
        <v>0.66</v>
      </c>
      <c r="G1370" s="7">
        <v>0.59</v>
      </c>
      <c r="H1370" s="9" t="s">
        <v>27</v>
      </c>
      <c r="I1370">
        <v>0.33</v>
      </c>
      <c r="J1370">
        <v>0.63</v>
      </c>
      <c r="K1370">
        <v>0.72</v>
      </c>
      <c r="L1370">
        <v>0.14000000000000001</v>
      </c>
      <c r="M1370">
        <v>0.14000000000000001</v>
      </c>
      <c r="N1370">
        <v>0.72</v>
      </c>
      <c r="O1370">
        <v>0.43</v>
      </c>
      <c r="P1370">
        <v>0.89</v>
      </c>
      <c r="Q1370">
        <v>0.31</v>
      </c>
      <c r="R1370" s="2">
        <v>0.04</v>
      </c>
      <c r="S1370" t="str">
        <f>IF(Table1[[#This Row],[Years_Experience]]&lt;=5,"Early Career",
IF(Table1[[#This Row],[Years_Experience]]&lt;=15,"Mid Career","Senior Level"))</f>
        <v>Senior Level</v>
      </c>
      <c r="T1370" t="str">
        <f>IF(Table1[[#This Row],[AI_Exposure_Index]]&gt;=0.7,"High Exposure", IF(Table1[[#This Row],[AI_Exposure_Index]]&gt;=0.3,"Medium Exposure","Low Exposure"))</f>
        <v>Medium Exposure</v>
      </c>
    </row>
    <row r="1371" spans="1:20" x14ac:dyDescent="0.25">
      <c r="A1371" t="s">
        <v>36</v>
      </c>
      <c r="B1371">
        <v>48050</v>
      </c>
      <c r="C1371" s="1">
        <v>29</v>
      </c>
      <c r="D1371" t="s">
        <v>38</v>
      </c>
      <c r="E1371" s="7">
        <v>1.05</v>
      </c>
      <c r="F1371" s="2">
        <v>0.68</v>
      </c>
      <c r="G1371" s="7">
        <v>0.56999999999999995</v>
      </c>
      <c r="H1371" s="9" t="s">
        <v>27</v>
      </c>
      <c r="I1371">
        <v>0.52</v>
      </c>
      <c r="J1371">
        <v>0.69</v>
      </c>
      <c r="K1371">
        <v>0.04</v>
      </c>
      <c r="L1371">
        <v>0.37</v>
      </c>
      <c r="M1371">
        <v>0.21</v>
      </c>
      <c r="N1371">
        <v>0.1</v>
      </c>
      <c r="O1371">
        <v>0.23</v>
      </c>
      <c r="P1371">
        <v>0.19</v>
      </c>
      <c r="Q1371">
        <v>0.97</v>
      </c>
      <c r="R1371" s="2">
        <v>0.28999999999999998</v>
      </c>
      <c r="S1371" t="str">
        <f>IF(Table1[[#This Row],[Years_Experience]]&lt;=5,"Early Career",
IF(Table1[[#This Row],[Years_Experience]]&lt;=15,"Mid Career","Senior Level"))</f>
        <v>Senior Level</v>
      </c>
      <c r="T1371" t="str">
        <f>IF(Table1[[#This Row],[AI_Exposure_Index]]&gt;=0.7,"High Exposure", IF(Table1[[#This Row],[AI_Exposure_Index]]&gt;=0.3,"Medium Exposure","Low Exposure"))</f>
        <v>Medium Exposure</v>
      </c>
    </row>
    <row r="1372" spans="1:20" x14ac:dyDescent="0.25">
      <c r="A1372" t="s">
        <v>40</v>
      </c>
      <c r="B1372">
        <v>38338</v>
      </c>
      <c r="C1372" s="1">
        <v>20</v>
      </c>
      <c r="D1372" t="s">
        <v>22</v>
      </c>
      <c r="E1372" s="7">
        <v>0.92</v>
      </c>
      <c r="F1372" s="2">
        <v>0.83</v>
      </c>
      <c r="G1372" s="7">
        <v>0.16</v>
      </c>
      <c r="H1372" s="9" t="s">
        <v>23</v>
      </c>
      <c r="I1372">
        <v>0.44</v>
      </c>
      <c r="J1372">
        <v>0.42</v>
      </c>
      <c r="K1372">
        <v>0.33</v>
      </c>
      <c r="L1372">
        <v>0.28999999999999998</v>
      </c>
      <c r="M1372">
        <v>0.88</v>
      </c>
      <c r="N1372">
        <v>0.16</v>
      </c>
      <c r="O1372">
        <v>0.18</v>
      </c>
      <c r="P1372">
        <v>0.56999999999999995</v>
      </c>
      <c r="Q1372">
        <v>0.34</v>
      </c>
      <c r="R1372" s="2">
        <v>0.42</v>
      </c>
      <c r="S1372" t="str">
        <f>IF(Table1[[#This Row],[Years_Experience]]&lt;=5,"Early Career",
IF(Table1[[#This Row],[Years_Experience]]&lt;=15,"Mid Career","Senior Level"))</f>
        <v>Senior Level</v>
      </c>
      <c r="T1372" t="str">
        <f>IF(Table1[[#This Row],[AI_Exposure_Index]]&gt;=0.7,"High Exposure", IF(Table1[[#This Row],[AI_Exposure_Index]]&gt;=0.3,"Medium Exposure","Low Exposure"))</f>
        <v>High Exposure</v>
      </c>
    </row>
    <row r="1373" spans="1:20" x14ac:dyDescent="0.25">
      <c r="A1373" t="s">
        <v>32</v>
      </c>
      <c r="B1373">
        <v>80382</v>
      </c>
      <c r="C1373" s="1">
        <v>22</v>
      </c>
      <c r="D1373" t="s">
        <v>25</v>
      </c>
      <c r="E1373" s="7">
        <v>1.23</v>
      </c>
      <c r="F1373" s="2">
        <v>0.87</v>
      </c>
      <c r="G1373" s="7">
        <v>0.6</v>
      </c>
      <c r="H1373" s="9" t="s">
        <v>27</v>
      </c>
      <c r="I1373">
        <v>1</v>
      </c>
      <c r="J1373">
        <v>0.8</v>
      </c>
      <c r="K1373">
        <v>0.83</v>
      </c>
      <c r="L1373">
        <v>0.95</v>
      </c>
      <c r="M1373">
        <v>0.15</v>
      </c>
      <c r="N1373">
        <v>0.5</v>
      </c>
      <c r="O1373">
        <v>0.57999999999999996</v>
      </c>
      <c r="P1373">
        <v>0.33</v>
      </c>
      <c r="Q1373">
        <v>0.84</v>
      </c>
      <c r="R1373" s="2">
        <v>0.76</v>
      </c>
      <c r="S1373" t="str">
        <f>IF(Table1[[#This Row],[Years_Experience]]&lt;=5,"Early Career",
IF(Table1[[#This Row],[Years_Experience]]&lt;=15,"Mid Career","Senior Level"))</f>
        <v>Senior Level</v>
      </c>
      <c r="T1373" t="str">
        <f>IF(Table1[[#This Row],[AI_Exposure_Index]]&gt;=0.7,"High Exposure", IF(Table1[[#This Row],[AI_Exposure_Index]]&gt;=0.3,"Medium Exposure","Low Exposure"))</f>
        <v>High Exposure</v>
      </c>
    </row>
    <row r="1374" spans="1:20" x14ac:dyDescent="0.25">
      <c r="A1374" t="s">
        <v>36</v>
      </c>
      <c r="B1374">
        <v>147511</v>
      </c>
      <c r="C1374" s="1">
        <v>0</v>
      </c>
      <c r="D1374" t="s">
        <v>25</v>
      </c>
      <c r="E1374" s="7">
        <v>0.76</v>
      </c>
      <c r="F1374" s="2">
        <v>1</v>
      </c>
      <c r="G1374" s="7">
        <v>0.59</v>
      </c>
      <c r="H1374" s="9" t="s">
        <v>27</v>
      </c>
      <c r="I1374">
        <v>0.55000000000000004</v>
      </c>
      <c r="J1374">
        <v>0.31</v>
      </c>
      <c r="K1374">
        <v>0.16</v>
      </c>
      <c r="L1374">
        <v>0.9</v>
      </c>
      <c r="M1374">
        <v>0.6</v>
      </c>
      <c r="N1374">
        <v>0.82</v>
      </c>
      <c r="O1374">
        <v>0.55000000000000004</v>
      </c>
      <c r="P1374">
        <v>0.22</v>
      </c>
      <c r="Q1374">
        <v>0.34</v>
      </c>
      <c r="R1374" s="2">
        <v>0.38</v>
      </c>
      <c r="S1374" t="str">
        <f>IF(Table1[[#This Row],[Years_Experience]]&lt;=5,"Early Career",
IF(Table1[[#This Row],[Years_Experience]]&lt;=15,"Mid Career","Senior Level"))</f>
        <v>Early Career</v>
      </c>
      <c r="T1374" t="str">
        <f>IF(Table1[[#This Row],[AI_Exposure_Index]]&gt;=0.7,"High Exposure", IF(Table1[[#This Row],[AI_Exposure_Index]]&gt;=0.3,"Medium Exposure","Low Exposure"))</f>
        <v>High Exposure</v>
      </c>
    </row>
    <row r="1375" spans="1:20" x14ac:dyDescent="0.25">
      <c r="A1375" t="s">
        <v>26</v>
      </c>
      <c r="B1375">
        <v>46791</v>
      </c>
      <c r="C1375" s="1">
        <v>4</v>
      </c>
      <c r="D1375" t="s">
        <v>38</v>
      </c>
      <c r="E1375" s="7">
        <v>1.49</v>
      </c>
      <c r="F1375" s="2">
        <v>0.01</v>
      </c>
      <c r="G1375" s="7">
        <v>0.69</v>
      </c>
      <c r="H1375" s="9" t="s">
        <v>27</v>
      </c>
      <c r="I1375">
        <v>1</v>
      </c>
      <c r="J1375">
        <v>0.48</v>
      </c>
      <c r="K1375">
        <v>0.96</v>
      </c>
      <c r="L1375">
        <v>0.4</v>
      </c>
      <c r="M1375">
        <v>0.03</v>
      </c>
      <c r="N1375">
        <v>0.22</v>
      </c>
      <c r="O1375">
        <v>0.95</v>
      </c>
      <c r="P1375">
        <v>0.01</v>
      </c>
      <c r="Q1375">
        <v>0.55000000000000004</v>
      </c>
      <c r="R1375" s="2">
        <v>0.08</v>
      </c>
      <c r="S1375" t="str">
        <f>IF(Table1[[#This Row],[Years_Experience]]&lt;=5,"Early Career",
IF(Table1[[#This Row],[Years_Experience]]&lt;=15,"Mid Career","Senior Level"))</f>
        <v>Early Career</v>
      </c>
      <c r="T1375" t="str">
        <f>IF(Table1[[#This Row],[AI_Exposure_Index]]&gt;=0.7,"High Exposure", IF(Table1[[#This Row],[AI_Exposure_Index]]&gt;=0.3,"Medium Exposure","Low Exposure"))</f>
        <v>Low Exposure</v>
      </c>
    </row>
    <row r="1376" spans="1:20" x14ac:dyDescent="0.25">
      <c r="A1376" t="s">
        <v>34</v>
      </c>
      <c r="B1376">
        <v>114300</v>
      </c>
      <c r="C1376" s="1">
        <v>16</v>
      </c>
      <c r="D1376" t="s">
        <v>19</v>
      </c>
      <c r="E1376" s="7">
        <v>1.36</v>
      </c>
      <c r="F1376" s="2">
        <v>0.09</v>
      </c>
      <c r="G1376" s="7">
        <v>0.54</v>
      </c>
      <c r="H1376" s="9" t="s">
        <v>27</v>
      </c>
      <c r="I1376">
        <v>0.9</v>
      </c>
      <c r="J1376">
        <v>0.69</v>
      </c>
      <c r="K1376">
        <v>0.97</v>
      </c>
      <c r="L1376">
        <v>0.51</v>
      </c>
      <c r="M1376">
        <v>0.64</v>
      </c>
      <c r="N1376">
        <v>0.57999999999999996</v>
      </c>
      <c r="O1376">
        <v>0.48</v>
      </c>
      <c r="P1376">
        <v>0.85</v>
      </c>
      <c r="Q1376">
        <v>0.64</v>
      </c>
      <c r="R1376" s="2">
        <v>0.8</v>
      </c>
      <c r="S1376" t="str">
        <f>IF(Table1[[#This Row],[Years_Experience]]&lt;=5,"Early Career",
IF(Table1[[#This Row],[Years_Experience]]&lt;=15,"Mid Career","Senior Level"))</f>
        <v>Senior Level</v>
      </c>
      <c r="T1376" t="str">
        <f>IF(Table1[[#This Row],[AI_Exposure_Index]]&gt;=0.7,"High Exposure", IF(Table1[[#This Row],[AI_Exposure_Index]]&gt;=0.3,"Medium Exposure","Low Exposure"))</f>
        <v>Low Exposure</v>
      </c>
    </row>
    <row r="1377" spans="1:20" x14ac:dyDescent="0.25">
      <c r="A1377" t="s">
        <v>18</v>
      </c>
      <c r="B1377">
        <v>105165</v>
      </c>
      <c r="C1377" s="1">
        <v>6</v>
      </c>
      <c r="D1377" t="s">
        <v>38</v>
      </c>
      <c r="E1377" s="7">
        <v>0.66</v>
      </c>
      <c r="F1377" s="2">
        <v>0.41</v>
      </c>
      <c r="G1377" s="7">
        <v>0.83</v>
      </c>
      <c r="H1377" s="9" t="s">
        <v>20</v>
      </c>
      <c r="I1377">
        <v>0.28999999999999998</v>
      </c>
      <c r="J1377">
        <v>0.21</v>
      </c>
      <c r="K1377">
        <v>0.59</v>
      </c>
      <c r="L1377">
        <v>0.92</v>
      </c>
      <c r="M1377">
        <v>0.84</v>
      </c>
      <c r="N1377">
        <v>0.18</v>
      </c>
      <c r="O1377">
        <v>0.77</v>
      </c>
      <c r="P1377">
        <v>0.23</v>
      </c>
      <c r="Q1377">
        <v>0.28999999999999998</v>
      </c>
      <c r="R1377" s="2">
        <v>0.92</v>
      </c>
      <c r="S1377" t="str">
        <f>IF(Table1[[#This Row],[Years_Experience]]&lt;=5,"Early Career",
IF(Table1[[#This Row],[Years_Experience]]&lt;=15,"Mid Career","Senior Level"))</f>
        <v>Mid Career</v>
      </c>
      <c r="T1377" t="str">
        <f>IF(Table1[[#This Row],[AI_Exposure_Index]]&gt;=0.7,"High Exposure", IF(Table1[[#This Row],[AI_Exposure_Index]]&gt;=0.3,"Medium Exposure","Low Exposure"))</f>
        <v>Medium Exposure</v>
      </c>
    </row>
    <row r="1378" spans="1:20" x14ac:dyDescent="0.25">
      <c r="A1378" t="s">
        <v>33</v>
      </c>
      <c r="B1378">
        <v>68180</v>
      </c>
      <c r="C1378" s="1">
        <v>29</v>
      </c>
      <c r="D1378" t="s">
        <v>25</v>
      </c>
      <c r="E1378" s="7">
        <v>0.56000000000000005</v>
      </c>
      <c r="F1378" s="2">
        <v>0.17</v>
      </c>
      <c r="G1378" s="7">
        <v>0.77</v>
      </c>
      <c r="H1378" s="9" t="s">
        <v>20</v>
      </c>
      <c r="I1378">
        <v>0.57999999999999996</v>
      </c>
      <c r="J1378">
        <v>0.88</v>
      </c>
      <c r="K1378">
        <v>0.12</v>
      </c>
      <c r="L1378">
        <v>0.41</v>
      </c>
      <c r="M1378">
        <v>0.27</v>
      </c>
      <c r="N1378">
        <v>0.01</v>
      </c>
      <c r="O1378">
        <v>0.79</v>
      </c>
      <c r="P1378">
        <v>0.81</v>
      </c>
      <c r="Q1378">
        <v>0.22</v>
      </c>
      <c r="R1378" s="2">
        <v>0.15</v>
      </c>
      <c r="S1378" t="str">
        <f>IF(Table1[[#This Row],[Years_Experience]]&lt;=5,"Early Career",
IF(Table1[[#This Row],[Years_Experience]]&lt;=15,"Mid Career","Senior Level"))</f>
        <v>Senior Level</v>
      </c>
      <c r="T1378" t="str">
        <f>IF(Table1[[#This Row],[AI_Exposure_Index]]&gt;=0.7,"High Exposure", IF(Table1[[#This Row],[AI_Exposure_Index]]&gt;=0.3,"Medium Exposure","Low Exposure"))</f>
        <v>Low Exposure</v>
      </c>
    </row>
    <row r="1379" spans="1:20" x14ac:dyDescent="0.25">
      <c r="A1379" t="s">
        <v>43</v>
      </c>
      <c r="B1379">
        <v>72019</v>
      </c>
      <c r="C1379" s="1">
        <v>16</v>
      </c>
      <c r="D1379" t="s">
        <v>38</v>
      </c>
      <c r="E1379" s="7">
        <v>1.21</v>
      </c>
      <c r="F1379" s="2">
        <v>0.72</v>
      </c>
      <c r="G1379" s="7">
        <v>0.18</v>
      </c>
      <c r="H1379" s="9" t="s">
        <v>23</v>
      </c>
      <c r="I1379">
        <v>0.78</v>
      </c>
      <c r="J1379">
        <v>0.57999999999999996</v>
      </c>
      <c r="K1379">
        <v>0.28999999999999998</v>
      </c>
      <c r="L1379">
        <v>0.73</v>
      </c>
      <c r="M1379">
        <v>0.59</v>
      </c>
      <c r="N1379">
        <v>0.01</v>
      </c>
      <c r="O1379">
        <v>0.9</v>
      </c>
      <c r="P1379">
        <v>0.55000000000000004</v>
      </c>
      <c r="Q1379">
        <v>0.87</v>
      </c>
      <c r="R1379" s="2">
        <v>0.88</v>
      </c>
      <c r="S1379" t="str">
        <f>IF(Table1[[#This Row],[Years_Experience]]&lt;=5,"Early Career",
IF(Table1[[#This Row],[Years_Experience]]&lt;=15,"Mid Career","Senior Level"))</f>
        <v>Senior Level</v>
      </c>
      <c r="T1379" t="str">
        <f>IF(Table1[[#This Row],[AI_Exposure_Index]]&gt;=0.7,"High Exposure", IF(Table1[[#This Row],[AI_Exposure_Index]]&gt;=0.3,"Medium Exposure","Low Exposure"))</f>
        <v>High Exposure</v>
      </c>
    </row>
    <row r="1380" spans="1:20" x14ac:dyDescent="0.25">
      <c r="A1380" t="s">
        <v>35</v>
      </c>
      <c r="B1380">
        <v>117464</v>
      </c>
      <c r="C1380" s="1">
        <v>9</v>
      </c>
      <c r="D1380" t="s">
        <v>25</v>
      </c>
      <c r="E1380" s="7">
        <v>0.92</v>
      </c>
      <c r="F1380" s="2">
        <v>0.51</v>
      </c>
      <c r="G1380" s="7">
        <v>0.48</v>
      </c>
      <c r="H1380" s="9" t="s">
        <v>27</v>
      </c>
      <c r="I1380">
        <v>0.9</v>
      </c>
      <c r="J1380">
        <v>0.79</v>
      </c>
      <c r="K1380">
        <v>0.13</v>
      </c>
      <c r="L1380">
        <v>0.61</v>
      </c>
      <c r="M1380">
        <v>1</v>
      </c>
      <c r="N1380">
        <v>0.6</v>
      </c>
      <c r="O1380">
        <v>0.79</v>
      </c>
      <c r="P1380">
        <v>0.77</v>
      </c>
      <c r="Q1380">
        <v>0.35</v>
      </c>
      <c r="R1380" s="2">
        <v>0.37</v>
      </c>
      <c r="S1380" t="str">
        <f>IF(Table1[[#This Row],[Years_Experience]]&lt;=5,"Early Career",
IF(Table1[[#This Row],[Years_Experience]]&lt;=15,"Mid Career","Senior Level"))</f>
        <v>Mid Career</v>
      </c>
      <c r="T1380" t="str">
        <f>IF(Table1[[#This Row],[AI_Exposure_Index]]&gt;=0.7,"High Exposure", IF(Table1[[#This Row],[AI_Exposure_Index]]&gt;=0.3,"Medium Exposure","Low Exposure"))</f>
        <v>Medium Exposure</v>
      </c>
    </row>
    <row r="1381" spans="1:20" x14ac:dyDescent="0.25">
      <c r="A1381" t="s">
        <v>24</v>
      </c>
      <c r="B1381">
        <v>100278</v>
      </c>
      <c r="C1381" s="1">
        <v>28</v>
      </c>
      <c r="D1381" t="s">
        <v>19</v>
      </c>
      <c r="E1381" s="7">
        <v>1.07</v>
      </c>
      <c r="F1381" s="2">
        <v>0.5</v>
      </c>
      <c r="G1381" s="7">
        <v>0.88</v>
      </c>
      <c r="H1381" s="9" t="s">
        <v>20</v>
      </c>
      <c r="I1381">
        <v>0.78</v>
      </c>
      <c r="J1381">
        <v>0.27</v>
      </c>
      <c r="K1381">
        <v>0.15</v>
      </c>
      <c r="L1381">
        <v>0.28999999999999998</v>
      </c>
      <c r="M1381">
        <v>0.51</v>
      </c>
      <c r="N1381">
        <v>0.34</v>
      </c>
      <c r="O1381">
        <v>0.56999999999999995</v>
      </c>
      <c r="P1381">
        <v>0.05</v>
      </c>
      <c r="Q1381">
        <v>0.51</v>
      </c>
      <c r="R1381" s="2">
        <v>0.37</v>
      </c>
      <c r="S1381" t="str">
        <f>IF(Table1[[#This Row],[Years_Experience]]&lt;=5,"Early Career",
IF(Table1[[#This Row],[Years_Experience]]&lt;=15,"Mid Career","Senior Level"))</f>
        <v>Senior Level</v>
      </c>
      <c r="T1381" t="str">
        <f>IF(Table1[[#This Row],[AI_Exposure_Index]]&gt;=0.7,"High Exposure", IF(Table1[[#This Row],[AI_Exposure_Index]]&gt;=0.3,"Medium Exposure","Low Exposure"))</f>
        <v>Medium Exposure</v>
      </c>
    </row>
    <row r="1382" spans="1:20" x14ac:dyDescent="0.25">
      <c r="A1382" t="s">
        <v>34</v>
      </c>
      <c r="B1382">
        <v>105073</v>
      </c>
      <c r="C1382" s="1">
        <v>1</v>
      </c>
      <c r="D1382" t="s">
        <v>19</v>
      </c>
      <c r="E1382" s="7">
        <v>1.4</v>
      </c>
      <c r="F1382" s="2">
        <v>0.28000000000000003</v>
      </c>
      <c r="G1382" s="7">
        <v>0.37</v>
      </c>
      <c r="H1382" s="9" t="s">
        <v>27</v>
      </c>
      <c r="I1382">
        <v>0.68</v>
      </c>
      <c r="J1382">
        <v>0.92</v>
      </c>
      <c r="K1382">
        <v>0.54</v>
      </c>
      <c r="L1382">
        <v>0.88</v>
      </c>
      <c r="M1382">
        <v>0.12</v>
      </c>
      <c r="N1382">
        <v>0.49</v>
      </c>
      <c r="O1382">
        <v>0.46</v>
      </c>
      <c r="P1382">
        <v>0.01</v>
      </c>
      <c r="Q1382">
        <v>0.44</v>
      </c>
      <c r="R1382" s="2">
        <v>0.37</v>
      </c>
      <c r="S1382" t="str">
        <f>IF(Table1[[#This Row],[Years_Experience]]&lt;=5,"Early Career",
IF(Table1[[#This Row],[Years_Experience]]&lt;=15,"Mid Career","Senior Level"))</f>
        <v>Early Career</v>
      </c>
      <c r="T1382" t="str">
        <f>IF(Table1[[#This Row],[AI_Exposure_Index]]&gt;=0.7,"High Exposure", IF(Table1[[#This Row],[AI_Exposure_Index]]&gt;=0.3,"Medium Exposure","Low Exposure"))</f>
        <v>Low Exposure</v>
      </c>
    </row>
    <row r="1383" spans="1:20" x14ac:dyDescent="0.25">
      <c r="A1383" t="s">
        <v>34</v>
      </c>
      <c r="B1383">
        <v>35922</v>
      </c>
      <c r="C1383" s="1">
        <v>23</v>
      </c>
      <c r="D1383" t="s">
        <v>38</v>
      </c>
      <c r="E1383" s="7">
        <v>1.45</v>
      </c>
      <c r="F1383" s="2">
        <v>1</v>
      </c>
      <c r="G1383" s="7">
        <v>0.54</v>
      </c>
      <c r="H1383" s="9" t="s">
        <v>27</v>
      </c>
      <c r="I1383">
        <v>0.14000000000000001</v>
      </c>
      <c r="J1383">
        <v>0.26</v>
      </c>
      <c r="K1383">
        <v>0.36</v>
      </c>
      <c r="L1383">
        <v>0.87</v>
      </c>
      <c r="M1383">
        <v>0.17</v>
      </c>
      <c r="N1383">
        <v>0.22</v>
      </c>
      <c r="O1383">
        <v>0.35</v>
      </c>
      <c r="P1383">
        <v>0.93</v>
      </c>
      <c r="Q1383">
        <v>0.5</v>
      </c>
      <c r="R1383" s="2">
        <v>0.65</v>
      </c>
      <c r="S1383" t="str">
        <f>IF(Table1[[#This Row],[Years_Experience]]&lt;=5,"Early Career",
IF(Table1[[#This Row],[Years_Experience]]&lt;=15,"Mid Career","Senior Level"))</f>
        <v>Senior Level</v>
      </c>
      <c r="T1383" t="str">
        <f>IF(Table1[[#This Row],[AI_Exposure_Index]]&gt;=0.7,"High Exposure", IF(Table1[[#This Row],[AI_Exposure_Index]]&gt;=0.3,"Medium Exposure","Low Exposure"))</f>
        <v>High Exposure</v>
      </c>
    </row>
    <row r="1384" spans="1:20" x14ac:dyDescent="0.25">
      <c r="A1384" t="s">
        <v>28</v>
      </c>
      <c r="B1384">
        <v>99915</v>
      </c>
      <c r="C1384" s="1">
        <v>13</v>
      </c>
      <c r="D1384" t="s">
        <v>25</v>
      </c>
      <c r="E1384" s="7">
        <v>0.72</v>
      </c>
      <c r="F1384" s="2">
        <v>0.19</v>
      </c>
      <c r="G1384" s="7">
        <v>0.62</v>
      </c>
      <c r="H1384" s="9" t="s">
        <v>27</v>
      </c>
      <c r="I1384">
        <v>0.89</v>
      </c>
      <c r="J1384">
        <v>0.49</v>
      </c>
      <c r="K1384">
        <v>0.36</v>
      </c>
      <c r="L1384">
        <v>0.81</v>
      </c>
      <c r="M1384">
        <v>0.67</v>
      </c>
      <c r="N1384">
        <v>0.04</v>
      </c>
      <c r="O1384">
        <v>0.35</v>
      </c>
      <c r="P1384">
        <v>0.68</v>
      </c>
      <c r="Q1384">
        <v>0.56999999999999995</v>
      </c>
      <c r="R1384" s="2">
        <v>0.98</v>
      </c>
      <c r="S1384" t="str">
        <f>IF(Table1[[#This Row],[Years_Experience]]&lt;=5,"Early Career",
IF(Table1[[#This Row],[Years_Experience]]&lt;=15,"Mid Career","Senior Level"))</f>
        <v>Mid Career</v>
      </c>
      <c r="T1384" t="str">
        <f>IF(Table1[[#This Row],[AI_Exposure_Index]]&gt;=0.7,"High Exposure", IF(Table1[[#This Row],[AI_Exposure_Index]]&gt;=0.3,"Medium Exposure","Low Exposure"))</f>
        <v>Low Exposure</v>
      </c>
    </row>
    <row r="1385" spans="1:20" x14ac:dyDescent="0.25">
      <c r="A1385" t="s">
        <v>34</v>
      </c>
      <c r="B1385">
        <v>143868</v>
      </c>
      <c r="C1385" s="1">
        <v>27</v>
      </c>
      <c r="D1385" t="s">
        <v>19</v>
      </c>
      <c r="E1385" s="7">
        <v>1.23</v>
      </c>
      <c r="F1385" s="2">
        <v>0.06</v>
      </c>
      <c r="G1385" s="7">
        <v>0.43</v>
      </c>
      <c r="H1385" s="9" t="s">
        <v>27</v>
      </c>
      <c r="I1385">
        <v>0.68</v>
      </c>
      <c r="J1385">
        <v>0.62</v>
      </c>
      <c r="K1385">
        <v>0.5</v>
      </c>
      <c r="L1385">
        <v>0.85</v>
      </c>
      <c r="M1385">
        <v>0.71</v>
      </c>
      <c r="N1385">
        <v>0.89</v>
      </c>
      <c r="O1385">
        <v>0.28000000000000003</v>
      </c>
      <c r="P1385">
        <v>0.35</v>
      </c>
      <c r="Q1385">
        <v>0.62</v>
      </c>
      <c r="R1385" s="2">
        <v>0.97</v>
      </c>
      <c r="S1385" t="str">
        <f>IF(Table1[[#This Row],[Years_Experience]]&lt;=5,"Early Career",
IF(Table1[[#This Row],[Years_Experience]]&lt;=15,"Mid Career","Senior Level"))</f>
        <v>Senior Level</v>
      </c>
      <c r="T1385" t="str">
        <f>IF(Table1[[#This Row],[AI_Exposure_Index]]&gt;=0.7,"High Exposure", IF(Table1[[#This Row],[AI_Exposure_Index]]&gt;=0.3,"Medium Exposure","Low Exposure"))</f>
        <v>Low Exposure</v>
      </c>
    </row>
    <row r="1386" spans="1:20" x14ac:dyDescent="0.25">
      <c r="A1386" t="s">
        <v>30</v>
      </c>
      <c r="B1386">
        <v>30318</v>
      </c>
      <c r="C1386" s="1">
        <v>10</v>
      </c>
      <c r="D1386" t="s">
        <v>38</v>
      </c>
      <c r="E1386" s="7">
        <v>0.95</v>
      </c>
      <c r="F1386" s="2">
        <v>0.03</v>
      </c>
      <c r="G1386" s="7">
        <v>0.52</v>
      </c>
      <c r="H1386" s="9" t="s">
        <v>27</v>
      </c>
      <c r="I1386">
        <v>0.8</v>
      </c>
      <c r="J1386">
        <v>0.73</v>
      </c>
      <c r="K1386">
        <v>0.96</v>
      </c>
      <c r="L1386">
        <v>0.78</v>
      </c>
      <c r="M1386">
        <v>0.3</v>
      </c>
      <c r="N1386">
        <v>0.64</v>
      </c>
      <c r="O1386">
        <v>0.67</v>
      </c>
      <c r="P1386">
        <v>1</v>
      </c>
      <c r="Q1386">
        <v>0.14000000000000001</v>
      </c>
      <c r="R1386" s="2">
        <v>0.19</v>
      </c>
      <c r="S1386" t="str">
        <f>IF(Table1[[#This Row],[Years_Experience]]&lt;=5,"Early Career",
IF(Table1[[#This Row],[Years_Experience]]&lt;=15,"Mid Career","Senior Level"))</f>
        <v>Mid Career</v>
      </c>
      <c r="T1386" t="str">
        <f>IF(Table1[[#This Row],[AI_Exposure_Index]]&gt;=0.7,"High Exposure", IF(Table1[[#This Row],[AI_Exposure_Index]]&gt;=0.3,"Medium Exposure","Low Exposure"))</f>
        <v>Low Exposure</v>
      </c>
    </row>
    <row r="1387" spans="1:20" x14ac:dyDescent="0.25">
      <c r="A1387" t="s">
        <v>35</v>
      </c>
      <c r="B1387">
        <v>144148</v>
      </c>
      <c r="C1387" s="1">
        <v>19</v>
      </c>
      <c r="D1387" t="s">
        <v>22</v>
      </c>
      <c r="E1387" s="7">
        <v>0.64</v>
      </c>
      <c r="F1387" s="2">
        <v>0.59</v>
      </c>
      <c r="G1387" s="7">
        <v>0.56000000000000005</v>
      </c>
      <c r="H1387" s="9" t="s">
        <v>27</v>
      </c>
      <c r="I1387">
        <v>0.8</v>
      </c>
      <c r="J1387">
        <v>0.43</v>
      </c>
      <c r="K1387">
        <v>0.56000000000000005</v>
      </c>
      <c r="L1387">
        <v>0.91</v>
      </c>
      <c r="M1387">
        <v>0.56999999999999995</v>
      </c>
      <c r="N1387">
        <v>0.21</v>
      </c>
      <c r="O1387">
        <v>0.34</v>
      </c>
      <c r="P1387">
        <v>0.53</v>
      </c>
      <c r="Q1387">
        <v>0.15</v>
      </c>
      <c r="R1387" s="2">
        <v>0.61</v>
      </c>
      <c r="S1387" t="str">
        <f>IF(Table1[[#This Row],[Years_Experience]]&lt;=5,"Early Career",
IF(Table1[[#This Row],[Years_Experience]]&lt;=15,"Mid Career","Senior Level"))</f>
        <v>Senior Level</v>
      </c>
      <c r="T1387" t="str">
        <f>IF(Table1[[#This Row],[AI_Exposure_Index]]&gt;=0.7,"High Exposure", IF(Table1[[#This Row],[AI_Exposure_Index]]&gt;=0.3,"Medium Exposure","Low Exposure"))</f>
        <v>Medium Exposure</v>
      </c>
    </row>
    <row r="1388" spans="1:20" x14ac:dyDescent="0.25">
      <c r="A1388" t="s">
        <v>28</v>
      </c>
      <c r="B1388">
        <v>68790</v>
      </c>
      <c r="C1388" s="1">
        <v>3</v>
      </c>
      <c r="D1388" t="s">
        <v>22</v>
      </c>
      <c r="E1388" s="7">
        <v>0.87</v>
      </c>
      <c r="F1388" s="2">
        <v>0.65</v>
      </c>
      <c r="G1388" s="7">
        <v>0.43</v>
      </c>
      <c r="H1388" s="9" t="s">
        <v>27</v>
      </c>
      <c r="I1388">
        <v>0.93</v>
      </c>
      <c r="J1388">
        <v>0.87</v>
      </c>
      <c r="K1388">
        <v>0.47</v>
      </c>
      <c r="L1388">
        <v>0.35</v>
      </c>
      <c r="M1388">
        <v>0.71</v>
      </c>
      <c r="N1388">
        <v>0.31</v>
      </c>
      <c r="O1388">
        <v>0.12</v>
      </c>
      <c r="P1388">
        <v>0.31</v>
      </c>
      <c r="Q1388">
        <v>0.43</v>
      </c>
      <c r="R1388" s="2">
        <v>0.26</v>
      </c>
      <c r="S1388" t="str">
        <f>IF(Table1[[#This Row],[Years_Experience]]&lt;=5,"Early Career",
IF(Table1[[#This Row],[Years_Experience]]&lt;=15,"Mid Career","Senior Level"))</f>
        <v>Early Career</v>
      </c>
      <c r="T1388" t="str">
        <f>IF(Table1[[#This Row],[AI_Exposure_Index]]&gt;=0.7,"High Exposure", IF(Table1[[#This Row],[AI_Exposure_Index]]&gt;=0.3,"Medium Exposure","Low Exposure"))</f>
        <v>Medium Exposure</v>
      </c>
    </row>
    <row r="1389" spans="1:20" x14ac:dyDescent="0.25">
      <c r="A1389" t="s">
        <v>28</v>
      </c>
      <c r="B1389">
        <v>102353</v>
      </c>
      <c r="C1389" s="1">
        <v>6</v>
      </c>
      <c r="D1389" t="s">
        <v>38</v>
      </c>
      <c r="E1389" s="7">
        <v>1.1299999999999999</v>
      </c>
      <c r="F1389" s="2">
        <v>0.01</v>
      </c>
      <c r="G1389" s="7">
        <v>0.55000000000000004</v>
      </c>
      <c r="H1389" s="9" t="s">
        <v>27</v>
      </c>
      <c r="I1389">
        <v>0.19</v>
      </c>
      <c r="J1389">
        <v>0.94</v>
      </c>
      <c r="K1389">
        <v>0.41</v>
      </c>
      <c r="L1389">
        <v>0.03</v>
      </c>
      <c r="M1389">
        <v>0.22</v>
      </c>
      <c r="N1389">
        <v>0.69</v>
      </c>
      <c r="O1389">
        <v>0.2</v>
      </c>
      <c r="P1389">
        <v>0.05</v>
      </c>
      <c r="Q1389">
        <v>0.62</v>
      </c>
      <c r="R1389" s="2">
        <v>0.52</v>
      </c>
      <c r="S1389" t="str">
        <f>IF(Table1[[#This Row],[Years_Experience]]&lt;=5,"Early Career",
IF(Table1[[#This Row],[Years_Experience]]&lt;=15,"Mid Career","Senior Level"))</f>
        <v>Mid Career</v>
      </c>
      <c r="T1389" t="str">
        <f>IF(Table1[[#This Row],[AI_Exposure_Index]]&gt;=0.7,"High Exposure", IF(Table1[[#This Row],[AI_Exposure_Index]]&gt;=0.3,"Medium Exposure","Low Exposure"))</f>
        <v>Low Exposure</v>
      </c>
    </row>
    <row r="1390" spans="1:20" x14ac:dyDescent="0.25">
      <c r="A1390" t="s">
        <v>33</v>
      </c>
      <c r="B1390">
        <v>50810</v>
      </c>
      <c r="C1390" s="1">
        <v>16</v>
      </c>
      <c r="D1390" t="s">
        <v>25</v>
      </c>
      <c r="E1390" s="7">
        <v>1.46</v>
      </c>
      <c r="F1390" s="2">
        <v>0.77</v>
      </c>
      <c r="G1390" s="7">
        <v>0.71</v>
      </c>
      <c r="H1390" s="9" t="s">
        <v>20</v>
      </c>
      <c r="I1390">
        <v>0.04</v>
      </c>
      <c r="J1390">
        <v>0.99</v>
      </c>
      <c r="K1390">
        <v>0.64</v>
      </c>
      <c r="L1390">
        <v>0.72</v>
      </c>
      <c r="M1390">
        <v>0.1</v>
      </c>
      <c r="N1390">
        <v>7.0000000000000007E-2</v>
      </c>
      <c r="O1390">
        <v>0.16</v>
      </c>
      <c r="P1390">
        <v>0.43</v>
      </c>
      <c r="Q1390">
        <v>0.11</v>
      </c>
      <c r="R1390" s="2">
        <v>0.45</v>
      </c>
      <c r="S1390" t="str">
        <f>IF(Table1[[#This Row],[Years_Experience]]&lt;=5,"Early Career",
IF(Table1[[#This Row],[Years_Experience]]&lt;=15,"Mid Career","Senior Level"))</f>
        <v>Senior Level</v>
      </c>
      <c r="T1390" t="str">
        <f>IF(Table1[[#This Row],[AI_Exposure_Index]]&gt;=0.7,"High Exposure", IF(Table1[[#This Row],[AI_Exposure_Index]]&gt;=0.3,"Medium Exposure","Low Exposure"))</f>
        <v>High Exposure</v>
      </c>
    </row>
    <row r="1391" spans="1:20" x14ac:dyDescent="0.25">
      <c r="A1391" t="s">
        <v>21</v>
      </c>
      <c r="B1391">
        <v>83565</v>
      </c>
      <c r="C1391" s="1">
        <v>2</v>
      </c>
      <c r="D1391" t="s">
        <v>25</v>
      </c>
      <c r="E1391" s="7">
        <v>0.61</v>
      </c>
      <c r="F1391" s="2">
        <v>0</v>
      </c>
      <c r="G1391" s="7">
        <v>0.14000000000000001</v>
      </c>
      <c r="H1391" s="9" t="s">
        <v>23</v>
      </c>
      <c r="I1391">
        <v>0.05</v>
      </c>
      <c r="J1391">
        <v>0.13</v>
      </c>
      <c r="K1391">
        <v>0.23</v>
      </c>
      <c r="L1391">
        <v>0.43</v>
      </c>
      <c r="M1391">
        <v>0.71</v>
      </c>
      <c r="N1391">
        <v>0.13</v>
      </c>
      <c r="O1391">
        <v>0.74</v>
      </c>
      <c r="P1391">
        <v>0.86</v>
      </c>
      <c r="Q1391">
        <v>0.65</v>
      </c>
      <c r="R1391" s="2">
        <v>0.04</v>
      </c>
      <c r="S1391" t="str">
        <f>IF(Table1[[#This Row],[Years_Experience]]&lt;=5,"Early Career",
IF(Table1[[#This Row],[Years_Experience]]&lt;=15,"Mid Career","Senior Level"))</f>
        <v>Early Career</v>
      </c>
      <c r="T1391" t="str">
        <f>IF(Table1[[#This Row],[AI_Exposure_Index]]&gt;=0.7,"High Exposure", IF(Table1[[#This Row],[AI_Exposure_Index]]&gt;=0.3,"Medium Exposure","Low Exposure"))</f>
        <v>Low Exposure</v>
      </c>
    </row>
    <row r="1392" spans="1:20" x14ac:dyDescent="0.25">
      <c r="A1392" t="s">
        <v>21</v>
      </c>
      <c r="B1392">
        <v>74555</v>
      </c>
      <c r="C1392" s="1">
        <v>2</v>
      </c>
      <c r="D1392" t="s">
        <v>38</v>
      </c>
      <c r="E1392" s="7">
        <v>1.48</v>
      </c>
      <c r="F1392" s="2">
        <v>0.66</v>
      </c>
      <c r="G1392" s="7">
        <v>0.28999999999999998</v>
      </c>
      <c r="H1392" s="9" t="s">
        <v>23</v>
      </c>
      <c r="I1392">
        <v>0.4</v>
      </c>
      <c r="J1392">
        <v>0.62</v>
      </c>
      <c r="K1392">
        <v>0.89</v>
      </c>
      <c r="L1392">
        <v>0.83</v>
      </c>
      <c r="M1392">
        <v>0.48</v>
      </c>
      <c r="N1392">
        <v>0.26</v>
      </c>
      <c r="O1392">
        <v>0.14000000000000001</v>
      </c>
      <c r="P1392">
        <v>0.49</v>
      </c>
      <c r="Q1392">
        <v>0.72</v>
      </c>
      <c r="R1392" s="2">
        <v>0.97</v>
      </c>
      <c r="S1392" t="str">
        <f>IF(Table1[[#This Row],[Years_Experience]]&lt;=5,"Early Career",
IF(Table1[[#This Row],[Years_Experience]]&lt;=15,"Mid Career","Senior Level"))</f>
        <v>Early Career</v>
      </c>
      <c r="T1392" t="str">
        <f>IF(Table1[[#This Row],[AI_Exposure_Index]]&gt;=0.7,"High Exposure", IF(Table1[[#This Row],[AI_Exposure_Index]]&gt;=0.3,"Medium Exposure","Low Exposure"))</f>
        <v>Medium Exposure</v>
      </c>
    </row>
    <row r="1393" spans="1:20" x14ac:dyDescent="0.25">
      <c r="A1393" t="s">
        <v>39</v>
      </c>
      <c r="B1393">
        <v>110196</v>
      </c>
      <c r="C1393" s="1">
        <v>17</v>
      </c>
      <c r="D1393" t="s">
        <v>19</v>
      </c>
      <c r="E1393" s="7">
        <v>1.35</v>
      </c>
      <c r="F1393" s="2">
        <v>0.98</v>
      </c>
      <c r="G1393" s="7">
        <v>0.81</v>
      </c>
      <c r="H1393" s="9" t="s">
        <v>20</v>
      </c>
      <c r="I1393">
        <v>0.78</v>
      </c>
      <c r="J1393">
        <v>0.19</v>
      </c>
      <c r="K1393">
        <v>0.56000000000000005</v>
      </c>
      <c r="L1393">
        <v>7.0000000000000007E-2</v>
      </c>
      <c r="M1393">
        <v>0.35</v>
      </c>
      <c r="N1393">
        <v>0.23</v>
      </c>
      <c r="O1393">
        <v>0.72</v>
      </c>
      <c r="P1393">
        <v>0.49</v>
      </c>
      <c r="Q1393">
        <v>0.75</v>
      </c>
      <c r="R1393" s="2">
        <v>0.52</v>
      </c>
      <c r="S1393" t="str">
        <f>IF(Table1[[#This Row],[Years_Experience]]&lt;=5,"Early Career",
IF(Table1[[#This Row],[Years_Experience]]&lt;=15,"Mid Career","Senior Level"))</f>
        <v>Senior Level</v>
      </c>
      <c r="T1393" t="str">
        <f>IF(Table1[[#This Row],[AI_Exposure_Index]]&gt;=0.7,"High Exposure", IF(Table1[[#This Row],[AI_Exposure_Index]]&gt;=0.3,"Medium Exposure","Low Exposure"))</f>
        <v>High Exposure</v>
      </c>
    </row>
    <row r="1394" spans="1:20" x14ac:dyDescent="0.25">
      <c r="A1394" t="s">
        <v>44</v>
      </c>
      <c r="B1394">
        <v>133501</v>
      </c>
      <c r="C1394" s="1">
        <v>10</v>
      </c>
      <c r="D1394" t="s">
        <v>38</v>
      </c>
      <c r="E1394" s="7">
        <v>1.22</v>
      </c>
      <c r="F1394" s="2">
        <v>0.19</v>
      </c>
      <c r="G1394" s="7">
        <v>0.43</v>
      </c>
      <c r="H1394" s="9" t="s">
        <v>27</v>
      </c>
      <c r="I1394">
        <v>0.33</v>
      </c>
      <c r="J1394">
        <v>0.74</v>
      </c>
      <c r="K1394">
        <v>0.25</v>
      </c>
      <c r="L1394">
        <v>0.9</v>
      </c>
      <c r="M1394">
        <v>0.56000000000000005</v>
      </c>
      <c r="N1394">
        <v>0.54</v>
      </c>
      <c r="O1394">
        <v>0.26</v>
      </c>
      <c r="P1394">
        <v>0.84</v>
      </c>
      <c r="Q1394">
        <v>0.56999999999999995</v>
      </c>
      <c r="R1394" s="2">
        <v>0.16</v>
      </c>
      <c r="S1394" t="str">
        <f>IF(Table1[[#This Row],[Years_Experience]]&lt;=5,"Early Career",
IF(Table1[[#This Row],[Years_Experience]]&lt;=15,"Mid Career","Senior Level"))</f>
        <v>Mid Career</v>
      </c>
      <c r="T1394" t="str">
        <f>IF(Table1[[#This Row],[AI_Exposure_Index]]&gt;=0.7,"High Exposure", IF(Table1[[#This Row],[AI_Exposure_Index]]&gt;=0.3,"Medium Exposure","Low Exposure"))</f>
        <v>Low Exposure</v>
      </c>
    </row>
    <row r="1395" spans="1:20" x14ac:dyDescent="0.25">
      <c r="A1395" t="s">
        <v>32</v>
      </c>
      <c r="B1395">
        <v>60639</v>
      </c>
      <c r="C1395" s="1">
        <v>10</v>
      </c>
      <c r="D1395" t="s">
        <v>38</v>
      </c>
      <c r="E1395" s="7">
        <v>0.56000000000000005</v>
      </c>
      <c r="F1395" s="2">
        <v>0.2</v>
      </c>
      <c r="G1395" s="7">
        <v>0.52</v>
      </c>
      <c r="H1395" s="9" t="s">
        <v>27</v>
      </c>
      <c r="I1395">
        <v>0.7</v>
      </c>
      <c r="J1395">
        <v>1</v>
      </c>
      <c r="K1395">
        <v>0.36</v>
      </c>
      <c r="L1395">
        <v>0.9</v>
      </c>
      <c r="M1395">
        <v>0.38</v>
      </c>
      <c r="N1395">
        <v>0.69</v>
      </c>
      <c r="O1395">
        <v>0.6</v>
      </c>
      <c r="P1395">
        <v>0.05</v>
      </c>
      <c r="Q1395">
        <v>0.08</v>
      </c>
      <c r="R1395" s="2">
        <v>0.02</v>
      </c>
      <c r="S1395" t="str">
        <f>IF(Table1[[#This Row],[Years_Experience]]&lt;=5,"Early Career",
IF(Table1[[#This Row],[Years_Experience]]&lt;=15,"Mid Career","Senior Level"))</f>
        <v>Mid Career</v>
      </c>
      <c r="T1395" t="str">
        <f>IF(Table1[[#This Row],[AI_Exposure_Index]]&gt;=0.7,"High Exposure", IF(Table1[[#This Row],[AI_Exposure_Index]]&gt;=0.3,"Medium Exposure","Low Exposure"))</f>
        <v>Low Exposure</v>
      </c>
    </row>
    <row r="1396" spans="1:20" x14ac:dyDescent="0.25">
      <c r="A1396" t="s">
        <v>39</v>
      </c>
      <c r="B1396">
        <v>94414</v>
      </c>
      <c r="C1396" s="1">
        <v>21</v>
      </c>
      <c r="D1396" t="s">
        <v>22</v>
      </c>
      <c r="E1396" s="7">
        <v>0.67</v>
      </c>
      <c r="F1396" s="2">
        <v>0.75</v>
      </c>
      <c r="G1396" s="7">
        <v>0.85</v>
      </c>
      <c r="H1396" s="9" t="s">
        <v>20</v>
      </c>
      <c r="I1396">
        <v>0.28999999999999998</v>
      </c>
      <c r="J1396">
        <v>0.8</v>
      </c>
      <c r="K1396">
        <v>0.8</v>
      </c>
      <c r="L1396">
        <v>0.78</v>
      </c>
      <c r="M1396">
        <v>0.52</v>
      </c>
      <c r="N1396">
        <v>0.28000000000000003</v>
      </c>
      <c r="O1396">
        <v>0.81</v>
      </c>
      <c r="P1396">
        <v>0.19</v>
      </c>
      <c r="Q1396">
        <v>0.28999999999999998</v>
      </c>
      <c r="R1396" s="2">
        <v>0.18</v>
      </c>
      <c r="S1396" t="str">
        <f>IF(Table1[[#This Row],[Years_Experience]]&lt;=5,"Early Career",
IF(Table1[[#This Row],[Years_Experience]]&lt;=15,"Mid Career","Senior Level"))</f>
        <v>Senior Level</v>
      </c>
      <c r="T1396" t="str">
        <f>IF(Table1[[#This Row],[AI_Exposure_Index]]&gt;=0.7,"High Exposure", IF(Table1[[#This Row],[AI_Exposure_Index]]&gt;=0.3,"Medium Exposure","Low Exposure"))</f>
        <v>High Exposure</v>
      </c>
    </row>
    <row r="1397" spans="1:20" x14ac:dyDescent="0.25">
      <c r="A1397" t="s">
        <v>31</v>
      </c>
      <c r="B1397">
        <v>97963</v>
      </c>
      <c r="C1397" s="1">
        <v>25</v>
      </c>
      <c r="D1397" t="s">
        <v>38</v>
      </c>
      <c r="E1397" s="7">
        <v>1.1499999999999999</v>
      </c>
      <c r="F1397" s="2">
        <v>0.69</v>
      </c>
      <c r="G1397" s="7">
        <v>0.15</v>
      </c>
      <c r="H1397" s="9" t="s">
        <v>23</v>
      </c>
      <c r="I1397">
        <v>0.1</v>
      </c>
      <c r="J1397">
        <v>0.91</v>
      </c>
      <c r="K1397">
        <v>0.51</v>
      </c>
      <c r="L1397">
        <v>0.41</v>
      </c>
      <c r="M1397">
        <v>0.59</v>
      </c>
      <c r="N1397">
        <v>0.19</v>
      </c>
      <c r="O1397">
        <v>0.13</v>
      </c>
      <c r="P1397">
        <v>0.41</v>
      </c>
      <c r="Q1397">
        <v>0.23</v>
      </c>
      <c r="R1397" s="2">
        <v>0.24</v>
      </c>
      <c r="S1397" t="str">
        <f>IF(Table1[[#This Row],[Years_Experience]]&lt;=5,"Early Career",
IF(Table1[[#This Row],[Years_Experience]]&lt;=15,"Mid Career","Senior Level"))</f>
        <v>Senior Level</v>
      </c>
      <c r="T1397" t="str">
        <f>IF(Table1[[#This Row],[AI_Exposure_Index]]&gt;=0.7,"High Exposure", IF(Table1[[#This Row],[AI_Exposure_Index]]&gt;=0.3,"Medium Exposure","Low Exposure"))</f>
        <v>Medium Exposure</v>
      </c>
    </row>
    <row r="1398" spans="1:20" x14ac:dyDescent="0.25">
      <c r="A1398" t="s">
        <v>21</v>
      </c>
      <c r="B1398">
        <v>137020</v>
      </c>
      <c r="C1398" s="1">
        <v>23</v>
      </c>
      <c r="D1398" t="s">
        <v>22</v>
      </c>
      <c r="E1398" s="7">
        <v>0.98</v>
      </c>
      <c r="F1398" s="2">
        <v>0.53</v>
      </c>
      <c r="G1398" s="7">
        <v>0.22</v>
      </c>
      <c r="H1398" s="9" t="s">
        <v>23</v>
      </c>
      <c r="I1398">
        <v>0.95</v>
      </c>
      <c r="J1398">
        <v>0.11</v>
      </c>
      <c r="K1398">
        <v>0.83</v>
      </c>
      <c r="L1398">
        <v>0.57999999999999996</v>
      </c>
      <c r="M1398">
        <v>0.15</v>
      </c>
      <c r="N1398">
        <v>0.3</v>
      </c>
      <c r="O1398">
        <v>0.48</v>
      </c>
      <c r="P1398">
        <v>0.69</v>
      </c>
      <c r="Q1398">
        <v>0.24</v>
      </c>
      <c r="R1398" s="2">
        <v>0.53</v>
      </c>
      <c r="S1398" t="str">
        <f>IF(Table1[[#This Row],[Years_Experience]]&lt;=5,"Early Career",
IF(Table1[[#This Row],[Years_Experience]]&lt;=15,"Mid Career","Senior Level"))</f>
        <v>Senior Level</v>
      </c>
      <c r="T1398" t="str">
        <f>IF(Table1[[#This Row],[AI_Exposure_Index]]&gt;=0.7,"High Exposure", IF(Table1[[#This Row],[AI_Exposure_Index]]&gt;=0.3,"Medium Exposure","Low Exposure"))</f>
        <v>Medium Exposure</v>
      </c>
    </row>
    <row r="1399" spans="1:20" x14ac:dyDescent="0.25">
      <c r="A1399" t="s">
        <v>41</v>
      </c>
      <c r="B1399">
        <v>71941</v>
      </c>
      <c r="C1399" s="1">
        <v>22</v>
      </c>
      <c r="D1399" t="s">
        <v>25</v>
      </c>
      <c r="E1399" s="7">
        <v>1.36</v>
      </c>
      <c r="F1399" s="2">
        <v>0.45</v>
      </c>
      <c r="G1399" s="7">
        <v>0.92</v>
      </c>
      <c r="H1399" s="9" t="s">
        <v>20</v>
      </c>
      <c r="I1399">
        <v>0.47</v>
      </c>
      <c r="J1399">
        <v>0.97</v>
      </c>
      <c r="K1399">
        <v>0.08</v>
      </c>
      <c r="L1399">
        <v>0</v>
      </c>
      <c r="M1399">
        <v>0.38</v>
      </c>
      <c r="N1399">
        <v>0.6</v>
      </c>
      <c r="O1399">
        <v>0.63</v>
      </c>
      <c r="P1399">
        <v>0.48</v>
      </c>
      <c r="Q1399">
        <v>0.12</v>
      </c>
      <c r="R1399" s="2">
        <v>0.17</v>
      </c>
      <c r="S1399" t="str">
        <f>IF(Table1[[#This Row],[Years_Experience]]&lt;=5,"Early Career",
IF(Table1[[#This Row],[Years_Experience]]&lt;=15,"Mid Career","Senior Level"))</f>
        <v>Senior Level</v>
      </c>
      <c r="T1399" t="str">
        <f>IF(Table1[[#This Row],[AI_Exposure_Index]]&gt;=0.7,"High Exposure", IF(Table1[[#This Row],[AI_Exposure_Index]]&gt;=0.3,"Medium Exposure","Low Exposure"))</f>
        <v>Medium Exposure</v>
      </c>
    </row>
    <row r="1400" spans="1:20" x14ac:dyDescent="0.25">
      <c r="A1400" t="s">
        <v>39</v>
      </c>
      <c r="B1400">
        <v>54269</v>
      </c>
      <c r="C1400" s="1">
        <v>1</v>
      </c>
      <c r="D1400" t="s">
        <v>22</v>
      </c>
      <c r="E1400" s="7">
        <v>1.17</v>
      </c>
      <c r="F1400" s="2">
        <v>0.87</v>
      </c>
      <c r="G1400" s="7">
        <v>0.87</v>
      </c>
      <c r="H1400" s="9" t="s">
        <v>20</v>
      </c>
      <c r="I1400">
        <v>0.6</v>
      </c>
      <c r="J1400">
        <v>0.2</v>
      </c>
      <c r="K1400">
        <v>0.43</v>
      </c>
      <c r="L1400">
        <v>0.7</v>
      </c>
      <c r="M1400">
        <v>0.54</v>
      </c>
      <c r="N1400">
        <v>0.02</v>
      </c>
      <c r="O1400">
        <v>0.95</v>
      </c>
      <c r="P1400">
        <v>0.84</v>
      </c>
      <c r="Q1400">
        <v>0.26</v>
      </c>
      <c r="R1400" s="2">
        <v>0.62</v>
      </c>
      <c r="S1400" t="str">
        <f>IF(Table1[[#This Row],[Years_Experience]]&lt;=5,"Early Career",
IF(Table1[[#This Row],[Years_Experience]]&lt;=15,"Mid Career","Senior Level"))</f>
        <v>Early Career</v>
      </c>
      <c r="T1400" t="str">
        <f>IF(Table1[[#This Row],[AI_Exposure_Index]]&gt;=0.7,"High Exposure", IF(Table1[[#This Row],[AI_Exposure_Index]]&gt;=0.3,"Medium Exposure","Low Exposure"))</f>
        <v>High Exposure</v>
      </c>
    </row>
    <row r="1401" spans="1:20" x14ac:dyDescent="0.25">
      <c r="A1401" t="s">
        <v>18</v>
      </c>
      <c r="B1401">
        <v>122816</v>
      </c>
      <c r="C1401" s="1">
        <v>15</v>
      </c>
      <c r="D1401" t="s">
        <v>19</v>
      </c>
      <c r="E1401" s="7">
        <v>1</v>
      </c>
      <c r="F1401" s="2">
        <v>0.1</v>
      </c>
      <c r="G1401" s="7">
        <v>0.81</v>
      </c>
      <c r="H1401" s="9" t="s">
        <v>20</v>
      </c>
      <c r="I1401">
        <v>0.41</v>
      </c>
      <c r="J1401">
        <v>0.84</v>
      </c>
      <c r="K1401">
        <v>0.38</v>
      </c>
      <c r="L1401">
        <v>0.06</v>
      </c>
      <c r="M1401">
        <v>7.0000000000000007E-2</v>
      </c>
      <c r="N1401">
        <v>0.04</v>
      </c>
      <c r="O1401">
        <v>0.41</v>
      </c>
      <c r="P1401">
        <v>0.72</v>
      </c>
      <c r="Q1401">
        <v>0.2</v>
      </c>
      <c r="R1401" s="2">
        <v>0.65</v>
      </c>
      <c r="S1401" t="str">
        <f>IF(Table1[[#This Row],[Years_Experience]]&lt;=5,"Early Career",
IF(Table1[[#This Row],[Years_Experience]]&lt;=15,"Mid Career","Senior Level"))</f>
        <v>Mid Career</v>
      </c>
      <c r="T1401" t="str">
        <f>IF(Table1[[#This Row],[AI_Exposure_Index]]&gt;=0.7,"High Exposure", IF(Table1[[#This Row],[AI_Exposure_Index]]&gt;=0.3,"Medium Exposure","Low Exposure"))</f>
        <v>Low Exposure</v>
      </c>
    </row>
    <row r="1402" spans="1:20" x14ac:dyDescent="0.25">
      <c r="A1402" t="s">
        <v>36</v>
      </c>
      <c r="B1402">
        <v>97500</v>
      </c>
      <c r="C1402" s="1">
        <v>23</v>
      </c>
      <c r="D1402" t="s">
        <v>19</v>
      </c>
      <c r="E1402" s="7">
        <v>1.1000000000000001</v>
      </c>
      <c r="F1402" s="2">
        <v>0.26</v>
      </c>
      <c r="G1402" s="7">
        <v>0.56999999999999995</v>
      </c>
      <c r="H1402" s="9" t="s">
        <v>27</v>
      </c>
      <c r="I1402">
        <v>0.47</v>
      </c>
      <c r="J1402">
        <v>0.34</v>
      </c>
      <c r="K1402">
        <v>0.62</v>
      </c>
      <c r="L1402">
        <v>0.98</v>
      </c>
      <c r="M1402">
        <v>0.43</v>
      </c>
      <c r="N1402">
        <v>0.39</v>
      </c>
      <c r="O1402">
        <v>0.46</v>
      </c>
      <c r="P1402">
        <v>0.08</v>
      </c>
      <c r="Q1402">
        <v>0.55000000000000004</v>
      </c>
      <c r="R1402" s="2">
        <v>0.33</v>
      </c>
      <c r="S1402" t="str">
        <f>IF(Table1[[#This Row],[Years_Experience]]&lt;=5,"Early Career",
IF(Table1[[#This Row],[Years_Experience]]&lt;=15,"Mid Career","Senior Level"))</f>
        <v>Senior Level</v>
      </c>
      <c r="T1402" t="str">
        <f>IF(Table1[[#This Row],[AI_Exposure_Index]]&gt;=0.7,"High Exposure", IF(Table1[[#This Row],[AI_Exposure_Index]]&gt;=0.3,"Medium Exposure","Low Exposure"))</f>
        <v>Low Exposure</v>
      </c>
    </row>
    <row r="1403" spans="1:20" x14ac:dyDescent="0.25">
      <c r="A1403" t="s">
        <v>35</v>
      </c>
      <c r="B1403">
        <v>129626</v>
      </c>
      <c r="C1403" s="1">
        <v>11</v>
      </c>
      <c r="D1403" t="s">
        <v>38</v>
      </c>
      <c r="E1403" s="7">
        <v>0.5</v>
      </c>
      <c r="F1403" s="2">
        <v>0.47</v>
      </c>
      <c r="G1403" s="7">
        <v>0.46</v>
      </c>
      <c r="H1403" s="9" t="s">
        <v>27</v>
      </c>
      <c r="I1403">
        <v>0.11</v>
      </c>
      <c r="J1403">
        <v>0.02</v>
      </c>
      <c r="K1403">
        <v>0.82</v>
      </c>
      <c r="L1403">
        <v>0.92</v>
      </c>
      <c r="M1403">
        <v>0.21</v>
      </c>
      <c r="N1403">
        <v>0.54</v>
      </c>
      <c r="O1403">
        <v>0.28000000000000003</v>
      </c>
      <c r="P1403">
        <v>0.49</v>
      </c>
      <c r="Q1403">
        <v>0.44</v>
      </c>
      <c r="R1403" s="2">
        <v>0.27</v>
      </c>
      <c r="S1403" t="str">
        <f>IF(Table1[[#This Row],[Years_Experience]]&lt;=5,"Early Career",
IF(Table1[[#This Row],[Years_Experience]]&lt;=15,"Mid Career","Senior Level"))</f>
        <v>Mid Career</v>
      </c>
      <c r="T1403" t="str">
        <f>IF(Table1[[#This Row],[AI_Exposure_Index]]&gt;=0.7,"High Exposure", IF(Table1[[#This Row],[AI_Exposure_Index]]&gt;=0.3,"Medium Exposure","Low Exposure"))</f>
        <v>Medium Exposure</v>
      </c>
    </row>
    <row r="1404" spans="1:20" x14ac:dyDescent="0.25">
      <c r="A1404" t="s">
        <v>28</v>
      </c>
      <c r="B1404">
        <v>95107</v>
      </c>
      <c r="C1404" s="1">
        <v>9</v>
      </c>
      <c r="D1404" t="s">
        <v>38</v>
      </c>
      <c r="E1404" s="7">
        <v>0.55000000000000004</v>
      </c>
      <c r="F1404" s="2">
        <v>0.13</v>
      </c>
      <c r="G1404" s="7">
        <v>0.61</v>
      </c>
      <c r="H1404" s="9" t="s">
        <v>27</v>
      </c>
      <c r="I1404">
        <v>0.67</v>
      </c>
      <c r="J1404">
        <v>0.5</v>
      </c>
      <c r="K1404">
        <v>0.47</v>
      </c>
      <c r="L1404">
        <v>0.5</v>
      </c>
      <c r="M1404">
        <v>0.44</v>
      </c>
      <c r="N1404">
        <v>0.39</v>
      </c>
      <c r="O1404">
        <v>0.5</v>
      </c>
      <c r="P1404">
        <v>0.53</v>
      </c>
      <c r="Q1404">
        <v>0.69</v>
      </c>
      <c r="R1404" s="2">
        <v>0.71</v>
      </c>
      <c r="S1404" t="str">
        <f>IF(Table1[[#This Row],[Years_Experience]]&lt;=5,"Early Career",
IF(Table1[[#This Row],[Years_Experience]]&lt;=15,"Mid Career","Senior Level"))</f>
        <v>Mid Career</v>
      </c>
      <c r="T1404" t="str">
        <f>IF(Table1[[#This Row],[AI_Exposure_Index]]&gt;=0.7,"High Exposure", IF(Table1[[#This Row],[AI_Exposure_Index]]&gt;=0.3,"Medium Exposure","Low Exposure"))</f>
        <v>Low Exposure</v>
      </c>
    </row>
    <row r="1405" spans="1:20" x14ac:dyDescent="0.25">
      <c r="A1405" t="s">
        <v>18</v>
      </c>
      <c r="B1405">
        <v>49638</v>
      </c>
      <c r="C1405" s="1">
        <v>16</v>
      </c>
      <c r="D1405" t="s">
        <v>25</v>
      </c>
      <c r="E1405" s="7">
        <v>0.87</v>
      </c>
      <c r="F1405" s="2">
        <v>0.41</v>
      </c>
      <c r="G1405" s="7">
        <v>0.83</v>
      </c>
      <c r="H1405" s="9" t="s">
        <v>20</v>
      </c>
      <c r="I1405">
        <v>0.45</v>
      </c>
      <c r="J1405">
        <v>0.89</v>
      </c>
      <c r="K1405">
        <v>0.7</v>
      </c>
      <c r="L1405">
        <v>0.9</v>
      </c>
      <c r="M1405">
        <v>0.71</v>
      </c>
      <c r="N1405">
        <v>0.97</v>
      </c>
      <c r="O1405">
        <v>0.64</v>
      </c>
      <c r="P1405">
        <v>0.96</v>
      </c>
      <c r="Q1405">
        <v>0.16</v>
      </c>
      <c r="R1405" s="2">
        <v>0.05</v>
      </c>
      <c r="S1405" t="str">
        <f>IF(Table1[[#This Row],[Years_Experience]]&lt;=5,"Early Career",
IF(Table1[[#This Row],[Years_Experience]]&lt;=15,"Mid Career","Senior Level"))</f>
        <v>Senior Level</v>
      </c>
      <c r="T1405" t="str">
        <f>IF(Table1[[#This Row],[AI_Exposure_Index]]&gt;=0.7,"High Exposure", IF(Table1[[#This Row],[AI_Exposure_Index]]&gt;=0.3,"Medium Exposure","Low Exposure"))</f>
        <v>Medium Exposure</v>
      </c>
    </row>
    <row r="1406" spans="1:20" x14ac:dyDescent="0.25">
      <c r="A1406" t="s">
        <v>36</v>
      </c>
      <c r="B1406">
        <v>131471</v>
      </c>
      <c r="C1406" s="1">
        <v>4</v>
      </c>
      <c r="D1406" t="s">
        <v>19</v>
      </c>
      <c r="E1406" s="7">
        <v>0.92</v>
      </c>
      <c r="F1406" s="2">
        <v>0.98</v>
      </c>
      <c r="G1406" s="7">
        <v>0.38</v>
      </c>
      <c r="H1406" s="9" t="s">
        <v>27</v>
      </c>
      <c r="I1406">
        <v>0.52</v>
      </c>
      <c r="J1406">
        <v>0.65</v>
      </c>
      <c r="K1406">
        <v>0.32</v>
      </c>
      <c r="L1406">
        <v>0.71</v>
      </c>
      <c r="M1406">
        <v>0.98</v>
      </c>
      <c r="N1406">
        <v>0.9</v>
      </c>
      <c r="O1406">
        <v>0.28999999999999998</v>
      </c>
      <c r="P1406">
        <v>0.33</v>
      </c>
      <c r="Q1406">
        <v>0.37</v>
      </c>
      <c r="R1406" s="2">
        <v>0.39</v>
      </c>
      <c r="S1406" t="str">
        <f>IF(Table1[[#This Row],[Years_Experience]]&lt;=5,"Early Career",
IF(Table1[[#This Row],[Years_Experience]]&lt;=15,"Mid Career","Senior Level"))</f>
        <v>Early Career</v>
      </c>
      <c r="T1406" t="str">
        <f>IF(Table1[[#This Row],[AI_Exposure_Index]]&gt;=0.7,"High Exposure", IF(Table1[[#This Row],[AI_Exposure_Index]]&gt;=0.3,"Medium Exposure","Low Exposure"))</f>
        <v>High Exposure</v>
      </c>
    </row>
    <row r="1407" spans="1:20" x14ac:dyDescent="0.25">
      <c r="A1407" t="s">
        <v>36</v>
      </c>
      <c r="B1407">
        <v>65319</v>
      </c>
      <c r="C1407" s="1">
        <v>25</v>
      </c>
      <c r="D1407" t="s">
        <v>25</v>
      </c>
      <c r="E1407" s="7">
        <v>0.87</v>
      </c>
      <c r="F1407" s="2">
        <v>0.76</v>
      </c>
      <c r="G1407" s="7">
        <v>0.65</v>
      </c>
      <c r="H1407" s="9" t="s">
        <v>27</v>
      </c>
      <c r="I1407">
        <v>0.93</v>
      </c>
      <c r="J1407">
        <v>0.02</v>
      </c>
      <c r="K1407">
        <v>0.99</v>
      </c>
      <c r="L1407">
        <v>0.71</v>
      </c>
      <c r="M1407">
        <v>0.52</v>
      </c>
      <c r="N1407">
        <v>0.39</v>
      </c>
      <c r="O1407">
        <v>0.52</v>
      </c>
      <c r="P1407">
        <v>0.32</v>
      </c>
      <c r="Q1407">
        <v>0.62</v>
      </c>
      <c r="R1407" s="2">
        <v>0.09</v>
      </c>
      <c r="S1407" t="str">
        <f>IF(Table1[[#This Row],[Years_Experience]]&lt;=5,"Early Career",
IF(Table1[[#This Row],[Years_Experience]]&lt;=15,"Mid Career","Senior Level"))</f>
        <v>Senior Level</v>
      </c>
      <c r="T1407" t="str">
        <f>IF(Table1[[#This Row],[AI_Exposure_Index]]&gt;=0.7,"High Exposure", IF(Table1[[#This Row],[AI_Exposure_Index]]&gt;=0.3,"Medium Exposure","Low Exposure"))</f>
        <v>High Exposure</v>
      </c>
    </row>
    <row r="1408" spans="1:20" x14ac:dyDescent="0.25">
      <c r="A1408" t="s">
        <v>18</v>
      </c>
      <c r="B1408">
        <v>46029</v>
      </c>
      <c r="C1408" s="1">
        <v>14</v>
      </c>
      <c r="D1408" t="s">
        <v>19</v>
      </c>
      <c r="E1408" s="7">
        <v>1.19</v>
      </c>
      <c r="F1408" s="2">
        <v>0.2</v>
      </c>
      <c r="G1408" s="7">
        <v>0.75</v>
      </c>
      <c r="H1408" s="9" t="s">
        <v>20</v>
      </c>
      <c r="I1408">
        <v>0.56000000000000005</v>
      </c>
      <c r="J1408">
        <v>0.65</v>
      </c>
      <c r="K1408">
        <v>0.9</v>
      </c>
      <c r="L1408">
        <v>0.45</v>
      </c>
      <c r="M1408">
        <v>0.78</v>
      </c>
      <c r="N1408">
        <v>0.17</v>
      </c>
      <c r="O1408">
        <v>0.16</v>
      </c>
      <c r="P1408">
        <v>0.52</v>
      </c>
      <c r="Q1408">
        <v>0.6</v>
      </c>
      <c r="R1408" s="2">
        <v>0.63</v>
      </c>
      <c r="S1408" t="str">
        <f>IF(Table1[[#This Row],[Years_Experience]]&lt;=5,"Early Career",
IF(Table1[[#This Row],[Years_Experience]]&lt;=15,"Mid Career","Senior Level"))</f>
        <v>Mid Career</v>
      </c>
      <c r="T1408" t="str">
        <f>IF(Table1[[#This Row],[AI_Exposure_Index]]&gt;=0.7,"High Exposure", IF(Table1[[#This Row],[AI_Exposure_Index]]&gt;=0.3,"Medium Exposure","Low Exposure"))</f>
        <v>Low Exposure</v>
      </c>
    </row>
    <row r="1409" spans="1:20" x14ac:dyDescent="0.25">
      <c r="A1409" t="s">
        <v>29</v>
      </c>
      <c r="B1409">
        <v>62380</v>
      </c>
      <c r="C1409" s="1">
        <v>2</v>
      </c>
      <c r="D1409" t="s">
        <v>19</v>
      </c>
      <c r="E1409" s="7">
        <v>1.1200000000000001</v>
      </c>
      <c r="F1409" s="2">
        <v>0.28999999999999998</v>
      </c>
      <c r="G1409" s="7">
        <v>0.1</v>
      </c>
      <c r="H1409" s="9" t="s">
        <v>23</v>
      </c>
      <c r="I1409">
        <v>0.22</v>
      </c>
      <c r="J1409">
        <v>7.0000000000000007E-2</v>
      </c>
      <c r="K1409">
        <v>0.75</v>
      </c>
      <c r="L1409">
        <v>0.51</v>
      </c>
      <c r="M1409">
        <v>0.24</v>
      </c>
      <c r="N1409">
        <v>0.56000000000000005</v>
      </c>
      <c r="O1409">
        <v>0.35</v>
      </c>
      <c r="P1409">
        <v>0.84</v>
      </c>
      <c r="Q1409">
        <v>0.53</v>
      </c>
      <c r="R1409" s="2">
        <v>0.03</v>
      </c>
      <c r="S1409" t="str">
        <f>IF(Table1[[#This Row],[Years_Experience]]&lt;=5,"Early Career",
IF(Table1[[#This Row],[Years_Experience]]&lt;=15,"Mid Career","Senior Level"))</f>
        <v>Early Career</v>
      </c>
      <c r="T1409" t="str">
        <f>IF(Table1[[#This Row],[AI_Exposure_Index]]&gt;=0.7,"High Exposure", IF(Table1[[#This Row],[AI_Exposure_Index]]&gt;=0.3,"Medium Exposure","Low Exposure"))</f>
        <v>Low Exposure</v>
      </c>
    </row>
    <row r="1410" spans="1:20" x14ac:dyDescent="0.25">
      <c r="A1410" t="s">
        <v>32</v>
      </c>
      <c r="B1410">
        <v>108966</v>
      </c>
      <c r="C1410" s="1">
        <v>4</v>
      </c>
      <c r="D1410" t="s">
        <v>38</v>
      </c>
      <c r="E1410" s="7">
        <v>1.2</v>
      </c>
      <c r="F1410" s="2">
        <v>7.0000000000000007E-2</v>
      </c>
      <c r="G1410" s="7">
        <v>0.47</v>
      </c>
      <c r="H1410" s="9" t="s">
        <v>27</v>
      </c>
      <c r="I1410">
        <v>0.25</v>
      </c>
      <c r="J1410">
        <v>0.68</v>
      </c>
      <c r="K1410">
        <v>0.13</v>
      </c>
      <c r="L1410">
        <v>0.86</v>
      </c>
      <c r="M1410">
        <v>0.25</v>
      </c>
      <c r="N1410">
        <v>0.36</v>
      </c>
      <c r="O1410">
        <v>0.63</v>
      </c>
      <c r="P1410">
        <v>0</v>
      </c>
      <c r="Q1410">
        <v>0.47</v>
      </c>
      <c r="R1410" s="2">
        <v>0.89</v>
      </c>
      <c r="S1410" t="str">
        <f>IF(Table1[[#This Row],[Years_Experience]]&lt;=5,"Early Career",
IF(Table1[[#This Row],[Years_Experience]]&lt;=15,"Mid Career","Senior Level"))</f>
        <v>Early Career</v>
      </c>
      <c r="T1410" t="str">
        <f>IF(Table1[[#This Row],[AI_Exposure_Index]]&gt;=0.7,"High Exposure", IF(Table1[[#This Row],[AI_Exposure_Index]]&gt;=0.3,"Medium Exposure","Low Exposure"))</f>
        <v>Low Exposure</v>
      </c>
    </row>
    <row r="1411" spans="1:20" x14ac:dyDescent="0.25">
      <c r="A1411" t="s">
        <v>28</v>
      </c>
      <c r="B1411">
        <v>142692</v>
      </c>
      <c r="C1411" s="1">
        <v>27</v>
      </c>
      <c r="D1411" t="s">
        <v>22</v>
      </c>
      <c r="E1411" s="7">
        <v>1.1599999999999999</v>
      </c>
      <c r="F1411" s="2">
        <v>0.39</v>
      </c>
      <c r="G1411" s="7">
        <v>0.67</v>
      </c>
      <c r="H1411" s="9" t="s">
        <v>27</v>
      </c>
      <c r="I1411">
        <v>0.19</v>
      </c>
      <c r="J1411">
        <v>0.53</v>
      </c>
      <c r="K1411">
        <v>0.23</v>
      </c>
      <c r="L1411">
        <v>0.85</v>
      </c>
      <c r="M1411">
        <v>0.72</v>
      </c>
      <c r="N1411">
        <v>0.8</v>
      </c>
      <c r="O1411">
        <v>0.94</v>
      </c>
      <c r="P1411">
        <v>0.23</v>
      </c>
      <c r="Q1411">
        <v>0.05</v>
      </c>
      <c r="R1411" s="2">
        <v>0.28999999999999998</v>
      </c>
      <c r="S1411" t="str">
        <f>IF(Table1[[#This Row],[Years_Experience]]&lt;=5,"Early Career",
IF(Table1[[#This Row],[Years_Experience]]&lt;=15,"Mid Career","Senior Level"))</f>
        <v>Senior Level</v>
      </c>
      <c r="T1411" t="str">
        <f>IF(Table1[[#This Row],[AI_Exposure_Index]]&gt;=0.7,"High Exposure", IF(Table1[[#This Row],[AI_Exposure_Index]]&gt;=0.3,"Medium Exposure","Low Exposure"))</f>
        <v>Medium Exposure</v>
      </c>
    </row>
    <row r="1412" spans="1:20" x14ac:dyDescent="0.25">
      <c r="A1412" t="s">
        <v>33</v>
      </c>
      <c r="B1412">
        <v>33518</v>
      </c>
      <c r="C1412" s="1">
        <v>6</v>
      </c>
      <c r="D1412" t="s">
        <v>22</v>
      </c>
      <c r="E1412" s="7">
        <v>1.49</v>
      </c>
      <c r="F1412" s="2">
        <v>0.89</v>
      </c>
      <c r="G1412" s="7">
        <v>0.84</v>
      </c>
      <c r="H1412" s="9" t="s">
        <v>20</v>
      </c>
      <c r="I1412">
        <v>0.77</v>
      </c>
      <c r="J1412">
        <v>0.86</v>
      </c>
      <c r="K1412">
        <v>0.7</v>
      </c>
      <c r="L1412">
        <v>0.04</v>
      </c>
      <c r="M1412">
        <v>0.16</v>
      </c>
      <c r="N1412">
        <v>7.0000000000000007E-2</v>
      </c>
      <c r="O1412">
        <v>0.01</v>
      </c>
      <c r="P1412">
        <v>0.31</v>
      </c>
      <c r="Q1412">
        <v>0.39</v>
      </c>
      <c r="R1412" s="2">
        <v>0.24</v>
      </c>
      <c r="S1412" t="str">
        <f>IF(Table1[[#This Row],[Years_Experience]]&lt;=5,"Early Career",
IF(Table1[[#This Row],[Years_Experience]]&lt;=15,"Mid Career","Senior Level"))</f>
        <v>Mid Career</v>
      </c>
      <c r="T1412" t="str">
        <f>IF(Table1[[#This Row],[AI_Exposure_Index]]&gt;=0.7,"High Exposure", IF(Table1[[#This Row],[AI_Exposure_Index]]&gt;=0.3,"Medium Exposure","Low Exposure"))</f>
        <v>High Exposure</v>
      </c>
    </row>
    <row r="1413" spans="1:20" x14ac:dyDescent="0.25">
      <c r="A1413" t="s">
        <v>26</v>
      </c>
      <c r="B1413">
        <v>49098</v>
      </c>
      <c r="C1413" s="1">
        <v>6</v>
      </c>
      <c r="D1413" t="s">
        <v>19</v>
      </c>
      <c r="E1413" s="7">
        <v>0.64</v>
      </c>
      <c r="F1413" s="2">
        <v>0.2</v>
      </c>
      <c r="G1413" s="7">
        <v>0.43</v>
      </c>
      <c r="H1413" s="9" t="s">
        <v>27</v>
      </c>
      <c r="I1413">
        <v>0.57999999999999996</v>
      </c>
      <c r="J1413">
        <v>0.6</v>
      </c>
      <c r="K1413">
        <v>0.59</v>
      </c>
      <c r="L1413">
        <v>0.12</v>
      </c>
      <c r="M1413">
        <v>0.6</v>
      </c>
      <c r="N1413">
        <v>0.41</v>
      </c>
      <c r="O1413">
        <v>0.9</v>
      </c>
      <c r="P1413">
        <v>0.91</v>
      </c>
      <c r="Q1413">
        <v>0.77</v>
      </c>
      <c r="R1413" s="2">
        <v>0.7</v>
      </c>
      <c r="S1413" t="str">
        <f>IF(Table1[[#This Row],[Years_Experience]]&lt;=5,"Early Career",
IF(Table1[[#This Row],[Years_Experience]]&lt;=15,"Mid Career","Senior Level"))</f>
        <v>Mid Career</v>
      </c>
      <c r="T1413" t="str">
        <f>IF(Table1[[#This Row],[AI_Exposure_Index]]&gt;=0.7,"High Exposure", IF(Table1[[#This Row],[AI_Exposure_Index]]&gt;=0.3,"Medium Exposure","Low Exposure"))</f>
        <v>Low Exposure</v>
      </c>
    </row>
    <row r="1414" spans="1:20" x14ac:dyDescent="0.25">
      <c r="A1414" t="s">
        <v>24</v>
      </c>
      <c r="B1414">
        <v>130992</v>
      </c>
      <c r="C1414" s="1">
        <v>4</v>
      </c>
      <c r="D1414" t="s">
        <v>22</v>
      </c>
      <c r="E1414" s="7">
        <v>1.34</v>
      </c>
      <c r="F1414" s="2">
        <v>0.08</v>
      </c>
      <c r="G1414" s="7">
        <v>0.81</v>
      </c>
      <c r="H1414" s="9" t="s">
        <v>20</v>
      </c>
      <c r="I1414">
        <v>0.45</v>
      </c>
      <c r="J1414">
        <v>0.85</v>
      </c>
      <c r="K1414">
        <v>0.62</v>
      </c>
      <c r="L1414">
        <v>0.18</v>
      </c>
      <c r="M1414">
        <v>0.21</v>
      </c>
      <c r="N1414">
        <v>0.01</v>
      </c>
      <c r="O1414">
        <v>0.71</v>
      </c>
      <c r="P1414">
        <v>0.49</v>
      </c>
      <c r="Q1414">
        <v>0.95</v>
      </c>
      <c r="R1414" s="2">
        <v>0.71</v>
      </c>
      <c r="S1414" t="str">
        <f>IF(Table1[[#This Row],[Years_Experience]]&lt;=5,"Early Career",
IF(Table1[[#This Row],[Years_Experience]]&lt;=15,"Mid Career","Senior Level"))</f>
        <v>Early Career</v>
      </c>
      <c r="T1414" t="str">
        <f>IF(Table1[[#This Row],[AI_Exposure_Index]]&gt;=0.7,"High Exposure", IF(Table1[[#This Row],[AI_Exposure_Index]]&gt;=0.3,"Medium Exposure","Low Exposure"))</f>
        <v>Low Exposure</v>
      </c>
    </row>
    <row r="1415" spans="1:20" x14ac:dyDescent="0.25">
      <c r="A1415" t="s">
        <v>26</v>
      </c>
      <c r="B1415">
        <v>43950</v>
      </c>
      <c r="C1415" s="1">
        <v>2</v>
      </c>
      <c r="D1415" t="s">
        <v>22</v>
      </c>
      <c r="E1415" s="7">
        <v>1</v>
      </c>
      <c r="F1415" s="2">
        <v>0.16</v>
      </c>
      <c r="G1415" s="7">
        <v>0.67</v>
      </c>
      <c r="H1415" s="9" t="s">
        <v>27</v>
      </c>
      <c r="I1415">
        <v>0.25</v>
      </c>
      <c r="J1415">
        <v>0.83</v>
      </c>
      <c r="K1415">
        <v>0.31</v>
      </c>
      <c r="L1415">
        <v>0.27</v>
      </c>
      <c r="M1415">
        <v>0.9</v>
      </c>
      <c r="N1415">
        <v>0.05</v>
      </c>
      <c r="O1415">
        <v>0.66</v>
      </c>
      <c r="P1415">
        <v>0.04</v>
      </c>
      <c r="Q1415">
        <v>0.8</v>
      </c>
      <c r="R1415" s="2">
        <v>0.83</v>
      </c>
      <c r="S1415" t="str">
        <f>IF(Table1[[#This Row],[Years_Experience]]&lt;=5,"Early Career",
IF(Table1[[#This Row],[Years_Experience]]&lt;=15,"Mid Career","Senior Level"))</f>
        <v>Early Career</v>
      </c>
      <c r="T1415" t="str">
        <f>IF(Table1[[#This Row],[AI_Exposure_Index]]&gt;=0.7,"High Exposure", IF(Table1[[#This Row],[AI_Exposure_Index]]&gt;=0.3,"Medium Exposure","Low Exposure"))</f>
        <v>Low Exposure</v>
      </c>
    </row>
    <row r="1416" spans="1:20" x14ac:dyDescent="0.25">
      <c r="A1416" t="s">
        <v>28</v>
      </c>
      <c r="B1416">
        <v>96603</v>
      </c>
      <c r="C1416" s="1">
        <v>24</v>
      </c>
      <c r="D1416" t="s">
        <v>25</v>
      </c>
      <c r="E1416" s="7">
        <v>0.62</v>
      </c>
      <c r="F1416" s="2">
        <v>0.19</v>
      </c>
      <c r="G1416" s="7">
        <v>0.5</v>
      </c>
      <c r="H1416" s="9" t="s">
        <v>27</v>
      </c>
      <c r="I1416">
        <v>0.27</v>
      </c>
      <c r="J1416">
        <v>0.61</v>
      </c>
      <c r="K1416">
        <v>0.51</v>
      </c>
      <c r="L1416">
        <v>0.14000000000000001</v>
      </c>
      <c r="M1416">
        <v>0.74</v>
      </c>
      <c r="N1416">
        <v>0.8</v>
      </c>
      <c r="O1416">
        <v>0.96</v>
      </c>
      <c r="P1416">
        <v>0.4</v>
      </c>
      <c r="Q1416">
        <v>0.34</v>
      </c>
      <c r="R1416" s="2">
        <v>0.19</v>
      </c>
      <c r="S1416" t="str">
        <f>IF(Table1[[#This Row],[Years_Experience]]&lt;=5,"Early Career",
IF(Table1[[#This Row],[Years_Experience]]&lt;=15,"Mid Career","Senior Level"))</f>
        <v>Senior Level</v>
      </c>
      <c r="T1416" t="str">
        <f>IF(Table1[[#This Row],[AI_Exposure_Index]]&gt;=0.7,"High Exposure", IF(Table1[[#This Row],[AI_Exposure_Index]]&gt;=0.3,"Medium Exposure","Low Exposure"))</f>
        <v>Low Exposure</v>
      </c>
    </row>
    <row r="1417" spans="1:20" x14ac:dyDescent="0.25">
      <c r="A1417" t="s">
        <v>43</v>
      </c>
      <c r="B1417">
        <v>106831</v>
      </c>
      <c r="C1417" s="1">
        <v>23</v>
      </c>
      <c r="D1417" t="s">
        <v>19</v>
      </c>
      <c r="E1417" s="7">
        <v>1.48</v>
      </c>
      <c r="F1417" s="2">
        <v>0.32</v>
      </c>
      <c r="G1417" s="7">
        <v>7.0000000000000007E-2</v>
      </c>
      <c r="H1417" s="9" t="s">
        <v>23</v>
      </c>
      <c r="I1417">
        <v>0.26</v>
      </c>
      <c r="J1417">
        <v>0.09</v>
      </c>
      <c r="K1417">
        <v>0.27</v>
      </c>
      <c r="L1417">
        <v>0.09</v>
      </c>
      <c r="M1417">
        <v>0.51</v>
      </c>
      <c r="N1417">
        <v>0.44</v>
      </c>
      <c r="O1417">
        <v>0.17</v>
      </c>
      <c r="P1417">
        <v>0.17</v>
      </c>
      <c r="Q1417">
        <v>0.63</v>
      </c>
      <c r="R1417" s="2">
        <v>0.39</v>
      </c>
      <c r="S1417" t="str">
        <f>IF(Table1[[#This Row],[Years_Experience]]&lt;=5,"Early Career",
IF(Table1[[#This Row],[Years_Experience]]&lt;=15,"Mid Career","Senior Level"))</f>
        <v>Senior Level</v>
      </c>
      <c r="T1417" t="str">
        <f>IF(Table1[[#This Row],[AI_Exposure_Index]]&gt;=0.7,"High Exposure", IF(Table1[[#This Row],[AI_Exposure_Index]]&gt;=0.3,"Medium Exposure","Low Exposure"))</f>
        <v>Medium Exposure</v>
      </c>
    </row>
    <row r="1418" spans="1:20" x14ac:dyDescent="0.25">
      <c r="A1418" t="s">
        <v>39</v>
      </c>
      <c r="B1418">
        <v>81850</v>
      </c>
      <c r="C1418" s="1">
        <v>22</v>
      </c>
      <c r="D1418" t="s">
        <v>25</v>
      </c>
      <c r="E1418" s="7">
        <v>0.9</v>
      </c>
      <c r="F1418" s="2">
        <v>0.92</v>
      </c>
      <c r="G1418" s="7">
        <v>0.85</v>
      </c>
      <c r="H1418" s="9" t="s">
        <v>20</v>
      </c>
      <c r="I1418">
        <v>0.89</v>
      </c>
      <c r="J1418">
        <v>0.4</v>
      </c>
      <c r="K1418">
        <v>0.82</v>
      </c>
      <c r="L1418">
        <v>0.91</v>
      </c>
      <c r="M1418">
        <v>0.17</v>
      </c>
      <c r="N1418">
        <v>0.89</v>
      </c>
      <c r="O1418">
        <v>0.12</v>
      </c>
      <c r="P1418">
        <v>0.28000000000000003</v>
      </c>
      <c r="Q1418">
        <v>0.81</v>
      </c>
      <c r="R1418" s="2">
        <v>0.9</v>
      </c>
      <c r="S1418" t="str">
        <f>IF(Table1[[#This Row],[Years_Experience]]&lt;=5,"Early Career",
IF(Table1[[#This Row],[Years_Experience]]&lt;=15,"Mid Career","Senior Level"))</f>
        <v>Senior Level</v>
      </c>
      <c r="T1418" t="str">
        <f>IF(Table1[[#This Row],[AI_Exposure_Index]]&gt;=0.7,"High Exposure", IF(Table1[[#This Row],[AI_Exposure_Index]]&gt;=0.3,"Medium Exposure","Low Exposure"))</f>
        <v>High Exposure</v>
      </c>
    </row>
    <row r="1419" spans="1:20" x14ac:dyDescent="0.25">
      <c r="A1419" t="s">
        <v>43</v>
      </c>
      <c r="B1419">
        <v>142697</v>
      </c>
      <c r="C1419" s="1">
        <v>16</v>
      </c>
      <c r="D1419" t="s">
        <v>22</v>
      </c>
      <c r="E1419" s="7">
        <v>1.02</v>
      </c>
      <c r="F1419" s="2">
        <v>0.1</v>
      </c>
      <c r="G1419" s="7">
        <v>0.19</v>
      </c>
      <c r="H1419" s="9" t="s">
        <v>23</v>
      </c>
      <c r="I1419">
        <v>0.28000000000000003</v>
      </c>
      <c r="J1419">
        <v>0.99</v>
      </c>
      <c r="K1419">
        <v>0.34</v>
      </c>
      <c r="L1419">
        <v>0.21</v>
      </c>
      <c r="M1419">
        <v>0.11</v>
      </c>
      <c r="N1419">
        <v>0.38</v>
      </c>
      <c r="O1419">
        <v>0.69</v>
      </c>
      <c r="P1419">
        <v>0.23</v>
      </c>
      <c r="Q1419">
        <v>0.77</v>
      </c>
      <c r="R1419" s="2">
        <v>0.14000000000000001</v>
      </c>
      <c r="S1419" t="str">
        <f>IF(Table1[[#This Row],[Years_Experience]]&lt;=5,"Early Career",
IF(Table1[[#This Row],[Years_Experience]]&lt;=15,"Mid Career","Senior Level"))</f>
        <v>Senior Level</v>
      </c>
      <c r="T1419" t="str">
        <f>IF(Table1[[#This Row],[AI_Exposure_Index]]&gt;=0.7,"High Exposure", IF(Table1[[#This Row],[AI_Exposure_Index]]&gt;=0.3,"Medium Exposure","Low Exposure"))</f>
        <v>Low Exposure</v>
      </c>
    </row>
    <row r="1420" spans="1:20" x14ac:dyDescent="0.25">
      <c r="A1420" t="s">
        <v>44</v>
      </c>
      <c r="B1420">
        <v>63158</v>
      </c>
      <c r="C1420" s="1">
        <v>18</v>
      </c>
      <c r="D1420" t="s">
        <v>25</v>
      </c>
      <c r="E1420" s="7">
        <v>0.64</v>
      </c>
      <c r="F1420" s="2">
        <v>0.7</v>
      </c>
      <c r="G1420" s="7">
        <v>0.54</v>
      </c>
      <c r="H1420" s="9" t="s">
        <v>27</v>
      </c>
      <c r="I1420">
        <v>0.8</v>
      </c>
      <c r="J1420">
        <v>0.6</v>
      </c>
      <c r="K1420">
        <v>0.51</v>
      </c>
      <c r="L1420">
        <v>0.84</v>
      </c>
      <c r="M1420">
        <v>0.99</v>
      </c>
      <c r="N1420">
        <v>0.18</v>
      </c>
      <c r="O1420">
        <v>0.69</v>
      </c>
      <c r="P1420">
        <v>0.08</v>
      </c>
      <c r="Q1420">
        <v>0.04</v>
      </c>
      <c r="R1420" s="2">
        <v>0.28000000000000003</v>
      </c>
      <c r="S1420" t="str">
        <f>IF(Table1[[#This Row],[Years_Experience]]&lt;=5,"Early Career",
IF(Table1[[#This Row],[Years_Experience]]&lt;=15,"Mid Career","Senior Level"))</f>
        <v>Senior Level</v>
      </c>
      <c r="T1420" t="str">
        <f>IF(Table1[[#This Row],[AI_Exposure_Index]]&gt;=0.7,"High Exposure", IF(Table1[[#This Row],[AI_Exposure_Index]]&gt;=0.3,"Medium Exposure","Low Exposure"))</f>
        <v>High Exposure</v>
      </c>
    </row>
    <row r="1421" spans="1:20" x14ac:dyDescent="0.25">
      <c r="A1421" t="s">
        <v>41</v>
      </c>
      <c r="B1421">
        <v>43065</v>
      </c>
      <c r="C1421" s="1">
        <v>18</v>
      </c>
      <c r="D1421" t="s">
        <v>22</v>
      </c>
      <c r="E1421" s="7">
        <v>0.77</v>
      </c>
      <c r="F1421" s="2">
        <v>0.55000000000000004</v>
      </c>
      <c r="G1421" s="7">
        <v>0.73</v>
      </c>
      <c r="H1421" s="9" t="s">
        <v>20</v>
      </c>
      <c r="I1421">
        <v>0.92</v>
      </c>
      <c r="J1421">
        <v>0.36</v>
      </c>
      <c r="K1421">
        <v>0.31</v>
      </c>
      <c r="L1421">
        <v>0.86</v>
      </c>
      <c r="M1421">
        <v>0.6</v>
      </c>
      <c r="N1421">
        <v>0.17</v>
      </c>
      <c r="O1421">
        <v>0.42</v>
      </c>
      <c r="P1421">
        <v>0.93</v>
      </c>
      <c r="Q1421">
        <v>0.9</v>
      </c>
      <c r="R1421" s="2">
        <v>7.0000000000000007E-2</v>
      </c>
      <c r="S1421" t="str">
        <f>IF(Table1[[#This Row],[Years_Experience]]&lt;=5,"Early Career",
IF(Table1[[#This Row],[Years_Experience]]&lt;=15,"Mid Career","Senior Level"))</f>
        <v>Senior Level</v>
      </c>
      <c r="T1421" t="str">
        <f>IF(Table1[[#This Row],[AI_Exposure_Index]]&gt;=0.7,"High Exposure", IF(Table1[[#This Row],[AI_Exposure_Index]]&gt;=0.3,"Medium Exposure","Low Exposure"))</f>
        <v>Medium Exposure</v>
      </c>
    </row>
    <row r="1422" spans="1:20" x14ac:dyDescent="0.25">
      <c r="A1422" t="s">
        <v>24</v>
      </c>
      <c r="B1422">
        <v>53115</v>
      </c>
      <c r="C1422" s="1">
        <v>16</v>
      </c>
      <c r="D1422" t="s">
        <v>19</v>
      </c>
      <c r="E1422" s="7">
        <v>0.97</v>
      </c>
      <c r="F1422" s="2">
        <v>0.89</v>
      </c>
      <c r="G1422" s="7">
        <v>0.91</v>
      </c>
      <c r="H1422" s="9" t="s">
        <v>20</v>
      </c>
      <c r="I1422">
        <v>0.33</v>
      </c>
      <c r="J1422">
        <v>0.34</v>
      </c>
      <c r="K1422">
        <v>0.9</v>
      </c>
      <c r="L1422">
        <v>0.43</v>
      </c>
      <c r="M1422">
        <v>0.79</v>
      </c>
      <c r="N1422">
        <v>0.24</v>
      </c>
      <c r="O1422">
        <v>0.95</v>
      </c>
      <c r="P1422">
        <v>0.56999999999999995</v>
      </c>
      <c r="Q1422">
        <v>0.76</v>
      </c>
      <c r="R1422" s="2">
        <v>0.09</v>
      </c>
      <c r="S1422" t="str">
        <f>IF(Table1[[#This Row],[Years_Experience]]&lt;=5,"Early Career",
IF(Table1[[#This Row],[Years_Experience]]&lt;=15,"Mid Career","Senior Level"))</f>
        <v>Senior Level</v>
      </c>
      <c r="T1422" t="str">
        <f>IF(Table1[[#This Row],[AI_Exposure_Index]]&gt;=0.7,"High Exposure", IF(Table1[[#This Row],[AI_Exposure_Index]]&gt;=0.3,"Medium Exposure","Low Exposure"))</f>
        <v>High Exposure</v>
      </c>
    </row>
    <row r="1423" spans="1:20" x14ac:dyDescent="0.25">
      <c r="A1423" t="s">
        <v>28</v>
      </c>
      <c r="B1423">
        <v>111462</v>
      </c>
      <c r="C1423" s="1">
        <v>0</v>
      </c>
      <c r="D1423" t="s">
        <v>38</v>
      </c>
      <c r="E1423" s="7">
        <v>1.38</v>
      </c>
      <c r="F1423" s="2">
        <v>0.9</v>
      </c>
      <c r="G1423" s="7">
        <v>0.32</v>
      </c>
      <c r="H1423" s="9" t="s">
        <v>27</v>
      </c>
      <c r="I1423">
        <v>0.3</v>
      </c>
      <c r="J1423">
        <v>0.44</v>
      </c>
      <c r="K1423">
        <v>0.17</v>
      </c>
      <c r="L1423">
        <v>0.73</v>
      </c>
      <c r="M1423">
        <v>0.18</v>
      </c>
      <c r="N1423">
        <v>0.35</v>
      </c>
      <c r="O1423">
        <v>0.66</v>
      </c>
      <c r="P1423">
        <v>0.48</v>
      </c>
      <c r="Q1423">
        <v>0.74</v>
      </c>
      <c r="R1423" s="2">
        <v>0.96</v>
      </c>
      <c r="S1423" t="str">
        <f>IF(Table1[[#This Row],[Years_Experience]]&lt;=5,"Early Career",
IF(Table1[[#This Row],[Years_Experience]]&lt;=15,"Mid Career","Senior Level"))</f>
        <v>Early Career</v>
      </c>
      <c r="T1423" t="str">
        <f>IF(Table1[[#This Row],[AI_Exposure_Index]]&gt;=0.7,"High Exposure", IF(Table1[[#This Row],[AI_Exposure_Index]]&gt;=0.3,"Medium Exposure","Low Exposure"))</f>
        <v>High Exposure</v>
      </c>
    </row>
    <row r="1424" spans="1:20" x14ac:dyDescent="0.25">
      <c r="A1424" t="s">
        <v>39</v>
      </c>
      <c r="B1424">
        <v>30234</v>
      </c>
      <c r="C1424" s="1">
        <v>18</v>
      </c>
      <c r="D1424" t="s">
        <v>22</v>
      </c>
      <c r="E1424" s="7">
        <v>0.73</v>
      </c>
      <c r="F1424" s="2">
        <v>0.71</v>
      </c>
      <c r="G1424" s="7">
        <v>0.8</v>
      </c>
      <c r="H1424" s="9" t="s">
        <v>20</v>
      </c>
      <c r="I1424">
        <v>0.03</v>
      </c>
      <c r="J1424">
        <v>0.14000000000000001</v>
      </c>
      <c r="K1424">
        <v>0.32</v>
      </c>
      <c r="L1424">
        <v>0.34</v>
      </c>
      <c r="M1424">
        <v>0.9</v>
      </c>
      <c r="N1424">
        <v>0.74</v>
      </c>
      <c r="O1424">
        <v>0.97</v>
      </c>
      <c r="P1424">
        <v>0.6</v>
      </c>
      <c r="Q1424">
        <v>0.24</v>
      </c>
      <c r="R1424" s="2">
        <v>0.33</v>
      </c>
      <c r="S1424" t="str">
        <f>IF(Table1[[#This Row],[Years_Experience]]&lt;=5,"Early Career",
IF(Table1[[#This Row],[Years_Experience]]&lt;=15,"Mid Career","Senior Level"))</f>
        <v>Senior Level</v>
      </c>
      <c r="T1424" t="str">
        <f>IF(Table1[[#This Row],[AI_Exposure_Index]]&gt;=0.7,"High Exposure", IF(Table1[[#This Row],[AI_Exposure_Index]]&gt;=0.3,"Medium Exposure","Low Exposure"))</f>
        <v>High Exposure</v>
      </c>
    </row>
    <row r="1425" spans="1:20" x14ac:dyDescent="0.25">
      <c r="A1425" t="s">
        <v>26</v>
      </c>
      <c r="B1425">
        <v>80262</v>
      </c>
      <c r="C1425" s="1">
        <v>17</v>
      </c>
      <c r="D1425" t="s">
        <v>25</v>
      </c>
      <c r="E1425" s="7">
        <v>1.17</v>
      </c>
      <c r="F1425" s="2">
        <v>0.33</v>
      </c>
      <c r="G1425" s="7">
        <v>0.51</v>
      </c>
      <c r="H1425" s="9" t="s">
        <v>27</v>
      </c>
      <c r="I1425">
        <v>0.39</v>
      </c>
      <c r="J1425">
        <v>0.15</v>
      </c>
      <c r="K1425">
        <v>0.02</v>
      </c>
      <c r="L1425">
        <v>0.22</v>
      </c>
      <c r="M1425">
        <v>0.11</v>
      </c>
      <c r="N1425">
        <v>0.79</v>
      </c>
      <c r="O1425">
        <v>0.11</v>
      </c>
      <c r="P1425">
        <v>0.72</v>
      </c>
      <c r="Q1425">
        <v>0.39</v>
      </c>
      <c r="R1425" s="2">
        <v>7.0000000000000007E-2</v>
      </c>
      <c r="S1425" t="str">
        <f>IF(Table1[[#This Row],[Years_Experience]]&lt;=5,"Early Career",
IF(Table1[[#This Row],[Years_Experience]]&lt;=15,"Mid Career","Senior Level"))</f>
        <v>Senior Level</v>
      </c>
      <c r="T1425" t="str">
        <f>IF(Table1[[#This Row],[AI_Exposure_Index]]&gt;=0.7,"High Exposure", IF(Table1[[#This Row],[AI_Exposure_Index]]&gt;=0.3,"Medium Exposure","Low Exposure"))</f>
        <v>Medium Exposure</v>
      </c>
    </row>
    <row r="1426" spans="1:20" x14ac:dyDescent="0.25">
      <c r="A1426" t="s">
        <v>29</v>
      </c>
      <c r="B1426">
        <v>100529</v>
      </c>
      <c r="C1426" s="1">
        <v>27</v>
      </c>
      <c r="D1426" t="s">
        <v>38</v>
      </c>
      <c r="E1426" s="7">
        <v>0.74</v>
      </c>
      <c r="F1426" s="2">
        <v>0.57999999999999996</v>
      </c>
      <c r="G1426" s="7">
        <v>0.27</v>
      </c>
      <c r="H1426" s="9" t="s">
        <v>23</v>
      </c>
      <c r="I1426">
        <v>0.05</v>
      </c>
      <c r="J1426">
        <v>0.2</v>
      </c>
      <c r="K1426">
        <v>0.75</v>
      </c>
      <c r="L1426">
        <v>0.71</v>
      </c>
      <c r="M1426">
        <v>0.28999999999999998</v>
      </c>
      <c r="N1426">
        <v>0.06</v>
      </c>
      <c r="O1426">
        <v>0.86</v>
      </c>
      <c r="P1426">
        <v>0.31</v>
      </c>
      <c r="Q1426">
        <v>0.2</v>
      </c>
      <c r="R1426" s="2">
        <v>0.52</v>
      </c>
      <c r="S1426" t="str">
        <f>IF(Table1[[#This Row],[Years_Experience]]&lt;=5,"Early Career",
IF(Table1[[#This Row],[Years_Experience]]&lt;=15,"Mid Career","Senior Level"))</f>
        <v>Senior Level</v>
      </c>
      <c r="T1426" t="str">
        <f>IF(Table1[[#This Row],[AI_Exposure_Index]]&gt;=0.7,"High Exposure", IF(Table1[[#This Row],[AI_Exposure_Index]]&gt;=0.3,"Medium Exposure","Low Exposure"))</f>
        <v>Medium Exposure</v>
      </c>
    </row>
    <row r="1427" spans="1:20" x14ac:dyDescent="0.25">
      <c r="A1427" t="s">
        <v>42</v>
      </c>
      <c r="B1427">
        <v>72563</v>
      </c>
      <c r="C1427" s="1">
        <v>6</v>
      </c>
      <c r="D1427" t="s">
        <v>22</v>
      </c>
      <c r="E1427" s="7">
        <v>1.27</v>
      </c>
      <c r="F1427" s="2">
        <v>0.04</v>
      </c>
      <c r="G1427" s="7">
        <v>0.53</v>
      </c>
      <c r="H1427" s="9" t="s">
        <v>27</v>
      </c>
      <c r="I1427">
        <v>0.43</v>
      </c>
      <c r="J1427">
        <v>0.74</v>
      </c>
      <c r="K1427">
        <v>0.97</v>
      </c>
      <c r="L1427">
        <v>0.23</v>
      </c>
      <c r="M1427">
        <v>0.14000000000000001</v>
      </c>
      <c r="N1427">
        <v>0.91</v>
      </c>
      <c r="O1427">
        <v>0.67</v>
      </c>
      <c r="P1427">
        <v>0.44</v>
      </c>
      <c r="Q1427">
        <v>0.56999999999999995</v>
      </c>
      <c r="R1427" s="2">
        <v>0.75</v>
      </c>
      <c r="S1427" t="str">
        <f>IF(Table1[[#This Row],[Years_Experience]]&lt;=5,"Early Career",
IF(Table1[[#This Row],[Years_Experience]]&lt;=15,"Mid Career","Senior Level"))</f>
        <v>Mid Career</v>
      </c>
      <c r="T1427" t="str">
        <f>IF(Table1[[#This Row],[AI_Exposure_Index]]&gt;=0.7,"High Exposure", IF(Table1[[#This Row],[AI_Exposure_Index]]&gt;=0.3,"Medium Exposure","Low Exposure"))</f>
        <v>Low Exposure</v>
      </c>
    </row>
    <row r="1428" spans="1:20" x14ac:dyDescent="0.25">
      <c r="A1428" t="s">
        <v>35</v>
      </c>
      <c r="B1428">
        <v>122983</v>
      </c>
      <c r="C1428" s="1">
        <v>27</v>
      </c>
      <c r="D1428" t="s">
        <v>19</v>
      </c>
      <c r="E1428" s="7">
        <v>0.93</v>
      </c>
      <c r="F1428" s="2">
        <v>0.92</v>
      </c>
      <c r="G1428" s="7">
        <v>0.42</v>
      </c>
      <c r="H1428" s="9" t="s">
        <v>27</v>
      </c>
      <c r="I1428">
        <v>0.64</v>
      </c>
      <c r="J1428">
        <v>0.42</v>
      </c>
      <c r="K1428">
        <v>0.59</v>
      </c>
      <c r="L1428">
        <v>0.42</v>
      </c>
      <c r="M1428">
        <v>0.15</v>
      </c>
      <c r="N1428">
        <v>0.47</v>
      </c>
      <c r="O1428">
        <v>0.69</v>
      </c>
      <c r="P1428">
        <v>0.8</v>
      </c>
      <c r="Q1428">
        <v>0.49</v>
      </c>
      <c r="R1428" s="2">
        <v>0.17</v>
      </c>
      <c r="S1428" t="str">
        <f>IF(Table1[[#This Row],[Years_Experience]]&lt;=5,"Early Career",
IF(Table1[[#This Row],[Years_Experience]]&lt;=15,"Mid Career","Senior Level"))</f>
        <v>Senior Level</v>
      </c>
      <c r="T1428" t="str">
        <f>IF(Table1[[#This Row],[AI_Exposure_Index]]&gt;=0.7,"High Exposure", IF(Table1[[#This Row],[AI_Exposure_Index]]&gt;=0.3,"Medium Exposure","Low Exposure"))</f>
        <v>High Exposure</v>
      </c>
    </row>
    <row r="1429" spans="1:20" x14ac:dyDescent="0.25">
      <c r="A1429" t="s">
        <v>29</v>
      </c>
      <c r="B1429">
        <v>93815</v>
      </c>
      <c r="C1429" s="1">
        <v>3</v>
      </c>
      <c r="D1429" t="s">
        <v>25</v>
      </c>
      <c r="E1429" s="7">
        <v>0.91</v>
      </c>
      <c r="F1429" s="2">
        <v>0.79</v>
      </c>
      <c r="G1429" s="7">
        <v>0.22</v>
      </c>
      <c r="H1429" s="9" t="s">
        <v>23</v>
      </c>
      <c r="I1429">
        <v>0.51</v>
      </c>
      <c r="J1429">
        <v>0.24</v>
      </c>
      <c r="K1429">
        <v>0.8</v>
      </c>
      <c r="L1429">
        <v>0.08</v>
      </c>
      <c r="M1429">
        <v>0.52</v>
      </c>
      <c r="N1429">
        <v>0.21</v>
      </c>
      <c r="O1429">
        <v>7.0000000000000007E-2</v>
      </c>
      <c r="P1429">
        <v>0.5</v>
      </c>
      <c r="Q1429">
        <v>0.5</v>
      </c>
      <c r="R1429" s="2">
        <v>0.71</v>
      </c>
      <c r="S1429" t="str">
        <f>IF(Table1[[#This Row],[Years_Experience]]&lt;=5,"Early Career",
IF(Table1[[#This Row],[Years_Experience]]&lt;=15,"Mid Career","Senior Level"))</f>
        <v>Early Career</v>
      </c>
      <c r="T1429" t="str">
        <f>IF(Table1[[#This Row],[AI_Exposure_Index]]&gt;=0.7,"High Exposure", IF(Table1[[#This Row],[AI_Exposure_Index]]&gt;=0.3,"Medium Exposure","Low Exposure"))</f>
        <v>High Exposure</v>
      </c>
    </row>
    <row r="1430" spans="1:20" x14ac:dyDescent="0.25">
      <c r="A1430" t="s">
        <v>37</v>
      </c>
      <c r="B1430">
        <v>58385</v>
      </c>
      <c r="C1430" s="1">
        <v>3</v>
      </c>
      <c r="D1430" t="s">
        <v>25</v>
      </c>
      <c r="E1430" s="7">
        <v>1.1100000000000001</v>
      </c>
      <c r="F1430" s="2">
        <v>7.0000000000000007E-2</v>
      </c>
      <c r="G1430" s="7">
        <v>0.32</v>
      </c>
      <c r="H1430" s="9" t="s">
        <v>27</v>
      </c>
      <c r="I1430">
        <v>0.65</v>
      </c>
      <c r="J1430">
        <v>0.12</v>
      </c>
      <c r="K1430">
        <v>0.95</v>
      </c>
      <c r="L1430">
        <v>0.86</v>
      </c>
      <c r="M1430">
        <v>0.02</v>
      </c>
      <c r="N1430">
        <v>0.78</v>
      </c>
      <c r="O1430">
        <v>0.64</v>
      </c>
      <c r="P1430">
        <v>0.5</v>
      </c>
      <c r="Q1430">
        <v>0.6</v>
      </c>
      <c r="R1430" s="2">
        <v>0.68</v>
      </c>
      <c r="S1430" t="str">
        <f>IF(Table1[[#This Row],[Years_Experience]]&lt;=5,"Early Career",
IF(Table1[[#This Row],[Years_Experience]]&lt;=15,"Mid Career","Senior Level"))</f>
        <v>Early Career</v>
      </c>
      <c r="T1430" t="str">
        <f>IF(Table1[[#This Row],[AI_Exposure_Index]]&gt;=0.7,"High Exposure", IF(Table1[[#This Row],[AI_Exposure_Index]]&gt;=0.3,"Medium Exposure","Low Exposure"))</f>
        <v>Low Exposure</v>
      </c>
    </row>
    <row r="1431" spans="1:20" x14ac:dyDescent="0.25">
      <c r="A1431" t="s">
        <v>26</v>
      </c>
      <c r="B1431">
        <v>148297</v>
      </c>
      <c r="C1431" s="1">
        <v>29</v>
      </c>
      <c r="D1431" t="s">
        <v>38</v>
      </c>
      <c r="E1431" s="7">
        <v>1.08</v>
      </c>
      <c r="F1431" s="2">
        <v>0.77</v>
      </c>
      <c r="G1431" s="7">
        <v>0.63</v>
      </c>
      <c r="H1431" s="9" t="s">
        <v>27</v>
      </c>
      <c r="I1431">
        <v>0.99</v>
      </c>
      <c r="J1431">
        <v>0.3</v>
      </c>
      <c r="K1431">
        <v>0.12</v>
      </c>
      <c r="L1431">
        <v>0.73</v>
      </c>
      <c r="M1431">
        <v>0.98</v>
      </c>
      <c r="N1431">
        <v>0.12</v>
      </c>
      <c r="O1431">
        <v>0.43</v>
      </c>
      <c r="P1431">
        <v>0.06</v>
      </c>
      <c r="Q1431">
        <v>0.78</v>
      </c>
      <c r="R1431" s="2">
        <v>0.95</v>
      </c>
      <c r="S1431" t="str">
        <f>IF(Table1[[#This Row],[Years_Experience]]&lt;=5,"Early Career",
IF(Table1[[#This Row],[Years_Experience]]&lt;=15,"Mid Career","Senior Level"))</f>
        <v>Senior Level</v>
      </c>
      <c r="T1431" t="str">
        <f>IF(Table1[[#This Row],[AI_Exposure_Index]]&gt;=0.7,"High Exposure", IF(Table1[[#This Row],[AI_Exposure_Index]]&gt;=0.3,"Medium Exposure","Low Exposure"))</f>
        <v>High Exposure</v>
      </c>
    </row>
    <row r="1432" spans="1:20" x14ac:dyDescent="0.25">
      <c r="A1432" t="s">
        <v>44</v>
      </c>
      <c r="B1432">
        <v>35289</v>
      </c>
      <c r="C1432" s="1">
        <v>19</v>
      </c>
      <c r="D1432" t="s">
        <v>25</v>
      </c>
      <c r="E1432" s="7">
        <v>1.41</v>
      </c>
      <c r="F1432" s="2">
        <v>0.41</v>
      </c>
      <c r="G1432" s="7">
        <v>0.35</v>
      </c>
      <c r="H1432" s="9" t="s">
        <v>27</v>
      </c>
      <c r="I1432">
        <v>0.89</v>
      </c>
      <c r="J1432">
        <v>0.39</v>
      </c>
      <c r="K1432">
        <v>0.56000000000000005</v>
      </c>
      <c r="L1432">
        <v>0.53</v>
      </c>
      <c r="M1432">
        <v>0.62</v>
      </c>
      <c r="N1432">
        <v>0.94</v>
      </c>
      <c r="O1432">
        <v>0.95</v>
      </c>
      <c r="P1432">
        <v>0.83</v>
      </c>
      <c r="Q1432">
        <v>0.19</v>
      </c>
      <c r="R1432" s="2">
        <v>0.33</v>
      </c>
      <c r="S1432" t="str">
        <f>IF(Table1[[#This Row],[Years_Experience]]&lt;=5,"Early Career",
IF(Table1[[#This Row],[Years_Experience]]&lt;=15,"Mid Career","Senior Level"))</f>
        <v>Senior Level</v>
      </c>
      <c r="T1432" t="str">
        <f>IF(Table1[[#This Row],[AI_Exposure_Index]]&gt;=0.7,"High Exposure", IF(Table1[[#This Row],[AI_Exposure_Index]]&gt;=0.3,"Medium Exposure","Low Exposure"))</f>
        <v>Medium Exposure</v>
      </c>
    </row>
    <row r="1433" spans="1:20" x14ac:dyDescent="0.25">
      <c r="A1433" t="s">
        <v>24</v>
      </c>
      <c r="B1433">
        <v>35877</v>
      </c>
      <c r="C1433" s="1">
        <v>0</v>
      </c>
      <c r="D1433" t="s">
        <v>19</v>
      </c>
      <c r="E1433" s="7">
        <v>1.02</v>
      </c>
      <c r="F1433" s="2">
        <v>0.91</v>
      </c>
      <c r="G1433" s="7">
        <v>0.94</v>
      </c>
      <c r="H1433" s="9" t="s">
        <v>20</v>
      </c>
      <c r="I1433">
        <v>0.98</v>
      </c>
      <c r="J1433">
        <v>0.6</v>
      </c>
      <c r="K1433">
        <v>0.88</v>
      </c>
      <c r="L1433">
        <v>1</v>
      </c>
      <c r="M1433">
        <v>0.85</v>
      </c>
      <c r="N1433">
        <v>0.66</v>
      </c>
      <c r="O1433">
        <v>0.85</v>
      </c>
      <c r="P1433">
        <v>0.08</v>
      </c>
      <c r="Q1433">
        <v>0.63</v>
      </c>
      <c r="R1433" s="2">
        <v>0.22</v>
      </c>
      <c r="S1433" t="str">
        <f>IF(Table1[[#This Row],[Years_Experience]]&lt;=5,"Early Career",
IF(Table1[[#This Row],[Years_Experience]]&lt;=15,"Mid Career","Senior Level"))</f>
        <v>Early Career</v>
      </c>
      <c r="T1433" t="str">
        <f>IF(Table1[[#This Row],[AI_Exposure_Index]]&gt;=0.7,"High Exposure", IF(Table1[[#This Row],[AI_Exposure_Index]]&gt;=0.3,"Medium Exposure","Low Exposure"))</f>
        <v>High Exposure</v>
      </c>
    </row>
    <row r="1434" spans="1:20" x14ac:dyDescent="0.25">
      <c r="A1434" t="s">
        <v>36</v>
      </c>
      <c r="B1434">
        <v>52761</v>
      </c>
      <c r="C1434" s="1">
        <v>0</v>
      </c>
      <c r="D1434" t="s">
        <v>19</v>
      </c>
      <c r="E1434" s="7">
        <v>1.1399999999999999</v>
      </c>
      <c r="F1434" s="2">
        <v>0.89</v>
      </c>
      <c r="G1434" s="7">
        <v>0.4</v>
      </c>
      <c r="H1434" s="9" t="s">
        <v>27</v>
      </c>
      <c r="I1434">
        <v>0.39</v>
      </c>
      <c r="J1434">
        <v>0.97</v>
      </c>
      <c r="K1434">
        <v>0.86</v>
      </c>
      <c r="L1434">
        <v>0.02</v>
      </c>
      <c r="M1434">
        <v>0.98</v>
      </c>
      <c r="N1434">
        <v>0.37</v>
      </c>
      <c r="O1434">
        <v>0.7</v>
      </c>
      <c r="P1434">
        <v>0.71</v>
      </c>
      <c r="Q1434">
        <v>0.91</v>
      </c>
      <c r="R1434" s="2">
        <v>0.89</v>
      </c>
      <c r="S1434" t="str">
        <f>IF(Table1[[#This Row],[Years_Experience]]&lt;=5,"Early Career",
IF(Table1[[#This Row],[Years_Experience]]&lt;=15,"Mid Career","Senior Level"))</f>
        <v>Early Career</v>
      </c>
      <c r="T1434" t="str">
        <f>IF(Table1[[#This Row],[AI_Exposure_Index]]&gt;=0.7,"High Exposure", IF(Table1[[#This Row],[AI_Exposure_Index]]&gt;=0.3,"Medium Exposure","Low Exposure"))</f>
        <v>High Exposure</v>
      </c>
    </row>
    <row r="1435" spans="1:20" x14ac:dyDescent="0.25">
      <c r="A1435" t="s">
        <v>39</v>
      </c>
      <c r="B1435">
        <v>123758</v>
      </c>
      <c r="C1435" s="1">
        <v>18</v>
      </c>
      <c r="D1435" t="s">
        <v>19</v>
      </c>
      <c r="E1435" s="7">
        <v>0.89</v>
      </c>
      <c r="F1435" s="2">
        <v>0.64</v>
      </c>
      <c r="G1435" s="7">
        <v>0.83</v>
      </c>
      <c r="H1435" s="9" t="s">
        <v>20</v>
      </c>
      <c r="I1435">
        <v>0.55000000000000004</v>
      </c>
      <c r="J1435">
        <v>0.4</v>
      </c>
      <c r="K1435">
        <v>0.46</v>
      </c>
      <c r="L1435">
        <v>0.21</v>
      </c>
      <c r="M1435">
        <v>0.61</v>
      </c>
      <c r="N1435">
        <v>0.76</v>
      </c>
      <c r="O1435">
        <v>0.43</v>
      </c>
      <c r="P1435">
        <v>0.98</v>
      </c>
      <c r="Q1435">
        <v>0.06</v>
      </c>
      <c r="R1435" s="2">
        <v>0.59</v>
      </c>
      <c r="S1435" t="str">
        <f>IF(Table1[[#This Row],[Years_Experience]]&lt;=5,"Early Career",
IF(Table1[[#This Row],[Years_Experience]]&lt;=15,"Mid Career","Senior Level"))</f>
        <v>Senior Level</v>
      </c>
      <c r="T1435" t="str">
        <f>IF(Table1[[#This Row],[AI_Exposure_Index]]&gt;=0.7,"High Exposure", IF(Table1[[#This Row],[AI_Exposure_Index]]&gt;=0.3,"Medium Exposure","Low Exposure"))</f>
        <v>Medium Exposure</v>
      </c>
    </row>
    <row r="1436" spans="1:20" x14ac:dyDescent="0.25">
      <c r="A1436" t="s">
        <v>37</v>
      </c>
      <c r="B1436">
        <v>86366</v>
      </c>
      <c r="C1436" s="1">
        <v>2</v>
      </c>
      <c r="D1436" t="s">
        <v>25</v>
      </c>
      <c r="E1436" s="7">
        <v>0.72</v>
      </c>
      <c r="F1436" s="2">
        <v>0.04</v>
      </c>
      <c r="G1436" s="7">
        <v>0.66</v>
      </c>
      <c r="H1436" s="9" t="s">
        <v>27</v>
      </c>
      <c r="I1436">
        <v>0.54</v>
      </c>
      <c r="J1436">
        <v>0.44</v>
      </c>
      <c r="K1436">
        <v>0.42</v>
      </c>
      <c r="L1436">
        <v>0.89</v>
      </c>
      <c r="M1436">
        <v>0.37</v>
      </c>
      <c r="N1436">
        <v>0.86</v>
      </c>
      <c r="O1436">
        <v>0.31</v>
      </c>
      <c r="P1436">
        <v>0.53</v>
      </c>
      <c r="Q1436">
        <v>0.14000000000000001</v>
      </c>
      <c r="R1436" s="2">
        <v>0.83</v>
      </c>
      <c r="S1436" t="str">
        <f>IF(Table1[[#This Row],[Years_Experience]]&lt;=5,"Early Career",
IF(Table1[[#This Row],[Years_Experience]]&lt;=15,"Mid Career","Senior Level"))</f>
        <v>Early Career</v>
      </c>
      <c r="T1436" t="str">
        <f>IF(Table1[[#This Row],[AI_Exposure_Index]]&gt;=0.7,"High Exposure", IF(Table1[[#This Row],[AI_Exposure_Index]]&gt;=0.3,"Medium Exposure","Low Exposure"))</f>
        <v>Low Exposure</v>
      </c>
    </row>
    <row r="1437" spans="1:20" x14ac:dyDescent="0.25">
      <c r="A1437" t="s">
        <v>34</v>
      </c>
      <c r="B1437">
        <v>85652</v>
      </c>
      <c r="C1437" s="1">
        <v>22</v>
      </c>
      <c r="D1437" t="s">
        <v>19</v>
      </c>
      <c r="E1437" s="7">
        <v>0.53</v>
      </c>
      <c r="F1437" s="2">
        <v>0.53</v>
      </c>
      <c r="G1437" s="7">
        <v>0.49</v>
      </c>
      <c r="H1437" s="9" t="s">
        <v>27</v>
      </c>
      <c r="I1437">
        <v>0.23</v>
      </c>
      <c r="J1437">
        <v>0.41</v>
      </c>
      <c r="K1437">
        <v>0.86</v>
      </c>
      <c r="L1437">
        <v>0.77</v>
      </c>
      <c r="M1437">
        <v>0.24</v>
      </c>
      <c r="N1437">
        <v>0.98</v>
      </c>
      <c r="O1437">
        <v>0.9</v>
      </c>
      <c r="P1437">
        <v>0.53</v>
      </c>
      <c r="Q1437">
        <v>0.53</v>
      </c>
      <c r="R1437" s="2">
        <v>0.9</v>
      </c>
      <c r="S1437" t="str">
        <f>IF(Table1[[#This Row],[Years_Experience]]&lt;=5,"Early Career",
IF(Table1[[#This Row],[Years_Experience]]&lt;=15,"Mid Career","Senior Level"))</f>
        <v>Senior Level</v>
      </c>
      <c r="T1437" t="str">
        <f>IF(Table1[[#This Row],[AI_Exposure_Index]]&gt;=0.7,"High Exposure", IF(Table1[[#This Row],[AI_Exposure_Index]]&gt;=0.3,"Medium Exposure","Low Exposure"))</f>
        <v>Medium Exposure</v>
      </c>
    </row>
    <row r="1438" spans="1:20" x14ac:dyDescent="0.25">
      <c r="A1438" t="s">
        <v>26</v>
      </c>
      <c r="B1438">
        <v>55286</v>
      </c>
      <c r="C1438" s="1">
        <v>23</v>
      </c>
      <c r="D1438" t="s">
        <v>22</v>
      </c>
      <c r="E1438" s="7">
        <v>1.28</v>
      </c>
      <c r="F1438" s="2">
        <v>0.28000000000000003</v>
      </c>
      <c r="G1438" s="7">
        <v>0.56999999999999995</v>
      </c>
      <c r="H1438" s="9" t="s">
        <v>27</v>
      </c>
      <c r="I1438">
        <v>0.6</v>
      </c>
      <c r="J1438">
        <v>0.19</v>
      </c>
      <c r="K1438">
        <v>0.22</v>
      </c>
      <c r="L1438">
        <v>0.05</v>
      </c>
      <c r="M1438">
        <v>0.24</v>
      </c>
      <c r="N1438">
        <v>0.35</v>
      </c>
      <c r="O1438">
        <v>0.83</v>
      </c>
      <c r="P1438">
        <v>0.37</v>
      </c>
      <c r="Q1438">
        <v>0.75</v>
      </c>
      <c r="R1438" s="2">
        <v>0.44</v>
      </c>
      <c r="S1438" t="str">
        <f>IF(Table1[[#This Row],[Years_Experience]]&lt;=5,"Early Career",
IF(Table1[[#This Row],[Years_Experience]]&lt;=15,"Mid Career","Senior Level"))</f>
        <v>Senior Level</v>
      </c>
      <c r="T1438" t="str">
        <f>IF(Table1[[#This Row],[AI_Exposure_Index]]&gt;=0.7,"High Exposure", IF(Table1[[#This Row],[AI_Exposure_Index]]&gt;=0.3,"Medium Exposure","Low Exposure"))</f>
        <v>Low Exposure</v>
      </c>
    </row>
    <row r="1439" spans="1:20" x14ac:dyDescent="0.25">
      <c r="A1439" t="s">
        <v>37</v>
      </c>
      <c r="B1439">
        <v>104041</v>
      </c>
      <c r="C1439" s="1">
        <v>19</v>
      </c>
      <c r="D1439" t="s">
        <v>25</v>
      </c>
      <c r="E1439" s="7">
        <v>0.74</v>
      </c>
      <c r="F1439" s="2">
        <v>0.98</v>
      </c>
      <c r="G1439" s="7">
        <v>0.64</v>
      </c>
      <c r="H1439" s="9" t="s">
        <v>27</v>
      </c>
      <c r="I1439">
        <v>0.62</v>
      </c>
      <c r="J1439">
        <v>0.82</v>
      </c>
      <c r="K1439">
        <v>0.65</v>
      </c>
      <c r="L1439">
        <v>0.42</v>
      </c>
      <c r="M1439">
        <v>0.23</v>
      </c>
      <c r="N1439">
        <v>7.0000000000000007E-2</v>
      </c>
      <c r="O1439">
        <v>0.54</v>
      </c>
      <c r="P1439">
        <v>0.99</v>
      </c>
      <c r="Q1439">
        <v>0.74</v>
      </c>
      <c r="R1439" s="2">
        <v>0.33</v>
      </c>
      <c r="S1439" t="str">
        <f>IF(Table1[[#This Row],[Years_Experience]]&lt;=5,"Early Career",
IF(Table1[[#This Row],[Years_Experience]]&lt;=15,"Mid Career","Senior Level"))</f>
        <v>Senior Level</v>
      </c>
      <c r="T1439" t="str">
        <f>IF(Table1[[#This Row],[AI_Exposure_Index]]&gt;=0.7,"High Exposure", IF(Table1[[#This Row],[AI_Exposure_Index]]&gt;=0.3,"Medium Exposure","Low Exposure"))</f>
        <v>High Exposure</v>
      </c>
    </row>
    <row r="1440" spans="1:20" x14ac:dyDescent="0.25">
      <c r="A1440" t="s">
        <v>40</v>
      </c>
      <c r="B1440">
        <v>140998</v>
      </c>
      <c r="C1440" s="1">
        <v>9</v>
      </c>
      <c r="D1440" t="s">
        <v>25</v>
      </c>
      <c r="E1440" s="7">
        <v>0.78</v>
      </c>
      <c r="F1440" s="2">
        <v>0.77</v>
      </c>
      <c r="G1440" s="7">
        <v>0.05</v>
      </c>
      <c r="H1440" s="9" t="s">
        <v>23</v>
      </c>
      <c r="I1440">
        <v>0.12</v>
      </c>
      <c r="J1440">
        <v>0.88</v>
      </c>
      <c r="K1440">
        <v>0.84</v>
      </c>
      <c r="L1440">
        <v>0.3</v>
      </c>
      <c r="M1440">
        <v>0.28999999999999998</v>
      </c>
      <c r="N1440">
        <v>0.79</v>
      </c>
      <c r="O1440">
        <v>0.94</v>
      </c>
      <c r="P1440">
        <v>0.78</v>
      </c>
      <c r="Q1440">
        <v>0.61</v>
      </c>
      <c r="R1440" s="2">
        <v>0.24</v>
      </c>
      <c r="S1440" t="str">
        <f>IF(Table1[[#This Row],[Years_Experience]]&lt;=5,"Early Career",
IF(Table1[[#This Row],[Years_Experience]]&lt;=15,"Mid Career","Senior Level"))</f>
        <v>Mid Career</v>
      </c>
      <c r="T1440" t="str">
        <f>IF(Table1[[#This Row],[AI_Exposure_Index]]&gt;=0.7,"High Exposure", IF(Table1[[#This Row],[AI_Exposure_Index]]&gt;=0.3,"Medium Exposure","Low Exposure"))</f>
        <v>High Exposure</v>
      </c>
    </row>
    <row r="1441" spans="1:20" x14ac:dyDescent="0.25">
      <c r="A1441" t="s">
        <v>32</v>
      </c>
      <c r="B1441">
        <v>122743</v>
      </c>
      <c r="C1441" s="1">
        <v>20</v>
      </c>
      <c r="D1441" t="s">
        <v>19</v>
      </c>
      <c r="E1441" s="7">
        <v>1.31</v>
      </c>
      <c r="F1441" s="2">
        <v>0.23</v>
      </c>
      <c r="G1441" s="7">
        <v>0.45</v>
      </c>
      <c r="H1441" s="9" t="s">
        <v>27</v>
      </c>
      <c r="I1441">
        <v>0.83</v>
      </c>
      <c r="J1441">
        <v>0.38</v>
      </c>
      <c r="K1441">
        <v>0.82</v>
      </c>
      <c r="L1441">
        <v>0.33</v>
      </c>
      <c r="M1441">
        <v>0.44</v>
      </c>
      <c r="N1441">
        <v>0.62</v>
      </c>
      <c r="O1441">
        <v>7.0000000000000007E-2</v>
      </c>
      <c r="P1441">
        <v>0.95</v>
      </c>
      <c r="Q1441">
        <v>0.56999999999999995</v>
      </c>
      <c r="R1441" s="2">
        <v>0.51</v>
      </c>
      <c r="S1441" t="str">
        <f>IF(Table1[[#This Row],[Years_Experience]]&lt;=5,"Early Career",
IF(Table1[[#This Row],[Years_Experience]]&lt;=15,"Mid Career","Senior Level"))</f>
        <v>Senior Level</v>
      </c>
      <c r="T1441" t="str">
        <f>IF(Table1[[#This Row],[AI_Exposure_Index]]&gt;=0.7,"High Exposure", IF(Table1[[#This Row],[AI_Exposure_Index]]&gt;=0.3,"Medium Exposure","Low Exposure"))</f>
        <v>Low Exposure</v>
      </c>
    </row>
    <row r="1442" spans="1:20" x14ac:dyDescent="0.25">
      <c r="A1442" t="s">
        <v>43</v>
      </c>
      <c r="B1442">
        <v>64303</v>
      </c>
      <c r="C1442" s="1">
        <v>17</v>
      </c>
      <c r="D1442" t="s">
        <v>38</v>
      </c>
      <c r="E1442" s="7">
        <v>1.02</v>
      </c>
      <c r="F1442" s="2">
        <v>0.87</v>
      </c>
      <c r="G1442" s="7">
        <v>0.28000000000000003</v>
      </c>
      <c r="H1442" s="9" t="s">
        <v>23</v>
      </c>
      <c r="I1442">
        <v>0.06</v>
      </c>
      <c r="J1442">
        <v>0.11</v>
      </c>
      <c r="K1442">
        <v>0.6</v>
      </c>
      <c r="L1442">
        <v>0.35</v>
      </c>
      <c r="M1442">
        <v>0.46</v>
      </c>
      <c r="N1442">
        <v>0.33</v>
      </c>
      <c r="O1442">
        <v>0.4</v>
      </c>
      <c r="P1442">
        <v>0.82</v>
      </c>
      <c r="Q1442">
        <v>0.59</v>
      </c>
      <c r="R1442" s="2">
        <v>1</v>
      </c>
      <c r="S1442" t="str">
        <f>IF(Table1[[#This Row],[Years_Experience]]&lt;=5,"Early Career",
IF(Table1[[#This Row],[Years_Experience]]&lt;=15,"Mid Career","Senior Level"))</f>
        <v>Senior Level</v>
      </c>
      <c r="T1442" t="str">
        <f>IF(Table1[[#This Row],[AI_Exposure_Index]]&gt;=0.7,"High Exposure", IF(Table1[[#This Row],[AI_Exposure_Index]]&gt;=0.3,"Medium Exposure","Low Exposure"))</f>
        <v>High Exposure</v>
      </c>
    </row>
    <row r="1443" spans="1:20" x14ac:dyDescent="0.25">
      <c r="A1443" t="s">
        <v>29</v>
      </c>
      <c r="B1443">
        <v>89977</v>
      </c>
      <c r="C1443" s="1">
        <v>3</v>
      </c>
      <c r="D1443" t="s">
        <v>19</v>
      </c>
      <c r="E1443" s="7">
        <v>0.76</v>
      </c>
      <c r="F1443" s="2">
        <v>0.27</v>
      </c>
      <c r="G1443" s="7">
        <v>0.13</v>
      </c>
      <c r="H1443" s="9" t="s">
        <v>23</v>
      </c>
      <c r="I1443">
        <v>0.84</v>
      </c>
      <c r="J1443">
        <v>0.03</v>
      </c>
      <c r="K1443">
        <v>0.23</v>
      </c>
      <c r="L1443">
        <v>0.9</v>
      </c>
      <c r="M1443">
        <v>0.64</v>
      </c>
      <c r="N1443">
        <v>0.23</v>
      </c>
      <c r="O1443">
        <v>0.22</v>
      </c>
      <c r="P1443">
        <v>0.86</v>
      </c>
      <c r="Q1443">
        <v>0.89</v>
      </c>
      <c r="R1443" s="2">
        <v>0.26</v>
      </c>
      <c r="S1443" t="str">
        <f>IF(Table1[[#This Row],[Years_Experience]]&lt;=5,"Early Career",
IF(Table1[[#This Row],[Years_Experience]]&lt;=15,"Mid Career","Senior Level"))</f>
        <v>Early Career</v>
      </c>
      <c r="T1443" t="str">
        <f>IF(Table1[[#This Row],[AI_Exposure_Index]]&gt;=0.7,"High Exposure", IF(Table1[[#This Row],[AI_Exposure_Index]]&gt;=0.3,"Medium Exposure","Low Exposure"))</f>
        <v>Low Exposure</v>
      </c>
    </row>
    <row r="1444" spans="1:20" x14ac:dyDescent="0.25">
      <c r="A1444" t="s">
        <v>26</v>
      </c>
      <c r="B1444">
        <v>67133</v>
      </c>
      <c r="C1444" s="1">
        <v>19</v>
      </c>
      <c r="D1444" t="s">
        <v>38</v>
      </c>
      <c r="E1444" s="7">
        <v>1.27</v>
      </c>
      <c r="F1444" s="2">
        <v>0.83</v>
      </c>
      <c r="G1444" s="7">
        <v>0.63</v>
      </c>
      <c r="H1444" s="9" t="s">
        <v>27</v>
      </c>
      <c r="I1444">
        <v>0.52</v>
      </c>
      <c r="J1444">
        <v>0.91</v>
      </c>
      <c r="K1444">
        <v>0.33</v>
      </c>
      <c r="L1444">
        <v>0.16</v>
      </c>
      <c r="M1444">
        <v>0.71</v>
      </c>
      <c r="N1444">
        <v>0.54</v>
      </c>
      <c r="O1444">
        <v>0.85</v>
      </c>
      <c r="P1444">
        <v>0.08</v>
      </c>
      <c r="Q1444">
        <v>0.84</v>
      </c>
      <c r="R1444" s="2">
        <v>0.28999999999999998</v>
      </c>
      <c r="S1444" t="str">
        <f>IF(Table1[[#This Row],[Years_Experience]]&lt;=5,"Early Career",
IF(Table1[[#This Row],[Years_Experience]]&lt;=15,"Mid Career","Senior Level"))</f>
        <v>Senior Level</v>
      </c>
      <c r="T1444" t="str">
        <f>IF(Table1[[#This Row],[AI_Exposure_Index]]&gt;=0.7,"High Exposure", IF(Table1[[#This Row],[AI_Exposure_Index]]&gt;=0.3,"Medium Exposure","Low Exposure"))</f>
        <v>High Exposure</v>
      </c>
    </row>
    <row r="1445" spans="1:20" x14ac:dyDescent="0.25">
      <c r="A1445" t="s">
        <v>37</v>
      </c>
      <c r="B1445">
        <v>70680</v>
      </c>
      <c r="C1445" s="1">
        <v>19</v>
      </c>
      <c r="D1445" t="s">
        <v>19</v>
      </c>
      <c r="E1445" s="7">
        <v>1.1100000000000001</v>
      </c>
      <c r="F1445" s="2">
        <v>0.04</v>
      </c>
      <c r="G1445" s="7">
        <v>0.59</v>
      </c>
      <c r="H1445" s="9" t="s">
        <v>27</v>
      </c>
      <c r="I1445">
        <v>0.37</v>
      </c>
      <c r="J1445">
        <v>0.22</v>
      </c>
      <c r="K1445">
        <v>0.54</v>
      </c>
      <c r="L1445">
        <v>0.83</v>
      </c>
      <c r="M1445">
        <v>0.32</v>
      </c>
      <c r="N1445">
        <v>0.25</v>
      </c>
      <c r="O1445">
        <v>0.28000000000000003</v>
      </c>
      <c r="P1445">
        <v>0.95</v>
      </c>
      <c r="Q1445">
        <v>0.36</v>
      </c>
      <c r="R1445" s="2">
        <v>0</v>
      </c>
      <c r="S1445" t="str">
        <f>IF(Table1[[#This Row],[Years_Experience]]&lt;=5,"Early Career",
IF(Table1[[#This Row],[Years_Experience]]&lt;=15,"Mid Career","Senior Level"))</f>
        <v>Senior Level</v>
      </c>
      <c r="T1445" t="str">
        <f>IF(Table1[[#This Row],[AI_Exposure_Index]]&gt;=0.7,"High Exposure", IF(Table1[[#This Row],[AI_Exposure_Index]]&gt;=0.3,"Medium Exposure","Low Exposure"))</f>
        <v>Low Exposure</v>
      </c>
    </row>
    <row r="1446" spans="1:20" x14ac:dyDescent="0.25">
      <c r="A1446" t="s">
        <v>24</v>
      </c>
      <c r="B1446">
        <v>47013</v>
      </c>
      <c r="C1446" s="1">
        <v>16</v>
      </c>
      <c r="D1446" t="s">
        <v>25</v>
      </c>
      <c r="E1446" s="7">
        <v>0.63</v>
      </c>
      <c r="F1446" s="2">
        <v>0.7</v>
      </c>
      <c r="G1446" s="7">
        <v>0.95</v>
      </c>
      <c r="H1446" s="9" t="s">
        <v>20</v>
      </c>
      <c r="I1446">
        <v>0.61</v>
      </c>
      <c r="J1446">
        <v>0.5</v>
      </c>
      <c r="K1446">
        <v>0.38</v>
      </c>
      <c r="L1446">
        <v>0.9</v>
      </c>
      <c r="M1446">
        <v>0.24</v>
      </c>
      <c r="N1446">
        <v>0.28999999999999998</v>
      </c>
      <c r="O1446">
        <v>0.12</v>
      </c>
      <c r="P1446">
        <v>0.76</v>
      </c>
      <c r="Q1446">
        <v>0.6</v>
      </c>
      <c r="R1446" s="2">
        <v>0.61</v>
      </c>
      <c r="S1446" t="str">
        <f>IF(Table1[[#This Row],[Years_Experience]]&lt;=5,"Early Career",
IF(Table1[[#This Row],[Years_Experience]]&lt;=15,"Mid Career","Senior Level"))</f>
        <v>Senior Level</v>
      </c>
      <c r="T1446" t="str">
        <f>IF(Table1[[#This Row],[AI_Exposure_Index]]&gt;=0.7,"High Exposure", IF(Table1[[#This Row],[AI_Exposure_Index]]&gt;=0.3,"Medium Exposure","Low Exposure"))</f>
        <v>High Exposure</v>
      </c>
    </row>
    <row r="1447" spans="1:20" x14ac:dyDescent="0.25">
      <c r="A1447" t="s">
        <v>37</v>
      </c>
      <c r="B1447">
        <v>139982</v>
      </c>
      <c r="C1447" s="1">
        <v>26</v>
      </c>
      <c r="D1447" t="s">
        <v>38</v>
      </c>
      <c r="E1447" s="7">
        <v>1.27</v>
      </c>
      <c r="F1447" s="2">
        <v>0.65</v>
      </c>
      <c r="G1447" s="7">
        <v>0.44</v>
      </c>
      <c r="H1447" s="9" t="s">
        <v>27</v>
      </c>
      <c r="I1447">
        <v>0.8</v>
      </c>
      <c r="J1447">
        <v>0.35</v>
      </c>
      <c r="K1447">
        <v>0.76</v>
      </c>
      <c r="L1447">
        <v>0.03</v>
      </c>
      <c r="M1447">
        <v>0.55000000000000004</v>
      </c>
      <c r="N1447">
        <v>0.97</v>
      </c>
      <c r="O1447">
        <v>0.98</v>
      </c>
      <c r="P1447">
        <v>0.28000000000000003</v>
      </c>
      <c r="Q1447">
        <v>0.44</v>
      </c>
      <c r="R1447" s="2">
        <v>0.06</v>
      </c>
      <c r="S1447" t="str">
        <f>IF(Table1[[#This Row],[Years_Experience]]&lt;=5,"Early Career",
IF(Table1[[#This Row],[Years_Experience]]&lt;=15,"Mid Career","Senior Level"))</f>
        <v>Senior Level</v>
      </c>
      <c r="T1447" t="str">
        <f>IF(Table1[[#This Row],[AI_Exposure_Index]]&gt;=0.7,"High Exposure", IF(Table1[[#This Row],[AI_Exposure_Index]]&gt;=0.3,"Medium Exposure","Low Exposure"))</f>
        <v>Medium Exposure</v>
      </c>
    </row>
    <row r="1448" spans="1:20" x14ac:dyDescent="0.25">
      <c r="A1448" t="s">
        <v>35</v>
      </c>
      <c r="B1448">
        <v>114935</v>
      </c>
      <c r="C1448" s="1">
        <v>22</v>
      </c>
      <c r="D1448" t="s">
        <v>22</v>
      </c>
      <c r="E1448" s="7">
        <v>0.68</v>
      </c>
      <c r="F1448" s="2">
        <v>0.6</v>
      </c>
      <c r="G1448" s="7">
        <v>0.36</v>
      </c>
      <c r="H1448" s="9" t="s">
        <v>27</v>
      </c>
      <c r="I1448">
        <v>0</v>
      </c>
      <c r="J1448">
        <v>0.94</v>
      </c>
      <c r="K1448">
        <v>0.83</v>
      </c>
      <c r="L1448">
        <v>0.08</v>
      </c>
      <c r="M1448">
        <v>0.6</v>
      </c>
      <c r="N1448">
        <v>0.23</v>
      </c>
      <c r="O1448">
        <v>0.26</v>
      </c>
      <c r="P1448">
        <v>0.87</v>
      </c>
      <c r="Q1448">
        <v>0.11</v>
      </c>
      <c r="R1448" s="2">
        <v>0.6</v>
      </c>
      <c r="S1448" t="str">
        <f>IF(Table1[[#This Row],[Years_Experience]]&lt;=5,"Early Career",
IF(Table1[[#This Row],[Years_Experience]]&lt;=15,"Mid Career","Senior Level"))</f>
        <v>Senior Level</v>
      </c>
      <c r="T1448" t="str">
        <f>IF(Table1[[#This Row],[AI_Exposure_Index]]&gt;=0.7,"High Exposure", IF(Table1[[#This Row],[AI_Exposure_Index]]&gt;=0.3,"Medium Exposure","Low Exposure"))</f>
        <v>Medium Exposure</v>
      </c>
    </row>
    <row r="1449" spans="1:20" x14ac:dyDescent="0.25">
      <c r="A1449" t="s">
        <v>33</v>
      </c>
      <c r="B1449">
        <v>74741</v>
      </c>
      <c r="C1449" s="1">
        <v>12</v>
      </c>
      <c r="D1449" t="s">
        <v>22</v>
      </c>
      <c r="E1449" s="7">
        <v>0.95</v>
      </c>
      <c r="F1449" s="2">
        <v>0.19</v>
      </c>
      <c r="G1449" s="7">
        <v>0.94</v>
      </c>
      <c r="H1449" s="9" t="s">
        <v>20</v>
      </c>
      <c r="I1449">
        <v>0.78</v>
      </c>
      <c r="J1449">
        <v>0.13</v>
      </c>
      <c r="K1449">
        <v>0.85</v>
      </c>
      <c r="L1449">
        <v>0.94</v>
      </c>
      <c r="M1449">
        <v>0.28000000000000003</v>
      </c>
      <c r="N1449">
        <v>0.33</v>
      </c>
      <c r="O1449">
        <v>0.13</v>
      </c>
      <c r="P1449">
        <v>0.34</v>
      </c>
      <c r="Q1449">
        <v>0.67</v>
      </c>
      <c r="R1449" s="2">
        <v>0.27</v>
      </c>
      <c r="S1449" t="str">
        <f>IF(Table1[[#This Row],[Years_Experience]]&lt;=5,"Early Career",
IF(Table1[[#This Row],[Years_Experience]]&lt;=15,"Mid Career","Senior Level"))</f>
        <v>Mid Career</v>
      </c>
      <c r="T1449" t="str">
        <f>IF(Table1[[#This Row],[AI_Exposure_Index]]&gt;=0.7,"High Exposure", IF(Table1[[#This Row],[AI_Exposure_Index]]&gt;=0.3,"Medium Exposure","Low Exposure"))</f>
        <v>Low Exposure</v>
      </c>
    </row>
    <row r="1450" spans="1:20" x14ac:dyDescent="0.25">
      <c r="A1450" t="s">
        <v>40</v>
      </c>
      <c r="B1450">
        <v>114153</v>
      </c>
      <c r="C1450" s="1">
        <v>20</v>
      </c>
      <c r="D1450" t="s">
        <v>25</v>
      </c>
      <c r="E1450" s="7">
        <v>0.95</v>
      </c>
      <c r="F1450" s="2">
        <v>0.34</v>
      </c>
      <c r="G1450" s="7">
        <v>0.19</v>
      </c>
      <c r="H1450" s="9" t="s">
        <v>23</v>
      </c>
      <c r="I1450">
        <v>0.68</v>
      </c>
      <c r="J1450">
        <v>0.06</v>
      </c>
      <c r="K1450">
        <v>0.47</v>
      </c>
      <c r="L1450">
        <v>0.27</v>
      </c>
      <c r="M1450">
        <v>0.95</v>
      </c>
      <c r="N1450">
        <v>0.36</v>
      </c>
      <c r="O1450">
        <v>0.1</v>
      </c>
      <c r="P1450">
        <v>0.04</v>
      </c>
      <c r="Q1450">
        <v>0.27</v>
      </c>
      <c r="R1450" s="2">
        <v>0.18</v>
      </c>
      <c r="S1450" t="str">
        <f>IF(Table1[[#This Row],[Years_Experience]]&lt;=5,"Early Career",
IF(Table1[[#This Row],[Years_Experience]]&lt;=15,"Mid Career","Senior Level"))</f>
        <v>Senior Level</v>
      </c>
      <c r="T1450" t="str">
        <f>IF(Table1[[#This Row],[AI_Exposure_Index]]&gt;=0.7,"High Exposure", IF(Table1[[#This Row],[AI_Exposure_Index]]&gt;=0.3,"Medium Exposure","Low Exposure"))</f>
        <v>Medium Exposure</v>
      </c>
    </row>
    <row r="1451" spans="1:20" x14ac:dyDescent="0.25">
      <c r="A1451" t="s">
        <v>24</v>
      </c>
      <c r="B1451">
        <v>113110</v>
      </c>
      <c r="C1451" s="1">
        <v>11</v>
      </c>
      <c r="D1451" t="s">
        <v>25</v>
      </c>
      <c r="E1451" s="7">
        <v>0.81</v>
      </c>
      <c r="F1451" s="2">
        <v>0.85</v>
      </c>
      <c r="G1451" s="7">
        <v>0.84</v>
      </c>
      <c r="H1451" s="9" t="s">
        <v>20</v>
      </c>
      <c r="I1451">
        <v>0.73</v>
      </c>
      <c r="J1451">
        <v>0.4</v>
      </c>
      <c r="K1451">
        <v>7.0000000000000007E-2</v>
      </c>
      <c r="L1451">
        <v>0.23</v>
      </c>
      <c r="M1451">
        <v>0.88</v>
      </c>
      <c r="N1451">
        <v>0.82</v>
      </c>
      <c r="O1451">
        <v>0.09</v>
      </c>
      <c r="P1451">
        <v>0.22</v>
      </c>
      <c r="Q1451">
        <v>0.77</v>
      </c>
      <c r="R1451" s="2">
        <v>0.49</v>
      </c>
      <c r="S1451" t="str">
        <f>IF(Table1[[#This Row],[Years_Experience]]&lt;=5,"Early Career",
IF(Table1[[#This Row],[Years_Experience]]&lt;=15,"Mid Career","Senior Level"))</f>
        <v>Mid Career</v>
      </c>
      <c r="T1451" t="str">
        <f>IF(Table1[[#This Row],[AI_Exposure_Index]]&gt;=0.7,"High Exposure", IF(Table1[[#This Row],[AI_Exposure_Index]]&gt;=0.3,"Medium Exposure","Low Exposure"))</f>
        <v>High Exposure</v>
      </c>
    </row>
    <row r="1452" spans="1:20" x14ac:dyDescent="0.25">
      <c r="A1452" t="s">
        <v>41</v>
      </c>
      <c r="B1452">
        <v>108596</v>
      </c>
      <c r="C1452" s="1">
        <v>9</v>
      </c>
      <c r="D1452" t="s">
        <v>38</v>
      </c>
      <c r="E1452" s="7">
        <v>1.45</v>
      </c>
      <c r="F1452" s="2">
        <v>0.21</v>
      </c>
      <c r="G1452" s="7">
        <v>0.9</v>
      </c>
      <c r="H1452" s="9" t="s">
        <v>20</v>
      </c>
      <c r="I1452">
        <v>0.2</v>
      </c>
      <c r="J1452">
        <v>0.56000000000000005</v>
      </c>
      <c r="K1452">
        <v>0.11</v>
      </c>
      <c r="L1452">
        <v>0.36</v>
      </c>
      <c r="M1452">
        <v>0.66</v>
      </c>
      <c r="N1452">
        <v>0.33</v>
      </c>
      <c r="O1452">
        <v>0.66</v>
      </c>
      <c r="P1452">
        <v>0.24</v>
      </c>
      <c r="Q1452">
        <v>0.72</v>
      </c>
      <c r="R1452" s="2">
        <v>0.36</v>
      </c>
      <c r="S1452" t="str">
        <f>IF(Table1[[#This Row],[Years_Experience]]&lt;=5,"Early Career",
IF(Table1[[#This Row],[Years_Experience]]&lt;=15,"Mid Career","Senior Level"))</f>
        <v>Mid Career</v>
      </c>
      <c r="T1452" t="str">
        <f>IF(Table1[[#This Row],[AI_Exposure_Index]]&gt;=0.7,"High Exposure", IF(Table1[[#This Row],[AI_Exposure_Index]]&gt;=0.3,"Medium Exposure","Low Exposure"))</f>
        <v>Low Exposure</v>
      </c>
    </row>
    <row r="1453" spans="1:20" x14ac:dyDescent="0.25">
      <c r="A1453" t="s">
        <v>44</v>
      </c>
      <c r="B1453">
        <v>94274</v>
      </c>
      <c r="C1453" s="1">
        <v>10</v>
      </c>
      <c r="D1453" t="s">
        <v>22</v>
      </c>
      <c r="E1453" s="7">
        <v>0.86</v>
      </c>
      <c r="F1453" s="2">
        <v>0.14000000000000001</v>
      </c>
      <c r="G1453" s="7">
        <v>0.49</v>
      </c>
      <c r="H1453" s="9" t="s">
        <v>27</v>
      </c>
      <c r="I1453">
        <v>0.42</v>
      </c>
      <c r="J1453">
        <v>0.43</v>
      </c>
      <c r="K1453">
        <v>0.44</v>
      </c>
      <c r="L1453">
        <v>0.99</v>
      </c>
      <c r="M1453">
        <v>0.19</v>
      </c>
      <c r="N1453">
        <v>0.77</v>
      </c>
      <c r="O1453">
        <v>0.55000000000000004</v>
      </c>
      <c r="P1453">
        <v>0.41</v>
      </c>
      <c r="Q1453">
        <v>0.63</v>
      </c>
      <c r="R1453" s="2">
        <v>0.85</v>
      </c>
      <c r="S1453" t="str">
        <f>IF(Table1[[#This Row],[Years_Experience]]&lt;=5,"Early Career",
IF(Table1[[#This Row],[Years_Experience]]&lt;=15,"Mid Career","Senior Level"))</f>
        <v>Mid Career</v>
      </c>
      <c r="T1453" t="str">
        <f>IF(Table1[[#This Row],[AI_Exposure_Index]]&gt;=0.7,"High Exposure", IF(Table1[[#This Row],[AI_Exposure_Index]]&gt;=0.3,"Medium Exposure","Low Exposure"))</f>
        <v>Low Exposure</v>
      </c>
    </row>
    <row r="1454" spans="1:20" x14ac:dyDescent="0.25">
      <c r="A1454" t="s">
        <v>44</v>
      </c>
      <c r="B1454">
        <v>135649</v>
      </c>
      <c r="C1454" s="1">
        <v>11</v>
      </c>
      <c r="D1454" t="s">
        <v>22</v>
      </c>
      <c r="E1454" s="7">
        <v>0.59</v>
      </c>
      <c r="F1454" s="2">
        <v>0.86</v>
      </c>
      <c r="G1454" s="7">
        <v>0.56000000000000005</v>
      </c>
      <c r="H1454" s="9" t="s">
        <v>27</v>
      </c>
      <c r="I1454">
        <v>0.33</v>
      </c>
      <c r="J1454">
        <v>0.39</v>
      </c>
      <c r="K1454">
        <v>0.56999999999999995</v>
      </c>
      <c r="L1454">
        <v>0.48</v>
      </c>
      <c r="M1454">
        <v>0.38</v>
      </c>
      <c r="N1454">
        <v>0.31</v>
      </c>
      <c r="O1454">
        <v>0.62</v>
      </c>
      <c r="P1454">
        <v>0.51</v>
      </c>
      <c r="Q1454">
        <v>0.32</v>
      </c>
      <c r="R1454" s="2">
        <v>0.2</v>
      </c>
      <c r="S1454" t="str">
        <f>IF(Table1[[#This Row],[Years_Experience]]&lt;=5,"Early Career",
IF(Table1[[#This Row],[Years_Experience]]&lt;=15,"Mid Career","Senior Level"))</f>
        <v>Mid Career</v>
      </c>
      <c r="T1454" t="str">
        <f>IF(Table1[[#This Row],[AI_Exposure_Index]]&gt;=0.7,"High Exposure", IF(Table1[[#This Row],[AI_Exposure_Index]]&gt;=0.3,"Medium Exposure","Low Exposure"))</f>
        <v>High Exposure</v>
      </c>
    </row>
    <row r="1455" spans="1:20" x14ac:dyDescent="0.25">
      <c r="A1455" t="s">
        <v>40</v>
      </c>
      <c r="B1455">
        <v>131433</v>
      </c>
      <c r="C1455" s="1">
        <v>10</v>
      </c>
      <c r="D1455" t="s">
        <v>25</v>
      </c>
      <c r="E1455" s="7">
        <v>0.71</v>
      </c>
      <c r="F1455" s="2">
        <v>0.8</v>
      </c>
      <c r="G1455" s="7">
        <v>0.12</v>
      </c>
      <c r="H1455" s="9" t="s">
        <v>23</v>
      </c>
      <c r="I1455">
        <v>0.24</v>
      </c>
      <c r="J1455">
        <v>0.88</v>
      </c>
      <c r="K1455">
        <v>0.77</v>
      </c>
      <c r="L1455">
        <v>7.0000000000000007E-2</v>
      </c>
      <c r="M1455">
        <v>0.83</v>
      </c>
      <c r="N1455">
        <v>0.04</v>
      </c>
      <c r="O1455">
        <v>0.25</v>
      </c>
      <c r="P1455">
        <v>0.92</v>
      </c>
      <c r="Q1455">
        <v>0.86</v>
      </c>
      <c r="R1455" s="2">
        <v>0.78</v>
      </c>
      <c r="S1455" t="str">
        <f>IF(Table1[[#This Row],[Years_Experience]]&lt;=5,"Early Career",
IF(Table1[[#This Row],[Years_Experience]]&lt;=15,"Mid Career","Senior Level"))</f>
        <v>Mid Career</v>
      </c>
      <c r="T1455" t="str">
        <f>IF(Table1[[#This Row],[AI_Exposure_Index]]&gt;=0.7,"High Exposure", IF(Table1[[#This Row],[AI_Exposure_Index]]&gt;=0.3,"Medium Exposure","Low Exposure"))</f>
        <v>High Exposure</v>
      </c>
    </row>
    <row r="1456" spans="1:20" x14ac:dyDescent="0.25">
      <c r="A1456" t="s">
        <v>42</v>
      </c>
      <c r="B1456">
        <v>148962</v>
      </c>
      <c r="C1456" s="1">
        <v>27</v>
      </c>
      <c r="D1456" t="s">
        <v>38</v>
      </c>
      <c r="E1456" s="7">
        <v>1.38</v>
      </c>
      <c r="F1456" s="2">
        <v>0.32</v>
      </c>
      <c r="G1456" s="7">
        <v>0.56000000000000005</v>
      </c>
      <c r="H1456" s="9" t="s">
        <v>27</v>
      </c>
      <c r="I1456">
        <v>0.3</v>
      </c>
      <c r="J1456">
        <v>0.46</v>
      </c>
      <c r="K1456">
        <v>0.88</v>
      </c>
      <c r="L1456">
        <v>0.9</v>
      </c>
      <c r="M1456">
        <v>0.66</v>
      </c>
      <c r="N1456">
        <v>0.73</v>
      </c>
      <c r="O1456">
        <v>0.04</v>
      </c>
      <c r="P1456">
        <v>0.6</v>
      </c>
      <c r="Q1456">
        <v>0.69</v>
      </c>
      <c r="R1456" s="2">
        <v>0.02</v>
      </c>
      <c r="S1456" t="str">
        <f>IF(Table1[[#This Row],[Years_Experience]]&lt;=5,"Early Career",
IF(Table1[[#This Row],[Years_Experience]]&lt;=15,"Mid Career","Senior Level"))</f>
        <v>Senior Level</v>
      </c>
      <c r="T1456" t="str">
        <f>IF(Table1[[#This Row],[AI_Exposure_Index]]&gt;=0.7,"High Exposure", IF(Table1[[#This Row],[AI_Exposure_Index]]&gt;=0.3,"Medium Exposure","Low Exposure"))</f>
        <v>Medium Exposure</v>
      </c>
    </row>
    <row r="1457" spans="1:20" x14ac:dyDescent="0.25">
      <c r="A1457" t="s">
        <v>24</v>
      </c>
      <c r="B1457">
        <v>104901</v>
      </c>
      <c r="C1457" s="1">
        <v>5</v>
      </c>
      <c r="D1457" t="s">
        <v>19</v>
      </c>
      <c r="E1457" s="7">
        <v>0.74</v>
      </c>
      <c r="F1457" s="2">
        <v>0.93</v>
      </c>
      <c r="G1457" s="7">
        <v>0.91</v>
      </c>
      <c r="H1457" s="9" t="s">
        <v>20</v>
      </c>
      <c r="I1457">
        <v>0.67</v>
      </c>
      <c r="J1457">
        <v>0.57999999999999996</v>
      </c>
      <c r="K1457">
        <v>0.84</v>
      </c>
      <c r="L1457">
        <v>0.28999999999999998</v>
      </c>
      <c r="M1457">
        <v>0.79</v>
      </c>
      <c r="N1457">
        <v>0.31</v>
      </c>
      <c r="O1457">
        <v>0.79</v>
      </c>
      <c r="P1457">
        <v>0.45</v>
      </c>
      <c r="Q1457">
        <v>0.12</v>
      </c>
      <c r="R1457" s="2">
        <v>0.38</v>
      </c>
      <c r="S1457" t="str">
        <f>IF(Table1[[#This Row],[Years_Experience]]&lt;=5,"Early Career",
IF(Table1[[#This Row],[Years_Experience]]&lt;=15,"Mid Career","Senior Level"))</f>
        <v>Early Career</v>
      </c>
      <c r="T1457" t="str">
        <f>IF(Table1[[#This Row],[AI_Exposure_Index]]&gt;=0.7,"High Exposure", IF(Table1[[#This Row],[AI_Exposure_Index]]&gt;=0.3,"Medium Exposure","Low Exposure"))</f>
        <v>High Exposure</v>
      </c>
    </row>
    <row r="1458" spans="1:20" x14ac:dyDescent="0.25">
      <c r="A1458" t="s">
        <v>31</v>
      </c>
      <c r="B1458">
        <v>44133</v>
      </c>
      <c r="C1458" s="1">
        <v>27</v>
      </c>
      <c r="D1458" t="s">
        <v>38</v>
      </c>
      <c r="E1458" s="7">
        <v>0.61</v>
      </c>
      <c r="F1458" s="2">
        <v>0.1</v>
      </c>
      <c r="G1458" s="7">
        <v>0.25</v>
      </c>
      <c r="H1458" s="9" t="s">
        <v>23</v>
      </c>
      <c r="I1458">
        <v>0.88</v>
      </c>
      <c r="J1458">
        <v>0.93</v>
      </c>
      <c r="K1458">
        <v>0.85</v>
      </c>
      <c r="L1458">
        <v>0.83</v>
      </c>
      <c r="M1458">
        <v>7.0000000000000007E-2</v>
      </c>
      <c r="N1458">
        <v>0.79</v>
      </c>
      <c r="O1458">
        <v>0.78</v>
      </c>
      <c r="P1458">
        <v>0.13</v>
      </c>
      <c r="Q1458">
        <v>0.66</v>
      </c>
      <c r="R1458" s="2">
        <v>0.45</v>
      </c>
      <c r="S1458" t="str">
        <f>IF(Table1[[#This Row],[Years_Experience]]&lt;=5,"Early Career",
IF(Table1[[#This Row],[Years_Experience]]&lt;=15,"Mid Career","Senior Level"))</f>
        <v>Senior Level</v>
      </c>
      <c r="T1458" t="str">
        <f>IF(Table1[[#This Row],[AI_Exposure_Index]]&gt;=0.7,"High Exposure", IF(Table1[[#This Row],[AI_Exposure_Index]]&gt;=0.3,"Medium Exposure","Low Exposure"))</f>
        <v>Low Exposure</v>
      </c>
    </row>
    <row r="1459" spans="1:20" x14ac:dyDescent="0.25">
      <c r="A1459" t="s">
        <v>21</v>
      </c>
      <c r="B1459">
        <v>114293</v>
      </c>
      <c r="C1459" s="1">
        <v>11</v>
      </c>
      <c r="D1459" t="s">
        <v>25</v>
      </c>
      <c r="E1459" s="7">
        <v>1.45</v>
      </c>
      <c r="F1459" s="2">
        <v>0.7</v>
      </c>
      <c r="G1459" s="7">
        <v>0.08</v>
      </c>
      <c r="H1459" s="9" t="s">
        <v>23</v>
      </c>
      <c r="I1459">
        <v>0.04</v>
      </c>
      <c r="J1459">
        <v>0.97</v>
      </c>
      <c r="K1459">
        <v>0.08</v>
      </c>
      <c r="L1459">
        <v>0.39</v>
      </c>
      <c r="M1459">
        <v>0.65</v>
      </c>
      <c r="N1459">
        <v>0.88</v>
      </c>
      <c r="O1459">
        <v>0.25</v>
      </c>
      <c r="P1459">
        <v>0.03</v>
      </c>
      <c r="Q1459">
        <v>0.52</v>
      </c>
      <c r="R1459" s="2">
        <v>0.47</v>
      </c>
      <c r="S1459" t="str">
        <f>IF(Table1[[#This Row],[Years_Experience]]&lt;=5,"Early Career",
IF(Table1[[#This Row],[Years_Experience]]&lt;=15,"Mid Career","Senior Level"))</f>
        <v>Mid Career</v>
      </c>
      <c r="T1459" t="str">
        <f>IF(Table1[[#This Row],[AI_Exposure_Index]]&gt;=0.7,"High Exposure", IF(Table1[[#This Row],[AI_Exposure_Index]]&gt;=0.3,"Medium Exposure","Low Exposure"))</f>
        <v>High Exposure</v>
      </c>
    </row>
    <row r="1460" spans="1:20" x14ac:dyDescent="0.25">
      <c r="A1460" t="s">
        <v>29</v>
      </c>
      <c r="B1460">
        <v>66155</v>
      </c>
      <c r="C1460" s="1">
        <v>9</v>
      </c>
      <c r="D1460" t="s">
        <v>22</v>
      </c>
      <c r="E1460" s="7">
        <v>1.25</v>
      </c>
      <c r="F1460" s="2">
        <v>0.87</v>
      </c>
      <c r="G1460" s="7">
        <v>0.26</v>
      </c>
      <c r="H1460" s="9" t="s">
        <v>23</v>
      </c>
      <c r="I1460">
        <v>0.16</v>
      </c>
      <c r="J1460">
        <v>0.69</v>
      </c>
      <c r="K1460">
        <v>0.98</v>
      </c>
      <c r="L1460">
        <v>0.61</v>
      </c>
      <c r="M1460">
        <v>0.17</v>
      </c>
      <c r="N1460">
        <v>1</v>
      </c>
      <c r="O1460">
        <v>0.53</v>
      </c>
      <c r="P1460">
        <v>0.84</v>
      </c>
      <c r="Q1460">
        <v>0.15</v>
      </c>
      <c r="R1460" s="2">
        <v>0.67</v>
      </c>
      <c r="S1460" t="str">
        <f>IF(Table1[[#This Row],[Years_Experience]]&lt;=5,"Early Career",
IF(Table1[[#This Row],[Years_Experience]]&lt;=15,"Mid Career","Senior Level"))</f>
        <v>Mid Career</v>
      </c>
      <c r="T1460" t="str">
        <f>IF(Table1[[#This Row],[AI_Exposure_Index]]&gt;=0.7,"High Exposure", IF(Table1[[#This Row],[AI_Exposure_Index]]&gt;=0.3,"Medium Exposure","Low Exposure"))</f>
        <v>High Exposure</v>
      </c>
    </row>
    <row r="1461" spans="1:20" x14ac:dyDescent="0.25">
      <c r="A1461" t="s">
        <v>34</v>
      </c>
      <c r="B1461">
        <v>116070</v>
      </c>
      <c r="C1461" s="1">
        <v>24</v>
      </c>
      <c r="D1461" t="s">
        <v>22</v>
      </c>
      <c r="E1461" s="7">
        <v>0.79</v>
      </c>
      <c r="F1461" s="2">
        <v>0.53</v>
      </c>
      <c r="G1461" s="7">
        <v>0.35</v>
      </c>
      <c r="H1461" s="9" t="s">
        <v>27</v>
      </c>
      <c r="I1461">
        <v>0.3</v>
      </c>
      <c r="J1461">
        <v>0.35</v>
      </c>
      <c r="K1461">
        <v>0.71</v>
      </c>
      <c r="L1461">
        <v>0.18</v>
      </c>
      <c r="M1461">
        <v>0.11</v>
      </c>
      <c r="N1461">
        <v>0.39</v>
      </c>
      <c r="O1461">
        <v>0.46</v>
      </c>
      <c r="P1461">
        <v>0.63</v>
      </c>
      <c r="Q1461">
        <v>0.71</v>
      </c>
      <c r="R1461" s="2">
        <v>0.89</v>
      </c>
      <c r="S1461" t="str">
        <f>IF(Table1[[#This Row],[Years_Experience]]&lt;=5,"Early Career",
IF(Table1[[#This Row],[Years_Experience]]&lt;=15,"Mid Career","Senior Level"))</f>
        <v>Senior Level</v>
      </c>
      <c r="T1461" t="str">
        <f>IF(Table1[[#This Row],[AI_Exposure_Index]]&gt;=0.7,"High Exposure", IF(Table1[[#This Row],[AI_Exposure_Index]]&gt;=0.3,"Medium Exposure","Low Exposure"))</f>
        <v>Medium Exposure</v>
      </c>
    </row>
    <row r="1462" spans="1:20" x14ac:dyDescent="0.25">
      <c r="A1462" t="s">
        <v>43</v>
      </c>
      <c r="B1462">
        <v>86439</v>
      </c>
      <c r="C1462" s="1">
        <v>20</v>
      </c>
      <c r="D1462" t="s">
        <v>38</v>
      </c>
      <c r="E1462" s="7">
        <v>0.87</v>
      </c>
      <c r="F1462" s="2">
        <v>0.53</v>
      </c>
      <c r="G1462" s="7">
        <v>0.05</v>
      </c>
      <c r="H1462" s="9" t="s">
        <v>23</v>
      </c>
      <c r="I1462">
        <v>0.57999999999999996</v>
      </c>
      <c r="J1462">
        <v>0.82</v>
      </c>
      <c r="K1462">
        <v>0.04</v>
      </c>
      <c r="L1462">
        <v>0</v>
      </c>
      <c r="M1462">
        <v>0.73</v>
      </c>
      <c r="N1462">
        <v>0.68</v>
      </c>
      <c r="O1462">
        <v>0.41</v>
      </c>
      <c r="P1462">
        <v>0.66</v>
      </c>
      <c r="Q1462">
        <v>0.95</v>
      </c>
      <c r="R1462" s="2">
        <v>0.25</v>
      </c>
      <c r="S1462" t="str">
        <f>IF(Table1[[#This Row],[Years_Experience]]&lt;=5,"Early Career",
IF(Table1[[#This Row],[Years_Experience]]&lt;=15,"Mid Career","Senior Level"))</f>
        <v>Senior Level</v>
      </c>
      <c r="T1462" t="str">
        <f>IF(Table1[[#This Row],[AI_Exposure_Index]]&gt;=0.7,"High Exposure", IF(Table1[[#This Row],[AI_Exposure_Index]]&gt;=0.3,"Medium Exposure","Low Exposure"))</f>
        <v>Medium Exposure</v>
      </c>
    </row>
    <row r="1463" spans="1:20" x14ac:dyDescent="0.25">
      <c r="A1463" t="s">
        <v>29</v>
      </c>
      <c r="B1463">
        <v>98500</v>
      </c>
      <c r="C1463" s="1">
        <v>6</v>
      </c>
      <c r="D1463" t="s">
        <v>38</v>
      </c>
      <c r="E1463" s="7">
        <v>1.22</v>
      </c>
      <c r="F1463" s="2">
        <v>0.19</v>
      </c>
      <c r="G1463" s="7">
        <v>0.14000000000000001</v>
      </c>
      <c r="H1463" s="9" t="s">
        <v>23</v>
      </c>
      <c r="I1463">
        <v>0.99</v>
      </c>
      <c r="J1463">
        <v>0.71</v>
      </c>
      <c r="K1463">
        <v>0.37</v>
      </c>
      <c r="L1463">
        <v>0.15</v>
      </c>
      <c r="M1463">
        <v>0.59</v>
      </c>
      <c r="N1463">
        <v>0.28999999999999998</v>
      </c>
      <c r="O1463">
        <v>0.91</v>
      </c>
      <c r="P1463">
        <v>0.44</v>
      </c>
      <c r="Q1463">
        <v>0.28999999999999998</v>
      </c>
      <c r="R1463" s="2">
        <v>0.59</v>
      </c>
      <c r="S1463" t="str">
        <f>IF(Table1[[#This Row],[Years_Experience]]&lt;=5,"Early Career",
IF(Table1[[#This Row],[Years_Experience]]&lt;=15,"Mid Career","Senior Level"))</f>
        <v>Mid Career</v>
      </c>
      <c r="T1463" t="str">
        <f>IF(Table1[[#This Row],[AI_Exposure_Index]]&gt;=0.7,"High Exposure", IF(Table1[[#This Row],[AI_Exposure_Index]]&gt;=0.3,"Medium Exposure","Low Exposure"))</f>
        <v>Low Exposure</v>
      </c>
    </row>
    <row r="1464" spans="1:20" x14ac:dyDescent="0.25">
      <c r="A1464" t="s">
        <v>21</v>
      </c>
      <c r="B1464">
        <v>79887</v>
      </c>
      <c r="C1464" s="1">
        <v>19</v>
      </c>
      <c r="D1464" t="s">
        <v>22</v>
      </c>
      <c r="E1464" s="7">
        <v>0.56000000000000005</v>
      </c>
      <c r="F1464" s="2">
        <v>0.56000000000000005</v>
      </c>
      <c r="G1464" s="7">
        <v>0.2</v>
      </c>
      <c r="H1464" s="9" t="s">
        <v>23</v>
      </c>
      <c r="I1464">
        <v>0.53</v>
      </c>
      <c r="J1464">
        <v>0.52</v>
      </c>
      <c r="K1464">
        <v>0.68</v>
      </c>
      <c r="L1464">
        <v>0.04</v>
      </c>
      <c r="M1464">
        <v>0.46</v>
      </c>
      <c r="N1464">
        <v>0.44</v>
      </c>
      <c r="O1464">
        <v>0.46</v>
      </c>
      <c r="P1464">
        <v>0.98</v>
      </c>
      <c r="Q1464">
        <v>0.14000000000000001</v>
      </c>
      <c r="R1464" s="2">
        <v>0.69</v>
      </c>
      <c r="S1464" t="str">
        <f>IF(Table1[[#This Row],[Years_Experience]]&lt;=5,"Early Career",
IF(Table1[[#This Row],[Years_Experience]]&lt;=15,"Mid Career","Senior Level"))</f>
        <v>Senior Level</v>
      </c>
      <c r="T1464" t="str">
        <f>IF(Table1[[#This Row],[AI_Exposure_Index]]&gt;=0.7,"High Exposure", IF(Table1[[#This Row],[AI_Exposure_Index]]&gt;=0.3,"Medium Exposure","Low Exposure"))</f>
        <v>Medium Exposure</v>
      </c>
    </row>
    <row r="1465" spans="1:20" x14ac:dyDescent="0.25">
      <c r="A1465" t="s">
        <v>21</v>
      </c>
      <c r="B1465">
        <v>109880</v>
      </c>
      <c r="C1465" s="1">
        <v>14</v>
      </c>
      <c r="D1465" t="s">
        <v>19</v>
      </c>
      <c r="E1465" s="7">
        <v>1.26</v>
      </c>
      <c r="F1465" s="2">
        <v>0.51</v>
      </c>
      <c r="G1465" s="7">
        <v>0.09</v>
      </c>
      <c r="H1465" s="9" t="s">
        <v>23</v>
      </c>
      <c r="I1465">
        <v>0.76</v>
      </c>
      <c r="J1465">
        <v>7.0000000000000007E-2</v>
      </c>
      <c r="K1465">
        <v>0.48</v>
      </c>
      <c r="L1465">
        <v>0.74</v>
      </c>
      <c r="M1465">
        <v>0.19</v>
      </c>
      <c r="N1465">
        <v>0.77</v>
      </c>
      <c r="O1465">
        <v>0.17</v>
      </c>
      <c r="P1465">
        <v>0.8</v>
      </c>
      <c r="Q1465">
        <v>0.47</v>
      </c>
      <c r="R1465" s="2">
        <v>0.68</v>
      </c>
      <c r="S1465" t="str">
        <f>IF(Table1[[#This Row],[Years_Experience]]&lt;=5,"Early Career",
IF(Table1[[#This Row],[Years_Experience]]&lt;=15,"Mid Career","Senior Level"))</f>
        <v>Mid Career</v>
      </c>
      <c r="T1465" t="str">
        <f>IF(Table1[[#This Row],[AI_Exposure_Index]]&gt;=0.7,"High Exposure", IF(Table1[[#This Row],[AI_Exposure_Index]]&gt;=0.3,"Medium Exposure","Low Exposure"))</f>
        <v>Medium Exposure</v>
      </c>
    </row>
    <row r="1466" spans="1:20" x14ac:dyDescent="0.25">
      <c r="A1466" t="s">
        <v>37</v>
      </c>
      <c r="B1466">
        <v>105352</v>
      </c>
      <c r="C1466" s="1">
        <v>4</v>
      </c>
      <c r="D1466" t="s">
        <v>19</v>
      </c>
      <c r="E1466" s="7">
        <v>0.73</v>
      </c>
      <c r="F1466" s="2">
        <v>0.41</v>
      </c>
      <c r="G1466" s="7">
        <v>0.65</v>
      </c>
      <c r="H1466" s="9" t="s">
        <v>27</v>
      </c>
      <c r="I1466">
        <v>0.16</v>
      </c>
      <c r="J1466">
        <v>0.63</v>
      </c>
      <c r="K1466">
        <v>0.92</v>
      </c>
      <c r="L1466">
        <v>0.67</v>
      </c>
      <c r="M1466">
        <v>0.2</v>
      </c>
      <c r="N1466">
        <v>0.15</v>
      </c>
      <c r="O1466">
        <v>0.25</v>
      </c>
      <c r="P1466">
        <v>0.39</v>
      </c>
      <c r="Q1466">
        <v>0.16</v>
      </c>
      <c r="R1466" s="2">
        <v>0.8</v>
      </c>
      <c r="S1466" t="str">
        <f>IF(Table1[[#This Row],[Years_Experience]]&lt;=5,"Early Career",
IF(Table1[[#This Row],[Years_Experience]]&lt;=15,"Mid Career","Senior Level"))</f>
        <v>Early Career</v>
      </c>
      <c r="T1466" t="str">
        <f>IF(Table1[[#This Row],[AI_Exposure_Index]]&gt;=0.7,"High Exposure", IF(Table1[[#This Row],[AI_Exposure_Index]]&gt;=0.3,"Medium Exposure","Low Exposure"))</f>
        <v>Medium Exposure</v>
      </c>
    </row>
    <row r="1467" spans="1:20" x14ac:dyDescent="0.25">
      <c r="A1467" t="s">
        <v>41</v>
      </c>
      <c r="B1467">
        <v>73781</v>
      </c>
      <c r="C1467" s="1">
        <v>17</v>
      </c>
      <c r="D1467" t="s">
        <v>22</v>
      </c>
      <c r="E1467" s="7">
        <v>1.34</v>
      </c>
      <c r="F1467" s="2">
        <v>0.94</v>
      </c>
      <c r="G1467" s="7">
        <v>0.93</v>
      </c>
      <c r="H1467" s="9" t="s">
        <v>20</v>
      </c>
      <c r="I1467">
        <v>0.28999999999999998</v>
      </c>
      <c r="J1467">
        <v>0.56999999999999995</v>
      </c>
      <c r="K1467">
        <v>0.32</v>
      </c>
      <c r="L1467">
        <v>0.26</v>
      </c>
      <c r="M1467">
        <v>0.61</v>
      </c>
      <c r="N1467">
        <v>0.82</v>
      </c>
      <c r="O1467">
        <v>0.09</v>
      </c>
      <c r="P1467">
        <v>0.28000000000000003</v>
      </c>
      <c r="Q1467">
        <v>0.21</v>
      </c>
      <c r="R1467" s="2">
        <v>0.8</v>
      </c>
      <c r="S1467" t="str">
        <f>IF(Table1[[#This Row],[Years_Experience]]&lt;=5,"Early Career",
IF(Table1[[#This Row],[Years_Experience]]&lt;=15,"Mid Career","Senior Level"))</f>
        <v>Senior Level</v>
      </c>
      <c r="T1467" t="str">
        <f>IF(Table1[[#This Row],[AI_Exposure_Index]]&gt;=0.7,"High Exposure", IF(Table1[[#This Row],[AI_Exposure_Index]]&gt;=0.3,"Medium Exposure","Low Exposure"))</f>
        <v>High Exposure</v>
      </c>
    </row>
    <row r="1468" spans="1:20" x14ac:dyDescent="0.25">
      <c r="A1468" t="s">
        <v>31</v>
      </c>
      <c r="B1468">
        <v>126492</v>
      </c>
      <c r="C1468" s="1">
        <v>12</v>
      </c>
      <c r="D1468" t="s">
        <v>25</v>
      </c>
      <c r="E1468" s="7">
        <v>0.88</v>
      </c>
      <c r="F1468" s="2">
        <v>0.08</v>
      </c>
      <c r="G1468" s="7">
        <v>0.28000000000000003</v>
      </c>
      <c r="H1468" s="9" t="s">
        <v>23</v>
      </c>
      <c r="I1468">
        <v>0.34</v>
      </c>
      <c r="J1468">
        <v>0.71</v>
      </c>
      <c r="K1468">
        <v>0.1</v>
      </c>
      <c r="L1468">
        <v>0.44</v>
      </c>
      <c r="M1468">
        <v>0.5</v>
      </c>
      <c r="N1468">
        <v>0.76</v>
      </c>
      <c r="O1468">
        <v>0.28999999999999998</v>
      </c>
      <c r="P1468">
        <v>0.26</v>
      </c>
      <c r="Q1468">
        <v>0.3</v>
      </c>
      <c r="R1468" s="2">
        <v>0.56000000000000005</v>
      </c>
      <c r="S1468" t="str">
        <f>IF(Table1[[#This Row],[Years_Experience]]&lt;=5,"Early Career",
IF(Table1[[#This Row],[Years_Experience]]&lt;=15,"Mid Career","Senior Level"))</f>
        <v>Mid Career</v>
      </c>
      <c r="T1468" t="str">
        <f>IF(Table1[[#This Row],[AI_Exposure_Index]]&gt;=0.7,"High Exposure", IF(Table1[[#This Row],[AI_Exposure_Index]]&gt;=0.3,"Medium Exposure","Low Exposure"))</f>
        <v>Low Exposure</v>
      </c>
    </row>
    <row r="1469" spans="1:20" x14ac:dyDescent="0.25">
      <c r="A1469" t="s">
        <v>44</v>
      </c>
      <c r="B1469">
        <v>149635</v>
      </c>
      <c r="C1469" s="1">
        <v>19</v>
      </c>
      <c r="D1469" t="s">
        <v>22</v>
      </c>
      <c r="E1469" s="7">
        <v>0.56000000000000005</v>
      </c>
      <c r="F1469" s="2">
        <v>0.83</v>
      </c>
      <c r="G1469" s="7">
        <v>0.65</v>
      </c>
      <c r="H1469" s="9" t="s">
        <v>27</v>
      </c>
      <c r="I1469">
        <v>0.1</v>
      </c>
      <c r="J1469">
        <v>0.42</v>
      </c>
      <c r="K1469">
        <v>0.77</v>
      </c>
      <c r="L1469">
        <v>0.08</v>
      </c>
      <c r="M1469">
        <v>0.04</v>
      </c>
      <c r="N1469">
        <v>0.33</v>
      </c>
      <c r="O1469">
        <v>0.73</v>
      </c>
      <c r="P1469">
        <v>0.52</v>
      </c>
      <c r="Q1469">
        <v>0.42</v>
      </c>
      <c r="R1469" s="2">
        <v>0.81</v>
      </c>
      <c r="S1469" t="str">
        <f>IF(Table1[[#This Row],[Years_Experience]]&lt;=5,"Early Career",
IF(Table1[[#This Row],[Years_Experience]]&lt;=15,"Mid Career","Senior Level"))</f>
        <v>Senior Level</v>
      </c>
      <c r="T1469" t="str">
        <f>IF(Table1[[#This Row],[AI_Exposure_Index]]&gt;=0.7,"High Exposure", IF(Table1[[#This Row],[AI_Exposure_Index]]&gt;=0.3,"Medium Exposure","Low Exposure"))</f>
        <v>High Exposure</v>
      </c>
    </row>
    <row r="1470" spans="1:20" x14ac:dyDescent="0.25">
      <c r="A1470" t="s">
        <v>40</v>
      </c>
      <c r="B1470">
        <v>99368</v>
      </c>
      <c r="C1470" s="1">
        <v>19</v>
      </c>
      <c r="D1470" t="s">
        <v>19</v>
      </c>
      <c r="E1470" s="7">
        <v>0.96</v>
      </c>
      <c r="F1470" s="2">
        <v>0.79</v>
      </c>
      <c r="G1470" s="7">
        <v>0.05</v>
      </c>
      <c r="H1470" s="9" t="s">
        <v>23</v>
      </c>
      <c r="I1470">
        <v>0.17</v>
      </c>
      <c r="J1470">
        <v>0.74</v>
      </c>
      <c r="K1470">
        <v>0.75</v>
      </c>
      <c r="L1470">
        <v>0.97</v>
      </c>
      <c r="M1470">
        <v>0.19</v>
      </c>
      <c r="N1470">
        <v>0.12</v>
      </c>
      <c r="O1470">
        <v>0.14000000000000001</v>
      </c>
      <c r="P1470">
        <v>0.18</v>
      </c>
      <c r="Q1470">
        <v>0.53</v>
      </c>
      <c r="R1470" s="2">
        <v>0.98</v>
      </c>
      <c r="S1470" t="str">
        <f>IF(Table1[[#This Row],[Years_Experience]]&lt;=5,"Early Career",
IF(Table1[[#This Row],[Years_Experience]]&lt;=15,"Mid Career","Senior Level"))</f>
        <v>Senior Level</v>
      </c>
      <c r="T1470" t="str">
        <f>IF(Table1[[#This Row],[AI_Exposure_Index]]&gt;=0.7,"High Exposure", IF(Table1[[#This Row],[AI_Exposure_Index]]&gt;=0.3,"Medium Exposure","Low Exposure"))</f>
        <v>High Exposure</v>
      </c>
    </row>
    <row r="1471" spans="1:20" x14ac:dyDescent="0.25">
      <c r="A1471" t="s">
        <v>18</v>
      </c>
      <c r="B1471">
        <v>94344</v>
      </c>
      <c r="C1471" s="1">
        <v>0</v>
      </c>
      <c r="D1471" t="s">
        <v>38</v>
      </c>
      <c r="E1471" s="7">
        <v>1.17</v>
      </c>
      <c r="F1471" s="2">
        <v>0.52</v>
      </c>
      <c r="G1471" s="7">
        <v>0.72</v>
      </c>
      <c r="H1471" s="9" t="s">
        <v>20</v>
      </c>
      <c r="I1471">
        <v>0.82</v>
      </c>
      <c r="J1471">
        <v>0.65</v>
      </c>
      <c r="K1471">
        <v>0.17</v>
      </c>
      <c r="L1471">
        <v>0.63</v>
      </c>
      <c r="M1471">
        <v>0.6</v>
      </c>
      <c r="N1471">
        <v>0.06</v>
      </c>
      <c r="O1471">
        <v>0.27</v>
      </c>
      <c r="P1471">
        <v>0.39</v>
      </c>
      <c r="Q1471">
        <v>0.24</v>
      </c>
      <c r="R1471" s="2">
        <v>0.24</v>
      </c>
      <c r="S1471" t="str">
        <f>IF(Table1[[#This Row],[Years_Experience]]&lt;=5,"Early Career",
IF(Table1[[#This Row],[Years_Experience]]&lt;=15,"Mid Career","Senior Level"))</f>
        <v>Early Career</v>
      </c>
      <c r="T1471" t="str">
        <f>IF(Table1[[#This Row],[AI_Exposure_Index]]&gt;=0.7,"High Exposure", IF(Table1[[#This Row],[AI_Exposure_Index]]&gt;=0.3,"Medium Exposure","Low Exposure"))</f>
        <v>Medium Exposure</v>
      </c>
    </row>
    <row r="1472" spans="1:20" x14ac:dyDescent="0.25">
      <c r="A1472" t="s">
        <v>37</v>
      </c>
      <c r="B1472">
        <v>79223</v>
      </c>
      <c r="C1472" s="1">
        <v>1</v>
      </c>
      <c r="D1472" t="s">
        <v>25</v>
      </c>
      <c r="E1472" s="7">
        <v>1.17</v>
      </c>
      <c r="F1472" s="2">
        <v>0.47</v>
      </c>
      <c r="G1472" s="7">
        <v>0.68</v>
      </c>
      <c r="H1472" s="9" t="s">
        <v>27</v>
      </c>
      <c r="I1472">
        <v>0.66</v>
      </c>
      <c r="J1472">
        <v>0.57999999999999996</v>
      </c>
      <c r="K1472">
        <v>0.85</v>
      </c>
      <c r="L1472">
        <v>0.63</v>
      </c>
      <c r="M1472">
        <v>0.17</v>
      </c>
      <c r="N1472">
        <v>0.31</v>
      </c>
      <c r="O1472">
        <v>0.73</v>
      </c>
      <c r="P1472">
        <v>0.74</v>
      </c>
      <c r="Q1472">
        <v>0.99</v>
      </c>
      <c r="R1472" s="2">
        <v>0.63</v>
      </c>
      <c r="S1472" t="str">
        <f>IF(Table1[[#This Row],[Years_Experience]]&lt;=5,"Early Career",
IF(Table1[[#This Row],[Years_Experience]]&lt;=15,"Mid Career","Senior Level"))</f>
        <v>Early Career</v>
      </c>
      <c r="T1472" t="str">
        <f>IF(Table1[[#This Row],[AI_Exposure_Index]]&gt;=0.7,"High Exposure", IF(Table1[[#This Row],[AI_Exposure_Index]]&gt;=0.3,"Medium Exposure","Low Exposure"))</f>
        <v>Medium Exposure</v>
      </c>
    </row>
    <row r="1473" spans="1:20" x14ac:dyDescent="0.25">
      <c r="A1473" t="s">
        <v>24</v>
      </c>
      <c r="B1473">
        <v>68907</v>
      </c>
      <c r="C1473" s="1">
        <v>8</v>
      </c>
      <c r="D1473" t="s">
        <v>38</v>
      </c>
      <c r="E1473" s="7">
        <v>1.07</v>
      </c>
      <c r="F1473" s="2">
        <v>0.05</v>
      </c>
      <c r="G1473" s="7">
        <v>0.93</v>
      </c>
      <c r="H1473" s="9" t="s">
        <v>20</v>
      </c>
      <c r="I1473">
        <v>0.28999999999999998</v>
      </c>
      <c r="J1473">
        <v>0.15</v>
      </c>
      <c r="K1473">
        <v>0.35</v>
      </c>
      <c r="L1473">
        <v>0.79</v>
      </c>
      <c r="M1473">
        <v>0.08</v>
      </c>
      <c r="N1473">
        <v>0.6</v>
      </c>
      <c r="O1473">
        <v>0.14000000000000001</v>
      </c>
      <c r="P1473">
        <v>0.44</v>
      </c>
      <c r="Q1473">
        <v>0.97</v>
      </c>
      <c r="R1473" s="2">
        <v>0.2</v>
      </c>
      <c r="S1473" t="str">
        <f>IF(Table1[[#This Row],[Years_Experience]]&lt;=5,"Early Career",
IF(Table1[[#This Row],[Years_Experience]]&lt;=15,"Mid Career","Senior Level"))</f>
        <v>Mid Career</v>
      </c>
      <c r="T1473" t="str">
        <f>IF(Table1[[#This Row],[AI_Exposure_Index]]&gt;=0.7,"High Exposure", IF(Table1[[#This Row],[AI_Exposure_Index]]&gt;=0.3,"Medium Exposure","Low Exposure"))</f>
        <v>Low Exposure</v>
      </c>
    </row>
    <row r="1474" spans="1:20" x14ac:dyDescent="0.25">
      <c r="A1474" t="s">
        <v>43</v>
      </c>
      <c r="B1474">
        <v>115733</v>
      </c>
      <c r="C1474" s="1">
        <v>8</v>
      </c>
      <c r="D1474" t="s">
        <v>19</v>
      </c>
      <c r="E1474" s="7">
        <v>1.08</v>
      </c>
      <c r="F1474" s="2">
        <v>0.43</v>
      </c>
      <c r="G1474" s="7">
        <v>0.12</v>
      </c>
      <c r="H1474" s="9" t="s">
        <v>23</v>
      </c>
      <c r="I1474">
        <v>0.54</v>
      </c>
      <c r="J1474">
        <v>0.95</v>
      </c>
      <c r="K1474">
        <v>0.31</v>
      </c>
      <c r="L1474">
        <v>0.31</v>
      </c>
      <c r="M1474">
        <v>0.48</v>
      </c>
      <c r="N1474">
        <v>0.52</v>
      </c>
      <c r="O1474">
        <v>0</v>
      </c>
      <c r="P1474">
        <v>0.62</v>
      </c>
      <c r="Q1474">
        <v>1</v>
      </c>
      <c r="R1474" s="2">
        <v>0.28999999999999998</v>
      </c>
      <c r="S1474" t="str">
        <f>IF(Table1[[#This Row],[Years_Experience]]&lt;=5,"Early Career",
IF(Table1[[#This Row],[Years_Experience]]&lt;=15,"Mid Career","Senior Level"))</f>
        <v>Mid Career</v>
      </c>
      <c r="T1474" t="str">
        <f>IF(Table1[[#This Row],[AI_Exposure_Index]]&gt;=0.7,"High Exposure", IF(Table1[[#This Row],[AI_Exposure_Index]]&gt;=0.3,"Medium Exposure","Low Exposure"))</f>
        <v>Medium Exposure</v>
      </c>
    </row>
    <row r="1475" spans="1:20" x14ac:dyDescent="0.25">
      <c r="A1475" t="s">
        <v>37</v>
      </c>
      <c r="B1475">
        <v>80281</v>
      </c>
      <c r="C1475" s="1">
        <v>6</v>
      </c>
      <c r="D1475" t="s">
        <v>38</v>
      </c>
      <c r="E1475" s="7">
        <v>1.1000000000000001</v>
      </c>
      <c r="F1475" s="2">
        <v>0</v>
      </c>
      <c r="G1475" s="7">
        <v>0.48</v>
      </c>
      <c r="H1475" s="9" t="s">
        <v>27</v>
      </c>
      <c r="I1475">
        <v>0.53</v>
      </c>
      <c r="J1475">
        <v>0.54</v>
      </c>
      <c r="K1475">
        <v>0.18</v>
      </c>
      <c r="L1475">
        <v>0.77</v>
      </c>
      <c r="M1475">
        <v>0.56000000000000005</v>
      </c>
      <c r="N1475">
        <v>0.27</v>
      </c>
      <c r="O1475">
        <v>0.94</v>
      </c>
      <c r="P1475">
        <v>0.01</v>
      </c>
      <c r="Q1475">
        <v>0.73</v>
      </c>
      <c r="R1475" s="2">
        <v>0.38</v>
      </c>
      <c r="S1475" t="str">
        <f>IF(Table1[[#This Row],[Years_Experience]]&lt;=5,"Early Career",
IF(Table1[[#This Row],[Years_Experience]]&lt;=15,"Mid Career","Senior Level"))</f>
        <v>Mid Career</v>
      </c>
      <c r="T1475" t="str">
        <f>IF(Table1[[#This Row],[AI_Exposure_Index]]&gt;=0.7,"High Exposure", IF(Table1[[#This Row],[AI_Exposure_Index]]&gt;=0.3,"Medium Exposure","Low Exposure"))</f>
        <v>Low Exposure</v>
      </c>
    </row>
    <row r="1476" spans="1:20" x14ac:dyDescent="0.25">
      <c r="A1476" t="s">
        <v>39</v>
      </c>
      <c r="B1476">
        <v>128203</v>
      </c>
      <c r="C1476" s="1">
        <v>12</v>
      </c>
      <c r="D1476" t="s">
        <v>19</v>
      </c>
      <c r="E1476" s="7">
        <v>0.82</v>
      </c>
      <c r="F1476" s="2">
        <v>0.28999999999999998</v>
      </c>
      <c r="G1476" s="7">
        <v>0.7</v>
      </c>
      <c r="H1476" s="9" t="s">
        <v>27</v>
      </c>
      <c r="I1476">
        <v>0.73</v>
      </c>
      <c r="J1476">
        <v>0.71</v>
      </c>
      <c r="K1476">
        <v>0.65</v>
      </c>
      <c r="L1476">
        <v>0.88</v>
      </c>
      <c r="M1476">
        <v>0.9</v>
      </c>
      <c r="N1476">
        <v>0.56000000000000005</v>
      </c>
      <c r="O1476">
        <v>0.68</v>
      </c>
      <c r="P1476">
        <v>0.01</v>
      </c>
      <c r="Q1476">
        <v>0.85</v>
      </c>
      <c r="R1476" s="2">
        <v>0.82</v>
      </c>
      <c r="S1476" t="str">
        <f>IF(Table1[[#This Row],[Years_Experience]]&lt;=5,"Early Career",
IF(Table1[[#This Row],[Years_Experience]]&lt;=15,"Mid Career","Senior Level"))</f>
        <v>Mid Career</v>
      </c>
      <c r="T1476" t="str">
        <f>IF(Table1[[#This Row],[AI_Exposure_Index]]&gt;=0.7,"High Exposure", IF(Table1[[#This Row],[AI_Exposure_Index]]&gt;=0.3,"Medium Exposure","Low Exposure"))</f>
        <v>Low Exposure</v>
      </c>
    </row>
    <row r="1477" spans="1:20" x14ac:dyDescent="0.25">
      <c r="A1477" t="s">
        <v>32</v>
      </c>
      <c r="B1477">
        <v>96416</v>
      </c>
      <c r="C1477" s="1">
        <v>18</v>
      </c>
      <c r="D1477" t="s">
        <v>25</v>
      </c>
      <c r="E1477" s="7">
        <v>1.41</v>
      </c>
      <c r="F1477" s="2">
        <v>0.54</v>
      </c>
      <c r="G1477" s="7">
        <v>0.37</v>
      </c>
      <c r="H1477" s="9" t="s">
        <v>27</v>
      </c>
      <c r="I1477">
        <v>0.35</v>
      </c>
      <c r="J1477">
        <v>0.33</v>
      </c>
      <c r="K1477">
        <v>0.36</v>
      </c>
      <c r="L1477">
        <v>0.04</v>
      </c>
      <c r="M1477">
        <v>0.28000000000000003</v>
      </c>
      <c r="N1477">
        <v>0.28999999999999998</v>
      </c>
      <c r="O1477">
        <v>0.87</v>
      </c>
      <c r="P1477">
        <v>0.35</v>
      </c>
      <c r="Q1477">
        <v>0.45</v>
      </c>
      <c r="R1477" s="2">
        <v>0.38</v>
      </c>
      <c r="S1477" t="str">
        <f>IF(Table1[[#This Row],[Years_Experience]]&lt;=5,"Early Career",
IF(Table1[[#This Row],[Years_Experience]]&lt;=15,"Mid Career","Senior Level"))</f>
        <v>Senior Level</v>
      </c>
      <c r="T1477" t="str">
        <f>IF(Table1[[#This Row],[AI_Exposure_Index]]&gt;=0.7,"High Exposure", IF(Table1[[#This Row],[AI_Exposure_Index]]&gt;=0.3,"Medium Exposure","Low Exposure"))</f>
        <v>Medium Exposure</v>
      </c>
    </row>
    <row r="1478" spans="1:20" x14ac:dyDescent="0.25">
      <c r="A1478" t="s">
        <v>40</v>
      </c>
      <c r="B1478">
        <v>59825</v>
      </c>
      <c r="C1478" s="1">
        <v>21</v>
      </c>
      <c r="D1478" t="s">
        <v>25</v>
      </c>
      <c r="E1478" s="7">
        <v>1.33</v>
      </c>
      <c r="F1478" s="2">
        <v>0.99</v>
      </c>
      <c r="G1478" s="7">
        <v>0.19</v>
      </c>
      <c r="H1478" s="9" t="s">
        <v>23</v>
      </c>
      <c r="I1478">
        <v>0.48</v>
      </c>
      <c r="J1478">
        <v>0.65</v>
      </c>
      <c r="K1478">
        <v>0.33</v>
      </c>
      <c r="L1478">
        <v>0.05</v>
      </c>
      <c r="M1478">
        <v>0.4</v>
      </c>
      <c r="N1478">
        <v>0.98</v>
      </c>
      <c r="O1478">
        <v>0.18</v>
      </c>
      <c r="P1478">
        <v>0.53</v>
      </c>
      <c r="Q1478">
        <v>0.01</v>
      </c>
      <c r="R1478" s="2">
        <v>0.12</v>
      </c>
      <c r="S1478" t="str">
        <f>IF(Table1[[#This Row],[Years_Experience]]&lt;=5,"Early Career",
IF(Table1[[#This Row],[Years_Experience]]&lt;=15,"Mid Career","Senior Level"))</f>
        <v>Senior Level</v>
      </c>
      <c r="T1478" t="str">
        <f>IF(Table1[[#This Row],[AI_Exposure_Index]]&gt;=0.7,"High Exposure", IF(Table1[[#This Row],[AI_Exposure_Index]]&gt;=0.3,"Medium Exposure","Low Exposure"))</f>
        <v>High Exposure</v>
      </c>
    </row>
    <row r="1479" spans="1:20" x14ac:dyDescent="0.25">
      <c r="A1479" t="s">
        <v>28</v>
      </c>
      <c r="B1479">
        <v>42795</v>
      </c>
      <c r="C1479" s="1">
        <v>8</v>
      </c>
      <c r="D1479" t="s">
        <v>25</v>
      </c>
      <c r="E1479" s="7">
        <v>1.41</v>
      </c>
      <c r="F1479" s="2">
        <v>0.3</v>
      </c>
      <c r="G1479" s="7">
        <v>0.46</v>
      </c>
      <c r="H1479" s="9" t="s">
        <v>27</v>
      </c>
      <c r="I1479">
        <v>0.21</v>
      </c>
      <c r="J1479">
        <v>0.55000000000000004</v>
      </c>
      <c r="K1479">
        <v>0.79</v>
      </c>
      <c r="L1479">
        <v>0.02</v>
      </c>
      <c r="M1479">
        <v>0.51</v>
      </c>
      <c r="N1479">
        <v>0.77</v>
      </c>
      <c r="O1479">
        <v>0.1</v>
      </c>
      <c r="P1479">
        <v>0.9</v>
      </c>
      <c r="Q1479">
        <v>0.26</v>
      </c>
      <c r="R1479" s="2">
        <v>0.17</v>
      </c>
      <c r="S1479" t="str">
        <f>IF(Table1[[#This Row],[Years_Experience]]&lt;=5,"Early Career",
IF(Table1[[#This Row],[Years_Experience]]&lt;=15,"Mid Career","Senior Level"))</f>
        <v>Mid Career</v>
      </c>
      <c r="T1479" t="str">
        <f>IF(Table1[[#This Row],[AI_Exposure_Index]]&gt;=0.7,"High Exposure", IF(Table1[[#This Row],[AI_Exposure_Index]]&gt;=0.3,"Medium Exposure","Low Exposure"))</f>
        <v>Medium Exposure</v>
      </c>
    </row>
    <row r="1480" spans="1:20" x14ac:dyDescent="0.25">
      <c r="A1480" t="s">
        <v>34</v>
      </c>
      <c r="B1480">
        <v>127391</v>
      </c>
      <c r="C1480" s="1">
        <v>14</v>
      </c>
      <c r="D1480" t="s">
        <v>38</v>
      </c>
      <c r="E1480" s="7">
        <v>1.18</v>
      </c>
      <c r="F1480" s="2">
        <v>0.18</v>
      </c>
      <c r="G1480" s="7">
        <v>0.5</v>
      </c>
      <c r="H1480" s="9" t="s">
        <v>27</v>
      </c>
      <c r="I1480">
        <v>0.11</v>
      </c>
      <c r="J1480">
        <v>0.91</v>
      </c>
      <c r="K1480">
        <v>0.67</v>
      </c>
      <c r="L1480">
        <v>0.55000000000000004</v>
      </c>
      <c r="M1480">
        <v>0.37</v>
      </c>
      <c r="N1480">
        <v>0.13</v>
      </c>
      <c r="O1480">
        <v>0.71</v>
      </c>
      <c r="P1480">
        <v>0.81</v>
      </c>
      <c r="Q1480">
        <v>0.13</v>
      </c>
      <c r="R1480" s="2">
        <v>0.49</v>
      </c>
      <c r="S1480" t="str">
        <f>IF(Table1[[#This Row],[Years_Experience]]&lt;=5,"Early Career",
IF(Table1[[#This Row],[Years_Experience]]&lt;=15,"Mid Career","Senior Level"))</f>
        <v>Mid Career</v>
      </c>
      <c r="T1480" t="str">
        <f>IF(Table1[[#This Row],[AI_Exposure_Index]]&gt;=0.7,"High Exposure", IF(Table1[[#This Row],[AI_Exposure_Index]]&gt;=0.3,"Medium Exposure","Low Exposure"))</f>
        <v>Low Exposure</v>
      </c>
    </row>
    <row r="1481" spans="1:20" x14ac:dyDescent="0.25">
      <c r="A1481" t="s">
        <v>35</v>
      </c>
      <c r="B1481">
        <v>87635</v>
      </c>
      <c r="C1481" s="1">
        <v>16</v>
      </c>
      <c r="D1481" t="s">
        <v>38</v>
      </c>
      <c r="E1481" s="7">
        <v>1.29</v>
      </c>
      <c r="F1481" s="2">
        <v>0.35</v>
      </c>
      <c r="G1481" s="7">
        <v>0.34</v>
      </c>
      <c r="H1481" s="9" t="s">
        <v>27</v>
      </c>
      <c r="I1481">
        <v>0.21</v>
      </c>
      <c r="J1481">
        <v>0</v>
      </c>
      <c r="K1481">
        <v>0.37</v>
      </c>
      <c r="L1481">
        <v>0.28999999999999998</v>
      </c>
      <c r="M1481">
        <v>0.87</v>
      </c>
      <c r="N1481">
        <v>0.75</v>
      </c>
      <c r="O1481">
        <v>0.08</v>
      </c>
      <c r="P1481">
        <v>0.74</v>
      </c>
      <c r="Q1481">
        <v>0.68</v>
      </c>
      <c r="R1481" s="2">
        <v>0.28000000000000003</v>
      </c>
      <c r="S1481" t="str">
        <f>IF(Table1[[#This Row],[Years_Experience]]&lt;=5,"Early Career",
IF(Table1[[#This Row],[Years_Experience]]&lt;=15,"Mid Career","Senior Level"))</f>
        <v>Senior Level</v>
      </c>
      <c r="T1481" t="str">
        <f>IF(Table1[[#This Row],[AI_Exposure_Index]]&gt;=0.7,"High Exposure", IF(Table1[[#This Row],[AI_Exposure_Index]]&gt;=0.3,"Medium Exposure","Low Exposure"))</f>
        <v>Medium Exposure</v>
      </c>
    </row>
    <row r="1482" spans="1:20" x14ac:dyDescent="0.25">
      <c r="A1482" t="s">
        <v>37</v>
      </c>
      <c r="B1482">
        <v>111115</v>
      </c>
      <c r="C1482" s="1">
        <v>14</v>
      </c>
      <c r="D1482" t="s">
        <v>38</v>
      </c>
      <c r="E1482" s="7">
        <v>0.75</v>
      </c>
      <c r="F1482" s="2">
        <v>0.12</v>
      </c>
      <c r="G1482" s="7">
        <v>0.63</v>
      </c>
      <c r="H1482" s="9" t="s">
        <v>27</v>
      </c>
      <c r="I1482">
        <v>0.47</v>
      </c>
      <c r="J1482">
        <v>0.92</v>
      </c>
      <c r="K1482">
        <v>0.79</v>
      </c>
      <c r="L1482">
        <v>0.28999999999999998</v>
      </c>
      <c r="M1482">
        <v>0.85</v>
      </c>
      <c r="N1482">
        <v>0.12</v>
      </c>
      <c r="O1482">
        <v>0.04</v>
      </c>
      <c r="P1482">
        <v>0.61</v>
      </c>
      <c r="Q1482">
        <v>0.34</v>
      </c>
      <c r="R1482" s="2">
        <v>0.33</v>
      </c>
      <c r="S1482" t="str">
        <f>IF(Table1[[#This Row],[Years_Experience]]&lt;=5,"Early Career",
IF(Table1[[#This Row],[Years_Experience]]&lt;=15,"Mid Career","Senior Level"))</f>
        <v>Mid Career</v>
      </c>
      <c r="T1482" t="str">
        <f>IF(Table1[[#This Row],[AI_Exposure_Index]]&gt;=0.7,"High Exposure", IF(Table1[[#This Row],[AI_Exposure_Index]]&gt;=0.3,"Medium Exposure","Low Exposure"))</f>
        <v>Low Exposure</v>
      </c>
    </row>
    <row r="1483" spans="1:20" x14ac:dyDescent="0.25">
      <c r="A1483" t="s">
        <v>29</v>
      </c>
      <c r="B1483">
        <v>87392</v>
      </c>
      <c r="C1483" s="1">
        <v>26</v>
      </c>
      <c r="D1483" t="s">
        <v>19</v>
      </c>
      <c r="E1483" s="7">
        <v>0.82</v>
      </c>
      <c r="F1483" s="2">
        <v>0.85</v>
      </c>
      <c r="G1483" s="7">
        <v>0.13</v>
      </c>
      <c r="H1483" s="9" t="s">
        <v>23</v>
      </c>
      <c r="I1483">
        <v>0.53</v>
      </c>
      <c r="J1483">
        <v>0.65</v>
      </c>
      <c r="K1483">
        <v>0.2</v>
      </c>
      <c r="L1483">
        <v>0.91</v>
      </c>
      <c r="M1483">
        <v>0.65</v>
      </c>
      <c r="N1483">
        <v>0.63</v>
      </c>
      <c r="O1483">
        <v>0.9</v>
      </c>
      <c r="P1483">
        <v>0.91</v>
      </c>
      <c r="Q1483">
        <v>0.14000000000000001</v>
      </c>
      <c r="R1483" s="2">
        <v>0.15</v>
      </c>
      <c r="S1483" t="str">
        <f>IF(Table1[[#This Row],[Years_Experience]]&lt;=5,"Early Career",
IF(Table1[[#This Row],[Years_Experience]]&lt;=15,"Mid Career","Senior Level"))</f>
        <v>Senior Level</v>
      </c>
      <c r="T1483" t="str">
        <f>IF(Table1[[#This Row],[AI_Exposure_Index]]&gt;=0.7,"High Exposure", IF(Table1[[#This Row],[AI_Exposure_Index]]&gt;=0.3,"Medium Exposure","Low Exposure"))</f>
        <v>High Exposure</v>
      </c>
    </row>
    <row r="1484" spans="1:20" x14ac:dyDescent="0.25">
      <c r="A1484" t="s">
        <v>18</v>
      </c>
      <c r="B1484">
        <v>100143</v>
      </c>
      <c r="C1484" s="1">
        <v>0</v>
      </c>
      <c r="D1484" t="s">
        <v>38</v>
      </c>
      <c r="E1484" s="7">
        <v>1.17</v>
      </c>
      <c r="F1484" s="2">
        <v>0.96</v>
      </c>
      <c r="G1484" s="7">
        <v>0.8</v>
      </c>
      <c r="H1484" s="9" t="s">
        <v>20</v>
      </c>
      <c r="I1484">
        <v>0.68</v>
      </c>
      <c r="J1484">
        <v>0.23</v>
      </c>
      <c r="K1484">
        <v>1</v>
      </c>
      <c r="L1484">
        <v>0.43</v>
      </c>
      <c r="M1484">
        <v>0.93</v>
      </c>
      <c r="N1484">
        <v>0.43</v>
      </c>
      <c r="O1484">
        <v>0.93</v>
      </c>
      <c r="P1484">
        <v>0.34</v>
      </c>
      <c r="Q1484">
        <v>0.76</v>
      </c>
      <c r="R1484" s="2">
        <v>0.95</v>
      </c>
      <c r="S1484" t="str">
        <f>IF(Table1[[#This Row],[Years_Experience]]&lt;=5,"Early Career",
IF(Table1[[#This Row],[Years_Experience]]&lt;=15,"Mid Career","Senior Level"))</f>
        <v>Early Career</v>
      </c>
      <c r="T1484" t="str">
        <f>IF(Table1[[#This Row],[AI_Exposure_Index]]&gt;=0.7,"High Exposure", IF(Table1[[#This Row],[AI_Exposure_Index]]&gt;=0.3,"Medium Exposure","Low Exposure"))</f>
        <v>High Exposure</v>
      </c>
    </row>
    <row r="1485" spans="1:20" x14ac:dyDescent="0.25">
      <c r="A1485" t="s">
        <v>33</v>
      </c>
      <c r="B1485">
        <v>94863</v>
      </c>
      <c r="C1485" s="1">
        <v>8</v>
      </c>
      <c r="D1485" t="s">
        <v>25</v>
      </c>
      <c r="E1485" s="7">
        <v>0.6</v>
      </c>
      <c r="F1485" s="2">
        <v>0.68</v>
      </c>
      <c r="G1485" s="7">
        <v>0.82</v>
      </c>
      <c r="H1485" s="9" t="s">
        <v>20</v>
      </c>
      <c r="I1485">
        <v>0.89</v>
      </c>
      <c r="J1485">
        <v>0.24</v>
      </c>
      <c r="K1485">
        <v>0.79</v>
      </c>
      <c r="L1485">
        <v>0.68</v>
      </c>
      <c r="M1485">
        <v>0.22</v>
      </c>
      <c r="N1485">
        <v>0.28000000000000003</v>
      </c>
      <c r="O1485">
        <v>0.43</v>
      </c>
      <c r="P1485">
        <v>0.13</v>
      </c>
      <c r="Q1485">
        <v>0.91</v>
      </c>
      <c r="R1485" s="2">
        <v>0.74</v>
      </c>
      <c r="S1485" t="str">
        <f>IF(Table1[[#This Row],[Years_Experience]]&lt;=5,"Early Career",
IF(Table1[[#This Row],[Years_Experience]]&lt;=15,"Mid Career","Senior Level"))</f>
        <v>Mid Career</v>
      </c>
      <c r="T1485" t="str">
        <f>IF(Table1[[#This Row],[AI_Exposure_Index]]&gt;=0.7,"High Exposure", IF(Table1[[#This Row],[AI_Exposure_Index]]&gt;=0.3,"Medium Exposure","Low Exposure"))</f>
        <v>Medium Exposure</v>
      </c>
    </row>
    <row r="1486" spans="1:20" x14ac:dyDescent="0.25">
      <c r="A1486" t="s">
        <v>32</v>
      </c>
      <c r="B1486">
        <v>48819</v>
      </c>
      <c r="C1486" s="1">
        <v>4</v>
      </c>
      <c r="D1486" t="s">
        <v>25</v>
      </c>
      <c r="E1486" s="7">
        <v>1.19</v>
      </c>
      <c r="F1486" s="2">
        <v>0.3</v>
      </c>
      <c r="G1486" s="7">
        <v>0.47</v>
      </c>
      <c r="H1486" s="9" t="s">
        <v>27</v>
      </c>
      <c r="I1486">
        <v>0.23</v>
      </c>
      <c r="J1486">
        <v>0.43</v>
      </c>
      <c r="K1486">
        <v>0.87</v>
      </c>
      <c r="L1486">
        <v>7.0000000000000007E-2</v>
      </c>
      <c r="M1486">
        <v>0.37</v>
      </c>
      <c r="N1486">
        <v>0.96</v>
      </c>
      <c r="O1486">
        <v>0.01</v>
      </c>
      <c r="P1486">
        <v>0.89</v>
      </c>
      <c r="Q1486">
        <v>0.37</v>
      </c>
      <c r="R1486" s="2">
        <v>0.19</v>
      </c>
      <c r="S1486" t="str">
        <f>IF(Table1[[#This Row],[Years_Experience]]&lt;=5,"Early Career",
IF(Table1[[#This Row],[Years_Experience]]&lt;=15,"Mid Career","Senior Level"))</f>
        <v>Early Career</v>
      </c>
      <c r="T1486" t="str">
        <f>IF(Table1[[#This Row],[AI_Exposure_Index]]&gt;=0.7,"High Exposure", IF(Table1[[#This Row],[AI_Exposure_Index]]&gt;=0.3,"Medium Exposure","Low Exposure"))</f>
        <v>Medium Exposure</v>
      </c>
    </row>
    <row r="1487" spans="1:20" x14ac:dyDescent="0.25">
      <c r="A1487" t="s">
        <v>26</v>
      </c>
      <c r="B1487">
        <v>142255</v>
      </c>
      <c r="C1487" s="1">
        <v>29</v>
      </c>
      <c r="D1487" t="s">
        <v>19</v>
      </c>
      <c r="E1487" s="7">
        <v>0.67</v>
      </c>
      <c r="F1487" s="2">
        <v>7.0000000000000007E-2</v>
      </c>
      <c r="G1487" s="7">
        <v>0.31</v>
      </c>
      <c r="H1487" s="9" t="s">
        <v>27</v>
      </c>
      <c r="I1487">
        <v>0.34</v>
      </c>
      <c r="J1487">
        <v>0.04</v>
      </c>
      <c r="K1487">
        <v>0.69</v>
      </c>
      <c r="L1487">
        <v>0.82</v>
      </c>
      <c r="M1487">
        <v>0.89</v>
      </c>
      <c r="N1487">
        <v>0.55000000000000004</v>
      </c>
      <c r="O1487">
        <v>0.95</v>
      </c>
      <c r="P1487">
        <v>0.01</v>
      </c>
      <c r="Q1487">
        <v>0.13</v>
      </c>
      <c r="R1487" s="2">
        <v>0.28999999999999998</v>
      </c>
      <c r="S1487" t="str">
        <f>IF(Table1[[#This Row],[Years_Experience]]&lt;=5,"Early Career",
IF(Table1[[#This Row],[Years_Experience]]&lt;=15,"Mid Career","Senior Level"))</f>
        <v>Senior Level</v>
      </c>
      <c r="T1487" t="str">
        <f>IF(Table1[[#This Row],[AI_Exposure_Index]]&gt;=0.7,"High Exposure", IF(Table1[[#This Row],[AI_Exposure_Index]]&gt;=0.3,"Medium Exposure","Low Exposure"))</f>
        <v>Low Exposure</v>
      </c>
    </row>
    <row r="1488" spans="1:20" x14ac:dyDescent="0.25">
      <c r="A1488" t="s">
        <v>29</v>
      </c>
      <c r="B1488">
        <v>128664</v>
      </c>
      <c r="C1488" s="1">
        <v>25</v>
      </c>
      <c r="D1488" t="s">
        <v>25</v>
      </c>
      <c r="E1488" s="7">
        <v>1.1200000000000001</v>
      </c>
      <c r="F1488" s="2">
        <v>0.89</v>
      </c>
      <c r="G1488" s="7">
        <v>0.15</v>
      </c>
      <c r="H1488" s="9" t="s">
        <v>23</v>
      </c>
      <c r="I1488">
        <v>0.67</v>
      </c>
      <c r="J1488">
        <v>0.18</v>
      </c>
      <c r="K1488">
        <v>0.46</v>
      </c>
      <c r="L1488">
        <v>0.51</v>
      </c>
      <c r="M1488">
        <v>0.1</v>
      </c>
      <c r="N1488">
        <v>0.03</v>
      </c>
      <c r="O1488">
        <v>0.75</v>
      </c>
      <c r="P1488">
        <v>0.53</v>
      </c>
      <c r="Q1488">
        <v>0.33</v>
      </c>
      <c r="R1488" s="2">
        <v>0.44</v>
      </c>
      <c r="S1488" t="str">
        <f>IF(Table1[[#This Row],[Years_Experience]]&lt;=5,"Early Career",
IF(Table1[[#This Row],[Years_Experience]]&lt;=15,"Mid Career","Senior Level"))</f>
        <v>Senior Level</v>
      </c>
      <c r="T1488" t="str">
        <f>IF(Table1[[#This Row],[AI_Exposure_Index]]&gt;=0.7,"High Exposure", IF(Table1[[#This Row],[AI_Exposure_Index]]&gt;=0.3,"Medium Exposure","Low Exposure"))</f>
        <v>High Exposure</v>
      </c>
    </row>
    <row r="1489" spans="1:20" x14ac:dyDescent="0.25">
      <c r="A1489" t="s">
        <v>29</v>
      </c>
      <c r="B1489">
        <v>33347</v>
      </c>
      <c r="C1489" s="1">
        <v>17</v>
      </c>
      <c r="D1489" t="s">
        <v>38</v>
      </c>
      <c r="E1489" s="7">
        <v>0.6</v>
      </c>
      <c r="F1489" s="2">
        <v>0.38</v>
      </c>
      <c r="G1489" s="7">
        <v>0.17</v>
      </c>
      <c r="H1489" s="9" t="s">
        <v>23</v>
      </c>
      <c r="I1489">
        <v>0.65</v>
      </c>
      <c r="J1489">
        <v>0.01</v>
      </c>
      <c r="K1489">
        <v>0.33</v>
      </c>
      <c r="L1489">
        <v>0.39</v>
      </c>
      <c r="M1489">
        <v>0.46</v>
      </c>
      <c r="N1489">
        <v>0.3</v>
      </c>
      <c r="O1489">
        <v>0.67</v>
      </c>
      <c r="P1489">
        <v>0.94</v>
      </c>
      <c r="Q1489">
        <v>0.91</v>
      </c>
      <c r="R1489" s="2">
        <v>0.66</v>
      </c>
      <c r="S1489" t="str">
        <f>IF(Table1[[#This Row],[Years_Experience]]&lt;=5,"Early Career",
IF(Table1[[#This Row],[Years_Experience]]&lt;=15,"Mid Career","Senior Level"))</f>
        <v>Senior Level</v>
      </c>
      <c r="T1489" t="str">
        <f>IF(Table1[[#This Row],[AI_Exposure_Index]]&gt;=0.7,"High Exposure", IF(Table1[[#This Row],[AI_Exposure_Index]]&gt;=0.3,"Medium Exposure","Low Exposure"))</f>
        <v>Medium Exposure</v>
      </c>
    </row>
    <row r="1490" spans="1:20" x14ac:dyDescent="0.25">
      <c r="A1490" t="s">
        <v>34</v>
      </c>
      <c r="B1490">
        <v>105618</v>
      </c>
      <c r="C1490" s="1">
        <v>1</v>
      </c>
      <c r="D1490" t="s">
        <v>19</v>
      </c>
      <c r="E1490" s="7">
        <v>1.34</v>
      </c>
      <c r="F1490" s="2">
        <v>0.83</v>
      </c>
      <c r="G1490" s="7">
        <v>0.63</v>
      </c>
      <c r="H1490" s="9" t="s">
        <v>27</v>
      </c>
      <c r="I1490">
        <v>0.16</v>
      </c>
      <c r="J1490">
        <v>0.03</v>
      </c>
      <c r="K1490">
        <v>0.98</v>
      </c>
      <c r="L1490">
        <v>0.96</v>
      </c>
      <c r="M1490">
        <v>0.56000000000000005</v>
      </c>
      <c r="N1490">
        <v>0.99</v>
      </c>
      <c r="O1490">
        <v>0.77</v>
      </c>
      <c r="P1490">
        <v>0.52</v>
      </c>
      <c r="Q1490">
        <v>0.39</v>
      </c>
      <c r="R1490" s="2">
        <v>0.59</v>
      </c>
      <c r="S1490" t="str">
        <f>IF(Table1[[#This Row],[Years_Experience]]&lt;=5,"Early Career",
IF(Table1[[#This Row],[Years_Experience]]&lt;=15,"Mid Career","Senior Level"))</f>
        <v>Early Career</v>
      </c>
      <c r="T1490" t="str">
        <f>IF(Table1[[#This Row],[AI_Exposure_Index]]&gt;=0.7,"High Exposure", IF(Table1[[#This Row],[AI_Exposure_Index]]&gt;=0.3,"Medium Exposure","Low Exposure"))</f>
        <v>High Exposure</v>
      </c>
    </row>
    <row r="1491" spans="1:20" x14ac:dyDescent="0.25">
      <c r="A1491" t="s">
        <v>26</v>
      </c>
      <c r="B1491">
        <v>135309</v>
      </c>
      <c r="C1491" s="1">
        <v>5</v>
      </c>
      <c r="D1491" t="s">
        <v>22</v>
      </c>
      <c r="E1491" s="7">
        <v>0.99</v>
      </c>
      <c r="F1491" s="2">
        <v>0.99</v>
      </c>
      <c r="G1491" s="7">
        <v>0.63</v>
      </c>
      <c r="H1491" s="9" t="s">
        <v>27</v>
      </c>
      <c r="I1491">
        <v>0.81</v>
      </c>
      <c r="J1491">
        <v>7.0000000000000007E-2</v>
      </c>
      <c r="K1491">
        <v>0.09</v>
      </c>
      <c r="L1491">
        <v>0.66</v>
      </c>
      <c r="M1491">
        <v>0.26</v>
      </c>
      <c r="N1491">
        <v>0.66</v>
      </c>
      <c r="O1491">
        <v>0.14000000000000001</v>
      </c>
      <c r="P1491">
        <v>0.4</v>
      </c>
      <c r="Q1491">
        <v>0.1</v>
      </c>
      <c r="R1491" s="2">
        <v>0.28000000000000003</v>
      </c>
      <c r="S1491" t="str">
        <f>IF(Table1[[#This Row],[Years_Experience]]&lt;=5,"Early Career",
IF(Table1[[#This Row],[Years_Experience]]&lt;=15,"Mid Career","Senior Level"))</f>
        <v>Early Career</v>
      </c>
      <c r="T1491" t="str">
        <f>IF(Table1[[#This Row],[AI_Exposure_Index]]&gt;=0.7,"High Exposure", IF(Table1[[#This Row],[AI_Exposure_Index]]&gt;=0.3,"Medium Exposure","Low Exposure"))</f>
        <v>High Exposure</v>
      </c>
    </row>
    <row r="1492" spans="1:20" x14ac:dyDescent="0.25">
      <c r="A1492" t="s">
        <v>43</v>
      </c>
      <c r="B1492">
        <v>78276</v>
      </c>
      <c r="C1492" s="1">
        <v>19</v>
      </c>
      <c r="D1492" t="s">
        <v>38</v>
      </c>
      <c r="E1492" s="7">
        <v>0.9</v>
      </c>
      <c r="F1492" s="2">
        <v>0.97</v>
      </c>
      <c r="G1492" s="7">
        <v>0.28000000000000003</v>
      </c>
      <c r="H1492" s="9" t="s">
        <v>23</v>
      </c>
      <c r="I1492">
        <v>0.97</v>
      </c>
      <c r="J1492">
        <v>0.91</v>
      </c>
      <c r="K1492">
        <v>0.45</v>
      </c>
      <c r="L1492">
        <v>0.78</v>
      </c>
      <c r="M1492">
        <v>0.15</v>
      </c>
      <c r="N1492">
        <v>0.09</v>
      </c>
      <c r="O1492">
        <v>0.88</v>
      </c>
      <c r="P1492">
        <v>0.03</v>
      </c>
      <c r="Q1492">
        <v>0.97</v>
      </c>
      <c r="R1492" s="2">
        <v>0.67</v>
      </c>
      <c r="S1492" t="str">
        <f>IF(Table1[[#This Row],[Years_Experience]]&lt;=5,"Early Career",
IF(Table1[[#This Row],[Years_Experience]]&lt;=15,"Mid Career","Senior Level"))</f>
        <v>Senior Level</v>
      </c>
      <c r="T1492" t="str">
        <f>IF(Table1[[#This Row],[AI_Exposure_Index]]&gt;=0.7,"High Exposure", IF(Table1[[#This Row],[AI_Exposure_Index]]&gt;=0.3,"Medium Exposure","Low Exposure"))</f>
        <v>High Exposure</v>
      </c>
    </row>
    <row r="1493" spans="1:20" x14ac:dyDescent="0.25">
      <c r="A1493" t="s">
        <v>33</v>
      </c>
      <c r="B1493">
        <v>145269</v>
      </c>
      <c r="C1493" s="1">
        <v>27</v>
      </c>
      <c r="D1493" t="s">
        <v>22</v>
      </c>
      <c r="E1493" s="7">
        <v>1.22</v>
      </c>
      <c r="F1493" s="2">
        <v>0.14000000000000001</v>
      </c>
      <c r="G1493" s="7">
        <v>0.84</v>
      </c>
      <c r="H1493" s="9" t="s">
        <v>20</v>
      </c>
      <c r="I1493">
        <v>0.71</v>
      </c>
      <c r="J1493">
        <v>0.42</v>
      </c>
      <c r="K1493">
        <v>7.0000000000000007E-2</v>
      </c>
      <c r="L1493">
        <v>0.31</v>
      </c>
      <c r="M1493">
        <v>0.32</v>
      </c>
      <c r="N1493">
        <v>0.01</v>
      </c>
      <c r="O1493">
        <v>0.01</v>
      </c>
      <c r="P1493">
        <v>0.33</v>
      </c>
      <c r="Q1493">
        <v>0.73</v>
      </c>
      <c r="R1493" s="2">
        <v>0.62</v>
      </c>
      <c r="S1493" t="str">
        <f>IF(Table1[[#This Row],[Years_Experience]]&lt;=5,"Early Career",
IF(Table1[[#This Row],[Years_Experience]]&lt;=15,"Mid Career","Senior Level"))</f>
        <v>Senior Level</v>
      </c>
      <c r="T1493" t="str">
        <f>IF(Table1[[#This Row],[AI_Exposure_Index]]&gt;=0.7,"High Exposure", IF(Table1[[#This Row],[AI_Exposure_Index]]&gt;=0.3,"Medium Exposure","Low Exposure"))</f>
        <v>Low Exposure</v>
      </c>
    </row>
    <row r="1494" spans="1:20" x14ac:dyDescent="0.25">
      <c r="A1494" t="s">
        <v>33</v>
      </c>
      <c r="B1494">
        <v>47060</v>
      </c>
      <c r="C1494" s="1">
        <v>16</v>
      </c>
      <c r="D1494" t="s">
        <v>38</v>
      </c>
      <c r="E1494" s="7">
        <v>1.1499999999999999</v>
      </c>
      <c r="F1494" s="2">
        <v>0.6</v>
      </c>
      <c r="G1494" s="7">
        <v>0.83</v>
      </c>
      <c r="H1494" s="9" t="s">
        <v>20</v>
      </c>
      <c r="I1494">
        <v>0.52</v>
      </c>
      <c r="J1494">
        <v>0.37</v>
      </c>
      <c r="K1494">
        <v>0.12</v>
      </c>
      <c r="L1494">
        <v>0.39</v>
      </c>
      <c r="M1494">
        <v>0.35</v>
      </c>
      <c r="N1494">
        <v>0.59</v>
      </c>
      <c r="O1494">
        <v>0.86</v>
      </c>
      <c r="P1494">
        <v>0.38</v>
      </c>
      <c r="Q1494">
        <v>0.71</v>
      </c>
      <c r="R1494" s="2">
        <v>0.81</v>
      </c>
      <c r="S1494" t="str">
        <f>IF(Table1[[#This Row],[Years_Experience]]&lt;=5,"Early Career",
IF(Table1[[#This Row],[Years_Experience]]&lt;=15,"Mid Career","Senior Level"))</f>
        <v>Senior Level</v>
      </c>
      <c r="T1494" t="str">
        <f>IF(Table1[[#This Row],[AI_Exposure_Index]]&gt;=0.7,"High Exposure", IF(Table1[[#This Row],[AI_Exposure_Index]]&gt;=0.3,"Medium Exposure","Low Exposure"))</f>
        <v>Medium Exposure</v>
      </c>
    </row>
    <row r="1495" spans="1:20" x14ac:dyDescent="0.25">
      <c r="A1495" t="s">
        <v>33</v>
      </c>
      <c r="B1495">
        <v>118307</v>
      </c>
      <c r="C1495" s="1">
        <v>25</v>
      </c>
      <c r="D1495" t="s">
        <v>38</v>
      </c>
      <c r="E1495" s="7">
        <v>0.56999999999999995</v>
      </c>
      <c r="F1495" s="2">
        <v>0.9</v>
      </c>
      <c r="G1495" s="7">
        <v>0.93</v>
      </c>
      <c r="H1495" s="9" t="s">
        <v>20</v>
      </c>
      <c r="I1495">
        <v>0.16</v>
      </c>
      <c r="J1495">
        <v>0.34</v>
      </c>
      <c r="K1495">
        <v>0.61</v>
      </c>
      <c r="L1495">
        <v>0.91</v>
      </c>
      <c r="M1495">
        <v>0.26</v>
      </c>
      <c r="N1495">
        <v>0.76</v>
      </c>
      <c r="O1495">
        <v>0.71</v>
      </c>
      <c r="P1495">
        <v>0.16</v>
      </c>
      <c r="Q1495">
        <v>0.48</v>
      </c>
      <c r="R1495" s="2">
        <v>0.48</v>
      </c>
      <c r="S1495" t="str">
        <f>IF(Table1[[#This Row],[Years_Experience]]&lt;=5,"Early Career",
IF(Table1[[#This Row],[Years_Experience]]&lt;=15,"Mid Career","Senior Level"))</f>
        <v>Senior Level</v>
      </c>
      <c r="T1495" t="str">
        <f>IF(Table1[[#This Row],[AI_Exposure_Index]]&gt;=0.7,"High Exposure", IF(Table1[[#This Row],[AI_Exposure_Index]]&gt;=0.3,"Medium Exposure","Low Exposure"))</f>
        <v>High Exposure</v>
      </c>
    </row>
    <row r="1496" spans="1:20" x14ac:dyDescent="0.25">
      <c r="A1496" t="s">
        <v>39</v>
      </c>
      <c r="B1496">
        <v>98140</v>
      </c>
      <c r="C1496" s="1">
        <v>5</v>
      </c>
      <c r="D1496" t="s">
        <v>19</v>
      </c>
      <c r="E1496" s="7">
        <v>1.43</v>
      </c>
      <c r="F1496" s="2">
        <v>0.78</v>
      </c>
      <c r="G1496" s="7">
        <v>0.88</v>
      </c>
      <c r="H1496" s="9" t="s">
        <v>20</v>
      </c>
      <c r="I1496">
        <v>0.97</v>
      </c>
      <c r="J1496">
        <v>0.05</v>
      </c>
      <c r="K1496">
        <v>0.04</v>
      </c>
      <c r="L1496">
        <v>0.89</v>
      </c>
      <c r="M1496">
        <v>0.9</v>
      </c>
      <c r="N1496">
        <v>0.11</v>
      </c>
      <c r="O1496">
        <v>0.36</v>
      </c>
      <c r="P1496">
        <v>0.84</v>
      </c>
      <c r="Q1496">
        <v>0.13</v>
      </c>
      <c r="R1496" s="2">
        <v>0.27</v>
      </c>
      <c r="S1496" t="str">
        <f>IF(Table1[[#This Row],[Years_Experience]]&lt;=5,"Early Career",
IF(Table1[[#This Row],[Years_Experience]]&lt;=15,"Mid Career","Senior Level"))</f>
        <v>Early Career</v>
      </c>
      <c r="T1496" t="str">
        <f>IF(Table1[[#This Row],[AI_Exposure_Index]]&gt;=0.7,"High Exposure", IF(Table1[[#This Row],[AI_Exposure_Index]]&gt;=0.3,"Medium Exposure","Low Exposure"))</f>
        <v>High Exposure</v>
      </c>
    </row>
    <row r="1497" spans="1:20" x14ac:dyDescent="0.25">
      <c r="A1497" t="s">
        <v>39</v>
      </c>
      <c r="B1497">
        <v>145092</v>
      </c>
      <c r="C1497" s="1">
        <v>25</v>
      </c>
      <c r="D1497" t="s">
        <v>19</v>
      </c>
      <c r="E1497" s="7">
        <v>1.3</v>
      </c>
      <c r="F1497" s="2">
        <v>0.98</v>
      </c>
      <c r="G1497" s="7">
        <v>0.89</v>
      </c>
      <c r="H1497" s="9" t="s">
        <v>20</v>
      </c>
      <c r="I1497">
        <v>0.34</v>
      </c>
      <c r="J1497">
        <v>0.66</v>
      </c>
      <c r="K1497">
        <v>0.11</v>
      </c>
      <c r="L1497">
        <v>0.99</v>
      </c>
      <c r="M1497">
        <v>0.48</v>
      </c>
      <c r="N1497">
        <v>0.64</v>
      </c>
      <c r="O1497">
        <v>0.88</v>
      </c>
      <c r="P1497">
        <v>0</v>
      </c>
      <c r="Q1497">
        <v>0.98</v>
      </c>
      <c r="R1497" s="2">
        <v>0.36</v>
      </c>
      <c r="S1497" t="str">
        <f>IF(Table1[[#This Row],[Years_Experience]]&lt;=5,"Early Career",
IF(Table1[[#This Row],[Years_Experience]]&lt;=15,"Mid Career","Senior Level"))</f>
        <v>Senior Level</v>
      </c>
      <c r="T1497" t="str">
        <f>IF(Table1[[#This Row],[AI_Exposure_Index]]&gt;=0.7,"High Exposure", IF(Table1[[#This Row],[AI_Exposure_Index]]&gt;=0.3,"Medium Exposure","Low Exposure"))</f>
        <v>High Exposure</v>
      </c>
    </row>
    <row r="1498" spans="1:20" x14ac:dyDescent="0.25">
      <c r="A1498" t="s">
        <v>33</v>
      </c>
      <c r="B1498">
        <v>122965</v>
      </c>
      <c r="C1498" s="1">
        <v>9</v>
      </c>
      <c r="D1498" t="s">
        <v>19</v>
      </c>
      <c r="E1498" s="7">
        <v>1.36</v>
      </c>
      <c r="F1498" s="2">
        <v>0.15</v>
      </c>
      <c r="G1498" s="7">
        <v>0.92</v>
      </c>
      <c r="H1498" s="9" t="s">
        <v>20</v>
      </c>
      <c r="I1498">
        <v>0.02</v>
      </c>
      <c r="J1498">
        <v>0.06</v>
      </c>
      <c r="K1498">
        <v>0.92</v>
      </c>
      <c r="L1498">
        <v>0.12</v>
      </c>
      <c r="M1498">
        <v>0.62</v>
      </c>
      <c r="N1498">
        <v>0.62</v>
      </c>
      <c r="O1498">
        <v>0.87</v>
      </c>
      <c r="P1498">
        <v>0.56999999999999995</v>
      </c>
      <c r="Q1498">
        <v>0.43</v>
      </c>
      <c r="R1498" s="2">
        <v>0.97</v>
      </c>
      <c r="S1498" t="str">
        <f>IF(Table1[[#This Row],[Years_Experience]]&lt;=5,"Early Career",
IF(Table1[[#This Row],[Years_Experience]]&lt;=15,"Mid Career","Senior Level"))</f>
        <v>Mid Career</v>
      </c>
      <c r="T1498" t="str">
        <f>IF(Table1[[#This Row],[AI_Exposure_Index]]&gt;=0.7,"High Exposure", IF(Table1[[#This Row],[AI_Exposure_Index]]&gt;=0.3,"Medium Exposure","Low Exposure"))</f>
        <v>Low Exposure</v>
      </c>
    </row>
    <row r="1499" spans="1:20" x14ac:dyDescent="0.25">
      <c r="A1499" t="s">
        <v>39</v>
      </c>
      <c r="B1499">
        <v>138204</v>
      </c>
      <c r="C1499" s="1">
        <v>22</v>
      </c>
      <c r="D1499" t="s">
        <v>38</v>
      </c>
      <c r="E1499" s="7">
        <v>0.57999999999999996</v>
      </c>
      <c r="F1499" s="2">
        <v>0.26</v>
      </c>
      <c r="G1499" s="7">
        <v>0.94</v>
      </c>
      <c r="H1499" s="9" t="s">
        <v>20</v>
      </c>
      <c r="I1499">
        <v>0.71</v>
      </c>
      <c r="J1499">
        <v>0.01</v>
      </c>
      <c r="K1499">
        <v>0.7</v>
      </c>
      <c r="L1499">
        <v>0.4</v>
      </c>
      <c r="M1499">
        <v>0.97</v>
      </c>
      <c r="N1499">
        <v>0.28000000000000003</v>
      </c>
      <c r="O1499">
        <v>0.71</v>
      </c>
      <c r="P1499">
        <v>0.63</v>
      </c>
      <c r="Q1499">
        <v>0.01</v>
      </c>
      <c r="R1499" s="2">
        <v>0.89</v>
      </c>
      <c r="S1499" t="str">
        <f>IF(Table1[[#This Row],[Years_Experience]]&lt;=5,"Early Career",
IF(Table1[[#This Row],[Years_Experience]]&lt;=15,"Mid Career","Senior Level"))</f>
        <v>Senior Level</v>
      </c>
      <c r="T1499" t="str">
        <f>IF(Table1[[#This Row],[AI_Exposure_Index]]&gt;=0.7,"High Exposure", IF(Table1[[#This Row],[AI_Exposure_Index]]&gt;=0.3,"Medium Exposure","Low Exposure"))</f>
        <v>Low Exposure</v>
      </c>
    </row>
    <row r="1500" spans="1:20" x14ac:dyDescent="0.25">
      <c r="A1500" t="s">
        <v>37</v>
      </c>
      <c r="B1500">
        <v>138500</v>
      </c>
      <c r="C1500" s="1">
        <v>15</v>
      </c>
      <c r="D1500" t="s">
        <v>38</v>
      </c>
      <c r="E1500" s="7">
        <v>1.28</v>
      </c>
      <c r="F1500" s="2">
        <v>0.66</v>
      </c>
      <c r="G1500" s="7">
        <v>0.55000000000000004</v>
      </c>
      <c r="H1500" s="9" t="s">
        <v>27</v>
      </c>
      <c r="I1500">
        <v>0.1</v>
      </c>
      <c r="J1500">
        <v>0.98</v>
      </c>
      <c r="K1500">
        <v>0.24</v>
      </c>
      <c r="L1500">
        <v>0.63</v>
      </c>
      <c r="M1500">
        <v>0.8</v>
      </c>
      <c r="N1500">
        <v>0.94</v>
      </c>
      <c r="O1500">
        <v>0.6</v>
      </c>
      <c r="P1500">
        <v>0.26</v>
      </c>
      <c r="Q1500">
        <v>0.84</v>
      </c>
      <c r="R1500" s="2">
        <v>0.16</v>
      </c>
      <c r="S1500" t="str">
        <f>IF(Table1[[#This Row],[Years_Experience]]&lt;=5,"Early Career",
IF(Table1[[#This Row],[Years_Experience]]&lt;=15,"Mid Career","Senior Level"))</f>
        <v>Mid Career</v>
      </c>
      <c r="T1500" t="str">
        <f>IF(Table1[[#This Row],[AI_Exposure_Index]]&gt;=0.7,"High Exposure", IF(Table1[[#This Row],[AI_Exposure_Index]]&gt;=0.3,"Medium Exposure","Low Exposure"))</f>
        <v>Medium Exposure</v>
      </c>
    </row>
    <row r="1501" spans="1:20" x14ac:dyDescent="0.25">
      <c r="A1501" t="s">
        <v>41</v>
      </c>
      <c r="B1501">
        <v>49728</v>
      </c>
      <c r="C1501" s="1">
        <v>6</v>
      </c>
      <c r="D1501" t="s">
        <v>38</v>
      </c>
      <c r="E1501" s="7">
        <v>1.08</v>
      </c>
      <c r="F1501" s="2">
        <v>0.91</v>
      </c>
      <c r="G1501" s="7">
        <v>0.72</v>
      </c>
      <c r="H1501" s="9" t="s">
        <v>20</v>
      </c>
      <c r="I1501">
        <v>0.57999999999999996</v>
      </c>
      <c r="J1501">
        <v>0.15</v>
      </c>
      <c r="K1501">
        <v>0.03</v>
      </c>
      <c r="L1501">
        <v>0.12</v>
      </c>
      <c r="M1501">
        <v>0.78</v>
      </c>
      <c r="N1501">
        <v>0.76</v>
      </c>
      <c r="O1501">
        <v>0.6</v>
      </c>
      <c r="P1501">
        <v>0.21</v>
      </c>
      <c r="Q1501">
        <v>0.74</v>
      </c>
      <c r="R1501" s="2">
        <v>0.41</v>
      </c>
      <c r="S1501" t="str">
        <f>IF(Table1[[#This Row],[Years_Experience]]&lt;=5,"Early Career",
IF(Table1[[#This Row],[Years_Experience]]&lt;=15,"Mid Career","Senior Level"))</f>
        <v>Mid Career</v>
      </c>
      <c r="T1501" t="str">
        <f>IF(Table1[[#This Row],[AI_Exposure_Index]]&gt;=0.7,"High Exposure", IF(Table1[[#This Row],[AI_Exposure_Index]]&gt;=0.3,"Medium Exposure","Low Exposure"))</f>
        <v>High Exposure</v>
      </c>
    </row>
    <row r="1502" spans="1:20" x14ac:dyDescent="0.25">
      <c r="A1502" t="s">
        <v>35</v>
      </c>
      <c r="B1502">
        <v>79108</v>
      </c>
      <c r="C1502" s="1">
        <v>13</v>
      </c>
      <c r="D1502" t="s">
        <v>25</v>
      </c>
      <c r="E1502" s="7">
        <v>1.08</v>
      </c>
      <c r="F1502" s="2">
        <v>0.42</v>
      </c>
      <c r="G1502" s="7">
        <v>0.33</v>
      </c>
      <c r="H1502" s="9" t="s">
        <v>27</v>
      </c>
      <c r="I1502">
        <v>0.14000000000000001</v>
      </c>
      <c r="J1502">
        <v>0.66</v>
      </c>
      <c r="K1502">
        <v>0.52</v>
      </c>
      <c r="L1502">
        <v>0.16</v>
      </c>
      <c r="M1502">
        <v>0.54</v>
      </c>
      <c r="N1502">
        <v>0.91</v>
      </c>
      <c r="O1502">
        <v>0.02</v>
      </c>
      <c r="P1502">
        <v>0.64</v>
      </c>
      <c r="Q1502">
        <v>7.0000000000000007E-2</v>
      </c>
      <c r="R1502" s="2">
        <v>0.01</v>
      </c>
      <c r="S1502" t="str">
        <f>IF(Table1[[#This Row],[Years_Experience]]&lt;=5,"Early Career",
IF(Table1[[#This Row],[Years_Experience]]&lt;=15,"Mid Career","Senior Level"))</f>
        <v>Mid Career</v>
      </c>
      <c r="T1502" t="str">
        <f>IF(Table1[[#This Row],[AI_Exposure_Index]]&gt;=0.7,"High Exposure", IF(Table1[[#This Row],[AI_Exposure_Index]]&gt;=0.3,"Medium Exposure","Low Exposure"))</f>
        <v>Medium Exposure</v>
      </c>
    </row>
    <row r="1503" spans="1:20" x14ac:dyDescent="0.25">
      <c r="A1503" t="s">
        <v>44</v>
      </c>
      <c r="B1503">
        <v>114724</v>
      </c>
      <c r="C1503" s="1">
        <v>20</v>
      </c>
      <c r="D1503" t="s">
        <v>25</v>
      </c>
      <c r="E1503" s="7">
        <v>1.3</v>
      </c>
      <c r="F1503" s="2">
        <v>0.42</v>
      </c>
      <c r="G1503" s="7">
        <v>0.41</v>
      </c>
      <c r="H1503" s="9" t="s">
        <v>27</v>
      </c>
      <c r="I1503">
        <v>0.63</v>
      </c>
      <c r="J1503">
        <v>0.41</v>
      </c>
      <c r="K1503">
        <v>0.23</v>
      </c>
      <c r="L1503">
        <v>0.51</v>
      </c>
      <c r="M1503">
        <v>0.8</v>
      </c>
      <c r="N1503">
        <v>0.83</v>
      </c>
      <c r="O1503">
        <v>0.85</v>
      </c>
      <c r="P1503">
        <v>0.34</v>
      </c>
      <c r="Q1503">
        <v>0.79</v>
      </c>
      <c r="R1503" s="2">
        <v>0.21</v>
      </c>
      <c r="S1503" t="str">
        <f>IF(Table1[[#This Row],[Years_Experience]]&lt;=5,"Early Career",
IF(Table1[[#This Row],[Years_Experience]]&lt;=15,"Mid Career","Senior Level"))</f>
        <v>Senior Level</v>
      </c>
      <c r="T1503" t="str">
        <f>IF(Table1[[#This Row],[AI_Exposure_Index]]&gt;=0.7,"High Exposure", IF(Table1[[#This Row],[AI_Exposure_Index]]&gt;=0.3,"Medium Exposure","Low Exposure"))</f>
        <v>Medium Exposure</v>
      </c>
    </row>
    <row r="1504" spans="1:20" x14ac:dyDescent="0.25">
      <c r="A1504" t="s">
        <v>44</v>
      </c>
      <c r="B1504">
        <v>123566</v>
      </c>
      <c r="C1504" s="1">
        <v>10</v>
      </c>
      <c r="D1504" t="s">
        <v>25</v>
      </c>
      <c r="E1504" s="7">
        <v>0.51</v>
      </c>
      <c r="F1504" s="2">
        <v>0.95</v>
      </c>
      <c r="G1504" s="7">
        <v>0.48</v>
      </c>
      <c r="H1504" s="9" t="s">
        <v>27</v>
      </c>
      <c r="I1504">
        <v>0.65</v>
      </c>
      <c r="J1504">
        <v>0.7</v>
      </c>
      <c r="K1504">
        <v>0.18</v>
      </c>
      <c r="L1504">
        <v>0.97</v>
      </c>
      <c r="M1504">
        <v>0.62</v>
      </c>
      <c r="N1504">
        <v>0.16</v>
      </c>
      <c r="O1504">
        <v>0.02</v>
      </c>
      <c r="P1504">
        <v>0.78</v>
      </c>
      <c r="Q1504">
        <v>0.08</v>
      </c>
      <c r="R1504" s="2">
        <v>0.14000000000000001</v>
      </c>
      <c r="S1504" t="str">
        <f>IF(Table1[[#This Row],[Years_Experience]]&lt;=5,"Early Career",
IF(Table1[[#This Row],[Years_Experience]]&lt;=15,"Mid Career","Senior Level"))</f>
        <v>Mid Career</v>
      </c>
      <c r="T1504" t="str">
        <f>IF(Table1[[#This Row],[AI_Exposure_Index]]&gt;=0.7,"High Exposure", IF(Table1[[#This Row],[AI_Exposure_Index]]&gt;=0.3,"Medium Exposure","Low Exposure"))</f>
        <v>High Exposure</v>
      </c>
    </row>
    <row r="1505" spans="1:20" x14ac:dyDescent="0.25">
      <c r="A1505" t="s">
        <v>41</v>
      </c>
      <c r="B1505">
        <v>33984</v>
      </c>
      <c r="C1505" s="1">
        <v>0</v>
      </c>
      <c r="D1505" t="s">
        <v>38</v>
      </c>
      <c r="E1505" s="7">
        <v>1.19</v>
      </c>
      <c r="F1505" s="2">
        <v>0.6</v>
      </c>
      <c r="G1505" s="7">
        <v>0.8</v>
      </c>
      <c r="H1505" s="9" t="s">
        <v>20</v>
      </c>
      <c r="I1505">
        <v>0.77</v>
      </c>
      <c r="J1505">
        <v>0.97</v>
      </c>
      <c r="K1505">
        <v>0.27</v>
      </c>
      <c r="L1505">
        <v>0.7</v>
      </c>
      <c r="M1505">
        <v>0.93</v>
      </c>
      <c r="N1505">
        <v>0.69</v>
      </c>
      <c r="O1505">
        <v>0.68</v>
      </c>
      <c r="P1505">
        <v>0.22</v>
      </c>
      <c r="Q1505">
        <v>0.54</v>
      </c>
      <c r="R1505" s="2">
        <v>0.56000000000000005</v>
      </c>
      <c r="S1505" t="str">
        <f>IF(Table1[[#This Row],[Years_Experience]]&lt;=5,"Early Career",
IF(Table1[[#This Row],[Years_Experience]]&lt;=15,"Mid Career","Senior Level"))</f>
        <v>Early Career</v>
      </c>
      <c r="T1505" t="str">
        <f>IF(Table1[[#This Row],[AI_Exposure_Index]]&gt;=0.7,"High Exposure", IF(Table1[[#This Row],[AI_Exposure_Index]]&gt;=0.3,"Medium Exposure","Low Exposure"))</f>
        <v>Medium Exposure</v>
      </c>
    </row>
    <row r="1506" spans="1:20" x14ac:dyDescent="0.25">
      <c r="A1506" t="s">
        <v>42</v>
      </c>
      <c r="B1506">
        <v>140839</v>
      </c>
      <c r="C1506" s="1">
        <v>16</v>
      </c>
      <c r="D1506" t="s">
        <v>25</v>
      </c>
      <c r="E1506" s="7">
        <v>0.53</v>
      </c>
      <c r="F1506" s="2">
        <v>1</v>
      </c>
      <c r="G1506" s="7">
        <v>0.33</v>
      </c>
      <c r="H1506" s="9" t="s">
        <v>27</v>
      </c>
      <c r="I1506">
        <v>0.08</v>
      </c>
      <c r="J1506">
        <v>0.74</v>
      </c>
      <c r="K1506">
        <v>0.14000000000000001</v>
      </c>
      <c r="L1506">
        <v>0.62</v>
      </c>
      <c r="M1506">
        <v>0.32</v>
      </c>
      <c r="N1506">
        <v>0.46</v>
      </c>
      <c r="O1506">
        <v>0.22</v>
      </c>
      <c r="P1506">
        <v>0.87</v>
      </c>
      <c r="Q1506">
        <v>0.59</v>
      </c>
      <c r="R1506" s="2">
        <v>0.94</v>
      </c>
      <c r="S1506" t="str">
        <f>IF(Table1[[#This Row],[Years_Experience]]&lt;=5,"Early Career",
IF(Table1[[#This Row],[Years_Experience]]&lt;=15,"Mid Career","Senior Level"))</f>
        <v>Senior Level</v>
      </c>
      <c r="T1506" t="str">
        <f>IF(Table1[[#This Row],[AI_Exposure_Index]]&gt;=0.7,"High Exposure", IF(Table1[[#This Row],[AI_Exposure_Index]]&gt;=0.3,"Medium Exposure","Low Exposure"))</f>
        <v>High Exposure</v>
      </c>
    </row>
    <row r="1507" spans="1:20" x14ac:dyDescent="0.25">
      <c r="A1507" t="s">
        <v>44</v>
      </c>
      <c r="B1507">
        <v>78481</v>
      </c>
      <c r="C1507" s="1">
        <v>1</v>
      </c>
      <c r="D1507" t="s">
        <v>25</v>
      </c>
      <c r="E1507" s="7">
        <v>0.67</v>
      </c>
      <c r="F1507" s="2">
        <v>0.12</v>
      </c>
      <c r="G1507" s="7">
        <v>0.7</v>
      </c>
      <c r="H1507" s="9" t="s">
        <v>27</v>
      </c>
      <c r="I1507">
        <v>0.73</v>
      </c>
      <c r="J1507">
        <v>0.05</v>
      </c>
      <c r="K1507">
        <v>0.7</v>
      </c>
      <c r="L1507">
        <v>0.41</v>
      </c>
      <c r="M1507">
        <v>0.31</v>
      </c>
      <c r="N1507">
        <v>0.15</v>
      </c>
      <c r="O1507">
        <v>0.84</v>
      </c>
      <c r="P1507">
        <v>0.06</v>
      </c>
      <c r="Q1507">
        <v>0.28999999999999998</v>
      </c>
      <c r="R1507" s="2">
        <v>0.31</v>
      </c>
      <c r="S1507" t="str">
        <f>IF(Table1[[#This Row],[Years_Experience]]&lt;=5,"Early Career",
IF(Table1[[#This Row],[Years_Experience]]&lt;=15,"Mid Career","Senior Level"))</f>
        <v>Early Career</v>
      </c>
      <c r="T1507" t="str">
        <f>IF(Table1[[#This Row],[AI_Exposure_Index]]&gt;=0.7,"High Exposure", IF(Table1[[#This Row],[AI_Exposure_Index]]&gt;=0.3,"Medium Exposure","Low Exposure"))</f>
        <v>Low Exposure</v>
      </c>
    </row>
    <row r="1508" spans="1:20" x14ac:dyDescent="0.25">
      <c r="A1508" t="s">
        <v>28</v>
      </c>
      <c r="B1508">
        <v>101343</v>
      </c>
      <c r="C1508" s="1">
        <v>10</v>
      </c>
      <c r="D1508" t="s">
        <v>38</v>
      </c>
      <c r="E1508" s="7">
        <v>0.51</v>
      </c>
      <c r="F1508" s="2">
        <v>0.51</v>
      </c>
      <c r="G1508" s="7">
        <v>0.42</v>
      </c>
      <c r="H1508" s="9" t="s">
        <v>27</v>
      </c>
      <c r="I1508">
        <v>0.93</v>
      </c>
      <c r="J1508">
        <v>0.31</v>
      </c>
      <c r="K1508">
        <v>0.36</v>
      </c>
      <c r="L1508">
        <v>0.47</v>
      </c>
      <c r="M1508">
        <v>0.56000000000000005</v>
      </c>
      <c r="N1508">
        <v>0.81</v>
      </c>
      <c r="O1508">
        <v>0.19</v>
      </c>
      <c r="P1508">
        <v>0.87</v>
      </c>
      <c r="Q1508">
        <v>0.76</v>
      </c>
      <c r="R1508" s="2">
        <v>0.72</v>
      </c>
      <c r="S1508" t="str">
        <f>IF(Table1[[#This Row],[Years_Experience]]&lt;=5,"Early Career",
IF(Table1[[#This Row],[Years_Experience]]&lt;=15,"Mid Career","Senior Level"))</f>
        <v>Mid Career</v>
      </c>
      <c r="T1508" t="str">
        <f>IF(Table1[[#This Row],[AI_Exposure_Index]]&gt;=0.7,"High Exposure", IF(Table1[[#This Row],[AI_Exposure_Index]]&gt;=0.3,"Medium Exposure","Low Exposure"))</f>
        <v>Medium Exposure</v>
      </c>
    </row>
    <row r="1509" spans="1:20" x14ac:dyDescent="0.25">
      <c r="A1509" t="s">
        <v>21</v>
      </c>
      <c r="B1509">
        <v>84034</v>
      </c>
      <c r="C1509" s="1">
        <v>26</v>
      </c>
      <c r="D1509" t="s">
        <v>19</v>
      </c>
      <c r="E1509" s="7">
        <v>1.0900000000000001</v>
      </c>
      <c r="F1509" s="2">
        <v>0.02</v>
      </c>
      <c r="G1509" s="7">
        <v>0.27</v>
      </c>
      <c r="H1509" s="9" t="s">
        <v>23</v>
      </c>
      <c r="I1509">
        <v>0.57999999999999996</v>
      </c>
      <c r="J1509">
        <v>0.21</v>
      </c>
      <c r="K1509">
        <v>0.09</v>
      </c>
      <c r="L1509">
        <v>0.7</v>
      </c>
      <c r="M1509">
        <v>0.72</v>
      </c>
      <c r="N1509">
        <v>0.17</v>
      </c>
      <c r="O1509">
        <v>0.03</v>
      </c>
      <c r="P1509">
        <v>0.41</v>
      </c>
      <c r="Q1509">
        <v>0.57999999999999996</v>
      </c>
      <c r="R1509" s="2">
        <v>0.71</v>
      </c>
      <c r="S1509" t="str">
        <f>IF(Table1[[#This Row],[Years_Experience]]&lt;=5,"Early Career",
IF(Table1[[#This Row],[Years_Experience]]&lt;=15,"Mid Career","Senior Level"))</f>
        <v>Senior Level</v>
      </c>
      <c r="T1509" t="str">
        <f>IF(Table1[[#This Row],[AI_Exposure_Index]]&gt;=0.7,"High Exposure", IF(Table1[[#This Row],[AI_Exposure_Index]]&gt;=0.3,"Medium Exposure","Low Exposure"))</f>
        <v>Low Exposure</v>
      </c>
    </row>
    <row r="1510" spans="1:20" x14ac:dyDescent="0.25">
      <c r="A1510" t="s">
        <v>30</v>
      </c>
      <c r="B1510">
        <v>66419</v>
      </c>
      <c r="C1510" s="1">
        <v>17</v>
      </c>
      <c r="D1510" t="s">
        <v>19</v>
      </c>
      <c r="E1510" s="7">
        <v>0.87</v>
      </c>
      <c r="F1510" s="2">
        <v>0.35</v>
      </c>
      <c r="G1510" s="7">
        <v>0.38</v>
      </c>
      <c r="H1510" s="9" t="s">
        <v>27</v>
      </c>
      <c r="I1510">
        <v>0.96</v>
      </c>
      <c r="J1510">
        <v>0.46</v>
      </c>
      <c r="K1510">
        <v>0.56999999999999995</v>
      </c>
      <c r="L1510">
        <v>0.45</v>
      </c>
      <c r="M1510">
        <v>0.25</v>
      </c>
      <c r="N1510">
        <v>0.81</v>
      </c>
      <c r="O1510">
        <v>0.03</v>
      </c>
      <c r="P1510">
        <v>0.69</v>
      </c>
      <c r="Q1510">
        <v>0.59</v>
      </c>
      <c r="R1510" s="2">
        <v>0.14000000000000001</v>
      </c>
      <c r="S1510" t="str">
        <f>IF(Table1[[#This Row],[Years_Experience]]&lt;=5,"Early Career",
IF(Table1[[#This Row],[Years_Experience]]&lt;=15,"Mid Career","Senior Level"))</f>
        <v>Senior Level</v>
      </c>
      <c r="T1510" t="str">
        <f>IF(Table1[[#This Row],[AI_Exposure_Index]]&gt;=0.7,"High Exposure", IF(Table1[[#This Row],[AI_Exposure_Index]]&gt;=0.3,"Medium Exposure","Low Exposure"))</f>
        <v>Medium Exposure</v>
      </c>
    </row>
    <row r="1511" spans="1:20" x14ac:dyDescent="0.25">
      <c r="A1511" t="s">
        <v>37</v>
      </c>
      <c r="B1511">
        <v>79357</v>
      </c>
      <c r="C1511" s="1">
        <v>4</v>
      </c>
      <c r="D1511" t="s">
        <v>25</v>
      </c>
      <c r="E1511" s="7">
        <v>0.81</v>
      </c>
      <c r="F1511" s="2">
        <v>0.66</v>
      </c>
      <c r="G1511" s="7">
        <v>0.41</v>
      </c>
      <c r="H1511" s="9" t="s">
        <v>27</v>
      </c>
      <c r="I1511">
        <v>0.06</v>
      </c>
      <c r="J1511">
        <v>0.77</v>
      </c>
      <c r="K1511">
        <v>0.88</v>
      </c>
      <c r="L1511">
        <v>0.82</v>
      </c>
      <c r="M1511">
        <v>0.47</v>
      </c>
      <c r="N1511">
        <v>0.53</v>
      </c>
      <c r="O1511">
        <v>0.24</v>
      </c>
      <c r="P1511">
        <v>0.17</v>
      </c>
      <c r="Q1511">
        <v>0.82</v>
      </c>
      <c r="R1511" s="2">
        <v>0.8</v>
      </c>
      <c r="S1511" t="str">
        <f>IF(Table1[[#This Row],[Years_Experience]]&lt;=5,"Early Career",
IF(Table1[[#This Row],[Years_Experience]]&lt;=15,"Mid Career","Senior Level"))</f>
        <v>Early Career</v>
      </c>
      <c r="T1511" t="str">
        <f>IF(Table1[[#This Row],[AI_Exposure_Index]]&gt;=0.7,"High Exposure", IF(Table1[[#This Row],[AI_Exposure_Index]]&gt;=0.3,"Medium Exposure","Low Exposure"))</f>
        <v>Medium Exposure</v>
      </c>
    </row>
    <row r="1512" spans="1:20" x14ac:dyDescent="0.25">
      <c r="A1512" t="s">
        <v>43</v>
      </c>
      <c r="B1512">
        <v>99064</v>
      </c>
      <c r="C1512" s="1">
        <v>7</v>
      </c>
      <c r="D1512" t="s">
        <v>38</v>
      </c>
      <c r="E1512" s="7">
        <v>1.36</v>
      </c>
      <c r="F1512" s="2">
        <v>0.46</v>
      </c>
      <c r="G1512" s="7">
        <v>0.28000000000000003</v>
      </c>
      <c r="H1512" s="9" t="s">
        <v>23</v>
      </c>
      <c r="I1512">
        <v>0.33</v>
      </c>
      <c r="J1512">
        <v>0.22</v>
      </c>
      <c r="K1512">
        <v>0.46</v>
      </c>
      <c r="L1512">
        <v>0.18</v>
      </c>
      <c r="M1512">
        <v>0.88</v>
      </c>
      <c r="N1512">
        <v>0.34</v>
      </c>
      <c r="O1512">
        <v>0.57999999999999996</v>
      </c>
      <c r="P1512">
        <v>0.59</v>
      </c>
      <c r="Q1512">
        <v>0.51</v>
      </c>
      <c r="R1512" s="2">
        <v>0.16</v>
      </c>
      <c r="S1512" t="str">
        <f>IF(Table1[[#This Row],[Years_Experience]]&lt;=5,"Early Career",
IF(Table1[[#This Row],[Years_Experience]]&lt;=15,"Mid Career","Senior Level"))</f>
        <v>Mid Career</v>
      </c>
      <c r="T1512" t="str">
        <f>IF(Table1[[#This Row],[AI_Exposure_Index]]&gt;=0.7,"High Exposure", IF(Table1[[#This Row],[AI_Exposure_Index]]&gt;=0.3,"Medium Exposure","Low Exposure"))</f>
        <v>Medium Exposure</v>
      </c>
    </row>
    <row r="1513" spans="1:20" x14ac:dyDescent="0.25">
      <c r="A1513" t="s">
        <v>32</v>
      </c>
      <c r="B1513">
        <v>44280</v>
      </c>
      <c r="C1513" s="1">
        <v>2</v>
      </c>
      <c r="D1513" t="s">
        <v>38</v>
      </c>
      <c r="E1513" s="7">
        <v>1.25</v>
      </c>
      <c r="F1513" s="2">
        <v>0.17</v>
      </c>
      <c r="G1513" s="7">
        <v>0.62</v>
      </c>
      <c r="H1513" s="9" t="s">
        <v>27</v>
      </c>
      <c r="I1513">
        <v>0.15</v>
      </c>
      <c r="J1513">
        <v>0.93</v>
      </c>
      <c r="K1513">
        <v>0.49</v>
      </c>
      <c r="L1513">
        <v>0.63</v>
      </c>
      <c r="M1513">
        <v>0.64</v>
      </c>
      <c r="N1513">
        <v>0.5</v>
      </c>
      <c r="O1513">
        <v>0.14000000000000001</v>
      </c>
      <c r="P1513">
        <v>0.75</v>
      </c>
      <c r="Q1513">
        <v>0.57999999999999996</v>
      </c>
      <c r="R1513" s="2">
        <v>0.12</v>
      </c>
      <c r="S1513" t="str">
        <f>IF(Table1[[#This Row],[Years_Experience]]&lt;=5,"Early Career",
IF(Table1[[#This Row],[Years_Experience]]&lt;=15,"Mid Career","Senior Level"))</f>
        <v>Early Career</v>
      </c>
      <c r="T1513" t="str">
        <f>IF(Table1[[#This Row],[AI_Exposure_Index]]&gt;=0.7,"High Exposure", IF(Table1[[#This Row],[AI_Exposure_Index]]&gt;=0.3,"Medium Exposure","Low Exposure"))</f>
        <v>Low Exposure</v>
      </c>
    </row>
    <row r="1514" spans="1:20" x14ac:dyDescent="0.25">
      <c r="A1514" t="s">
        <v>24</v>
      </c>
      <c r="B1514">
        <v>49691</v>
      </c>
      <c r="C1514" s="1">
        <v>26</v>
      </c>
      <c r="D1514" t="s">
        <v>19</v>
      </c>
      <c r="E1514" s="7">
        <v>1.05</v>
      </c>
      <c r="F1514" s="2">
        <v>0.7</v>
      </c>
      <c r="G1514" s="7">
        <v>0.72</v>
      </c>
      <c r="H1514" s="9" t="s">
        <v>20</v>
      </c>
      <c r="I1514">
        <v>0.35</v>
      </c>
      <c r="J1514">
        <v>0.05</v>
      </c>
      <c r="K1514">
        <v>0.48</v>
      </c>
      <c r="L1514">
        <v>0.91</v>
      </c>
      <c r="M1514">
        <v>0</v>
      </c>
      <c r="N1514">
        <v>0.27</v>
      </c>
      <c r="O1514">
        <v>0.8</v>
      </c>
      <c r="P1514">
        <v>0.01</v>
      </c>
      <c r="Q1514">
        <v>0.01</v>
      </c>
      <c r="R1514" s="2">
        <v>0.61</v>
      </c>
      <c r="S1514" t="str">
        <f>IF(Table1[[#This Row],[Years_Experience]]&lt;=5,"Early Career",
IF(Table1[[#This Row],[Years_Experience]]&lt;=15,"Mid Career","Senior Level"))</f>
        <v>Senior Level</v>
      </c>
      <c r="T1514" t="str">
        <f>IF(Table1[[#This Row],[AI_Exposure_Index]]&gt;=0.7,"High Exposure", IF(Table1[[#This Row],[AI_Exposure_Index]]&gt;=0.3,"Medium Exposure","Low Exposure"))</f>
        <v>High Exposure</v>
      </c>
    </row>
    <row r="1515" spans="1:20" x14ac:dyDescent="0.25">
      <c r="A1515" t="s">
        <v>36</v>
      </c>
      <c r="B1515">
        <v>95234</v>
      </c>
      <c r="C1515" s="1">
        <v>4</v>
      </c>
      <c r="D1515" t="s">
        <v>38</v>
      </c>
      <c r="E1515" s="7">
        <v>1.28</v>
      </c>
      <c r="F1515" s="2">
        <v>0.78</v>
      </c>
      <c r="G1515" s="7">
        <v>0.44</v>
      </c>
      <c r="H1515" s="9" t="s">
        <v>27</v>
      </c>
      <c r="I1515">
        <v>0.88</v>
      </c>
      <c r="J1515">
        <v>0.01</v>
      </c>
      <c r="K1515">
        <v>0.31</v>
      </c>
      <c r="L1515">
        <v>0.34</v>
      </c>
      <c r="M1515">
        <v>0.17</v>
      </c>
      <c r="N1515">
        <v>0.34</v>
      </c>
      <c r="O1515">
        <v>0.59</v>
      </c>
      <c r="P1515">
        <v>0.52</v>
      </c>
      <c r="Q1515">
        <v>0.32</v>
      </c>
      <c r="R1515" s="2">
        <v>0.75</v>
      </c>
      <c r="S1515" t="str">
        <f>IF(Table1[[#This Row],[Years_Experience]]&lt;=5,"Early Career",
IF(Table1[[#This Row],[Years_Experience]]&lt;=15,"Mid Career","Senior Level"))</f>
        <v>Early Career</v>
      </c>
      <c r="T1515" t="str">
        <f>IF(Table1[[#This Row],[AI_Exposure_Index]]&gt;=0.7,"High Exposure", IF(Table1[[#This Row],[AI_Exposure_Index]]&gt;=0.3,"Medium Exposure","Low Exposure"))</f>
        <v>High Exposure</v>
      </c>
    </row>
    <row r="1516" spans="1:20" x14ac:dyDescent="0.25">
      <c r="A1516" t="s">
        <v>37</v>
      </c>
      <c r="B1516">
        <v>63783</v>
      </c>
      <c r="C1516" s="1">
        <v>2</v>
      </c>
      <c r="D1516" t="s">
        <v>25</v>
      </c>
      <c r="E1516" s="7">
        <v>1</v>
      </c>
      <c r="F1516" s="2">
        <v>0.41</v>
      </c>
      <c r="G1516" s="7">
        <v>0.63</v>
      </c>
      <c r="H1516" s="9" t="s">
        <v>27</v>
      </c>
      <c r="I1516">
        <v>0.82</v>
      </c>
      <c r="J1516">
        <v>0.8</v>
      </c>
      <c r="K1516">
        <v>0.1</v>
      </c>
      <c r="L1516">
        <v>0.8</v>
      </c>
      <c r="M1516">
        <v>0.12</v>
      </c>
      <c r="N1516">
        <v>0.12</v>
      </c>
      <c r="O1516">
        <v>0.95</v>
      </c>
      <c r="P1516">
        <v>0.82</v>
      </c>
      <c r="Q1516">
        <v>0.55000000000000004</v>
      </c>
      <c r="R1516" s="2">
        <v>0.87</v>
      </c>
      <c r="S1516" t="str">
        <f>IF(Table1[[#This Row],[Years_Experience]]&lt;=5,"Early Career",
IF(Table1[[#This Row],[Years_Experience]]&lt;=15,"Mid Career","Senior Level"))</f>
        <v>Early Career</v>
      </c>
      <c r="T1516" t="str">
        <f>IF(Table1[[#This Row],[AI_Exposure_Index]]&gt;=0.7,"High Exposure", IF(Table1[[#This Row],[AI_Exposure_Index]]&gt;=0.3,"Medium Exposure","Low Exposure"))</f>
        <v>Medium Exposure</v>
      </c>
    </row>
    <row r="1517" spans="1:20" x14ac:dyDescent="0.25">
      <c r="A1517" t="s">
        <v>32</v>
      </c>
      <c r="B1517">
        <v>95609</v>
      </c>
      <c r="C1517" s="1">
        <v>26</v>
      </c>
      <c r="D1517" t="s">
        <v>25</v>
      </c>
      <c r="E1517" s="7">
        <v>1.1100000000000001</v>
      </c>
      <c r="F1517" s="2">
        <v>0.61</v>
      </c>
      <c r="G1517" s="7">
        <v>0.6</v>
      </c>
      <c r="H1517" s="9" t="s">
        <v>27</v>
      </c>
      <c r="I1517">
        <v>0.23</v>
      </c>
      <c r="J1517">
        <v>0.17</v>
      </c>
      <c r="K1517">
        <v>0.76</v>
      </c>
      <c r="L1517">
        <v>0.34</v>
      </c>
      <c r="M1517">
        <v>0.14000000000000001</v>
      </c>
      <c r="N1517">
        <v>0.31</v>
      </c>
      <c r="O1517">
        <v>0.36</v>
      </c>
      <c r="P1517">
        <v>0.97</v>
      </c>
      <c r="Q1517">
        <v>0.7</v>
      </c>
      <c r="R1517" s="2">
        <v>0.53</v>
      </c>
      <c r="S1517" t="str">
        <f>IF(Table1[[#This Row],[Years_Experience]]&lt;=5,"Early Career",
IF(Table1[[#This Row],[Years_Experience]]&lt;=15,"Mid Career","Senior Level"))</f>
        <v>Senior Level</v>
      </c>
      <c r="T1517" t="str">
        <f>IF(Table1[[#This Row],[AI_Exposure_Index]]&gt;=0.7,"High Exposure", IF(Table1[[#This Row],[AI_Exposure_Index]]&gt;=0.3,"Medium Exposure","Low Exposure"))</f>
        <v>Medium Exposure</v>
      </c>
    </row>
    <row r="1518" spans="1:20" x14ac:dyDescent="0.25">
      <c r="A1518" t="s">
        <v>44</v>
      </c>
      <c r="B1518">
        <v>34590</v>
      </c>
      <c r="C1518" s="1">
        <v>20</v>
      </c>
      <c r="D1518" t="s">
        <v>22</v>
      </c>
      <c r="E1518" s="7">
        <v>1.01</v>
      </c>
      <c r="F1518" s="2">
        <v>0.9</v>
      </c>
      <c r="G1518" s="7">
        <v>0.66</v>
      </c>
      <c r="H1518" s="9" t="s">
        <v>27</v>
      </c>
      <c r="I1518">
        <v>0.4</v>
      </c>
      <c r="J1518">
        <v>0.23</v>
      </c>
      <c r="K1518">
        <v>0.23</v>
      </c>
      <c r="L1518">
        <v>0.66</v>
      </c>
      <c r="M1518">
        <v>0.5</v>
      </c>
      <c r="N1518">
        <v>0.66</v>
      </c>
      <c r="O1518">
        <v>0.69</v>
      </c>
      <c r="P1518">
        <v>0.02</v>
      </c>
      <c r="Q1518">
        <v>0.05</v>
      </c>
      <c r="R1518" s="2">
        <v>0.53</v>
      </c>
      <c r="S1518" t="str">
        <f>IF(Table1[[#This Row],[Years_Experience]]&lt;=5,"Early Career",
IF(Table1[[#This Row],[Years_Experience]]&lt;=15,"Mid Career","Senior Level"))</f>
        <v>Senior Level</v>
      </c>
      <c r="T1518" t="str">
        <f>IF(Table1[[#This Row],[AI_Exposure_Index]]&gt;=0.7,"High Exposure", IF(Table1[[#This Row],[AI_Exposure_Index]]&gt;=0.3,"Medium Exposure","Low Exposure"))</f>
        <v>High Exposure</v>
      </c>
    </row>
    <row r="1519" spans="1:20" x14ac:dyDescent="0.25">
      <c r="A1519" t="s">
        <v>28</v>
      </c>
      <c r="B1519">
        <v>141463</v>
      </c>
      <c r="C1519" s="1">
        <v>18</v>
      </c>
      <c r="D1519" t="s">
        <v>19</v>
      </c>
      <c r="E1519" s="7">
        <v>1.05</v>
      </c>
      <c r="F1519" s="2">
        <v>0.63</v>
      </c>
      <c r="G1519" s="7">
        <v>0.53</v>
      </c>
      <c r="H1519" s="9" t="s">
        <v>27</v>
      </c>
      <c r="I1519">
        <v>0.3</v>
      </c>
      <c r="J1519">
        <v>0.64</v>
      </c>
      <c r="K1519">
        <v>0.83</v>
      </c>
      <c r="L1519">
        <v>1</v>
      </c>
      <c r="M1519">
        <v>0.84</v>
      </c>
      <c r="N1519">
        <v>0.56000000000000005</v>
      </c>
      <c r="O1519">
        <v>0.19</v>
      </c>
      <c r="P1519">
        <v>0.68</v>
      </c>
      <c r="Q1519">
        <v>0.94</v>
      </c>
      <c r="R1519" s="2">
        <v>0.21</v>
      </c>
      <c r="S1519" t="str">
        <f>IF(Table1[[#This Row],[Years_Experience]]&lt;=5,"Early Career",
IF(Table1[[#This Row],[Years_Experience]]&lt;=15,"Mid Career","Senior Level"))</f>
        <v>Senior Level</v>
      </c>
      <c r="T1519" t="str">
        <f>IF(Table1[[#This Row],[AI_Exposure_Index]]&gt;=0.7,"High Exposure", IF(Table1[[#This Row],[AI_Exposure_Index]]&gt;=0.3,"Medium Exposure","Low Exposure"))</f>
        <v>Medium Exposure</v>
      </c>
    </row>
    <row r="1520" spans="1:20" x14ac:dyDescent="0.25">
      <c r="A1520" t="s">
        <v>41</v>
      </c>
      <c r="B1520">
        <v>90891</v>
      </c>
      <c r="C1520" s="1">
        <v>22</v>
      </c>
      <c r="D1520" t="s">
        <v>38</v>
      </c>
      <c r="E1520" s="7">
        <v>1.24</v>
      </c>
      <c r="F1520" s="2">
        <v>0.15</v>
      </c>
      <c r="G1520" s="7">
        <v>0.8</v>
      </c>
      <c r="H1520" s="9" t="s">
        <v>20</v>
      </c>
      <c r="I1520">
        <v>0.06</v>
      </c>
      <c r="J1520">
        <v>0.87</v>
      </c>
      <c r="K1520">
        <v>0.56000000000000005</v>
      </c>
      <c r="L1520">
        <v>0.33</v>
      </c>
      <c r="M1520">
        <v>0.34</v>
      </c>
      <c r="N1520">
        <v>0.28999999999999998</v>
      </c>
      <c r="O1520">
        <v>0.46</v>
      </c>
      <c r="P1520">
        <v>0.34</v>
      </c>
      <c r="Q1520">
        <v>0.55000000000000004</v>
      </c>
      <c r="R1520" s="2">
        <v>0.77</v>
      </c>
      <c r="S1520" t="str">
        <f>IF(Table1[[#This Row],[Years_Experience]]&lt;=5,"Early Career",
IF(Table1[[#This Row],[Years_Experience]]&lt;=15,"Mid Career","Senior Level"))</f>
        <v>Senior Level</v>
      </c>
      <c r="T1520" t="str">
        <f>IF(Table1[[#This Row],[AI_Exposure_Index]]&gt;=0.7,"High Exposure", IF(Table1[[#This Row],[AI_Exposure_Index]]&gt;=0.3,"Medium Exposure","Low Exposure"))</f>
        <v>Low Exposure</v>
      </c>
    </row>
    <row r="1521" spans="1:20" x14ac:dyDescent="0.25">
      <c r="A1521" t="s">
        <v>36</v>
      </c>
      <c r="B1521">
        <v>127976</v>
      </c>
      <c r="C1521" s="1">
        <v>9</v>
      </c>
      <c r="D1521" t="s">
        <v>25</v>
      </c>
      <c r="E1521" s="7">
        <v>1.03</v>
      </c>
      <c r="F1521" s="2">
        <v>0.28999999999999998</v>
      </c>
      <c r="G1521" s="7">
        <v>0.64</v>
      </c>
      <c r="H1521" s="9" t="s">
        <v>27</v>
      </c>
      <c r="I1521">
        <v>7.0000000000000007E-2</v>
      </c>
      <c r="J1521">
        <v>0.08</v>
      </c>
      <c r="K1521">
        <v>0.56000000000000005</v>
      </c>
      <c r="L1521">
        <v>0.64</v>
      </c>
      <c r="M1521">
        <v>0.21</v>
      </c>
      <c r="N1521">
        <v>0.75</v>
      </c>
      <c r="O1521">
        <v>0.65</v>
      </c>
      <c r="P1521">
        <v>0.92</v>
      </c>
      <c r="Q1521">
        <v>0.17</v>
      </c>
      <c r="R1521" s="2">
        <v>0.75</v>
      </c>
      <c r="S1521" t="str">
        <f>IF(Table1[[#This Row],[Years_Experience]]&lt;=5,"Early Career",
IF(Table1[[#This Row],[Years_Experience]]&lt;=15,"Mid Career","Senior Level"))</f>
        <v>Mid Career</v>
      </c>
      <c r="T1521" t="str">
        <f>IF(Table1[[#This Row],[AI_Exposure_Index]]&gt;=0.7,"High Exposure", IF(Table1[[#This Row],[AI_Exposure_Index]]&gt;=0.3,"Medium Exposure","Low Exposure"))</f>
        <v>Low Exposure</v>
      </c>
    </row>
    <row r="1522" spans="1:20" x14ac:dyDescent="0.25">
      <c r="A1522" t="s">
        <v>18</v>
      </c>
      <c r="B1522">
        <v>137046</v>
      </c>
      <c r="C1522" s="1">
        <v>19</v>
      </c>
      <c r="D1522" t="s">
        <v>19</v>
      </c>
      <c r="E1522" s="7">
        <v>1.05</v>
      </c>
      <c r="F1522" s="2">
        <v>0.56999999999999995</v>
      </c>
      <c r="G1522" s="7">
        <v>0.8</v>
      </c>
      <c r="H1522" s="9" t="s">
        <v>20</v>
      </c>
      <c r="I1522">
        <v>0.84</v>
      </c>
      <c r="J1522">
        <v>0</v>
      </c>
      <c r="K1522">
        <v>0.52</v>
      </c>
      <c r="L1522">
        <v>0.22</v>
      </c>
      <c r="M1522">
        <v>0.74</v>
      </c>
      <c r="N1522">
        <v>0.04</v>
      </c>
      <c r="O1522">
        <v>0.83</v>
      </c>
      <c r="P1522">
        <v>0.84</v>
      </c>
      <c r="Q1522">
        <v>0.83</v>
      </c>
      <c r="R1522" s="2">
        <v>0.15</v>
      </c>
      <c r="S1522" t="str">
        <f>IF(Table1[[#This Row],[Years_Experience]]&lt;=5,"Early Career",
IF(Table1[[#This Row],[Years_Experience]]&lt;=15,"Mid Career","Senior Level"))</f>
        <v>Senior Level</v>
      </c>
      <c r="T1522" t="str">
        <f>IF(Table1[[#This Row],[AI_Exposure_Index]]&gt;=0.7,"High Exposure", IF(Table1[[#This Row],[AI_Exposure_Index]]&gt;=0.3,"Medium Exposure","Low Exposure"))</f>
        <v>Medium Exposure</v>
      </c>
    </row>
    <row r="1523" spans="1:20" x14ac:dyDescent="0.25">
      <c r="A1523" t="s">
        <v>40</v>
      </c>
      <c r="B1523">
        <v>51058</v>
      </c>
      <c r="C1523" s="1">
        <v>25</v>
      </c>
      <c r="D1523" t="s">
        <v>22</v>
      </c>
      <c r="E1523" s="7">
        <v>1.35</v>
      </c>
      <c r="F1523" s="2">
        <v>0.01</v>
      </c>
      <c r="G1523" s="7">
        <v>0.23</v>
      </c>
      <c r="H1523" s="9" t="s">
        <v>23</v>
      </c>
      <c r="I1523">
        <v>0.53</v>
      </c>
      <c r="J1523">
        <v>0.73</v>
      </c>
      <c r="K1523">
        <v>0.09</v>
      </c>
      <c r="L1523">
        <v>0.53</v>
      </c>
      <c r="M1523">
        <v>0.28999999999999998</v>
      </c>
      <c r="N1523">
        <v>0.97</v>
      </c>
      <c r="O1523">
        <v>0.86</v>
      </c>
      <c r="P1523">
        <v>0.73</v>
      </c>
      <c r="Q1523">
        <v>0.93</v>
      </c>
      <c r="R1523" s="2">
        <v>0.35</v>
      </c>
      <c r="S1523" t="str">
        <f>IF(Table1[[#This Row],[Years_Experience]]&lt;=5,"Early Career",
IF(Table1[[#This Row],[Years_Experience]]&lt;=15,"Mid Career","Senior Level"))</f>
        <v>Senior Level</v>
      </c>
      <c r="T1523" t="str">
        <f>IF(Table1[[#This Row],[AI_Exposure_Index]]&gt;=0.7,"High Exposure", IF(Table1[[#This Row],[AI_Exposure_Index]]&gt;=0.3,"Medium Exposure","Low Exposure"))</f>
        <v>Low Exposure</v>
      </c>
    </row>
    <row r="1524" spans="1:20" x14ac:dyDescent="0.25">
      <c r="A1524" t="s">
        <v>33</v>
      </c>
      <c r="B1524">
        <v>34258</v>
      </c>
      <c r="C1524" s="1">
        <v>26</v>
      </c>
      <c r="D1524" t="s">
        <v>19</v>
      </c>
      <c r="E1524" s="7">
        <v>1.23</v>
      </c>
      <c r="F1524" s="2">
        <v>0.33</v>
      </c>
      <c r="G1524" s="7">
        <v>0.88</v>
      </c>
      <c r="H1524" s="9" t="s">
        <v>20</v>
      </c>
      <c r="I1524">
        <v>0.02</v>
      </c>
      <c r="J1524">
        <v>0.36</v>
      </c>
      <c r="K1524">
        <v>0.02</v>
      </c>
      <c r="L1524">
        <v>1</v>
      </c>
      <c r="M1524">
        <v>0.12</v>
      </c>
      <c r="N1524">
        <v>0.54</v>
      </c>
      <c r="O1524">
        <v>0.79</v>
      </c>
      <c r="P1524">
        <v>0.2</v>
      </c>
      <c r="Q1524">
        <v>0.49</v>
      </c>
      <c r="R1524" s="2">
        <v>0.61</v>
      </c>
      <c r="S1524" t="str">
        <f>IF(Table1[[#This Row],[Years_Experience]]&lt;=5,"Early Career",
IF(Table1[[#This Row],[Years_Experience]]&lt;=15,"Mid Career","Senior Level"))</f>
        <v>Senior Level</v>
      </c>
      <c r="T1524" t="str">
        <f>IF(Table1[[#This Row],[AI_Exposure_Index]]&gt;=0.7,"High Exposure", IF(Table1[[#This Row],[AI_Exposure_Index]]&gt;=0.3,"Medium Exposure","Low Exposure"))</f>
        <v>Medium Exposure</v>
      </c>
    </row>
    <row r="1525" spans="1:20" x14ac:dyDescent="0.25">
      <c r="A1525" t="s">
        <v>41</v>
      </c>
      <c r="B1525">
        <v>107273</v>
      </c>
      <c r="C1525" s="1">
        <v>28</v>
      </c>
      <c r="D1525" t="s">
        <v>22</v>
      </c>
      <c r="E1525" s="7">
        <v>0.8</v>
      </c>
      <c r="F1525" s="2">
        <v>0.78</v>
      </c>
      <c r="G1525" s="7">
        <v>0.75</v>
      </c>
      <c r="H1525" s="9" t="s">
        <v>20</v>
      </c>
      <c r="I1525">
        <v>0.56000000000000005</v>
      </c>
      <c r="J1525">
        <v>0.41</v>
      </c>
      <c r="K1525">
        <v>0.92</v>
      </c>
      <c r="L1525">
        <v>0.88</v>
      </c>
      <c r="M1525">
        <v>0.48</v>
      </c>
      <c r="N1525">
        <v>0.36</v>
      </c>
      <c r="O1525">
        <v>0.33</v>
      </c>
      <c r="P1525">
        <v>0.27</v>
      </c>
      <c r="Q1525">
        <v>0.54</v>
      </c>
      <c r="R1525" s="2">
        <v>0.8</v>
      </c>
      <c r="S1525" t="str">
        <f>IF(Table1[[#This Row],[Years_Experience]]&lt;=5,"Early Career",
IF(Table1[[#This Row],[Years_Experience]]&lt;=15,"Mid Career","Senior Level"))</f>
        <v>Senior Level</v>
      </c>
      <c r="T1525" t="str">
        <f>IF(Table1[[#This Row],[AI_Exposure_Index]]&gt;=0.7,"High Exposure", IF(Table1[[#This Row],[AI_Exposure_Index]]&gt;=0.3,"Medium Exposure","Low Exposure"))</f>
        <v>High Exposure</v>
      </c>
    </row>
    <row r="1526" spans="1:20" x14ac:dyDescent="0.25">
      <c r="A1526" t="s">
        <v>43</v>
      </c>
      <c r="B1526">
        <v>144365</v>
      </c>
      <c r="C1526" s="1">
        <v>15</v>
      </c>
      <c r="D1526" t="s">
        <v>22</v>
      </c>
      <c r="E1526" s="7">
        <v>0.98</v>
      </c>
      <c r="F1526" s="2">
        <v>0.19</v>
      </c>
      <c r="G1526" s="7">
        <v>7.0000000000000007E-2</v>
      </c>
      <c r="H1526" s="9" t="s">
        <v>23</v>
      </c>
      <c r="I1526">
        <v>0.7</v>
      </c>
      <c r="J1526">
        <v>0.52</v>
      </c>
      <c r="K1526">
        <v>0.5</v>
      </c>
      <c r="L1526">
        <v>0.3</v>
      </c>
      <c r="M1526">
        <v>0.9</v>
      </c>
      <c r="N1526">
        <v>0.09</v>
      </c>
      <c r="O1526">
        <v>0.87</v>
      </c>
      <c r="P1526">
        <v>0.38</v>
      </c>
      <c r="Q1526">
        <v>0.88</v>
      </c>
      <c r="R1526" s="2">
        <v>0.73</v>
      </c>
      <c r="S1526" t="str">
        <f>IF(Table1[[#This Row],[Years_Experience]]&lt;=5,"Early Career",
IF(Table1[[#This Row],[Years_Experience]]&lt;=15,"Mid Career","Senior Level"))</f>
        <v>Mid Career</v>
      </c>
      <c r="T1526" t="str">
        <f>IF(Table1[[#This Row],[AI_Exposure_Index]]&gt;=0.7,"High Exposure", IF(Table1[[#This Row],[AI_Exposure_Index]]&gt;=0.3,"Medium Exposure","Low Exposure"))</f>
        <v>Low Exposure</v>
      </c>
    </row>
    <row r="1527" spans="1:20" x14ac:dyDescent="0.25">
      <c r="A1527" t="s">
        <v>28</v>
      </c>
      <c r="B1527">
        <v>91146</v>
      </c>
      <c r="C1527" s="1">
        <v>21</v>
      </c>
      <c r="D1527" t="s">
        <v>38</v>
      </c>
      <c r="E1527" s="7">
        <v>1.18</v>
      </c>
      <c r="F1527" s="2">
        <v>0.83</v>
      </c>
      <c r="G1527" s="7">
        <v>0.31</v>
      </c>
      <c r="H1527" s="9" t="s">
        <v>27</v>
      </c>
      <c r="I1527">
        <v>0.13</v>
      </c>
      <c r="J1527">
        <v>0.64</v>
      </c>
      <c r="K1527">
        <v>0.66</v>
      </c>
      <c r="L1527">
        <v>0.75</v>
      </c>
      <c r="M1527">
        <v>0.72</v>
      </c>
      <c r="N1527">
        <v>0.66</v>
      </c>
      <c r="O1527">
        <v>0.77</v>
      </c>
      <c r="P1527">
        <v>0.57999999999999996</v>
      </c>
      <c r="Q1527">
        <v>0.26</v>
      </c>
      <c r="R1527" s="2">
        <v>0.91</v>
      </c>
      <c r="S1527" t="str">
        <f>IF(Table1[[#This Row],[Years_Experience]]&lt;=5,"Early Career",
IF(Table1[[#This Row],[Years_Experience]]&lt;=15,"Mid Career","Senior Level"))</f>
        <v>Senior Level</v>
      </c>
      <c r="T1527" t="str">
        <f>IF(Table1[[#This Row],[AI_Exposure_Index]]&gt;=0.7,"High Exposure", IF(Table1[[#This Row],[AI_Exposure_Index]]&gt;=0.3,"Medium Exposure","Low Exposure"))</f>
        <v>High Exposure</v>
      </c>
    </row>
    <row r="1528" spans="1:20" x14ac:dyDescent="0.25">
      <c r="A1528" t="s">
        <v>37</v>
      </c>
      <c r="B1528">
        <v>139759</v>
      </c>
      <c r="C1528" s="1">
        <v>20</v>
      </c>
      <c r="D1528" t="s">
        <v>22</v>
      </c>
      <c r="E1528" s="7">
        <v>1.23</v>
      </c>
      <c r="F1528" s="2">
        <v>0.37</v>
      </c>
      <c r="G1528" s="7">
        <v>0.47</v>
      </c>
      <c r="H1528" s="9" t="s">
        <v>27</v>
      </c>
      <c r="I1528">
        <v>0.02</v>
      </c>
      <c r="J1528">
        <v>7.0000000000000007E-2</v>
      </c>
      <c r="K1528">
        <v>0.65</v>
      </c>
      <c r="L1528">
        <v>0.96</v>
      </c>
      <c r="M1528">
        <v>0.55000000000000004</v>
      </c>
      <c r="N1528">
        <v>0.51</v>
      </c>
      <c r="O1528">
        <v>0.32</v>
      </c>
      <c r="P1528">
        <v>0.26</v>
      </c>
      <c r="Q1528">
        <v>0.02</v>
      </c>
      <c r="R1528" s="2">
        <v>0.27</v>
      </c>
      <c r="S1528" t="str">
        <f>IF(Table1[[#This Row],[Years_Experience]]&lt;=5,"Early Career",
IF(Table1[[#This Row],[Years_Experience]]&lt;=15,"Mid Career","Senior Level"))</f>
        <v>Senior Level</v>
      </c>
      <c r="T1528" t="str">
        <f>IF(Table1[[#This Row],[AI_Exposure_Index]]&gt;=0.7,"High Exposure", IF(Table1[[#This Row],[AI_Exposure_Index]]&gt;=0.3,"Medium Exposure","Low Exposure"))</f>
        <v>Medium Exposure</v>
      </c>
    </row>
    <row r="1529" spans="1:20" x14ac:dyDescent="0.25">
      <c r="A1529" t="s">
        <v>24</v>
      </c>
      <c r="B1529">
        <v>89087</v>
      </c>
      <c r="C1529" s="1">
        <v>16</v>
      </c>
      <c r="D1529" t="s">
        <v>19</v>
      </c>
      <c r="E1529" s="7">
        <v>0.59</v>
      </c>
      <c r="F1529" s="2">
        <v>0.2</v>
      </c>
      <c r="G1529" s="7">
        <v>0.88</v>
      </c>
      <c r="H1529" s="9" t="s">
        <v>20</v>
      </c>
      <c r="I1529">
        <v>0.89</v>
      </c>
      <c r="J1529">
        <v>0.94</v>
      </c>
      <c r="K1529">
        <v>0.62</v>
      </c>
      <c r="L1529">
        <v>0.05</v>
      </c>
      <c r="M1529">
        <v>0.74</v>
      </c>
      <c r="N1529">
        <v>0.11</v>
      </c>
      <c r="O1529">
        <v>0.67</v>
      </c>
      <c r="P1529">
        <v>0.78</v>
      </c>
      <c r="Q1529">
        <v>0.73</v>
      </c>
      <c r="R1529" s="2">
        <v>0.95</v>
      </c>
      <c r="S1529" t="str">
        <f>IF(Table1[[#This Row],[Years_Experience]]&lt;=5,"Early Career",
IF(Table1[[#This Row],[Years_Experience]]&lt;=15,"Mid Career","Senior Level"))</f>
        <v>Senior Level</v>
      </c>
      <c r="T1529" t="str">
        <f>IF(Table1[[#This Row],[AI_Exposure_Index]]&gt;=0.7,"High Exposure", IF(Table1[[#This Row],[AI_Exposure_Index]]&gt;=0.3,"Medium Exposure","Low Exposure"))</f>
        <v>Low Exposure</v>
      </c>
    </row>
    <row r="1530" spans="1:20" x14ac:dyDescent="0.25">
      <c r="A1530" t="s">
        <v>42</v>
      </c>
      <c r="B1530">
        <v>105692</v>
      </c>
      <c r="C1530" s="1">
        <v>0</v>
      </c>
      <c r="D1530" t="s">
        <v>22</v>
      </c>
      <c r="E1530" s="7">
        <v>0.76</v>
      </c>
      <c r="F1530" s="2">
        <v>0.69</v>
      </c>
      <c r="G1530" s="7">
        <v>0.67</v>
      </c>
      <c r="H1530" s="9" t="s">
        <v>27</v>
      </c>
      <c r="I1530">
        <v>0.18</v>
      </c>
      <c r="J1530">
        <v>0.9</v>
      </c>
      <c r="K1530">
        <v>0.31</v>
      </c>
      <c r="L1530">
        <v>0.13</v>
      </c>
      <c r="M1530">
        <v>0.83</v>
      </c>
      <c r="N1530">
        <v>0</v>
      </c>
      <c r="O1530">
        <v>0.83</v>
      </c>
      <c r="P1530">
        <v>0.26</v>
      </c>
      <c r="Q1530">
        <v>0.88</v>
      </c>
      <c r="R1530" s="2">
        <v>0.69</v>
      </c>
      <c r="S1530" t="str">
        <f>IF(Table1[[#This Row],[Years_Experience]]&lt;=5,"Early Career",
IF(Table1[[#This Row],[Years_Experience]]&lt;=15,"Mid Career","Senior Level"))</f>
        <v>Early Career</v>
      </c>
      <c r="T1530" t="str">
        <f>IF(Table1[[#This Row],[AI_Exposure_Index]]&gt;=0.7,"High Exposure", IF(Table1[[#This Row],[AI_Exposure_Index]]&gt;=0.3,"Medium Exposure","Low Exposure"))</f>
        <v>Medium Exposure</v>
      </c>
    </row>
    <row r="1531" spans="1:20" x14ac:dyDescent="0.25">
      <c r="A1531" t="s">
        <v>32</v>
      </c>
      <c r="B1531">
        <v>94930</v>
      </c>
      <c r="C1531" s="1">
        <v>26</v>
      </c>
      <c r="D1531" t="s">
        <v>25</v>
      </c>
      <c r="E1531" s="7">
        <v>0.56000000000000005</v>
      </c>
      <c r="F1531" s="2">
        <v>0.37</v>
      </c>
      <c r="G1531" s="7">
        <v>0.63</v>
      </c>
      <c r="H1531" s="9" t="s">
        <v>27</v>
      </c>
      <c r="I1531">
        <v>0.17</v>
      </c>
      <c r="J1531">
        <v>0.37</v>
      </c>
      <c r="K1531">
        <v>0.6</v>
      </c>
      <c r="L1531">
        <v>0.48</v>
      </c>
      <c r="M1531">
        <v>0.2</v>
      </c>
      <c r="N1531">
        <v>0.14000000000000001</v>
      </c>
      <c r="O1531">
        <v>0.12</v>
      </c>
      <c r="P1531">
        <v>0.86</v>
      </c>
      <c r="Q1531">
        <v>0.03</v>
      </c>
      <c r="R1531" s="2">
        <v>0.98</v>
      </c>
      <c r="S1531" t="str">
        <f>IF(Table1[[#This Row],[Years_Experience]]&lt;=5,"Early Career",
IF(Table1[[#This Row],[Years_Experience]]&lt;=15,"Mid Career","Senior Level"))</f>
        <v>Senior Level</v>
      </c>
      <c r="T1531" t="str">
        <f>IF(Table1[[#This Row],[AI_Exposure_Index]]&gt;=0.7,"High Exposure", IF(Table1[[#This Row],[AI_Exposure_Index]]&gt;=0.3,"Medium Exposure","Low Exposure"))</f>
        <v>Medium Exposure</v>
      </c>
    </row>
    <row r="1532" spans="1:20" x14ac:dyDescent="0.25">
      <c r="A1532" t="s">
        <v>40</v>
      </c>
      <c r="B1532">
        <v>80852</v>
      </c>
      <c r="C1532" s="1">
        <v>23</v>
      </c>
      <c r="D1532" t="s">
        <v>22</v>
      </c>
      <c r="E1532" s="7">
        <v>1.08</v>
      </c>
      <c r="F1532" s="2">
        <v>0.11</v>
      </c>
      <c r="G1532" s="7">
        <v>7.0000000000000007E-2</v>
      </c>
      <c r="H1532" s="9" t="s">
        <v>23</v>
      </c>
      <c r="I1532">
        <v>0.6</v>
      </c>
      <c r="J1532">
        <v>0.85</v>
      </c>
      <c r="K1532">
        <v>0.05</v>
      </c>
      <c r="L1532">
        <v>0.8</v>
      </c>
      <c r="M1532">
        <v>0.39</v>
      </c>
      <c r="N1532">
        <v>0.16</v>
      </c>
      <c r="O1532">
        <v>0.18</v>
      </c>
      <c r="P1532">
        <v>0.92</v>
      </c>
      <c r="Q1532">
        <v>0.11</v>
      </c>
      <c r="R1532" s="2">
        <v>0.87</v>
      </c>
      <c r="S1532" t="str">
        <f>IF(Table1[[#This Row],[Years_Experience]]&lt;=5,"Early Career",
IF(Table1[[#This Row],[Years_Experience]]&lt;=15,"Mid Career","Senior Level"))</f>
        <v>Senior Level</v>
      </c>
      <c r="T1532" t="str">
        <f>IF(Table1[[#This Row],[AI_Exposure_Index]]&gt;=0.7,"High Exposure", IF(Table1[[#This Row],[AI_Exposure_Index]]&gt;=0.3,"Medium Exposure","Low Exposure"))</f>
        <v>Low Exposure</v>
      </c>
    </row>
    <row r="1533" spans="1:20" x14ac:dyDescent="0.25">
      <c r="A1533" t="s">
        <v>28</v>
      </c>
      <c r="B1533">
        <v>135857</v>
      </c>
      <c r="C1533" s="1">
        <v>4</v>
      </c>
      <c r="D1533" t="s">
        <v>25</v>
      </c>
      <c r="E1533" s="7">
        <v>0.96</v>
      </c>
      <c r="F1533" s="2">
        <v>0.04</v>
      </c>
      <c r="G1533" s="7">
        <v>0.63</v>
      </c>
      <c r="H1533" s="9" t="s">
        <v>27</v>
      </c>
      <c r="I1533">
        <v>0.73</v>
      </c>
      <c r="J1533">
        <v>0.49</v>
      </c>
      <c r="K1533">
        <v>0.86</v>
      </c>
      <c r="L1533">
        <v>0.12</v>
      </c>
      <c r="M1533">
        <v>0.91</v>
      </c>
      <c r="N1533">
        <v>0.85</v>
      </c>
      <c r="O1533">
        <v>0.71</v>
      </c>
      <c r="P1533">
        <v>0.82</v>
      </c>
      <c r="Q1533">
        <v>0.54</v>
      </c>
      <c r="R1533" s="2">
        <v>0.68</v>
      </c>
      <c r="S1533" t="str">
        <f>IF(Table1[[#This Row],[Years_Experience]]&lt;=5,"Early Career",
IF(Table1[[#This Row],[Years_Experience]]&lt;=15,"Mid Career","Senior Level"))</f>
        <v>Early Career</v>
      </c>
      <c r="T1533" t="str">
        <f>IF(Table1[[#This Row],[AI_Exposure_Index]]&gt;=0.7,"High Exposure", IF(Table1[[#This Row],[AI_Exposure_Index]]&gt;=0.3,"Medium Exposure","Low Exposure"))</f>
        <v>Low Exposure</v>
      </c>
    </row>
    <row r="1534" spans="1:20" x14ac:dyDescent="0.25">
      <c r="A1534" t="s">
        <v>29</v>
      </c>
      <c r="B1534">
        <v>118816</v>
      </c>
      <c r="C1534" s="1">
        <v>24</v>
      </c>
      <c r="D1534" t="s">
        <v>19</v>
      </c>
      <c r="E1534" s="7">
        <v>1.07</v>
      </c>
      <c r="F1534" s="2">
        <v>0.36</v>
      </c>
      <c r="G1534" s="7">
        <v>0.11</v>
      </c>
      <c r="H1534" s="9" t="s">
        <v>23</v>
      </c>
      <c r="I1534">
        <v>0.44</v>
      </c>
      <c r="J1534">
        <v>0.28000000000000003</v>
      </c>
      <c r="K1534">
        <v>0.12</v>
      </c>
      <c r="L1534">
        <v>0.32</v>
      </c>
      <c r="M1534">
        <v>0.85</v>
      </c>
      <c r="N1534">
        <v>0.38</v>
      </c>
      <c r="O1534">
        <v>0.75</v>
      </c>
      <c r="P1534">
        <v>0.18</v>
      </c>
      <c r="Q1534">
        <v>0.42</v>
      </c>
      <c r="R1534" s="2">
        <v>0.11</v>
      </c>
      <c r="S1534" t="str">
        <f>IF(Table1[[#This Row],[Years_Experience]]&lt;=5,"Early Career",
IF(Table1[[#This Row],[Years_Experience]]&lt;=15,"Mid Career","Senior Level"))</f>
        <v>Senior Level</v>
      </c>
      <c r="T1534" t="str">
        <f>IF(Table1[[#This Row],[AI_Exposure_Index]]&gt;=0.7,"High Exposure", IF(Table1[[#This Row],[AI_Exposure_Index]]&gt;=0.3,"Medium Exposure","Low Exposure"))</f>
        <v>Medium Exposure</v>
      </c>
    </row>
    <row r="1535" spans="1:20" x14ac:dyDescent="0.25">
      <c r="A1535" t="s">
        <v>36</v>
      </c>
      <c r="B1535">
        <v>73906</v>
      </c>
      <c r="C1535" s="1">
        <v>21</v>
      </c>
      <c r="D1535" t="s">
        <v>22</v>
      </c>
      <c r="E1535" s="7">
        <v>1.1100000000000001</v>
      </c>
      <c r="F1535" s="2">
        <v>0.62</v>
      </c>
      <c r="G1535" s="7">
        <v>0.39</v>
      </c>
      <c r="H1535" s="9" t="s">
        <v>27</v>
      </c>
      <c r="I1535">
        <v>0.47</v>
      </c>
      <c r="J1535">
        <v>0.86</v>
      </c>
      <c r="K1535">
        <v>0.17</v>
      </c>
      <c r="L1535">
        <v>0.02</v>
      </c>
      <c r="M1535">
        <v>0.65</v>
      </c>
      <c r="N1535">
        <v>0.05</v>
      </c>
      <c r="O1535">
        <v>0.98</v>
      </c>
      <c r="P1535">
        <v>0.61</v>
      </c>
      <c r="Q1535">
        <v>0.47</v>
      </c>
      <c r="R1535" s="2">
        <v>0.43</v>
      </c>
      <c r="S1535" t="str">
        <f>IF(Table1[[#This Row],[Years_Experience]]&lt;=5,"Early Career",
IF(Table1[[#This Row],[Years_Experience]]&lt;=15,"Mid Career","Senior Level"))</f>
        <v>Senior Level</v>
      </c>
      <c r="T1535" t="str">
        <f>IF(Table1[[#This Row],[AI_Exposure_Index]]&gt;=0.7,"High Exposure", IF(Table1[[#This Row],[AI_Exposure_Index]]&gt;=0.3,"Medium Exposure","Low Exposure"))</f>
        <v>Medium Exposure</v>
      </c>
    </row>
    <row r="1536" spans="1:20" x14ac:dyDescent="0.25">
      <c r="A1536" t="s">
        <v>21</v>
      </c>
      <c r="B1536">
        <v>79723</v>
      </c>
      <c r="C1536" s="1">
        <v>23</v>
      </c>
      <c r="D1536" t="s">
        <v>19</v>
      </c>
      <c r="E1536" s="7">
        <v>1.43</v>
      </c>
      <c r="F1536" s="2">
        <v>0.09</v>
      </c>
      <c r="G1536" s="7">
        <v>0.21</v>
      </c>
      <c r="H1536" s="9" t="s">
        <v>23</v>
      </c>
      <c r="I1536">
        <v>0.18</v>
      </c>
      <c r="J1536">
        <v>0.56000000000000005</v>
      </c>
      <c r="K1536">
        <v>0.13</v>
      </c>
      <c r="L1536">
        <v>0.02</v>
      </c>
      <c r="M1536">
        <v>0.63</v>
      </c>
      <c r="N1536">
        <v>0.65</v>
      </c>
      <c r="O1536">
        <v>0.57999999999999996</v>
      </c>
      <c r="P1536">
        <v>0.18</v>
      </c>
      <c r="Q1536">
        <v>0.6</v>
      </c>
      <c r="R1536" s="2">
        <v>0.06</v>
      </c>
      <c r="S1536" t="str">
        <f>IF(Table1[[#This Row],[Years_Experience]]&lt;=5,"Early Career",
IF(Table1[[#This Row],[Years_Experience]]&lt;=15,"Mid Career","Senior Level"))</f>
        <v>Senior Level</v>
      </c>
      <c r="T1536" t="str">
        <f>IF(Table1[[#This Row],[AI_Exposure_Index]]&gt;=0.7,"High Exposure", IF(Table1[[#This Row],[AI_Exposure_Index]]&gt;=0.3,"Medium Exposure","Low Exposure"))</f>
        <v>Low Exposure</v>
      </c>
    </row>
    <row r="1537" spans="1:20" x14ac:dyDescent="0.25">
      <c r="A1537" t="s">
        <v>43</v>
      </c>
      <c r="B1537">
        <v>98457</v>
      </c>
      <c r="C1537" s="1">
        <v>21</v>
      </c>
      <c r="D1537" t="s">
        <v>19</v>
      </c>
      <c r="E1537" s="7">
        <v>1.1599999999999999</v>
      </c>
      <c r="F1537" s="2">
        <v>0.55000000000000004</v>
      </c>
      <c r="G1537" s="7">
        <v>0.27</v>
      </c>
      <c r="H1537" s="9" t="s">
        <v>23</v>
      </c>
      <c r="I1537">
        <v>0.85</v>
      </c>
      <c r="J1537">
        <v>0.98</v>
      </c>
      <c r="K1537">
        <v>0.98</v>
      </c>
      <c r="L1537">
        <v>0.77</v>
      </c>
      <c r="M1537">
        <v>0.96</v>
      </c>
      <c r="N1537">
        <v>0.87</v>
      </c>
      <c r="O1537">
        <v>0.73</v>
      </c>
      <c r="P1537">
        <v>0.08</v>
      </c>
      <c r="Q1537">
        <v>0.05</v>
      </c>
      <c r="R1537" s="2">
        <v>0.84</v>
      </c>
      <c r="S1537" t="str">
        <f>IF(Table1[[#This Row],[Years_Experience]]&lt;=5,"Early Career",
IF(Table1[[#This Row],[Years_Experience]]&lt;=15,"Mid Career","Senior Level"))</f>
        <v>Senior Level</v>
      </c>
      <c r="T1537" t="str">
        <f>IF(Table1[[#This Row],[AI_Exposure_Index]]&gt;=0.7,"High Exposure", IF(Table1[[#This Row],[AI_Exposure_Index]]&gt;=0.3,"Medium Exposure","Low Exposure"))</f>
        <v>Medium Exposure</v>
      </c>
    </row>
    <row r="1538" spans="1:20" x14ac:dyDescent="0.25">
      <c r="A1538" t="s">
        <v>32</v>
      </c>
      <c r="B1538">
        <v>35659</v>
      </c>
      <c r="C1538" s="1">
        <v>1</v>
      </c>
      <c r="D1538" t="s">
        <v>25</v>
      </c>
      <c r="E1538" s="7">
        <v>0.81</v>
      </c>
      <c r="F1538" s="2">
        <v>0.81</v>
      </c>
      <c r="G1538" s="7">
        <v>0.46</v>
      </c>
      <c r="H1538" s="9" t="s">
        <v>27</v>
      </c>
      <c r="I1538">
        <v>0.7</v>
      </c>
      <c r="J1538">
        <v>0.92</v>
      </c>
      <c r="K1538">
        <v>0.09</v>
      </c>
      <c r="L1538">
        <v>0.86</v>
      </c>
      <c r="M1538">
        <v>0.79</v>
      </c>
      <c r="N1538">
        <v>0.32</v>
      </c>
      <c r="O1538">
        <v>0.36</v>
      </c>
      <c r="P1538">
        <v>0.05</v>
      </c>
      <c r="Q1538">
        <v>0.02</v>
      </c>
      <c r="R1538" s="2">
        <v>0.48</v>
      </c>
      <c r="S1538" t="str">
        <f>IF(Table1[[#This Row],[Years_Experience]]&lt;=5,"Early Career",
IF(Table1[[#This Row],[Years_Experience]]&lt;=15,"Mid Career","Senior Level"))</f>
        <v>Early Career</v>
      </c>
      <c r="T1538" t="str">
        <f>IF(Table1[[#This Row],[AI_Exposure_Index]]&gt;=0.7,"High Exposure", IF(Table1[[#This Row],[AI_Exposure_Index]]&gt;=0.3,"Medium Exposure","Low Exposure"))</f>
        <v>High Exposure</v>
      </c>
    </row>
    <row r="1539" spans="1:20" x14ac:dyDescent="0.25">
      <c r="A1539" t="s">
        <v>40</v>
      </c>
      <c r="B1539">
        <v>114295</v>
      </c>
      <c r="C1539" s="1">
        <v>10</v>
      </c>
      <c r="D1539" t="s">
        <v>19</v>
      </c>
      <c r="E1539" s="7">
        <v>1.35</v>
      </c>
      <c r="F1539" s="2">
        <v>0.19</v>
      </c>
      <c r="G1539" s="7">
        <v>0.19</v>
      </c>
      <c r="H1539" s="9" t="s">
        <v>23</v>
      </c>
      <c r="I1539">
        <v>0.63</v>
      </c>
      <c r="J1539">
        <v>0.19</v>
      </c>
      <c r="K1539">
        <v>0.83</v>
      </c>
      <c r="L1539">
        <v>0.87</v>
      </c>
      <c r="M1539">
        <v>0.52</v>
      </c>
      <c r="N1539">
        <v>0.91</v>
      </c>
      <c r="O1539">
        <v>0.84</v>
      </c>
      <c r="P1539">
        <v>0.73</v>
      </c>
      <c r="Q1539">
        <v>0.73</v>
      </c>
      <c r="R1539" s="2">
        <v>0.11</v>
      </c>
      <c r="S1539" t="str">
        <f>IF(Table1[[#This Row],[Years_Experience]]&lt;=5,"Early Career",
IF(Table1[[#This Row],[Years_Experience]]&lt;=15,"Mid Career","Senior Level"))</f>
        <v>Mid Career</v>
      </c>
      <c r="T1539" t="str">
        <f>IF(Table1[[#This Row],[AI_Exposure_Index]]&gt;=0.7,"High Exposure", IF(Table1[[#This Row],[AI_Exposure_Index]]&gt;=0.3,"Medium Exposure","Low Exposure"))</f>
        <v>Low Exposure</v>
      </c>
    </row>
    <row r="1540" spans="1:20" x14ac:dyDescent="0.25">
      <c r="A1540" t="s">
        <v>40</v>
      </c>
      <c r="B1540">
        <v>128989</v>
      </c>
      <c r="C1540" s="1">
        <v>16</v>
      </c>
      <c r="D1540" t="s">
        <v>25</v>
      </c>
      <c r="E1540" s="7">
        <v>0.51</v>
      </c>
      <c r="F1540" s="2">
        <v>7.0000000000000007E-2</v>
      </c>
      <c r="G1540" s="7">
        <v>0.09</v>
      </c>
      <c r="H1540" s="9" t="s">
        <v>23</v>
      </c>
      <c r="I1540">
        <v>0.88</v>
      </c>
      <c r="J1540">
        <v>0.24</v>
      </c>
      <c r="K1540">
        <v>0.97</v>
      </c>
      <c r="L1540">
        <v>0.6</v>
      </c>
      <c r="M1540">
        <v>0.24</v>
      </c>
      <c r="N1540">
        <v>0.5</v>
      </c>
      <c r="O1540">
        <v>0.22</v>
      </c>
      <c r="P1540">
        <v>0.98</v>
      </c>
      <c r="Q1540">
        <v>0.85</v>
      </c>
      <c r="R1540" s="2">
        <v>0.03</v>
      </c>
      <c r="S1540" t="str">
        <f>IF(Table1[[#This Row],[Years_Experience]]&lt;=5,"Early Career",
IF(Table1[[#This Row],[Years_Experience]]&lt;=15,"Mid Career","Senior Level"))</f>
        <v>Senior Level</v>
      </c>
      <c r="T1540" t="str">
        <f>IF(Table1[[#This Row],[AI_Exposure_Index]]&gt;=0.7,"High Exposure", IF(Table1[[#This Row],[AI_Exposure_Index]]&gt;=0.3,"Medium Exposure","Low Exposure"))</f>
        <v>Low Exposure</v>
      </c>
    </row>
    <row r="1541" spans="1:20" x14ac:dyDescent="0.25">
      <c r="A1541" t="s">
        <v>32</v>
      </c>
      <c r="B1541">
        <v>125011</v>
      </c>
      <c r="C1541" s="1">
        <v>4</v>
      </c>
      <c r="D1541" t="s">
        <v>25</v>
      </c>
      <c r="E1541" s="7">
        <v>0.57999999999999996</v>
      </c>
      <c r="F1541" s="2">
        <v>0.72</v>
      </c>
      <c r="G1541" s="7">
        <v>0.56999999999999995</v>
      </c>
      <c r="H1541" s="9" t="s">
        <v>27</v>
      </c>
      <c r="I1541">
        <v>0.65</v>
      </c>
      <c r="J1541">
        <v>0.22</v>
      </c>
      <c r="K1541">
        <v>0.76</v>
      </c>
      <c r="L1541">
        <v>0.09</v>
      </c>
      <c r="M1541">
        <v>0.49</v>
      </c>
      <c r="N1541">
        <v>0.01</v>
      </c>
      <c r="O1541">
        <v>0.97</v>
      </c>
      <c r="P1541">
        <v>0.75</v>
      </c>
      <c r="Q1541">
        <v>0.16</v>
      </c>
      <c r="R1541" s="2">
        <v>0.34</v>
      </c>
      <c r="S1541" t="str">
        <f>IF(Table1[[#This Row],[Years_Experience]]&lt;=5,"Early Career",
IF(Table1[[#This Row],[Years_Experience]]&lt;=15,"Mid Career","Senior Level"))</f>
        <v>Early Career</v>
      </c>
      <c r="T1541" t="str">
        <f>IF(Table1[[#This Row],[AI_Exposure_Index]]&gt;=0.7,"High Exposure", IF(Table1[[#This Row],[AI_Exposure_Index]]&gt;=0.3,"Medium Exposure","Low Exposure"))</f>
        <v>High Exposure</v>
      </c>
    </row>
    <row r="1542" spans="1:20" x14ac:dyDescent="0.25">
      <c r="A1542" t="s">
        <v>21</v>
      </c>
      <c r="B1542">
        <v>70372</v>
      </c>
      <c r="C1542" s="1">
        <v>24</v>
      </c>
      <c r="D1542" t="s">
        <v>38</v>
      </c>
      <c r="E1542" s="7">
        <v>0.56000000000000005</v>
      </c>
      <c r="F1542" s="2">
        <v>0.77</v>
      </c>
      <c r="G1542" s="7">
        <v>0.26</v>
      </c>
      <c r="H1542" s="9" t="s">
        <v>23</v>
      </c>
      <c r="I1542">
        <v>0.94</v>
      </c>
      <c r="J1542">
        <v>0.68</v>
      </c>
      <c r="K1542">
        <v>0.21</v>
      </c>
      <c r="L1542">
        <v>0.36</v>
      </c>
      <c r="M1542">
        <v>0.48</v>
      </c>
      <c r="N1542">
        <v>0.6</v>
      </c>
      <c r="O1542">
        <v>0.67</v>
      </c>
      <c r="P1542">
        <v>0.55000000000000004</v>
      </c>
      <c r="Q1542">
        <v>0.35</v>
      </c>
      <c r="R1542" s="2">
        <v>0.89</v>
      </c>
      <c r="S1542" t="str">
        <f>IF(Table1[[#This Row],[Years_Experience]]&lt;=5,"Early Career",
IF(Table1[[#This Row],[Years_Experience]]&lt;=15,"Mid Career","Senior Level"))</f>
        <v>Senior Level</v>
      </c>
      <c r="T1542" t="str">
        <f>IF(Table1[[#This Row],[AI_Exposure_Index]]&gt;=0.7,"High Exposure", IF(Table1[[#This Row],[AI_Exposure_Index]]&gt;=0.3,"Medium Exposure","Low Exposure"))</f>
        <v>High Exposure</v>
      </c>
    </row>
    <row r="1543" spans="1:20" x14ac:dyDescent="0.25">
      <c r="A1543" t="s">
        <v>35</v>
      </c>
      <c r="B1543">
        <v>37203</v>
      </c>
      <c r="C1543" s="1">
        <v>28</v>
      </c>
      <c r="D1543" t="s">
        <v>25</v>
      </c>
      <c r="E1543" s="7">
        <v>1.28</v>
      </c>
      <c r="F1543" s="2">
        <v>0.47</v>
      </c>
      <c r="G1543" s="7">
        <v>0.32</v>
      </c>
      <c r="H1543" s="9" t="s">
        <v>27</v>
      </c>
      <c r="I1543">
        <v>0.71</v>
      </c>
      <c r="J1543">
        <v>0.82</v>
      </c>
      <c r="K1543">
        <v>0.66</v>
      </c>
      <c r="L1543">
        <v>0.01</v>
      </c>
      <c r="M1543">
        <v>0.18</v>
      </c>
      <c r="N1543">
        <v>0.34</v>
      </c>
      <c r="O1543">
        <v>0.23</v>
      </c>
      <c r="P1543">
        <v>0.96</v>
      </c>
      <c r="Q1543">
        <v>0.65</v>
      </c>
      <c r="R1543" s="2">
        <v>0.3</v>
      </c>
      <c r="S1543" t="str">
        <f>IF(Table1[[#This Row],[Years_Experience]]&lt;=5,"Early Career",
IF(Table1[[#This Row],[Years_Experience]]&lt;=15,"Mid Career","Senior Level"))</f>
        <v>Senior Level</v>
      </c>
      <c r="T1543" t="str">
        <f>IF(Table1[[#This Row],[AI_Exposure_Index]]&gt;=0.7,"High Exposure", IF(Table1[[#This Row],[AI_Exposure_Index]]&gt;=0.3,"Medium Exposure","Low Exposure"))</f>
        <v>Medium Exposure</v>
      </c>
    </row>
    <row r="1544" spans="1:20" x14ac:dyDescent="0.25">
      <c r="A1544" t="s">
        <v>44</v>
      </c>
      <c r="B1544">
        <v>72928</v>
      </c>
      <c r="C1544" s="1">
        <v>8</v>
      </c>
      <c r="D1544" t="s">
        <v>25</v>
      </c>
      <c r="E1544" s="7">
        <v>0.78</v>
      </c>
      <c r="F1544" s="2">
        <v>0.74</v>
      </c>
      <c r="G1544" s="7">
        <v>0.45</v>
      </c>
      <c r="H1544" s="9" t="s">
        <v>27</v>
      </c>
      <c r="I1544">
        <v>0.2</v>
      </c>
      <c r="J1544">
        <v>0.97</v>
      </c>
      <c r="K1544">
        <v>0.52</v>
      </c>
      <c r="L1544">
        <v>0.9</v>
      </c>
      <c r="M1544">
        <v>0.35</v>
      </c>
      <c r="N1544">
        <v>0.86</v>
      </c>
      <c r="O1544">
        <v>0.05</v>
      </c>
      <c r="P1544">
        <v>0.98</v>
      </c>
      <c r="Q1544">
        <v>0.91</v>
      </c>
      <c r="R1544" s="2">
        <v>0.36</v>
      </c>
      <c r="S1544" t="str">
        <f>IF(Table1[[#This Row],[Years_Experience]]&lt;=5,"Early Career",
IF(Table1[[#This Row],[Years_Experience]]&lt;=15,"Mid Career","Senior Level"))</f>
        <v>Mid Career</v>
      </c>
      <c r="T1544" t="str">
        <f>IF(Table1[[#This Row],[AI_Exposure_Index]]&gt;=0.7,"High Exposure", IF(Table1[[#This Row],[AI_Exposure_Index]]&gt;=0.3,"Medium Exposure","Low Exposure"))</f>
        <v>High Exposure</v>
      </c>
    </row>
    <row r="1545" spans="1:20" x14ac:dyDescent="0.25">
      <c r="A1545" t="s">
        <v>34</v>
      </c>
      <c r="B1545">
        <v>42568</v>
      </c>
      <c r="C1545" s="1">
        <v>3</v>
      </c>
      <c r="D1545" t="s">
        <v>22</v>
      </c>
      <c r="E1545" s="7">
        <v>1.4</v>
      </c>
      <c r="F1545" s="2">
        <v>0.75</v>
      </c>
      <c r="G1545" s="7">
        <v>0.42</v>
      </c>
      <c r="H1545" s="9" t="s">
        <v>27</v>
      </c>
      <c r="I1545">
        <v>0.47</v>
      </c>
      <c r="J1545">
        <v>0.86</v>
      </c>
      <c r="K1545">
        <v>0.78</v>
      </c>
      <c r="L1545">
        <v>0.39</v>
      </c>
      <c r="M1545">
        <v>0.85</v>
      </c>
      <c r="N1545">
        <v>0.05</v>
      </c>
      <c r="O1545">
        <v>0.78</v>
      </c>
      <c r="P1545">
        <v>0.21</v>
      </c>
      <c r="Q1545">
        <v>0.28999999999999998</v>
      </c>
      <c r="R1545" s="2">
        <v>0.49</v>
      </c>
      <c r="S1545" t="str">
        <f>IF(Table1[[#This Row],[Years_Experience]]&lt;=5,"Early Career",
IF(Table1[[#This Row],[Years_Experience]]&lt;=15,"Mid Career","Senior Level"))</f>
        <v>Early Career</v>
      </c>
      <c r="T1545" t="str">
        <f>IF(Table1[[#This Row],[AI_Exposure_Index]]&gt;=0.7,"High Exposure", IF(Table1[[#This Row],[AI_Exposure_Index]]&gt;=0.3,"Medium Exposure","Low Exposure"))</f>
        <v>High Exposure</v>
      </c>
    </row>
    <row r="1546" spans="1:20" x14ac:dyDescent="0.25">
      <c r="A1546" t="s">
        <v>36</v>
      </c>
      <c r="B1546">
        <v>147982</v>
      </c>
      <c r="C1546" s="1">
        <v>28</v>
      </c>
      <c r="D1546" t="s">
        <v>38</v>
      </c>
      <c r="E1546" s="7">
        <v>1.04</v>
      </c>
      <c r="F1546" s="2">
        <v>0.52</v>
      </c>
      <c r="G1546" s="7">
        <v>0.43</v>
      </c>
      <c r="H1546" s="9" t="s">
        <v>27</v>
      </c>
      <c r="I1546">
        <v>0.18</v>
      </c>
      <c r="J1546">
        <v>0.77</v>
      </c>
      <c r="K1546">
        <v>0.4</v>
      </c>
      <c r="L1546">
        <v>0.51</v>
      </c>
      <c r="M1546">
        <v>0.64</v>
      </c>
      <c r="N1546">
        <v>0.91</v>
      </c>
      <c r="O1546">
        <v>0.71</v>
      </c>
      <c r="P1546">
        <v>0.05</v>
      </c>
      <c r="Q1546">
        <v>0.84</v>
      </c>
      <c r="R1546" s="2">
        <v>0.99</v>
      </c>
      <c r="S1546" t="str">
        <f>IF(Table1[[#This Row],[Years_Experience]]&lt;=5,"Early Career",
IF(Table1[[#This Row],[Years_Experience]]&lt;=15,"Mid Career","Senior Level"))</f>
        <v>Senior Level</v>
      </c>
      <c r="T1546" t="str">
        <f>IF(Table1[[#This Row],[AI_Exposure_Index]]&gt;=0.7,"High Exposure", IF(Table1[[#This Row],[AI_Exposure_Index]]&gt;=0.3,"Medium Exposure","Low Exposure"))</f>
        <v>Medium Exposure</v>
      </c>
    </row>
    <row r="1547" spans="1:20" x14ac:dyDescent="0.25">
      <c r="A1547" t="s">
        <v>26</v>
      </c>
      <c r="B1547">
        <v>81011</v>
      </c>
      <c r="C1547" s="1">
        <v>0</v>
      </c>
      <c r="D1547" t="s">
        <v>22</v>
      </c>
      <c r="E1547" s="7">
        <v>1.05</v>
      </c>
      <c r="F1547" s="2">
        <v>0.97</v>
      </c>
      <c r="G1547" s="7">
        <v>0.48</v>
      </c>
      <c r="H1547" s="9" t="s">
        <v>27</v>
      </c>
      <c r="I1547">
        <v>0.33</v>
      </c>
      <c r="J1547">
        <v>0.66</v>
      </c>
      <c r="K1547">
        <v>0.23</v>
      </c>
      <c r="L1547">
        <v>0.1</v>
      </c>
      <c r="M1547">
        <v>0.03</v>
      </c>
      <c r="N1547">
        <v>0.28999999999999998</v>
      </c>
      <c r="O1547">
        <v>0.4</v>
      </c>
      <c r="P1547">
        <v>0.55000000000000004</v>
      </c>
      <c r="Q1547">
        <v>0.28999999999999998</v>
      </c>
      <c r="R1547" s="2">
        <v>0.98</v>
      </c>
      <c r="S1547" t="str">
        <f>IF(Table1[[#This Row],[Years_Experience]]&lt;=5,"Early Career",
IF(Table1[[#This Row],[Years_Experience]]&lt;=15,"Mid Career","Senior Level"))</f>
        <v>Early Career</v>
      </c>
      <c r="T1547" t="str">
        <f>IF(Table1[[#This Row],[AI_Exposure_Index]]&gt;=0.7,"High Exposure", IF(Table1[[#This Row],[AI_Exposure_Index]]&gt;=0.3,"Medium Exposure","Low Exposure"))</f>
        <v>High Exposure</v>
      </c>
    </row>
    <row r="1548" spans="1:20" x14ac:dyDescent="0.25">
      <c r="A1548" t="s">
        <v>36</v>
      </c>
      <c r="B1548">
        <v>148691</v>
      </c>
      <c r="C1548" s="1">
        <v>1</v>
      </c>
      <c r="D1548" t="s">
        <v>22</v>
      </c>
      <c r="E1548" s="7">
        <v>0.6</v>
      </c>
      <c r="F1548" s="2">
        <v>0.44</v>
      </c>
      <c r="G1548" s="7">
        <v>0.4</v>
      </c>
      <c r="H1548" s="9" t="s">
        <v>27</v>
      </c>
      <c r="I1548">
        <v>0.05</v>
      </c>
      <c r="J1548">
        <v>0.56000000000000005</v>
      </c>
      <c r="K1548">
        <v>0.75</v>
      </c>
      <c r="L1548">
        <v>0.2</v>
      </c>
      <c r="M1548">
        <v>0.37</v>
      </c>
      <c r="N1548">
        <v>0.02</v>
      </c>
      <c r="O1548">
        <v>0.84</v>
      </c>
      <c r="P1548">
        <v>0.78</v>
      </c>
      <c r="Q1548">
        <v>0.06</v>
      </c>
      <c r="R1548" s="2">
        <v>0.36</v>
      </c>
      <c r="S1548" t="str">
        <f>IF(Table1[[#This Row],[Years_Experience]]&lt;=5,"Early Career",
IF(Table1[[#This Row],[Years_Experience]]&lt;=15,"Mid Career","Senior Level"))</f>
        <v>Early Career</v>
      </c>
      <c r="T1548" t="str">
        <f>IF(Table1[[#This Row],[AI_Exposure_Index]]&gt;=0.7,"High Exposure", IF(Table1[[#This Row],[AI_Exposure_Index]]&gt;=0.3,"Medium Exposure","Low Exposure"))</f>
        <v>Medium Exposure</v>
      </c>
    </row>
    <row r="1549" spans="1:20" x14ac:dyDescent="0.25">
      <c r="A1549" t="s">
        <v>34</v>
      </c>
      <c r="B1549">
        <v>139014</v>
      </c>
      <c r="C1549" s="1">
        <v>10</v>
      </c>
      <c r="D1549" t="s">
        <v>22</v>
      </c>
      <c r="E1549" s="7">
        <v>1.03</v>
      </c>
      <c r="F1549" s="2">
        <v>0.39</v>
      </c>
      <c r="G1549" s="7">
        <v>0.44</v>
      </c>
      <c r="H1549" s="9" t="s">
        <v>27</v>
      </c>
      <c r="I1549">
        <v>0.6</v>
      </c>
      <c r="J1549">
        <v>0.98</v>
      </c>
      <c r="K1549">
        <v>1</v>
      </c>
      <c r="L1549">
        <v>0.77</v>
      </c>
      <c r="M1549">
        <v>0.4</v>
      </c>
      <c r="N1549">
        <v>0.49</v>
      </c>
      <c r="O1549">
        <v>0.36</v>
      </c>
      <c r="P1549">
        <v>0.99</v>
      </c>
      <c r="Q1549">
        <v>0.71</v>
      </c>
      <c r="R1549" s="2">
        <v>0.45</v>
      </c>
      <c r="S1549" t="str">
        <f>IF(Table1[[#This Row],[Years_Experience]]&lt;=5,"Early Career",
IF(Table1[[#This Row],[Years_Experience]]&lt;=15,"Mid Career","Senior Level"))</f>
        <v>Mid Career</v>
      </c>
      <c r="T1549" t="str">
        <f>IF(Table1[[#This Row],[AI_Exposure_Index]]&gt;=0.7,"High Exposure", IF(Table1[[#This Row],[AI_Exposure_Index]]&gt;=0.3,"Medium Exposure","Low Exposure"))</f>
        <v>Medium Exposure</v>
      </c>
    </row>
    <row r="1550" spans="1:20" x14ac:dyDescent="0.25">
      <c r="A1550" t="s">
        <v>42</v>
      </c>
      <c r="B1550">
        <v>111164</v>
      </c>
      <c r="C1550" s="1">
        <v>28</v>
      </c>
      <c r="D1550" t="s">
        <v>19</v>
      </c>
      <c r="E1550" s="7">
        <v>1.25</v>
      </c>
      <c r="F1550" s="2">
        <v>0.34</v>
      </c>
      <c r="G1550" s="7">
        <v>0.62</v>
      </c>
      <c r="H1550" s="9" t="s">
        <v>27</v>
      </c>
      <c r="I1550">
        <v>0.25</v>
      </c>
      <c r="J1550">
        <v>0.54</v>
      </c>
      <c r="K1550">
        <v>0.53</v>
      </c>
      <c r="L1550">
        <v>0.42</v>
      </c>
      <c r="M1550">
        <v>0.23</v>
      </c>
      <c r="N1550">
        <v>0.7</v>
      </c>
      <c r="O1550">
        <v>0.25</v>
      </c>
      <c r="P1550">
        <v>0.91</v>
      </c>
      <c r="Q1550">
        <v>0.53</v>
      </c>
      <c r="R1550" s="2">
        <v>0.87</v>
      </c>
      <c r="S1550" t="str">
        <f>IF(Table1[[#This Row],[Years_Experience]]&lt;=5,"Early Career",
IF(Table1[[#This Row],[Years_Experience]]&lt;=15,"Mid Career","Senior Level"))</f>
        <v>Senior Level</v>
      </c>
      <c r="T1550" t="str">
        <f>IF(Table1[[#This Row],[AI_Exposure_Index]]&gt;=0.7,"High Exposure", IF(Table1[[#This Row],[AI_Exposure_Index]]&gt;=0.3,"Medium Exposure","Low Exposure"))</f>
        <v>Medium Exposure</v>
      </c>
    </row>
    <row r="1551" spans="1:20" x14ac:dyDescent="0.25">
      <c r="A1551" t="s">
        <v>36</v>
      </c>
      <c r="B1551">
        <v>37529</v>
      </c>
      <c r="C1551" s="1">
        <v>21</v>
      </c>
      <c r="D1551" t="s">
        <v>38</v>
      </c>
      <c r="E1551" s="7">
        <v>0.61</v>
      </c>
      <c r="F1551" s="2">
        <v>0.81</v>
      </c>
      <c r="G1551" s="7">
        <v>0.61</v>
      </c>
      <c r="H1551" s="9" t="s">
        <v>27</v>
      </c>
      <c r="I1551">
        <v>0.39</v>
      </c>
      <c r="J1551">
        <v>0.47</v>
      </c>
      <c r="K1551">
        <v>0.17</v>
      </c>
      <c r="L1551">
        <v>0.02</v>
      </c>
      <c r="M1551">
        <v>0.67</v>
      </c>
      <c r="N1551">
        <v>0.59</v>
      </c>
      <c r="O1551">
        <v>0.62</v>
      </c>
      <c r="P1551">
        <v>0.26</v>
      </c>
      <c r="Q1551">
        <v>0.24</v>
      </c>
      <c r="R1551" s="2">
        <v>0.83</v>
      </c>
      <c r="S1551" t="str">
        <f>IF(Table1[[#This Row],[Years_Experience]]&lt;=5,"Early Career",
IF(Table1[[#This Row],[Years_Experience]]&lt;=15,"Mid Career","Senior Level"))</f>
        <v>Senior Level</v>
      </c>
      <c r="T1551" t="str">
        <f>IF(Table1[[#This Row],[AI_Exposure_Index]]&gt;=0.7,"High Exposure", IF(Table1[[#This Row],[AI_Exposure_Index]]&gt;=0.3,"Medium Exposure","Low Exposure"))</f>
        <v>High Exposure</v>
      </c>
    </row>
    <row r="1552" spans="1:20" x14ac:dyDescent="0.25">
      <c r="A1552" t="s">
        <v>40</v>
      </c>
      <c r="B1552">
        <v>125707</v>
      </c>
      <c r="C1552" s="1">
        <v>1</v>
      </c>
      <c r="D1552" t="s">
        <v>19</v>
      </c>
      <c r="E1552" s="7">
        <v>1.1399999999999999</v>
      </c>
      <c r="F1552" s="2">
        <v>0.34</v>
      </c>
      <c r="G1552" s="7">
        <v>0.26</v>
      </c>
      <c r="H1552" s="9" t="s">
        <v>23</v>
      </c>
      <c r="I1552">
        <v>0.89</v>
      </c>
      <c r="J1552">
        <v>0.01</v>
      </c>
      <c r="K1552">
        <v>0.81</v>
      </c>
      <c r="L1552">
        <v>0.35</v>
      </c>
      <c r="M1552">
        <v>0.72</v>
      </c>
      <c r="N1552">
        <v>0.37</v>
      </c>
      <c r="O1552">
        <v>0.61</v>
      </c>
      <c r="P1552">
        <v>0.65</v>
      </c>
      <c r="Q1552">
        <v>0.4</v>
      </c>
      <c r="R1552" s="2">
        <v>0.51</v>
      </c>
      <c r="S1552" t="str">
        <f>IF(Table1[[#This Row],[Years_Experience]]&lt;=5,"Early Career",
IF(Table1[[#This Row],[Years_Experience]]&lt;=15,"Mid Career","Senior Level"))</f>
        <v>Early Career</v>
      </c>
      <c r="T1552" t="str">
        <f>IF(Table1[[#This Row],[AI_Exposure_Index]]&gt;=0.7,"High Exposure", IF(Table1[[#This Row],[AI_Exposure_Index]]&gt;=0.3,"Medium Exposure","Low Exposure"))</f>
        <v>Medium Exposure</v>
      </c>
    </row>
    <row r="1553" spans="1:20" x14ac:dyDescent="0.25">
      <c r="A1553" t="s">
        <v>42</v>
      </c>
      <c r="B1553">
        <v>139633</v>
      </c>
      <c r="C1553" s="1">
        <v>23</v>
      </c>
      <c r="D1553" t="s">
        <v>22</v>
      </c>
      <c r="E1553" s="7">
        <v>0.51</v>
      </c>
      <c r="F1553" s="2">
        <v>0.48</v>
      </c>
      <c r="G1553" s="7">
        <v>0.31</v>
      </c>
      <c r="H1553" s="9" t="s">
        <v>27</v>
      </c>
      <c r="I1553">
        <v>0.66</v>
      </c>
      <c r="J1553">
        <v>0.85</v>
      </c>
      <c r="K1553">
        <v>0.79</v>
      </c>
      <c r="L1553">
        <v>0.31</v>
      </c>
      <c r="M1553">
        <v>0.47</v>
      </c>
      <c r="N1553">
        <v>0.23</v>
      </c>
      <c r="O1553">
        <v>0.99</v>
      </c>
      <c r="P1553">
        <v>0.26</v>
      </c>
      <c r="Q1553">
        <v>0.42</v>
      </c>
      <c r="R1553" s="2">
        <v>0.68</v>
      </c>
      <c r="S1553" t="str">
        <f>IF(Table1[[#This Row],[Years_Experience]]&lt;=5,"Early Career",
IF(Table1[[#This Row],[Years_Experience]]&lt;=15,"Mid Career","Senior Level"))</f>
        <v>Senior Level</v>
      </c>
      <c r="T1553" t="str">
        <f>IF(Table1[[#This Row],[AI_Exposure_Index]]&gt;=0.7,"High Exposure", IF(Table1[[#This Row],[AI_Exposure_Index]]&gt;=0.3,"Medium Exposure","Low Exposure"))</f>
        <v>Medium Exposure</v>
      </c>
    </row>
    <row r="1554" spans="1:20" x14ac:dyDescent="0.25">
      <c r="A1554" t="s">
        <v>29</v>
      </c>
      <c r="B1554">
        <v>75477</v>
      </c>
      <c r="C1554" s="1">
        <v>2</v>
      </c>
      <c r="D1554" t="s">
        <v>22</v>
      </c>
      <c r="E1554" s="7">
        <v>0.8</v>
      </c>
      <c r="F1554" s="2">
        <v>0.05</v>
      </c>
      <c r="G1554" s="7">
        <v>0.19</v>
      </c>
      <c r="H1554" s="9" t="s">
        <v>23</v>
      </c>
      <c r="I1554">
        <v>0.62</v>
      </c>
      <c r="J1554">
        <v>7.0000000000000007E-2</v>
      </c>
      <c r="K1554">
        <v>0.66</v>
      </c>
      <c r="L1554">
        <v>0.53</v>
      </c>
      <c r="M1554">
        <v>0.83</v>
      </c>
      <c r="N1554">
        <v>0.22</v>
      </c>
      <c r="O1554">
        <v>0.2</v>
      </c>
      <c r="P1554">
        <v>0.79</v>
      </c>
      <c r="Q1554">
        <v>0.7</v>
      </c>
      <c r="R1554" s="2">
        <v>0.79</v>
      </c>
      <c r="S1554" t="str">
        <f>IF(Table1[[#This Row],[Years_Experience]]&lt;=5,"Early Career",
IF(Table1[[#This Row],[Years_Experience]]&lt;=15,"Mid Career","Senior Level"))</f>
        <v>Early Career</v>
      </c>
      <c r="T1554" t="str">
        <f>IF(Table1[[#This Row],[AI_Exposure_Index]]&gt;=0.7,"High Exposure", IF(Table1[[#This Row],[AI_Exposure_Index]]&gt;=0.3,"Medium Exposure","Low Exposure"))</f>
        <v>Low Exposure</v>
      </c>
    </row>
    <row r="1555" spans="1:20" x14ac:dyDescent="0.25">
      <c r="A1555" t="s">
        <v>31</v>
      </c>
      <c r="B1555">
        <v>84756</v>
      </c>
      <c r="C1555" s="1">
        <v>28</v>
      </c>
      <c r="D1555" t="s">
        <v>22</v>
      </c>
      <c r="E1555" s="7">
        <v>0.78</v>
      </c>
      <c r="F1555" s="2">
        <v>0.1</v>
      </c>
      <c r="G1555" s="7">
        <v>0.12</v>
      </c>
      <c r="H1555" s="9" t="s">
        <v>23</v>
      </c>
      <c r="I1555">
        <v>0.93</v>
      </c>
      <c r="J1555">
        <v>0.49</v>
      </c>
      <c r="K1555">
        <v>0.11</v>
      </c>
      <c r="L1555">
        <v>0.28999999999999998</v>
      </c>
      <c r="M1555">
        <v>0.87</v>
      </c>
      <c r="N1555">
        <v>0.85</v>
      </c>
      <c r="O1555">
        <v>0.9</v>
      </c>
      <c r="P1555">
        <v>0.39</v>
      </c>
      <c r="Q1555">
        <v>0.64</v>
      </c>
      <c r="R1555" s="2">
        <v>0.28000000000000003</v>
      </c>
      <c r="S1555" t="str">
        <f>IF(Table1[[#This Row],[Years_Experience]]&lt;=5,"Early Career",
IF(Table1[[#This Row],[Years_Experience]]&lt;=15,"Mid Career","Senior Level"))</f>
        <v>Senior Level</v>
      </c>
      <c r="T1555" t="str">
        <f>IF(Table1[[#This Row],[AI_Exposure_Index]]&gt;=0.7,"High Exposure", IF(Table1[[#This Row],[AI_Exposure_Index]]&gt;=0.3,"Medium Exposure","Low Exposure"))</f>
        <v>Low Exposure</v>
      </c>
    </row>
    <row r="1556" spans="1:20" x14ac:dyDescent="0.25">
      <c r="A1556" t="s">
        <v>31</v>
      </c>
      <c r="B1556">
        <v>67309</v>
      </c>
      <c r="C1556" s="1">
        <v>12</v>
      </c>
      <c r="D1556" t="s">
        <v>25</v>
      </c>
      <c r="E1556" s="7">
        <v>0.72</v>
      </c>
      <c r="F1556" s="2">
        <v>0.02</v>
      </c>
      <c r="G1556" s="7">
        <v>0.2</v>
      </c>
      <c r="H1556" s="9" t="s">
        <v>23</v>
      </c>
      <c r="I1556">
        <v>0.9</v>
      </c>
      <c r="J1556">
        <v>0.13</v>
      </c>
      <c r="K1556">
        <v>0.92</v>
      </c>
      <c r="L1556">
        <v>0.35</v>
      </c>
      <c r="M1556">
        <v>0.43</v>
      </c>
      <c r="N1556">
        <v>0.36</v>
      </c>
      <c r="O1556">
        <v>0.41</v>
      </c>
      <c r="P1556">
        <v>0.26</v>
      </c>
      <c r="Q1556">
        <v>0.7</v>
      </c>
      <c r="R1556" s="2">
        <v>0.76</v>
      </c>
      <c r="S1556" t="str">
        <f>IF(Table1[[#This Row],[Years_Experience]]&lt;=5,"Early Career",
IF(Table1[[#This Row],[Years_Experience]]&lt;=15,"Mid Career","Senior Level"))</f>
        <v>Mid Career</v>
      </c>
      <c r="T1556" t="str">
        <f>IF(Table1[[#This Row],[AI_Exposure_Index]]&gt;=0.7,"High Exposure", IF(Table1[[#This Row],[AI_Exposure_Index]]&gt;=0.3,"Medium Exposure","Low Exposure"))</f>
        <v>Low Exposure</v>
      </c>
    </row>
    <row r="1557" spans="1:20" x14ac:dyDescent="0.25">
      <c r="A1557" t="s">
        <v>21</v>
      </c>
      <c r="B1557">
        <v>130043</v>
      </c>
      <c r="C1557" s="1">
        <v>20</v>
      </c>
      <c r="D1557" t="s">
        <v>19</v>
      </c>
      <c r="E1557" s="7">
        <v>1.26</v>
      </c>
      <c r="F1557" s="2">
        <v>0.34</v>
      </c>
      <c r="G1557" s="7">
        <v>0.21</v>
      </c>
      <c r="H1557" s="9" t="s">
        <v>23</v>
      </c>
      <c r="I1557">
        <v>0.96</v>
      </c>
      <c r="J1557">
        <v>0.42</v>
      </c>
      <c r="K1557">
        <v>0.99</v>
      </c>
      <c r="L1557">
        <v>0.74</v>
      </c>
      <c r="M1557">
        <v>0.78</v>
      </c>
      <c r="N1557">
        <v>0.03</v>
      </c>
      <c r="O1557">
        <v>0.5</v>
      </c>
      <c r="P1557">
        <v>0.53</v>
      </c>
      <c r="Q1557">
        <v>0.04</v>
      </c>
      <c r="R1557" s="2">
        <v>0.31</v>
      </c>
      <c r="S1557" t="str">
        <f>IF(Table1[[#This Row],[Years_Experience]]&lt;=5,"Early Career",
IF(Table1[[#This Row],[Years_Experience]]&lt;=15,"Mid Career","Senior Level"))</f>
        <v>Senior Level</v>
      </c>
      <c r="T1557" t="str">
        <f>IF(Table1[[#This Row],[AI_Exposure_Index]]&gt;=0.7,"High Exposure", IF(Table1[[#This Row],[AI_Exposure_Index]]&gt;=0.3,"Medium Exposure","Low Exposure"))</f>
        <v>Medium Exposure</v>
      </c>
    </row>
    <row r="1558" spans="1:20" x14ac:dyDescent="0.25">
      <c r="A1558" t="s">
        <v>34</v>
      </c>
      <c r="B1558">
        <v>101880</v>
      </c>
      <c r="C1558" s="1">
        <v>10</v>
      </c>
      <c r="D1558" t="s">
        <v>22</v>
      </c>
      <c r="E1558" s="7">
        <v>0.69</v>
      </c>
      <c r="F1558" s="2">
        <v>0.43</v>
      </c>
      <c r="G1558" s="7">
        <v>0.51</v>
      </c>
      <c r="H1558" s="9" t="s">
        <v>27</v>
      </c>
      <c r="I1558">
        <v>0.03</v>
      </c>
      <c r="J1558">
        <v>0.52</v>
      </c>
      <c r="K1558">
        <v>0.59</v>
      </c>
      <c r="L1558">
        <v>0.36</v>
      </c>
      <c r="M1558">
        <v>0.76</v>
      </c>
      <c r="N1558">
        <v>0.14000000000000001</v>
      </c>
      <c r="O1558">
        <v>0.88</v>
      </c>
      <c r="P1558">
        <v>0.96</v>
      </c>
      <c r="Q1558">
        <v>0</v>
      </c>
      <c r="R1558" s="2">
        <v>0.84</v>
      </c>
      <c r="S1558" t="str">
        <f>IF(Table1[[#This Row],[Years_Experience]]&lt;=5,"Early Career",
IF(Table1[[#This Row],[Years_Experience]]&lt;=15,"Mid Career","Senior Level"))</f>
        <v>Mid Career</v>
      </c>
      <c r="T1558" t="str">
        <f>IF(Table1[[#This Row],[AI_Exposure_Index]]&gt;=0.7,"High Exposure", IF(Table1[[#This Row],[AI_Exposure_Index]]&gt;=0.3,"Medium Exposure","Low Exposure"))</f>
        <v>Medium Exposure</v>
      </c>
    </row>
    <row r="1559" spans="1:20" x14ac:dyDescent="0.25">
      <c r="A1559" t="s">
        <v>34</v>
      </c>
      <c r="B1559">
        <v>37011</v>
      </c>
      <c r="C1559" s="1">
        <v>4</v>
      </c>
      <c r="D1559" t="s">
        <v>19</v>
      </c>
      <c r="E1559" s="7">
        <v>0.74</v>
      </c>
      <c r="F1559" s="2">
        <v>0.46</v>
      </c>
      <c r="G1559" s="7">
        <v>0.48</v>
      </c>
      <c r="H1559" s="9" t="s">
        <v>27</v>
      </c>
      <c r="I1559">
        <v>0.95</v>
      </c>
      <c r="J1559">
        <v>0.21</v>
      </c>
      <c r="K1559">
        <v>0.18</v>
      </c>
      <c r="L1559">
        <v>0.24</v>
      </c>
      <c r="M1559">
        <v>0.55000000000000004</v>
      </c>
      <c r="N1559">
        <v>0.93</v>
      </c>
      <c r="O1559">
        <v>0.56999999999999995</v>
      </c>
      <c r="P1559">
        <v>0.24</v>
      </c>
      <c r="Q1559">
        <v>0.44</v>
      </c>
      <c r="R1559" s="2">
        <v>0.39</v>
      </c>
      <c r="S1559" t="str">
        <f>IF(Table1[[#This Row],[Years_Experience]]&lt;=5,"Early Career",
IF(Table1[[#This Row],[Years_Experience]]&lt;=15,"Mid Career","Senior Level"))</f>
        <v>Early Career</v>
      </c>
      <c r="T1559" t="str">
        <f>IF(Table1[[#This Row],[AI_Exposure_Index]]&gt;=0.7,"High Exposure", IF(Table1[[#This Row],[AI_Exposure_Index]]&gt;=0.3,"Medium Exposure","Low Exposure"))</f>
        <v>Medium Exposure</v>
      </c>
    </row>
    <row r="1560" spans="1:20" x14ac:dyDescent="0.25">
      <c r="A1560" t="s">
        <v>18</v>
      </c>
      <c r="B1560">
        <v>89658</v>
      </c>
      <c r="C1560" s="1">
        <v>0</v>
      </c>
      <c r="D1560" t="s">
        <v>19</v>
      </c>
      <c r="E1560" s="7">
        <v>1.43</v>
      </c>
      <c r="F1560" s="2">
        <v>0.73</v>
      </c>
      <c r="G1560" s="7">
        <v>0.89</v>
      </c>
      <c r="H1560" s="9" t="s">
        <v>20</v>
      </c>
      <c r="I1560">
        <v>0.44</v>
      </c>
      <c r="J1560">
        <v>0.15</v>
      </c>
      <c r="K1560">
        <v>0.81</v>
      </c>
      <c r="L1560">
        <v>0.46</v>
      </c>
      <c r="M1560">
        <v>0.08</v>
      </c>
      <c r="N1560">
        <v>0.72</v>
      </c>
      <c r="O1560">
        <v>0.28999999999999998</v>
      </c>
      <c r="P1560">
        <v>0.05</v>
      </c>
      <c r="Q1560">
        <v>0.9</v>
      </c>
      <c r="R1560" s="2">
        <v>0.48</v>
      </c>
      <c r="S1560" t="str">
        <f>IF(Table1[[#This Row],[Years_Experience]]&lt;=5,"Early Career",
IF(Table1[[#This Row],[Years_Experience]]&lt;=15,"Mid Career","Senior Level"))</f>
        <v>Early Career</v>
      </c>
      <c r="T1560" t="str">
        <f>IF(Table1[[#This Row],[AI_Exposure_Index]]&gt;=0.7,"High Exposure", IF(Table1[[#This Row],[AI_Exposure_Index]]&gt;=0.3,"Medium Exposure","Low Exposure"))</f>
        <v>High Exposure</v>
      </c>
    </row>
    <row r="1561" spans="1:20" x14ac:dyDescent="0.25">
      <c r="A1561" t="s">
        <v>24</v>
      </c>
      <c r="B1561">
        <v>99720</v>
      </c>
      <c r="C1561" s="1">
        <v>27</v>
      </c>
      <c r="D1561" t="s">
        <v>22</v>
      </c>
      <c r="E1561" s="7">
        <v>1.39</v>
      </c>
      <c r="F1561" s="2">
        <v>0.72</v>
      </c>
      <c r="G1561" s="7">
        <v>0.7</v>
      </c>
      <c r="H1561" s="9" t="s">
        <v>27</v>
      </c>
      <c r="I1561">
        <v>0.69</v>
      </c>
      <c r="J1561">
        <v>0.77</v>
      </c>
      <c r="K1561">
        <v>0.21</v>
      </c>
      <c r="L1561">
        <v>0.49</v>
      </c>
      <c r="M1561">
        <v>0.09</v>
      </c>
      <c r="N1561">
        <v>0.75</v>
      </c>
      <c r="O1561">
        <v>0.85</v>
      </c>
      <c r="P1561">
        <v>0.11</v>
      </c>
      <c r="Q1561">
        <v>0.82</v>
      </c>
      <c r="R1561" s="2">
        <v>0.77</v>
      </c>
      <c r="S1561" t="str">
        <f>IF(Table1[[#This Row],[Years_Experience]]&lt;=5,"Early Career",
IF(Table1[[#This Row],[Years_Experience]]&lt;=15,"Mid Career","Senior Level"))</f>
        <v>Senior Level</v>
      </c>
      <c r="T1561" t="str">
        <f>IF(Table1[[#This Row],[AI_Exposure_Index]]&gt;=0.7,"High Exposure", IF(Table1[[#This Row],[AI_Exposure_Index]]&gt;=0.3,"Medium Exposure","Low Exposure"))</f>
        <v>High Exposure</v>
      </c>
    </row>
    <row r="1562" spans="1:20" x14ac:dyDescent="0.25">
      <c r="A1562" t="s">
        <v>42</v>
      </c>
      <c r="B1562">
        <v>115934</v>
      </c>
      <c r="C1562" s="1">
        <v>13</v>
      </c>
      <c r="D1562" t="s">
        <v>22</v>
      </c>
      <c r="E1562" s="7">
        <v>0.5</v>
      </c>
      <c r="F1562" s="2">
        <v>0.69</v>
      </c>
      <c r="G1562" s="7">
        <v>0.67</v>
      </c>
      <c r="H1562" s="9" t="s">
        <v>27</v>
      </c>
      <c r="I1562">
        <v>0.55000000000000004</v>
      </c>
      <c r="J1562">
        <v>0.62</v>
      </c>
      <c r="K1562">
        <v>0.66</v>
      </c>
      <c r="L1562">
        <v>0.56000000000000005</v>
      </c>
      <c r="M1562">
        <v>0.86</v>
      </c>
      <c r="N1562">
        <v>0.61</v>
      </c>
      <c r="O1562">
        <v>0.91</v>
      </c>
      <c r="P1562">
        <v>0.57999999999999996</v>
      </c>
      <c r="Q1562">
        <v>0.17</v>
      </c>
      <c r="R1562" s="2">
        <v>0.91</v>
      </c>
      <c r="S1562" t="str">
        <f>IF(Table1[[#This Row],[Years_Experience]]&lt;=5,"Early Career",
IF(Table1[[#This Row],[Years_Experience]]&lt;=15,"Mid Career","Senior Level"))</f>
        <v>Mid Career</v>
      </c>
      <c r="T1562" t="str">
        <f>IF(Table1[[#This Row],[AI_Exposure_Index]]&gt;=0.7,"High Exposure", IF(Table1[[#This Row],[AI_Exposure_Index]]&gt;=0.3,"Medium Exposure","Low Exposure"))</f>
        <v>Medium Exposure</v>
      </c>
    </row>
    <row r="1563" spans="1:20" x14ac:dyDescent="0.25">
      <c r="A1563" t="s">
        <v>31</v>
      </c>
      <c r="B1563">
        <v>104713</v>
      </c>
      <c r="C1563" s="1">
        <v>13</v>
      </c>
      <c r="D1563" t="s">
        <v>25</v>
      </c>
      <c r="E1563" s="7">
        <v>1.49</v>
      </c>
      <c r="F1563" s="2">
        <v>0.7</v>
      </c>
      <c r="G1563" s="7">
        <v>7.0000000000000007E-2</v>
      </c>
      <c r="H1563" s="9" t="s">
        <v>23</v>
      </c>
      <c r="I1563">
        <v>0.43</v>
      </c>
      <c r="J1563">
        <v>0.24</v>
      </c>
      <c r="K1563">
        <v>0.63</v>
      </c>
      <c r="L1563">
        <v>0.81</v>
      </c>
      <c r="M1563">
        <v>0.97</v>
      </c>
      <c r="N1563">
        <v>0.45</v>
      </c>
      <c r="O1563">
        <v>0.79</v>
      </c>
      <c r="P1563">
        <v>0.92</v>
      </c>
      <c r="Q1563">
        <v>0.68</v>
      </c>
      <c r="R1563" s="2">
        <v>0.24</v>
      </c>
      <c r="S1563" t="str">
        <f>IF(Table1[[#This Row],[Years_Experience]]&lt;=5,"Early Career",
IF(Table1[[#This Row],[Years_Experience]]&lt;=15,"Mid Career","Senior Level"))</f>
        <v>Mid Career</v>
      </c>
      <c r="T1563" t="str">
        <f>IF(Table1[[#This Row],[AI_Exposure_Index]]&gt;=0.7,"High Exposure", IF(Table1[[#This Row],[AI_Exposure_Index]]&gt;=0.3,"Medium Exposure","Low Exposure"))</f>
        <v>High Exposure</v>
      </c>
    </row>
    <row r="1564" spans="1:20" x14ac:dyDescent="0.25">
      <c r="A1564" t="s">
        <v>39</v>
      </c>
      <c r="B1564">
        <v>51622</v>
      </c>
      <c r="C1564" s="1">
        <v>12</v>
      </c>
      <c r="D1564" t="s">
        <v>25</v>
      </c>
      <c r="E1564" s="7">
        <v>1.49</v>
      </c>
      <c r="F1564" s="2">
        <v>0.97</v>
      </c>
      <c r="G1564" s="7">
        <v>0.86</v>
      </c>
      <c r="H1564" s="9" t="s">
        <v>20</v>
      </c>
      <c r="I1564">
        <v>0.89</v>
      </c>
      <c r="J1564">
        <v>0.2</v>
      </c>
      <c r="K1564">
        <v>0.25</v>
      </c>
      <c r="L1564">
        <v>0.95</v>
      </c>
      <c r="M1564">
        <v>0.14000000000000001</v>
      </c>
      <c r="N1564">
        <v>0.19</v>
      </c>
      <c r="O1564">
        <v>0.42</v>
      </c>
      <c r="P1564">
        <v>0.59</v>
      </c>
      <c r="Q1564">
        <v>0.6</v>
      </c>
      <c r="R1564" s="2">
        <v>0.28999999999999998</v>
      </c>
      <c r="S1564" t="str">
        <f>IF(Table1[[#This Row],[Years_Experience]]&lt;=5,"Early Career",
IF(Table1[[#This Row],[Years_Experience]]&lt;=15,"Mid Career","Senior Level"))</f>
        <v>Mid Career</v>
      </c>
      <c r="T1564" t="str">
        <f>IF(Table1[[#This Row],[AI_Exposure_Index]]&gt;=0.7,"High Exposure", IF(Table1[[#This Row],[AI_Exposure_Index]]&gt;=0.3,"Medium Exposure","Low Exposure"))</f>
        <v>High Exposure</v>
      </c>
    </row>
    <row r="1565" spans="1:20" x14ac:dyDescent="0.25">
      <c r="A1565" t="s">
        <v>21</v>
      </c>
      <c r="B1565">
        <v>118635</v>
      </c>
      <c r="C1565" s="1">
        <v>10</v>
      </c>
      <c r="D1565" t="s">
        <v>22</v>
      </c>
      <c r="E1565" s="7">
        <v>0.89</v>
      </c>
      <c r="F1565" s="2">
        <v>0.92</v>
      </c>
      <c r="G1565" s="7">
        <v>0.16</v>
      </c>
      <c r="H1565" s="9" t="s">
        <v>23</v>
      </c>
      <c r="I1565">
        <v>0.7</v>
      </c>
      <c r="J1565">
        <v>0.66</v>
      </c>
      <c r="K1565">
        <v>0.38</v>
      </c>
      <c r="L1565">
        <v>0.41</v>
      </c>
      <c r="M1565">
        <v>0.35</v>
      </c>
      <c r="N1565">
        <v>0.24</v>
      </c>
      <c r="O1565">
        <v>0.46</v>
      </c>
      <c r="P1565">
        <v>0.69</v>
      </c>
      <c r="Q1565">
        <v>0.74</v>
      </c>
      <c r="R1565" s="2">
        <v>0.78</v>
      </c>
      <c r="S1565" t="str">
        <f>IF(Table1[[#This Row],[Years_Experience]]&lt;=5,"Early Career",
IF(Table1[[#This Row],[Years_Experience]]&lt;=15,"Mid Career","Senior Level"))</f>
        <v>Mid Career</v>
      </c>
      <c r="T1565" t="str">
        <f>IF(Table1[[#This Row],[AI_Exposure_Index]]&gt;=0.7,"High Exposure", IF(Table1[[#This Row],[AI_Exposure_Index]]&gt;=0.3,"Medium Exposure","Low Exposure"))</f>
        <v>High Exposure</v>
      </c>
    </row>
    <row r="1566" spans="1:20" x14ac:dyDescent="0.25">
      <c r="A1566" t="s">
        <v>18</v>
      </c>
      <c r="B1566">
        <v>58645</v>
      </c>
      <c r="C1566" s="1">
        <v>18</v>
      </c>
      <c r="D1566" t="s">
        <v>38</v>
      </c>
      <c r="E1566" s="7">
        <v>0.51</v>
      </c>
      <c r="F1566" s="2">
        <v>0.76</v>
      </c>
      <c r="G1566" s="7">
        <v>0.82</v>
      </c>
      <c r="H1566" s="9" t="s">
        <v>20</v>
      </c>
      <c r="I1566">
        <v>0.79</v>
      </c>
      <c r="J1566">
        <v>0.63</v>
      </c>
      <c r="K1566">
        <v>0.47</v>
      </c>
      <c r="L1566">
        <v>0.64</v>
      </c>
      <c r="M1566">
        <v>0.91</v>
      </c>
      <c r="N1566">
        <v>0.56999999999999995</v>
      </c>
      <c r="O1566">
        <v>0.8</v>
      </c>
      <c r="P1566">
        <v>0.98</v>
      </c>
      <c r="Q1566">
        <v>0.71</v>
      </c>
      <c r="R1566" s="2">
        <v>0.56999999999999995</v>
      </c>
      <c r="S1566" t="str">
        <f>IF(Table1[[#This Row],[Years_Experience]]&lt;=5,"Early Career",
IF(Table1[[#This Row],[Years_Experience]]&lt;=15,"Mid Career","Senior Level"))</f>
        <v>Senior Level</v>
      </c>
      <c r="T1566" t="str">
        <f>IF(Table1[[#This Row],[AI_Exposure_Index]]&gt;=0.7,"High Exposure", IF(Table1[[#This Row],[AI_Exposure_Index]]&gt;=0.3,"Medium Exposure","Low Exposure"))</f>
        <v>High Exposure</v>
      </c>
    </row>
    <row r="1567" spans="1:20" x14ac:dyDescent="0.25">
      <c r="A1567" t="s">
        <v>37</v>
      </c>
      <c r="B1567">
        <v>74511</v>
      </c>
      <c r="C1567" s="1">
        <v>14</v>
      </c>
      <c r="D1567" t="s">
        <v>22</v>
      </c>
      <c r="E1567" s="7">
        <v>1.07</v>
      </c>
      <c r="F1567" s="2">
        <v>0.37</v>
      </c>
      <c r="G1567" s="7">
        <v>0.62</v>
      </c>
      <c r="H1567" s="9" t="s">
        <v>27</v>
      </c>
      <c r="I1567">
        <v>0.44</v>
      </c>
      <c r="J1567">
        <v>0.96</v>
      </c>
      <c r="K1567">
        <v>0.27</v>
      </c>
      <c r="L1567">
        <v>0.74</v>
      </c>
      <c r="M1567">
        <v>0.42</v>
      </c>
      <c r="N1567">
        <v>0.49</v>
      </c>
      <c r="O1567">
        <v>0.8</v>
      </c>
      <c r="P1567">
        <v>0.3</v>
      </c>
      <c r="Q1567">
        <v>0.1</v>
      </c>
      <c r="R1567" s="2">
        <v>0.52</v>
      </c>
      <c r="S1567" t="str">
        <f>IF(Table1[[#This Row],[Years_Experience]]&lt;=5,"Early Career",
IF(Table1[[#This Row],[Years_Experience]]&lt;=15,"Mid Career","Senior Level"))</f>
        <v>Mid Career</v>
      </c>
      <c r="T1567" t="str">
        <f>IF(Table1[[#This Row],[AI_Exposure_Index]]&gt;=0.7,"High Exposure", IF(Table1[[#This Row],[AI_Exposure_Index]]&gt;=0.3,"Medium Exposure","Low Exposure"))</f>
        <v>Medium Exposure</v>
      </c>
    </row>
    <row r="1568" spans="1:20" x14ac:dyDescent="0.25">
      <c r="A1568" t="s">
        <v>32</v>
      </c>
      <c r="B1568">
        <v>101013</v>
      </c>
      <c r="C1568" s="1">
        <v>19</v>
      </c>
      <c r="D1568" t="s">
        <v>38</v>
      </c>
      <c r="E1568" s="7">
        <v>1.47</v>
      </c>
      <c r="F1568" s="2">
        <v>0.8</v>
      </c>
      <c r="G1568" s="7">
        <v>0.32</v>
      </c>
      <c r="H1568" s="9" t="s">
        <v>27</v>
      </c>
      <c r="I1568">
        <v>0.59</v>
      </c>
      <c r="J1568">
        <v>0.68</v>
      </c>
      <c r="K1568">
        <v>0.99</v>
      </c>
      <c r="L1568">
        <v>0.94</v>
      </c>
      <c r="M1568">
        <v>0.71</v>
      </c>
      <c r="N1568">
        <v>0.52</v>
      </c>
      <c r="O1568">
        <v>0.16</v>
      </c>
      <c r="P1568">
        <v>0.38</v>
      </c>
      <c r="Q1568">
        <v>0.59</v>
      </c>
      <c r="R1568" s="2">
        <v>0.73</v>
      </c>
      <c r="S1568" t="str">
        <f>IF(Table1[[#This Row],[Years_Experience]]&lt;=5,"Early Career",
IF(Table1[[#This Row],[Years_Experience]]&lt;=15,"Mid Career","Senior Level"))</f>
        <v>Senior Level</v>
      </c>
      <c r="T1568" t="str">
        <f>IF(Table1[[#This Row],[AI_Exposure_Index]]&gt;=0.7,"High Exposure", IF(Table1[[#This Row],[AI_Exposure_Index]]&gt;=0.3,"Medium Exposure","Low Exposure"))</f>
        <v>High Exposure</v>
      </c>
    </row>
    <row r="1569" spans="1:20" x14ac:dyDescent="0.25">
      <c r="A1569" t="s">
        <v>44</v>
      </c>
      <c r="B1569">
        <v>131277</v>
      </c>
      <c r="C1569" s="1">
        <v>18</v>
      </c>
      <c r="D1569" t="s">
        <v>19</v>
      </c>
      <c r="E1569" s="7">
        <v>0.93</v>
      </c>
      <c r="F1569" s="2">
        <v>0.71</v>
      </c>
      <c r="G1569" s="7">
        <v>0.59</v>
      </c>
      <c r="H1569" s="9" t="s">
        <v>27</v>
      </c>
      <c r="I1569">
        <v>0.14000000000000001</v>
      </c>
      <c r="J1569">
        <v>0.16</v>
      </c>
      <c r="K1569">
        <v>0.16</v>
      </c>
      <c r="L1569">
        <v>0.89</v>
      </c>
      <c r="M1569">
        <v>0.08</v>
      </c>
      <c r="N1569">
        <v>0.8</v>
      </c>
      <c r="O1569">
        <v>0.23</v>
      </c>
      <c r="P1569">
        <v>0.47</v>
      </c>
      <c r="Q1569">
        <v>0.92</v>
      </c>
      <c r="R1569" s="2">
        <v>0.59</v>
      </c>
      <c r="S1569" t="str">
        <f>IF(Table1[[#This Row],[Years_Experience]]&lt;=5,"Early Career",
IF(Table1[[#This Row],[Years_Experience]]&lt;=15,"Mid Career","Senior Level"))</f>
        <v>Senior Level</v>
      </c>
      <c r="T1569" t="str">
        <f>IF(Table1[[#This Row],[AI_Exposure_Index]]&gt;=0.7,"High Exposure", IF(Table1[[#This Row],[AI_Exposure_Index]]&gt;=0.3,"Medium Exposure","Low Exposure"))</f>
        <v>High Exposure</v>
      </c>
    </row>
    <row r="1570" spans="1:20" x14ac:dyDescent="0.25">
      <c r="A1570" t="s">
        <v>28</v>
      </c>
      <c r="B1570">
        <v>47881</v>
      </c>
      <c r="C1570" s="1">
        <v>28</v>
      </c>
      <c r="D1570" t="s">
        <v>38</v>
      </c>
      <c r="E1570" s="7">
        <v>1.42</v>
      </c>
      <c r="F1570" s="2">
        <v>0.28000000000000003</v>
      </c>
      <c r="G1570" s="7">
        <v>0.47</v>
      </c>
      <c r="H1570" s="9" t="s">
        <v>27</v>
      </c>
      <c r="I1570">
        <v>0.59</v>
      </c>
      <c r="J1570">
        <v>0.46</v>
      </c>
      <c r="K1570">
        <v>0.38</v>
      </c>
      <c r="L1570">
        <v>0.22</v>
      </c>
      <c r="M1570">
        <v>0.69</v>
      </c>
      <c r="N1570">
        <v>0.72</v>
      </c>
      <c r="O1570">
        <v>0.27</v>
      </c>
      <c r="P1570">
        <v>0.79</v>
      </c>
      <c r="Q1570">
        <v>0.85</v>
      </c>
      <c r="R1570" s="2">
        <v>0.92</v>
      </c>
      <c r="S1570" t="str">
        <f>IF(Table1[[#This Row],[Years_Experience]]&lt;=5,"Early Career",
IF(Table1[[#This Row],[Years_Experience]]&lt;=15,"Mid Career","Senior Level"))</f>
        <v>Senior Level</v>
      </c>
      <c r="T1570" t="str">
        <f>IF(Table1[[#This Row],[AI_Exposure_Index]]&gt;=0.7,"High Exposure", IF(Table1[[#This Row],[AI_Exposure_Index]]&gt;=0.3,"Medium Exposure","Low Exposure"))</f>
        <v>Low Exposure</v>
      </c>
    </row>
    <row r="1571" spans="1:20" x14ac:dyDescent="0.25">
      <c r="A1571" t="s">
        <v>26</v>
      </c>
      <c r="B1571">
        <v>109741</v>
      </c>
      <c r="C1571" s="1">
        <v>18</v>
      </c>
      <c r="D1571" t="s">
        <v>38</v>
      </c>
      <c r="E1571" s="7">
        <v>1.36</v>
      </c>
      <c r="F1571" s="2">
        <v>0.3</v>
      </c>
      <c r="G1571" s="7">
        <v>0.38</v>
      </c>
      <c r="H1571" s="9" t="s">
        <v>27</v>
      </c>
      <c r="I1571">
        <v>0</v>
      </c>
      <c r="J1571">
        <v>0.87</v>
      </c>
      <c r="K1571">
        <v>0.33</v>
      </c>
      <c r="L1571">
        <v>0.41</v>
      </c>
      <c r="M1571">
        <v>0.45</v>
      </c>
      <c r="N1571">
        <v>0.85</v>
      </c>
      <c r="O1571">
        <v>0.34</v>
      </c>
      <c r="P1571">
        <v>0.89</v>
      </c>
      <c r="Q1571">
        <v>0.62</v>
      </c>
      <c r="R1571" s="2">
        <v>0.53</v>
      </c>
      <c r="S1571" t="str">
        <f>IF(Table1[[#This Row],[Years_Experience]]&lt;=5,"Early Career",
IF(Table1[[#This Row],[Years_Experience]]&lt;=15,"Mid Career","Senior Level"))</f>
        <v>Senior Level</v>
      </c>
      <c r="T1571" t="str">
        <f>IF(Table1[[#This Row],[AI_Exposure_Index]]&gt;=0.7,"High Exposure", IF(Table1[[#This Row],[AI_Exposure_Index]]&gt;=0.3,"Medium Exposure","Low Exposure"))</f>
        <v>Medium Exposure</v>
      </c>
    </row>
    <row r="1572" spans="1:20" x14ac:dyDescent="0.25">
      <c r="A1572" t="s">
        <v>33</v>
      </c>
      <c r="B1572">
        <v>126509</v>
      </c>
      <c r="C1572" s="1">
        <v>11</v>
      </c>
      <c r="D1572" t="s">
        <v>22</v>
      </c>
      <c r="E1572" s="7">
        <v>1.1200000000000001</v>
      </c>
      <c r="F1572" s="2">
        <v>0.24</v>
      </c>
      <c r="G1572" s="7">
        <v>0.81</v>
      </c>
      <c r="H1572" s="9" t="s">
        <v>20</v>
      </c>
      <c r="I1572">
        <v>0.91</v>
      </c>
      <c r="J1572">
        <v>0.49</v>
      </c>
      <c r="K1572">
        <v>0.51</v>
      </c>
      <c r="L1572">
        <v>0.42</v>
      </c>
      <c r="M1572">
        <v>0.79</v>
      </c>
      <c r="N1572">
        <v>0.42</v>
      </c>
      <c r="O1572">
        <v>0.27</v>
      </c>
      <c r="P1572">
        <v>0.86</v>
      </c>
      <c r="Q1572">
        <v>0.6</v>
      </c>
      <c r="R1572" s="2">
        <v>0.59</v>
      </c>
      <c r="S1572" t="str">
        <f>IF(Table1[[#This Row],[Years_Experience]]&lt;=5,"Early Career",
IF(Table1[[#This Row],[Years_Experience]]&lt;=15,"Mid Career","Senior Level"))</f>
        <v>Mid Career</v>
      </c>
      <c r="T1572" t="str">
        <f>IF(Table1[[#This Row],[AI_Exposure_Index]]&gt;=0.7,"High Exposure", IF(Table1[[#This Row],[AI_Exposure_Index]]&gt;=0.3,"Medium Exposure","Low Exposure"))</f>
        <v>Low Exposure</v>
      </c>
    </row>
    <row r="1573" spans="1:20" x14ac:dyDescent="0.25">
      <c r="A1573" t="s">
        <v>28</v>
      </c>
      <c r="B1573">
        <v>85308</v>
      </c>
      <c r="C1573" s="1">
        <v>18</v>
      </c>
      <c r="D1573" t="s">
        <v>38</v>
      </c>
      <c r="E1573" s="7">
        <v>0.81</v>
      </c>
      <c r="F1573" s="2">
        <v>0.72</v>
      </c>
      <c r="G1573" s="7">
        <v>0.31</v>
      </c>
      <c r="H1573" s="9" t="s">
        <v>27</v>
      </c>
      <c r="I1573">
        <v>0.81</v>
      </c>
      <c r="J1573">
        <v>0.13</v>
      </c>
      <c r="K1573">
        <v>0.72</v>
      </c>
      <c r="L1573">
        <v>0.08</v>
      </c>
      <c r="M1573">
        <v>0.38</v>
      </c>
      <c r="N1573">
        <v>0.06</v>
      </c>
      <c r="O1573">
        <v>0.52</v>
      </c>
      <c r="P1573">
        <v>0.65</v>
      </c>
      <c r="Q1573">
        <v>0.17</v>
      </c>
      <c r="R1573" s="2">
        <v>0.37</v>
      </c>
      <c r="S1573" t="str">
        <f>IF(Table1[[#This Row],[Years_Experience]]&lt;=5,"Early Career",
IF(Table1[[#This Row],[Years_Experience]]&lt;=15,"Mid Career","Senior Level"))</f>
        <v>Senior Level</v>
      </c>
      <c r="T1573" t="str">
        <f>IF(Table1[[#This Row],[AI_Exposure_Index]]&gt;=0.7,"High Exposure", IF(Table1[[#This Row],[AI_Exposure_Index]]&gt;=0.3,"Medium Exposure","Low Exposure"))</f>
        <v>High Exposure</v>
      </c>
    </row>
    <row r="1574" spans="1:20" x14ac:dyDescent="0.25">
      <c r="A1574" t="s">
        <v>41</v>
      </c>
      <c r="B1574">
        <v>41467</v>
      </c>
      <c r="C1574" s="1">
        <v>7</v>
      </c>
      <c r="D1574" t="s">
        <v>19</v>
      </c>
      <c r="E1574" s="7">
        <v>1.3</v>
      </c>
      <c r="F1574" s="2">
        <v>0.44</v>
      </c>
      <c r="G1574" s="7">
        <v>0.93</v>
      </c>
      <c r="H1574" s="9" t="s">
        <v>20</v>
      </c>
      <c r="I1574">
        <v>0.97</v>
      </c>
      <c r="J1574">
        <v>0.9</v>
      </c>
      <c r="K1574">
        <v>0.32</v>
      </c>
      <c r="L1574">
        <v>0.96</v>
      </c>
      <c r="M1574">
        <v>0.81</v>
      </c>
      <c r="N1574">
        <v>0.84</v>
      </c>
      <c r="O1574">
        <v>0.02</v>
      </c>
      <c r="P1574">
        <v>0.95</v>
      </c>
      <c r="Q1574">
        <v>0.78</v>
      </c>
      <c r="R1574" s="2">
        <v>0.77</v>
      </c>
      <c r="S1574" t="str">
        <f>IF(Table1[[#This Row],[Years_Experience]]&lt;=5,"Early Career",
IF(Table1[[#This Row],[Years_Experience]]&lt;=15,"Mid Career","Senior Level"))</f>
        <v>Mid Career</v>
      </c>
      <c r="T1574" t="str">
        <f>IF(Table1[[#This Row],[AI_Exposure_Index]]&gt;=0.7,"High Exposure", IF(Table1[[#This Row],[AI_Exposure_Index]]&gt;=0.3,"Medium Exposure","Low Exposure"))</f>
        <v>Medium Exposure</v>
      </c>
    </row>
    <row r="1575" spans="1:20" x14ac:dyDescent="0.25">
      <c r="A1575" t="s">
        <v>26</v>
      </c>
      <c r="B1575">
        <v>82762</v>
      </c>
      <c r="C1575" s="1">
        <v>8</v>
      </c>
      <c r="D1575" t="s">
        <v>25</v>
      </c>
      <c r="E1575" s="7">
        <v>1.46</v>
      </c>
      <c r="F1575" s="2">
        <v>0.23</v>
      </c>
      <c r="G1575" s="7">
        <v>0.5</v>
      </c>
      <c r="H1575" s="9" t="s">
        <v>27</v>
      </c>
      <c r="I1575">
        <v>0.4</v>
      </c>
      <c r="J1575">
        <v>0.84</v>
      </c>
      <c r="K1575">
        <v>0.09</v>
      </c>
      <c r="L1575">
        <v>0.42</v>
      </c>
      <c r="M1575">
        <v>0.38</v>
      </c>
      <c r="N1575">
        <v>0.35</v>
      </c>
      <c r="O1575">
        <v>0.31</v>
      </c>
      <c r="P1575">
        <v>0.21</v>
      </c>
      <c r="Q1575">
        <v>0.17</v>
      </c>
      <c r="R1575" s="2">
        <v>0.64</v>
      </c>
      <c r="S1575" t="str">
        <f>IF(Table1[[#This Row],[Years_Experience]]&lt;=5,"Early Career",
IF(Table1[[#This Row],[Years_Experience]]&lt;=15,"Mid Career","Senior Level"))</f>
        <v>Mid Career</v>
      </c>
      <c r="T1575" t="str">
        <f>IF(Table1[[#This Row],[AI_Exposure_Index]]&gt;=0.7,"High Exposure", IF(Table1[[#This Row],[AI_Exposure_Index]]&gt;=0.3,"Medium Exposure","Low Exposure"))</f>
        <v>Low Exposure</v>
      </c>
    </row>
    <row r="1576" spans="1:20" x14ac:dyDescent="0.25">
      <c r="A1576" t="s">
        <v>28</v>
      </c>
      <c r="B1576">
        <v>125711</v>
      </c>
      <c r="C1576" s="1">
        <v>14</v>
      </c>
      <c r="D1576" t="s">
        <v>22</v>
      </c>
      <c r="E1576" s="7">
        <v>0.8</v>
      </c>
      <c r="F1576" s="2">
        <v>0.51</v>
      </c>
      <c r="G1576" s="7">
        <v>0.36</v>
      </c>
      <c r="H1576" s="9" t="s">
        <v>27</v>
      </c>
      <c r="I1576">
        <v>0.83</v>
      </c>
      <c r="J1576">
        <v>0.97</v>
      </c>
      <c r="K1576">
        <v>0.35</v>
      </c>
      <c r="L1576">
        <v>0.28999999999999998</v>
      </c>
      <c r="M1576">
        <v>0.6</v>
      </c>
      <c r="N1576">
        <v>0.78</v>
      </c>
      <c r="O1576">
        <v>0.46</v>
      </c>
      <c r="P1576">
        <v>0.63</v>
      </c>
      <c r="Q1576">
        <v>0.72</v>
      </c>
      <c r="R1576" s="2">
        <v>0.96</v>
      </c>
      <c r="S1576" t="str">
        <f>IF(Table1[[#This Row],[Years_Experience]]&lt;=5,"Early Career",
IF(Table1[[#This Row],[Years_Experience]]&lt;=15,"Mid Career","Senior Level"))</f>
        <v>Mid Career</v>
      </c>
      <c r="T1576" t="str">
        <f>IF(Table1[[#This Row],[AI_Exposure_Index]]&gt;=0.7,"High Exposure", IF(Table1[[#This Row],[AI_Exposure_Index]]&gt;=0.3,"Medium Exposure","Low Exposure"))</f>
        <v>Medium Exposure</v>
      </c>
    </row>
    <row r="1577" spans="1:20" x14ac:dyDescent="0.25">
      <c r="A1577" t="s">
        <v>42</v>
      </c>
      <c r="B1577">
        <v>131011</v>
      </c>
      <c r="C1577" s="1">
        <v>4</v>
      </c>
      <c r="D1577" t="s">
        <v>25</v>
      </c>
      <c r="E1577" s="7">
        <v>0.79</v>
      </c>
      <c r="F1577" s="2">
        <v>0.27</v>
      </c>
      <c r="G1577" s="7">
        <v>0.32</v>
      </c>
      <c r="H1577" s="9" t="s">
        <v>27</v>
      </c>
      <c r="I1577">
        <v>0.28999999999999998</v>
      </c>
      <c r="J1577">
        <v>0.06</v>
      </c>
      <c r="K1577">
        <v>0.96</v>
      </c>
      <c r="L1577">
        <v>0.62</v>
      </c>
      <c r="M1577">
        <v>0.17</v>
      </c>
      <c r="N1577">
        <v>0.12</v>
      </c>
      <c r="O1577">
        <v>0.37</v>
      </c>
      <c r="P1577">
        <v>0.31</v>
      </c>
      <c r="Q1577">
        <v>0.28000000000000003</v>
      </c>
      <c r="R1577" s="2">
        <v>0.47</v>
      </c>
      <c r="S1577" t="str">
        <f>IF(Table1[[#This Row],[Years_Experience]]&lt;=5,"Early Career",
IF(Table1[[#This Row],[Years_Experience]]&lt;=15,"Mid Career","Senior Level"))</f>
        <v>Early Career</v>
      </c>
      <c r="T1577" t="str">
        <f>IF(Table1[[#This Row],[AI_Exposure_Index]]&gt;=0.7,"High Exposure", IF(Table1[[#This Row],[AI_Exposure_Index]]&gt;=0.3,"Medium Exposure","Low Exposure"))</f>
        <v>Low Exposure</v>
      </c>
    </row>
    <row r="1578" spans="1:20" x14ac:dyDescent="0.25">
      <c r="A1578" t="s">
        <v>32</v>
      </c>
      <c r="B1578">
        <v>36588</v>
      </c>
      <c r="C1578" s="1">
        <v>14</v>
      </c>
      <c r="D1578" t="s">
        <v>38</v>
      </c>
      <c r="E1578" s="7">
        <v>0.81</v>
      </c>
      <c r="F1578" s="2">
        <v>0.54</v>
      </c>
      <c r="G1578" s="7">
        <v>0.5</v>
      </c>
      <c r="H1578" s="9" t="s">
        <v>27</v>
      </c>
      <c r="I1578">
        <v>0.22</v>
      </c>
      <c r="J1578">
        <v>0.05</v>
      </c>
      <c r="K1578">
        <v>0.78</v>
      </c>
      <c r="L1578">
        <v>0.64</v>
      </c>
      <c r="M1578">
        <v>0.34</v>
      </c>
      <c r="N1578">
        <v>0.05</v>
      </c>
      <c r="O1578">
        <v>0.87</v>
      </c>
      <c r="P1578">
        <v>0.17</v>
      </c>
      <c r="Q1578">
        <v>0.93</v>
      </c>
      <c r="R1578" s="2">
        <v>0.48</v>
      </c>
      <c r="S1578" t="str">
        <f>IF(Table1[[#This Row],[Years_Experience]]&lt;=5,"Early Career",
IF(Table1[[#This Row],[Years_Experience]]&lt;=15,"Mid Career","Senior Level"))</f>
        <v>Mid Career</v>
      </c>
      <c r="T1578" t="str">
        <f>IF(Table1[[#This Row],[AI_Exposure_Index]]&gt;=0.7,"High Exposure", IF(Table1[[#This Row],[AI_Exposure_Index]]&gt;=0.3,"Medium Exposure","Low Exposure"))</f>
        <v>Medium Exposure</v>
      </c>
    </row>
    <row r="1579" spans="1:20" x14ac:dyDescent="0.25">
      <c r="A1579" t="s">
        <v>30</v>
      </c>
      <c r="B1579">
        <v>133768</v>
      </c>
      <c r="C1579" s="1">
        <v>0</v>
      </c>
      <c r="D1579" t="s">
        <v>25</v>
      </c>
      <c r="E1579" s="7">
        <v>1.38</v>
      </c>
      <c r="F1579" s="2">
        <v>0.74</v>
      </c>
      <c r="G1579" s="7">
        <v>0.45</v>
      </c>
      <c r="H1579" s="9" t="s">
        <v>27</v>
      </c>
      <c r="I1579">
        <v>0.41</v>
      </c>
      <c r="J1579">
        <v>0.43</v>
      </c>
      <c r="K1579">
        <v>0.92</v>
      </c>
      <c r="L1579">
        <v>0.69</v>
      </c>
      <c r="M1579">
        <v>0.25</v>
      </c>
      <c r="N1579">
        <v>0.18</v>
      </c>
      <c r="O1579">
        <v>0.23</v>
      </c>
      <c r="P1579">
        <v>0.26</v>
      </c>
      <c r="Q1579">
        <v>0.23</v>
      </c>
      <c r="R1579" s="2">
        <v>0.66</v>
      </c>
      <c r="S1579" t="str">
        <f>IF(Table1[[#This Row],[Years_Experience]]&lt;=5,"Early Career",
IF(Table1[[#This Row],[Years_Experience]]&lt;=15,"Mid Career","Senior Level"))</f>
        <v>Early Career</v>
      </c>
      <c r="T1579" t="str">
        <f>IF(Table1[[#This Row],[AI_Exposure_Index]]&gt;=0.7,"High Exposure", IF(Table1[[#This Row],[AI_Exposure_Index]]&gt;=0.3,"Medium Exposure","Low Exposure"))</f>
        <v>High Exposure</v>
      </c>
    </row>
    <row r="1580" spans="1:20" x14ac:dyDescent="0.25">
      <c r="A1580" t="s">
        <v>35</v>
      </c>
      <c r="B1580">
        <v>149170</v>
      </c>
      <c r="C1580" s="1">
        <v>22</v>
      </c>
      <c r="D1580" t="s">
        <v>25</v>
      </c>
      <c r="E1580" s="7">
        <v>1.1299999999999999</v>
      </c>
      <c r="F1580" s="2">
        <v>0.39</v>
      </c>
      <c r="G1580" s="7">
        <v>0.42</v>
      </c>
      <c r="H1580" s="9" t="s">
        <v>27</v>
      </c>
      <c r="I1580">
        <v>7.0000000000000007E-2</v>
      </c>
      <c r="J1580">
        <v>0.08</v>
      </c>
      <c r="K1580">
        <v>0.13</v>
      </c>
      <c r="L1580">
        <v>0.84</v>
      </c>
      <c r="M1580">
        <v>0.66</v>
      </c>
      <c r="N1580">
        <v>0.06</v>
      </c>
      <c r="O1580">
        <v>0.39</v>
      </c>
      <c r="P1580">
        <v>0.28000000000000003</v>
      </c>
      <c r="Q1580">
        <v>0.57999999999999996</v>
      </c>
      <c r="R1580" s="2">
        <v>0.52</v>
      </c>
      <c r="S1580" t="str">
        <f>IF(Table1[[#This Row],[Years_Experience]]&lt;=5,"Early Career",
IF(Table1[[#This Row],[Years_Experience]]&lt;=15,"Mid Career","Senior Level"))</f>
        <v>Senior Level</v>
      </c>
      <c r="T1580" t="str">
        <f>IF(Table1[[#This Row],[AI_Exposure_Index]]&gt;=0.7,"High Exposure", IF(Table1[[#This Row],[AI_Exposure_Index]]&gt;=0.3,"Medium Exposure","Low Exposure"))</f>
        <v>Medium Exposure</v>
      </c>
    </row>
    <row r="1581" spans="1:20" x14ac:dyDescent="0.25">
      <c r="A1581" t="s">
        <v>24</v>
      </c>
      <c r="B1581">
        <v>91860</v>
      </c>
      <c r="C1581" s="1">
        <v>15</v>
      </c>
      <c r="D1581" t="s">
        <v>25</v>
      </c>
      <c r="E1581" s="7">
        <v>0.64</v>
      </c>
      <c r="F1581" s="2">
        <v>0.31</v>
      </c>
      <c r="G1581" s="7">
        <v>0.89</v>
      </c>
      <c r="H1581" s="9" t="s">
        <v>20</v>
      </c>
      <c r="I1581">
        <v>0.88</v>
      </c>
      <c r="J1581">
        <v>0.94</v>
      </c>
      <c r="K1581">
        <v>0.06</v>
      </c>
      <c r="L1581">
        <v>0.74</v>
      </c>
      <c r="M1581">
        <v>0.73</v>
      </c>
      <c r="N1581">
        <v>0.95</v>
      </c>
      <c r="O1581">
        <v>0.25</v>
      </c>
      <c r="P1581">
        <v>0.74</v>
      </c>
      <c r="Q1581">
        <v>0.05</v>
      </c>
      <c r="R1581" s="2">
        <v>0.63</v>
      </c>
      <c r="S1581" t="str">
        <f>IF(Table1[[#This Row],[Years_Experience]]&lt;=5,"Early Career",
IF(Table1[[#This Row],[Years_Experience]]&lt;=15,"Mid Career","Senior Level"))</f>
        <v>Mid Career</v>
      </c>
      <c r="T1581" t="str">
        <f>IF(Table1[[#This Row],[AI_Exposure_Index]]&gt;=0.7,"High Exposure", IF(Table1[[#This Row],[AI_Exposure_Index]]&gt;=0.3,"Medium Exposure","Low Exposure"))</f>
        <v>Medium Exposure</v>
      </c>
    </row>
    <row r="1582" spans="1:20" x14ac:dyDescent="0.25">
      <c r="A1582" t="s">
        <v>31</v>
      </c>
      <c r="B1582">
        <v>106206</v>
      </c>
      <c r="C1582" s="1">
        <v>21</v>
      </c>
      <c r="D1582" t="s">
        <v>19</v>
      </c>
      <c r="E1582" s="7">
        <v>1.36</v>
      </c>
      <c r="F1582" s="2">
        <v>0.77</v>
      </c>
      <c r="G1582" s="7">
        <v>0.14000000000000001</v>
      </c>
      <c r="H1582" s="9" t="s">
        <v>23</v>
      </c>
      <c r="I1582">
        <v>0.53</v>
      </c>
      <c r="J1582">
        <v>0.12</v>
      </c>
      <c r="K1582">
        <v>0.42</v>
      </c>
      <c r="L1582">
        <v>0.36</v>
      </c>
      <c r="M1582">
        <v>0.18</v>
      </c>
      <c r="N1582">
        <v>0.89</v>
      </c>
      <c r="O1582">
        <v>0.15</v>
      </c>
      <c r="P1582">
        <v>0.64</v>
      </c>
      <c r="Q1582">
        <v>0.89</v>
      </c>
      <c r="R1582" s="2">
        <v>0.91</v>
      </c>
      <c r="S1582" t="str">
        <f>IF(Table1[[#This Row],[Years_Experience]]&lt;=5,"Early Career",
IF(Table1[[#This Row],[Years_Experience]]&lt;=15,"Mid Career","Senior Level"))</f>
        <v>Senior Level</v>
      </c>
      <c r="T1582" t="str">
        <f>IF(Table1[[#This Row],[AI_Exposure_Index]]&gt;=0.7,"High Exposure", IF(Table1[[#This Row],[AI_Exposure_Index]]&gt;=0.3,"Medium Exposure","Low Exposure"))</f>
        <v>High Exposure</v>
      </c>
    </row>
    <row r="1583" spans="1:20" x14ac:dyDescent="0.25">
      <c r="A1583" t="s">
        <v>33</v>
      </c>
      <c r="B1583">
        <v>145155</v>
      </c>
      <c r="C1583" s="1">
        <v>0</v>
      </c>
      <c r="D1583" t="s">
        <v>19</v>
      </c>
      <c r="E1583" s="7">
        <v>1.32</v>
      </c>
      <c r="F1583" s="2">
        <v>0.18</v>
      </c>
      <c r="G1583" s="7">
        <v>0.77</v>
      </c>
      <c r="H1583" s="9" t="s">
        <v>20</v>
      </c>
      <c r="I1583">
        <v>0.92</v>
      </c>
      <c r="J1583">
        <v>0.71</v>
      </c>
      <c r="K1583">
        <v>0.79</v>
      </c>
      <c r="L1583">
        <v>0.09</v>
      </c>
      <c r="M1583">
        <v>0.57999999999999996</v>
      </c>
      <c r="N1583">
        <v>0.82</v>
      </c>
      <c r="O1583">
        <v>0.86</v>
      </c>
      <c r="P1583">
        <v>0.03</v>
      </c>
      <c r="Q1583">
        <v>0.94</v>
      </c>
      <c r="R1583" s="2">
        <v>0.04</v>
      </c>
      <c r="S1583" t="str">
        <f>IF(Table1[[#This Row],[Years_Experience]]&lt;=5,"Early Career",
IF(Table1[[#This Row],[Years_Experience]]&lt;=15,"Mid Career","Senior Level"))</f>
        <v>Early Career</v>
      </c>
      <c r="T1583" t="str">
        <f>IF(Table1[[#This Row],[AI_Exposure_Index]]&gt;=0.7,"High Exposure", IF(Table1[[#This Row],[AI_Exposure_Index]]&gt;=0.3,"Medium Exposure","Low Exposure"))</f>
        <v>Low Exposure</v>
      </c>
    </row>
    <row r="1584" spans="1:20" x14ac:dyDescent="0.25">
      <c r="A1584" t="s">
        <v>21</v>
      </c>
      <c r="B1584">
        <v>101812</v>
      </c>
      <c r="C1584" s="1">
        <v>24</v>
      </c>
      <c r="D1584" t="s">
        <v>19</v>
      </c>
      <c r="E1584" s="7">
        <v>0.59</v>
      </c>
      <c r="F1584" s="2">
        <v>0.57999999999999996</v>
      </c>
      <c r="G1584" s="7">
        <v>0.18</v>
      </c>
      <c r="H1584" s="9" t="s">
        <v>23</v>
      </c>
      <c r="I1584">
        <v>0.05</v>
      </c>
      <c r="J1584">
        <v>0.28999999999999998</v>
      </c>
      <c r="K1584">
        <v>0.45</v>
      </c>
      <c r="L1584">
        <v>0.53</v>
      </c>
      <c r="M1584">
        <v>0.98</v>
      </c>
      <c r="N1584">
        <v>0.98</v>
      </c>
      <c r="O1584">
        <v>0.1</v>
      </c>
      <c r="P1584">
        <v>0.54</v>
      </c>
      <c r="Q1584">
        <v>0.82</v>
      </c>
      <c r="R1584" s="2">
        <v>0.24</v>
      </c>
      <c r="S1584" t="str">
        <f>IF(Table1[[#This Row],[Years_Experience]]&lt;=5,"Early Career",
IF(Table1[[#This Row],[Years_Experience]]&lt;=15,"Mid Career","Senior Level"))</f>
        <v>Senior Level</v>
      </c>
      <c r="T1584" t="str">
        <f>IF(Table1[[#This Row],[AI_Exposure_Index]]&gt;=0.7,"High Exposure", IF(Table1[[#This Row],[AI_Exposure_Index]]&gt;=0.3,"Medium Exposure","Low Exposure"))</f>
        <v>Medium Exposure</v>
      </c>
    </row>
    <row r="1585" spans="1:20" x14ac:dyDescent="0.25">
      <c r="A1585" t="s">
        <v>34</v>
      </c>
      <c r="B1585">
        <v>89199</v>
      </c>
      <c r="C1585" s="1">
        <v>15</v>
      </c>
      <c r="D1585" t="s">
        <v>38</v>
      </c>
      <c r="E1585" s="7">
        <v>1.1599999999999999</v>
      </c>
      <c r="F1585" s="2">
        <v>0.88</v>
      </c>
      <c r="G1585" s="7">
        <v>0.43</v>
      </c>
      <c r="H1585" s="9" t="s">
        <v>27</v>
      </c>
      <c r="I1585">
        <v>0.92</v>
      </c>
      <c r="J1585">
        <v>0.88</v>
      </c>
      <c r="K1585">
        <v>0.72</v>
      </c>
      <c r="L1585">
        <v>0.36</v>
      </c>
      <c r="M1585">
        <v>0.79</v>
      </c>
      <c r="N1585">
        <v>0.32</v>
      </c>
      <c r="O1585">
        <v>0.25</v>
      </c>
      <c r="P1585">
        <v>0.52</v>
      </c>
      <c r="Q1585">
        <v>1</v>
      </c>
      <c r="R1585" s="2">
        <v>0.8</v>
      </c>
      <c r="S1585" t="str">
        <f>IF(Table1[[#This Row],[Years_Experience]]&lt;=5,"Early Career",
IF(Table1[[#This Row],[Years_Experience]]&lt;=15,"Mid Career","Senior Level"))</f>
        <v>Mid Career</v>
      </c>
      <c r="T1585" t="str">
        <f>IF(Table1[[#This Row],[AI_Exposure_Index]]&gt;=0.7,"High Exposure", IF(Table1[[#This Row],[AI_Exposure_Index]]&gt;=0.3,"Medium Exposure","Low Exposure"))</f>
        <v>High Exposure</v>
      </c>
    </row>
    <row r="1586" spans="1:20" x14ac:dyDescent="0.25">
      <c r="A1586" t="s">
        <v>31</v>
      </c>
      <c r="B1586">
        <v>141176</v>
      </c>
      <c r="C1586" s="1">
        <v>2</v>
      </c>
      <c r="D1586" t="s">
        <v>38</v>
      </c>
      <c r="E1586" s="7">
        <v>0.81</v>
      </c>
      <c r="F1586" s="2">
        <v>0.45</v>
      </c>
      <c r="G1586" s="7">
        <v>0.26</v>
      </c>
      <c r="H1586" s="9" t="s">
        <v>23</v>
      </c>
      <c r="I1586">
        <v>0.56999999999999995</v>
      </c>
      <c r="J1586">
        <v>0.81</v>
      </c>
      <c r="K1586">
        <v>0.49</v>
      </c>
      <c r="L1586">
        <v>0.75</v>
      </c>
      <c r="M1586">
        <v>0.87</v>
      </c>
      <c r="N1586">
        <v>0.39</v>
      </c>
      <c r="O1586">
        <v>0.01</v>
      </c>
      <c r="P1586">
        <v>0.25</v>
      </c>
      <c r="Q1586">
        <v>0.91</v>
      </c>
      <c r="R1586" s="2">
        <v>0.69</v>
      </c>
      <c r="S1586" t="str">
        <f>IF(Table1[[#This Row],[Years_Experience]]&lt;=5,"Early Career",
IF(Table1[[#This Row],[Years_Experience]]&lt;=15,"Mid Career","Senior Level"))</f>
        <v>Early Career</v>
      </c>
      <c r="T1586" t="str">
        <f>IF(Table1[[#This Row],[AI_Exposure_Index]]&gt;=0.7,"High Exposure", IF(Table1[[#This Row],[AI_Exposure_Index]]&gt;=0.3,"Medium Exposure","Low Exposure"))</f>
        <v>Medium Exposure</v>
      </c>
    </row>
    <row r="1587" spans="1:20" x14ac:dyDescent="0.25">
      <c r="A1587" t="s">
        <v>26</v>
      </c>
      <c r="B1587">
        <v>53983</v>
      </c>
      <c r="C1587" s="1">
        <v>18</v>
      </c>
      <c r="D1587" t="s">
        <v>25</v>
      </c>
      <c r="E1587" s="7">
        <v>1.2</v>
      </c>
      <c r="F1587" s="2">
        <v>0.33</v>
      </c>
      <c r="G1587" s="7">
        <v>0.56000000000000005</v>
      </c>
      <c r="H1587" s="9" t="s">
        <v>27</v>
      </c>
      <c r="I1587">
        <v>0.18</v>
      </c>
      <c r="J1587">
        <v>0.97</v>
      </c>
      <c r="K1587">
        <v>0.35</v>
      </c>
      <c r="L1587">
        <v>0.33</v>
      </c>
      <c r="M1587">
        <v>0.37</v>
      </c>
      <c r="N1587">
        <v>0.09</v>
      </c>
      <c r="O1587">
        <v>0.62</v>
      </c>
      <c r="P1587">
        <v>0.24</v>
      </c>
      <c r="Q1587">
        <v>0.8</v>
      </c>
      <c r="R1587" s="2">
        <v>0.39</v>
      </c>
      <c r="S1587" t="str">
        <f>IF(Table1[[#This Row],[Years_Experience]]&lt;=5,"Early Career",
IF(Table1[[#This Row],[Years_Experience]]&lt;=15,"Mid Career","Senior Level"))</f>
        <v>Senior Level</v>
      </c>
      <c r="T1587" t="str">
        <f>IF(Table1[[#This Row],[AI_Exposure_Index]]&gt;=0.7,"High Exposure", IF(Table1[[#This Row],[AI_Exposure_Index]]&gt;=0.3,"Medium Exposure","Low Exposure"))</f>
        <v>Medium Exposure</v>
      </c>
    </row>
    <row r="1588" spans="1:20" x14ac:dyDescent="0.25">
      <c r="A1588" t="s">
        <v>33</v>
      </c>
      <c r="B1588">
        <v>35807</v>
      </c>
      <c r="C1588" s="1">
        <v>16</v>
      </c>
      <c r="D1588" t="s">
        <v>19</v>
      </c>
      <c r="E1588" s="7">
        <v>1.26</v>
      </c>
      <c r="F1588" s="2">
        <v>0.65</v>
      </c>
      <c r="G1588" s="7">
        <v>0.76</v>
      </c>
      <c r="H1588" s="9" t="s">
        <v>20</v>
      </c>
      <c r="I1588">
        <v>0.97</v>
      </c>
      <c r="J1588">
        <v>0.62</v>
      </c>
      <c r="K1588">
        <v>0.01</v>
      </c>
      <c r="L1588">
        <v>0.42</v>
      </c>
      <c r="M1588">
        <v>0.44</v>
      </c>
      <c r="N1588">
        <v>0.81</v>
      </c>
      <c r="O1588">
        <v>0.31</v>
      </c>
      <c r="P1588">
        <v>0.33</v>
      </c>
      <c r="Q1588">
        <v>7.0000000000000007E-2</v>
      </c>
      <c r="R1588" s="2">
        <v>0.28000000000000003</v>
      </c>
      <c r="S1588" t="str">
        <f>IF(Table1[[#This Row],[Years_Experience]]&lt;=5,"Early Career",
IF(Table1[[#This Row],[Years_Experience]]&lt;=15,"Mid Career","Senior Level"))</f>
        <v>Senior Level</v>
      </c>
      <c r="T1588" t="str">
        <f>IF(Table1[[#This Row],[AI_Exposure_Index]]&gt;=0.7,"High Exposure", IF(Table1[[#This Row],[AI_Exposure_Index]]&gt;=0.3,"Medium Exposure","Low Exposure"))</f>
        <v>Medium Exposure</v>
      </c>
    </row>
    <row r="1589" spans="1:20" x14ac:dyDescent="0.25">
      <c r="A1589" t="s">
        <v>30</v>
      </c>
      <c r="B1589">
        <v>82546</v>
      </c>
      <c r="C1589" s="1">
        <v>25</v>
      </c>
      <c r="D1589" t="s">
        <v>25</v>
      </c>
      <c r="E1589" s="7">
        <v>0.57999999999999996</v>
      </c>
      <c r="F1589" s="2">
        <v>0.63</v>
      </c>
      <c r="G1589" s="7">
        <v>0.35</v>
      </c>
      <c r="H1589" s="9" t="s">
        <v>27</v>
      </c>
      <c r="I1589">
        <v>0.38</v>
      </c>
      <c r="J1589">
        <v>0.74</v>
      </c>
      <c r="K1589">
        <v>0.83</v>
      </c>
      <c r="L1589">
        <v>0.01</v>
      </c>
      <c r="M1589">
        <v>0.33</v>
      </c>
      <c r="N1589">
        <v>0.42</v>
      </c>
      <c r="O1589">
        <v>0.91</v>
      </c>
      <c r="P1589">
        <v>0.5</v>
      </c>
      <c r="Q1589">
        <v>0.27</v>
      </c>
      <c r="R1589" s="2">
        <v>0.39</v>
      </c>
      <c r="S1589" t="str">
        <f>IF(Table1[[#This Row],[Years_Experience]]&lt;=5,"Early Career",
IF(Table1[[#This Row],[Years_Experience]]&lt;=15,"Mid Career","Senior Level"))</f>
        <v>Senior Level</v>
      </c>
      <c r="T1589" t="str">
        <f>IF(Table1[[#This Row],[AI_Exposure_Index]]&gt;=0.7,"High Exposure", IF(Table1[[#This Row],[AI_Exposure_Index]]&gt;=0.3,"Medium Exposure","Low Exposure"))</f>
        <v>Medium Exposure</v>
      </c>
    </row>
    <row r="1590" spans="1:20" x14ac:dyDescent="0.25">
      <c r="A1590" t="s">
        <v>37</v>
      </c>
      <c r="B1590">
        <v>40987</v>
      </c>
      <c r="C1590" s="1">
        <v>16</v>
      </c>
      <c r="D1590" t="s">
        <v>22</v>
      </c>
      <c r="E1590" s="7">
        <v>0.54</v>
      </c>
      <c r="F1590" s="2">
        <v>0.67</v>
      </c>
      <c r="G1590" s="7">
        <v>0.46</v>
      </c>
      <c r="H1590" s="9" t="s">
        <v>27</v>
      </c>
      <c r="I1590">
        <v>0.65</v>
      </c>
      <c r="J1590">
        <v>0.28000000000000003</v>
      </c>
      <c r="K1590">
        <v>0.59</v>
      </c>
      <c r="L1590">
        <v>0.36</v>
      </c>
      <c r="M1590">
        <v>0.76</v>
      </c>
      <c r="N1590">
        <v>0.06</v>
      </c>
      <c r="O1590">
        <v>0.92</v>
      </c>
      <c r="P1590">
        <v>0.17</v>
      </c>
      <c r="Q1590">
        <v>0.16</v>
      </c>
      <c r="R1590" s="2">
        <v>0.84</v>
      </c>
      <c r="S1590" t="str">
        <f>IF(Table1[[#This Row],[Years_Experience]]&lt;=5,"Early Career",
IF(Table1[[#This Row],[Years_Experience]]&lt;=15,"Mid Career","Senior Level"))</f>
        <v>Senior Level</v>
      </c>
      <c r="T1590" t="str">
        <f>IF(Table1[[#This Row],[AI_Exposure_Index]]&gt;=0.7,"High Exposure", IF(Table1[[#This Row],[AI_Exposure_Index]]&gt;=0.3,"Medium Exposure","Low Exposure"))</f>
        <v>Medium Exposure</v>
      </c>
    </row>
    <row r="1591" spans="1:20" x14ac:dyDescent="0.25">
      <c r="A1591" t="s">
        <v>21</v>
      </c>
      <c r="B1591">
        <v>116856</v>
      </c>
      <c r="C1591" s="1">
        <v>12</v>
      </c>
      <c r="D1591" t="s">
        <v>22</v>
      </c>
      <c r="E1591" s="7">
        <v>1.41</v>
      </c>
      <c r="F1591" s="2">
        <v>0.09</v>
      </c>
      <c r="G1591" s="7">
        <v>0.12</v>
      </c>
      <c r="H1591" s="9" t="s">
        <v>23</v>
      </c>
      <c r="I1591">
        <v>0.62</v>
      </c>
      <c r="J1591">
        <v>7.0000000000000007E-2</v>
      </c>
      <c r="K1591">
        <v>0.38</v>
      </c>
      <c r="L1591">
        <v>0.45</v>
      </c>
      <c r="M1591">
        <v>0.6</v>
      </c>
      <c r="N1591">
        <v>0.53</v>
      </c>
      <c r="O1591">
        <v>0.46</v>
      </c>
      <c r="P1591">
        <v>0.96</v>
      </c>
      <c r="Q1591">
        <v>0.19</v>
      </c>
      <c r="R1591" s="2">
        <v>0.16</v>
      </c>
      <c r="S1591" t="str">
        <f>IF(Table1[[#This Row],[Years_Experience]]&lt;=5,"Early Career",
IF(Table1[[#This Row],[Years_Experience]]&lt;=15,"Mid Career","Senior Level"))</f>
        <v>Mid Career</v>
      </c>
      <c r="T1591" t="str">
        <f>IF(Table1[[#This Row],[AI_Exposure_Index]]&gt;=0.7,"High Exposure", IF(Table1[[#This Row],[AI_Exposure_Index]]&gt;=0.3,"Medium Exposure","Low Exposure"))</f>
        <v>Low Exposure</v>
      </c>
    </row>
    <row r="1592" spans="1:20" x14ac:dyDescent="0.25">
      <c r="A1592" t="s">
        <v>26</v>
      </c>
      <c r="B1592">
        <v>71397</v>
      </c>
      <c r="C1592" s="1">
        <v>15</v>
      </c>
      <c r="D1592" t="s">
        <v>25</v>
      </c>
      <c r="E1592" s="7">
        <v>0.98</v>
      </c>
      <c r="F1592" s="2">
        <v>7.0000000000000007E-2</v>
      </c>
      <c r="G1592" s="7">
        <v>0.49</v>
      </c>
      <c r="H1592" s="9" t="s">
        <v>27</v>
      </c>
      <c r="I1592">
        <v>0.31</v>
      </c>
      <c r="J1592">
        <v>0.93</v>
      </c>
      <c r="K1592">
        <v>0.28000000000000003</v>
      </c>
      <c r="L1592">
        <v>0.28999999999999998</v>
      </c>
      <c r="M1592">
        <v>0.23</v>
      </c>
      <c r="N1592">
        <v>0.15</v>
      </c>
      <c r="O1592">
        <v>0.36</v>
      </c>
      <c r="P1592">
        <v>0.68</v>
      </c>
      <c r="Q1592">
        <v>0.74</v>
      </c>
      <c r="R1592" s="2">
        <v>0.81</v>
      </c>
      <c r="S1592" t="str">
        <f>IF(Table1[[#This Row],[Years_Experience]]&lt;=5,"Early Career",
IF(Table1[[#This Row],[Years_Experience]]&lt;=15,"Mid Career","Senior Level"))</f>
        <v>Mid Career</v>
      </c>
      <c r="T1592" t="str">
        <f>IF(Table1[[#This Row],[AI_Exposure_Index]]&gt;=0.7,"High Exposure", IF(Table1[[#This Row],[AI_Exposure_Index]]&gt;=0.3,"Medium Exposure","Low Exposure"))</f>
        <v>Low Exposure</v>
      </c>
    </row>
    <row r="1593" spans="1:20" x14ac:dyDescent="0.25">
      <c r="A1593" t="s">
        <v>18</v>
      </c>
      <c r="B1593">
        <v>45456</v>
      </c>
      <c r="C1593" s="1">
        <v>20</v>
      </c>
      <c r="D1593" t="s">
        <v>25</v>
      </c>
      <c r="E1593" s="7">
        <v>1.47</v>
      </c>
      <c r="F1593" s="2">
        <v>0.04</v>
      </c>
      <c r="G1593" s="7">
        <v>0.7</v>
      </c>
      <c r="H1593" s="9" t="s">
        <v>27</v>
      </c>
      <c r="I1593">
        <v>0.96</v>
      </c>
      <c r="J1593">
        <v>0.83</v>
      </c>
      <c r="K1593">
        <v>0.91</v>
      </c>
      <c r="L1593">
        <v>0.39</v>
      </c>
      <c r="M1593">
        <v>0.2</v>
      </c>
      <c r="N1593">
        <v>0.61</v>
      </c>
      <c r="O1593">
        <v>0.74</v>
      </c>
      <c r="P1593">
        <v>0.13</v>
      </c>
      <c r="Q1593">
        <v>0.8</v>
      </c>
      <c r="R1593" s="2">
        <v>0.21</v>
      </c>
      <c r="S1593" t="str">
        <f>IF(Table1[[#This Row],[Years_Experience]]&lt;=5,"Early Career",
IF(Table1[[#This Row],[Years_Experience]]&lt;=15,"Mid Career","Senior Level"))</f>
        <v>Senior Level</v>
      </c>
      <c r="T1593" t="str">
        <f>IF(Table1[[#This Row],[AI_Exposure_Index]]&gt;=0.7,"High Exposure", IF(Table1[[#This Row],[AI_Exposure_Index]]&gt;=0.3,"Medium Exposure","Low Exposure"))</f>
        <v>Low Exposure</v>
      </c>
    </row>
    <row r="1594" spans="1:20" x14ac:dyDescent="0.25">
      <c r="A1594" t="s">
        <v>37</v>
      </c>
      <c r="B1594">
        <v>66911</v>
      </c>
      <c r="C1594" s="1">
        <v>11</v>
      </c>
      <c r="D1594" t="s">
        <v>25</v>
      </c>
      <c r="E1594" s="7">
        <v>0.69</v>
      </c>
      <c r="F1594" s="2">
        <v>0.86</v>
      </c>
      <c r="G1594" s="7">
        <v>0.4</v>
      </c>
      <c r="H1594" s="9" t="s">
        <v>27</v>
      </c>
      <c r="I1594">
        <v>0.06</v>
      </c>
      <c r="J1594">
        <v>0.15</v>
      </c>
      <c r="K1594">
        <v>0.15</v>
      </c>
      <c r="L1594">
        <v>0.2</v>
      </c>
      <c r="M1594">
        <v>0.28999999999999998</v>
      </c>
      <c r="N1594">
        <v>0.81</v>
      </c>
      <c r="O1594">
        <v>0.92</v>
      </c>
      <c r="P1594">
        <v>0.41</v>
      </c>
      <c r="Q1594">
        <v>0.13</v>
      </c>
      <c r="R1594" s="2">
        <v>0.22</v>
      </c>
      <c r="S1594" t="str">
        <f>IF(Table1[[#This Row],[Years_Experience]]&lt;=5,"Early Career",
IF(Table1[[#This Row],[Years_Experience]]&lt;=15,"Mid Career","Senior Level"))</f>
        <v>Mid Career</v>
      </c>
      <c r="T1594" t="str">
        <f>IF(Table1[[#This Row],[AI_Exposure_Index]]&gt;=0.7,"High Exposure", IF(Table1[[#This Row],[AI_Exposure_Index]]&gt;=0.3,"Medium Exposure","Low Exposure"))</f>
        <v>High Exposure</v>
      </c>
    </row>
    <row r="1595" spans="1:20" x14ac:dyDescent="0.25">
      <c r="A1595" t="s">
        <v>39</v>
      </c>
      <c r="B1595">
        <v>34852</v>
      </c>
      <c r="C1595" s="1">
        <v>19</v>
      </c>
      <c r="D1595" t="s">
        <v>25</v>
      </c>
      <c r="E1595" s="7">
        <v>1.03</v>
      </c>
      <c r="F1595" s="2">
        <v>0.08</v>
      </c>
      <c r="G1595" s="7">
        <v>0.9</v>
      </c>
      <c r="H1595" s="9" t="s">
        <v>20</v>
      </c>
      <c r="I1595">
        <v>0.08</v>
      </c>
      <c r="J1595">
        <v>0.89</v>
      </c>
      <c r="K1595">
        <v>0.57999999999999996</v>
      </c>
      <c r="L1595">
        <v>0.95</v>
      </c>
      <c r="M1595">
        <v>0.15</v>
      </c>
      <c r="N1595">
        <v>0.99</v>
      </c>
      <c r="O1595">
        <v>0.64</v>
      </c>
      <c r="P1595">
        <v>0.56999999999999995</v>
      </c>
      <c r="Q1595">
        <v>0.52</v>
      </c>
      <c r="R1595" s="2">
        <v>0.02</v>
      </c>
      <c r="S1595" t="str">
        <f>IF(Table1[[#This Row],[Years_Experience]]&lt;=5,"Early Career",
IF(Table1[[#This Row],[Years_Experience]]&lt;=15,"Mid Career","Senior Level"))</f>
        <v>Senior Level</v>
      </c>
      <c r="T1595" t="str">
        <f>IF(Table1[[#This Row],[AI_Exposure_Index]]&gt;=0.7,"High Exposure", IF(Table1[[#This Row],[AI_Exposure_Index]]&gt;=0.3,"Medium Exposure","Low Exposure"))</f>
        <v>Low Exposure</v>
      </c>
    </row>
    <row r="1596" spans="1:20" x14ac:dyDescent="0.25">
      <c r="A1596" t="s">
        <v>36</v>
      </c>
      <c r="B1596">
        <v>42705</v>
      </c>
      <c r="C1596" s="1">
        <v>27</v>
      </c>
      <c r="D1596" t="s">
        <v>38</v>
      </c>
      <c r="E1596" s="7">
        <v>0.59</v>
      </c>
      <c r="F1596" s="2">
        <v>0.64</v>
      </c>
      <c r="G1596" s="7">
        <v>0.31</v>
      </c>
      <c r="H1596" s="9" t="s">
        <v>27</v>
      </c>
      <c r="I1596">
        <v>0.05</v>
      </c>
      <c r="J1596">
        <v>0.61</v>
      </c>
      <c r="K1596">
        <v>0.61</v>
      </c>
      <c r="L1596">
        <v>0.5</v>
      </c>
      <c r="M1596">
        <v>0.31</v>
      </c>
      <c r="N1596">
        <v>0.53</v>
      </c>
      <c r="O1596">
        <v>0.52</v>
      </c>
      <c r="P1596">
        <v>0.02</v>
      </c>
      <c r="Q1596">
        <v>0.28000000000000003</v>
      </c>
      <c r="R1596" s="2">
        <v>0.05</v>
      </c>
      <c r="S1596" t="str">
        <f>IF(Table1[[#This Row],[Years_Experience]]&lt;=5,"Early Career",
IF(Table1[[#This Row],[Years_Experience]]&lt;=15,"Mid Career","Senior Level"))</f>
        <v>Senior Level</v>
      </c>
      <c r="T1596" t="str">
        <f>IF(Table1[[#This Row],[AI_Exposure_Index]]&gt;=0.7,"High Exposure", IF(Table1[[#This Row],[AI_Exposure_Index]]&gt;=0.3,"Medium Exposure","Low Exposure"))</f>
        <v>Medium Exposure</v>
      </c>
    </row>
    <row r="1597" spans="1:20" x14ac:dyDescent="0.25">
      <c r="A1597" t="s">
        <v>43</v>
      </c>
      <c r="B1597">
        <v>65495</v>
      </c>
      <c r="C1597" s="1">
        <v>23</v>
      </c>
      <c r="D1597" t="s">
        <v>22</v>
      </c>
      <c r="E1597" s="7">
        <v>1.5</v>
      </c>
      <c r="F1597" s="2">
        <v>0.73</v>
      </c>
      <c r="G1597" s="7">
        <v>0.13</v>
      </c>
      <c r="H1597" s="9" t="s">
        <v>23</v>
      </c>
      <c r="I1597">
        <v>0.88</v>
      </c>
      <c r="J1597">
        <v>0.6</v>
      </c>
      <c r="K1597">
        <v>0.45</v>
      </c>
      <c r="L1597">
        <v>0.22</v>
      </c>
      <c r="M1597">
        <v>0.74</v>
      </c>
      <c r="N1597">
        <v>0.9</v>
      </c>
      <c r="O1597">
        <v>0.24</v>
      </c>
      <c r="P1597">
        <v>0.18</v>
      </c>
      <c r="Q1597">
        <v>0.7</v>
      </c>
      <c r="R1597" s="2">
        <v>0.98</v>
      </c>
      <c r="S1597" t="str">
        <f>IF(Table1[[#This Row],[Years_Experience]]&lt;=5,"Early Career",
IF(Table1[[#This Row],[Years_Experience]]&lt;=15,"Mid Career","Senior Level"))</f>
        <v>Senior Level</v>
      </c>
      <c r="T1597" t="str">
        <f>IF(Table1[[#This Row],[AI_Exposure_Index]]&gt;=0.7,"High Exposure", IF(Table1[[#This Row],[AI_Exposure_Index]]&gt;=0.3,"Medium Exposure","Low Exposure"))</f>
        <v>High Exposure</v>
      </c>
    </row>
    <row r="1598" spans="1:20" x14ac:dyDescent="0.25">
      <c r="A1598" t="s">
        <v>41</v>
      </c>
      <c r="B1598">
        <v>99282</v>
      </c>
      <c r="C1598" s="1">
        <v>2</v>
      </c>
      <c r="D1598" t="s">
        <v>19</v>
      </c>
      <c r="E1598" s="7">
        <v>0.92</v>
      </c>
      <c r="F1598" s="2">
        <v>0.28000000000000003</v>
      </c>
      <c r="G1598" s="7">
        <v>0.8</v>
      </c>
      <c r="H1598" s="9" t="s">
        <v>20</v>
      </c>
      <c r="I1598">
        <v>0.85</v>
      </c>
      <c r="J1598">
        <v>0.77</v>
      </c>
      <c r="K1598">
        <v>0.59</v>
      </c>
      <c r="L1598">
        <v>0.27</v>
      </c>
      <c r="M1598">
        <v>0.94</v>
      </c>
      <c r="N1598">
        <v>0.65</v>
      </c>
      <c r="O1598">
        <v>0.97</v>
      </c>
      <c r="P1598">
        <v>0.57999999999999996</v>
      </c>
      <c r="Q1598">
        <v>0.82</v>
      </c>
      <c r="R1598" s="2">
        <v>0.81</v>
      </c>
      <c r="S1598" t="str">
        <f>IF(Table1[[#This Row],[Years_Experience]]&lt;=5,"Early Career",
IF(Table1[[#This Row],[Years_Experience]]&lt;=15,"Mid Career","Senior Level"))</f>
        <v>Early Career</v>
      </c>
      <c r="T1598" t="str">
        <f>IF(Table1[[#This Row],[AI_Exposure_Index]]&gt;=0.7,"High Exposure", IF(Table1[[#This Row],[AI_Exposure_Index]]&gt;=0.3,"Medium Exposure","Low Exposure"))</f>
        <v>Low Exposure</v>
      </c>
    </row>
    <row r="1599" spans="1:20" x14ac:dyDescent="0.25">
      <c r="A1599" t="s">
        <v>26</v>
      </c>
      <c r="B1599">
        <v>107275</v>
      </c>
      <c r="C1599" s="1">
        <v>19</v>
      </c>
      <c r="D1599" t="s">
        <v>19</v>
      </c>
      <c r="E1599" s="7">
        <v>0.52</v>
      </c>
      <c r="F1599" s="2">
        <v>0.96</v>
      </c>
      <c r="G1599" s="7">
        <v>0.61</v>
      </c>
      <c r="H1599" s="9" t="s">
        <v>27</v>
      </c>
      <c r="I1599">
        <v>0.97</v>
      </c>
      <c r="J1599">
        <v>0.34</v>
      </c>
      <c r="K1599">
        <v>0.65</v>
      </c>
      <c r="L1599">
        <v>0.56000000000000005</v>
      </c>
      <c r="M1599">
        <v>0.76</v>
      </c>
      <c r="N1599">
        <v>0.87</v>
      </c>
      <c r="O1599">
        <v>0.6</v>
      </c>
      <c r="P1599">
        <v>0.82</v>
      </c>
      <c r="Q1599">
        <v>0.31</v>
      </c>
      <c r="R1599" s="2">
        <v>0.23</v>
      </c>
      <c r="S1599" t="str">
        <f>IF(Table1[[#This Row],[Years_Experience]]&lt;=5,"Early Career",
IF(Table1[[#This Row],[Years_Experience]]&lt;=15,"Mid Career","Senior Level"))</f>
        <v>Senior Level</v>
      </c>
      <c r="T1599" t="str">
        <f>IF(Table1[[#This Row],[AI_Exposure_Index]]&gt;=0.7,"High Exposure", IF(Table1[[#This Row],[AI_Exposure_Index]]&gt;=0.3,"Medium Exposure","Low Exposure"))</f>
        <v>High Exposure</v>
      </c>
    </row>
    <row r="1600" spans="1:20" x14ac:dyDescent="0.25">
      <c r="A1600" t="s">
        <v>28</v>
      </c>
      <c r="B1600">
        <v>45573</v>
      </c>
      <c r="C1600" s="1">
        <v>2</v>
      </c>
      <c r="D1600" t="s">
        <v>25</v>
      </c>
      <c r="E1600" s="7">
        <v>0.69</v>
      </c>
      <c r="F1600" s="2">
        <v>0.68</v>
      </c>
      <c r="G1600" s="7">
        <v>0.56999999999999995</v>
      </c>
      <c r="H1600" s="9" t="s">
        <v>27</v>
      </c>
      <c r="I1600">
        <v>0.39</v>
      </c>
      <c r="J1600">
        <v>0.8</v>
      </c>
      <c r="K1600">
        <v>0.04</v>
      </c>
      <c r="L1600">
        <v>0.67</v>
      </c>
      <c r="M1600">
        <v>0.65</v>
      </c>
      <c r="N1600">
        <v>0.94</v>
      </c>
      <c r="O1600">
        <v>0.71</v>
      </c>
      <c r="P1600">
        <v>0.8</v>
      </c>
      <c r="Q1600">
        <v>0.9</v>
      </c>
      <c r="R1600" s="2">
        <v>0.68</v>
      </c>
      <c r="S1600" t="str">
        <f>IF(Table1[[#This Row],[Years_Experience]]&lt;=5,"Early Career",
IF(Table1[[#This Row],[Years_Experience]]&lt;=15,"Mid Career","Senior Level"))</f>
        <v>Early Career</v>
      </c>
      <c r="T1600" t="str">
        <f>IF(Table1[[#This Row],[AI_Exposure_Index]]&gt;=0.7,"High Exposure", IF(Table1[[#This Row],[AI_Exposure_Index]]&gt;=0.3,"Medium Exposure","Low Exposure"))</f>
        <v>Medium Exposure</v>
      </c>
    </row>
    <row r="1601" spans="1:20" x14ac:dyDescent="0.25">
      <c r="A1601" t="s">
        <v>37</v>
      </c>
      <c r="B1601">
        <v>128853</v>
      </c>
      <c r="C1601" s="1">
        <v>20</v>
      </c>
      <c r="D1601" t="s">
        <v>38</v>
      </c>
      <c r="E1601" s="7">
        <v>1.25</v>
      </c>
      <c r="F1601" s="2">
        <v>0.87</v>
      </c>
      <c r="G1601" s="7">
        <v>0.47</v>
      </c>
      <c r="H1601" s="9" t="s">
        <v>27</v>
      </c>
      <c r="I1601">
        <v>0.71</v>
      </c>
      <c r="J1601">
        <v>0.87</v>
      </c>
      <c r="K1601">
        <v>0.98</v>
      </c>
      <c r="L1601">
        <v>0.95</v>
      </c>
      <c r="M1601">
        <v>0.33</v>
      </c>
      <c r="N1601">
        <v>0.42</v>
      </c>
      <c r="O1601">
        <v>0.11</v>
      </c>
      <c r="P1601">
        <v>0.25</v>
      </c>
      <c r="Q1601">
        <v>0.88</v>
      </c>
      <c r="R1601" s="2">
        <v>0.36</v>
      </c>
      <c r="S1601" t="str">
        <f>IF(Table1[[#This Row],[Years_Experience]]&lt;=5,"Early Career",
IF(Table1[[#This Row],[Years_Experience]]&lt;=15,"Mid Career","Senior Level"))</f>
        <v>Senior Level</v>
      </c>
      <c r="T1601" t="str">
        <f>IF(Table1[[#This Row],[AI_Exposure_Index]]&gt;=0.7,"High Exposure", IF(Table1[[#This Row],[AI_Exposure_Index]]&gt;=0.3,"Medium Exposure","Low Exposure"))</f>
        <v>High Exposure</v>
      </c>
    </row>
    <row r="1602" spans="1:20" x14ac:dyDescent="0.25">
      <c r="A1602" t="s">
        <v>34</v>
      </c>
      <c r="B1602">
        <v>65314</v>
      </c>
      <c r="C1602" s="1">
        <v>24</v>
      </c>
      <c r="D1602" t="s">
        <v>19</v>
      </c>
      <c r="E1602" s="7">
        <v>1.28</v>
      </c>
      <c r="F1602" s="2">
        <v>0.67</v>
      </c>
      <c r="G1602" s="7">
        <v>0.37</v>
      </c>
      <c r="H1602" s="9" t="s">
        <v>27</v>
      </c>
      <c r="I1602">
        <v>0.3</v>
      </c>
      <c r="J1602">
        <v>0.45</v>
      </c>
      <c r="K1602">
        <v>0.36</v>
      </c>
      <c r="L1602">
        <v>0.98</v>
      </c>
      <c r="M1602">
        <v>0.83</v>
      </c>
      <c r="N1602">
        <v>0.48</v>
      </c>
      <c r="O1602">
        <v>0.88</v>
      </c>
      <c r="P1602">
        <v>0.35</v>
      </c>
      <c r="Q1602">
        <v>0.79</v>
      </c>
      <c r="R1602" s="2">
        <v>0.22</v>
      </c>
      <c r="S1602" t="str">
        <f>IF(Table1[[#This Row],[Years_Experience]]&lt;=5,"Early Career",
IF(Table1[[#This Row],[Years_Experience]]&lt;=15,"Mid Career","Senior Level"))</f>
        <v>Senior Level</v>
      </c>
      <c r="T1602" t="str">
        <f>IF(Table1[[#This Row],[AI_Exposure_Index]]&gt;=0.7,"High Exposure", IF(Table1[[#This Row],[AI_Exposure_Index]]&gt;=0.3,"Medium Exposure","Low Exposure"))</f>
        <v>Medium Exposure</v>
      </c>
    </row>
    <row r="1603" spans="1:20" x14ac:dyDescent="0.25">
      <c r="A1603" t="s">
        <v>40</v>
      </c>
      <c r="B1603">
        <v>88826</v>
      </c>
      <c r="C1603" s="1">
        <v>6</v>
      </c>
      <c r="D1603" t="s">
        <v>22</v>
      </c>
      <c r="E1603" s="7">
        <v>0.61</v>
      </c>
      <c r="F1603" s="2">
        <v>0.46</v>
      </c>
      <c r="G1603" s="7">
        <v>0.12</v>
      </c>
      <c r="H1603" s="9" t="s">
        <v>23</v>
      </c>
      <c r="I1603">
        <v>0.4</v>
      </c>
      <c r="J1603">
        <v>0.75</v>
      </c>
      <c r="K1603">
        <v>7.0000000000000007E-2</v>
      </c>
      <c r="L1603">
        <v>0.66</v>
      </c>
      <c r="M1603">
        <v>0.72</v>
      </c>
      <c r="N1603">
        <v>0.65</v>
      </c>
      <c r="O1603">
        <v>0.76</v>
      </c>
      <c r="P1603">
        <v>0.18</v>
      </c>
      <c r="Q1603">
        <v>0.59</v>
      </c>
      <c r="R1603" s="2">
        <v>0.94</v>
      </c>
      <c r="S1603" t="str">
        <f>IF(Table1[[#This Row],[Years_Experience]]&lt;=5,"Early Career",
IF(Table1[[#This Row],[Years_Experience]]&lt;=15,"Mid Career","Senior Level"))</f>
        <v>Mid Career</v>
      </c>
      <c r="T1603" t="str">
        <f>IF(Table1[[#This Row],[AI_Exposure_Index]]&gt;=0.7,"High Exposure", IF(Table1[[#This Row],[AI_Exposure_Index]]&gt;=0.3,"Medium Exposure","Low Exposure"))</f>
        <v>Medium Exposure</v>
      </c>
    </row>
    <row r="1604" spans="1:20" x14ac:dyDescent="0.25">
      <c r="A1604" t="s">
        <v>41</v>
      </c>
      <c r="B1604">
        <v>53449</v>
      </c>
      <c r="C1604" s="1">
        <v>17</v>
      </c>
      <c r="D1604" t="s">
        <v>19</v>
      </c>
      <c r="E1604" s="7">
        <v>1.24</v>
      </c>
      <c r="F1604" s="2">
        <v>0.61</v>
      </c>
      <c r="G1604" s="7">
        <v>0.78</v>
      </c>
      <c r="H1604" s="9" t="s">
        <v>20</v>
      </c>
      <c r="I1604">
        <v>0.7</v>
      </c>
      <c r="J1604">
        <v>0.92</v>
      </c>
      <c r="K1604">
        <v>0.01</v>
      </c>
      <c r="L1604">
        <v>0.87</v>
      </c>
      <c r="M1604">
        <v>0.22</v>
      </c>
      <c r="N1604">
        <v>0.46</v>
      </c>
      <c r="O1604">
        <v>0.85</v>
      </c>
      <c r="P1604">
        <v>0.82</v>
      </c>
      <c r="Q1604">
        <v>0.89</v>
      </c>
      <c r="R1604" s="2">
        <v>0.94</v>
      </c>
      <c r="S1604" t="str">
        <f>IF(Table1[[#This Row],[Years_Experience]]&lt;=5,"Early Career",
IF(Table1[[#This Row],[Years_Experience]]&lt;=15,"Mid Career","Senior Level"))</f>
        <v>Senior Level</v>
      </c>
      <c r="T1604" t="str">
        <f>IF(Table1[[#This Row],[AI_Exposure_Index]]&gt;=0.7,"High Exposure", IF(Table1[[#This Row],[AI_Exposure_Index]]&gt;=0.3,"Medium Exposure","Low Exposure"))</f>
        <v>Medium Exposure</v>
      </c>
    </row>
    <row r="1605" spans="1:20" x14ac:dyDescent="0.25">
      <c r="A1605" t="s">
        <v>44</v>
      </c>
      <c r="B1605">
        <v>87564</v>
      </c>
      <c r="C1605" s="1">
        <v>27</v>
      </c>
      <c r="D1605" t="s">
        <v>22</v>
      </c>
      <c r="E1605" s="7">
        <v>0.89</v>
      </c>
      <c r="F1605" s="2">
        <v>0.66</v>
      </c>
      <c r="G1605" s="7">
        <v>0.44</v>
      </c>
      <c r="H1605" s="9" t="s">
        <v>27</v>
      </c>
      <c r="I1605">
        <v>0.43</v>
      </c>
      <c r="J1605">
        <v>0.74</v>
      </c>
      <c r="K1605">
        <v>0.5</v>
      </c>
      <c r="L1605">
        <v>0.81</v>
      </c>
      <c r="M1605">
        <v>0.75</v>
      </c>
      <c r="N1605">
        <v>0.02</v>
      </c>
      <c r="O1605">
        <v>0.63</v>
      </c>
      <c r="P1605">
        <v>0.44</v>
      </c>
      <c r="Q1605">
        <v>0.46</v>
      </c>
      <c r="R1605" s="2">
        <v>0.82</v>
      </c>
      <c r="S1605" t="str">
        <f>IF(Table1[[#This Row],[Years_Experience]]&lt;=5,"Early Career",
IF(Table1[[#This Row],[Years_Experience]]&lt;=15,"Mid Career","Senior Level"))</f>
        <v>Senior Level</v>
      </c>
      <c r="T1605" t="str">
        <f>IF(Table1[[#This Row],[AI_Exposure_Index]]&gt;=0.7,"High Exposure", IF(Table1[[#This Row],[AI_Exposure_Index]]&gt;=0.3,"Medium Exposure","Low Exposure"))</f>
        <v>Medium Exposure</v>
      </c>
    </row>
    <row r="1606" spans="1:20" x14ac:dyDescent="0.25">
      <c r="A1606" t="s">
        <v>21</v>
      </c>
      <c r="B1606">
        <v>32405</v>
      </c>
      <c r="C1606" s="1">
        <v>3</v>
      </c>
      <c r="D1606" t="s">
        <v>19</v>
      </c>
      <c r="E1606" s="7">
        <v>1.21</v>
      </c>
      <c r="F1606" s="2">
        <v>0.89</v>
      </c>
      <c r="G1606" s="7">
        <v>0.19</v>
      </c>
      <c r="H1606" s="9" t="s">
        <v>23</v>
      </c>
      <c r="I1606">
        <v>0.75</v>
      </c>
      <c r="J1606">
        <v>0.04</v>
      </c>
      <c r="K1606">
        <v>0.03</v>
      </c>
      <c r="L1606">
        <v>0.08</v>
      </c>
      <c r="M1606">
        <v>0.44</v>
      </c>
      <c r="N1606">
        <v>0.24</v>
      </c>
      <c r="O1606">
        <v>0.98</v>
      </c>
      <c r="P1606">
        <v>0.54</v>
      </c>
      <c r="Q1606">
        <v>0.66</v>
      </c>
      <c r="R1606" s="2">
        <v>0.28000000000000003</v>
      </c>
      <c r="S1606" t="str">
        <f>IF(Table1[[#This Row],[Years_Experience]]&lt;=5,"Early Career",
IF(Table1[[#This Row],[Years_Experience]]&lt;=15,"Mid Career","Senior Level"))</f>
        <v>Early Career</v>
      </c>
      <c r="T1606" t="str">
        <f>IF(Table1[[#This Row],[AI_Exposure_Index]]&gt;=0.7,"High Exposure", IF(Table1[[#This Row],[AI_Exposure_Index]]&gt;=0.3,"Medium Exposure","Low Exposure"))</f>
        <v>High Exposure</v>
      </c>
    </row>
    <row r="1607" spans="1:20" x14ac:dyDescent="0.25">
      <c r="A1607" t="s">
        <v>44</v>
      </c>
      <c r="B1607">
        <v>114028</v>
      </c>
      <c r="C1607" s="1">
        <v>2</v>
      </c>
      <c r="D1607" t="s">
        <v>25</v>
      </c>
      <c r="E1607" s="7">
        <v>1.2</v>
      </c>
      <c r="F1607" s="2">
        <v>0.34</v>
      </c>
      <c r="G1607" s="7">
        <v>0.49</v>
      </c>
      <c r="H1607" s="9" t="s">
        <v>27</v>
      </c>
      <c r="I1607">
        <v>0.52</v>
      </c>
      <c r="J1607">
        <v>0.59</v>
      </c>
      <c r="K1607">
        <v>0.77</v>
      </c>
      <c r="L1607">
        <v>0.09</v>
      </c>
      <c r="M1607">
        <v>0.78</v>
      </c>
      <c r="N1607">
        <v>0.56000000000000005</v>
      </c>
      <c r="O1607">
        <v>0.67</v>
      </c>
      <c r="P1607">
        <v>0.33</v>
      </c>
      <c r="Q1607">
        <v>0.41</v>
      </c>
      <c r="R1607" s="2">
        <v>0.23</v>
      </c>
      <c r="S1607" t="str">
        <f>IF(Table1[[#This Row],[Years_Experience]]&lt;=5,"Early Career",
IF(Table1[[#This Row],[Years_Experience]]&lt;=15,"Mid Career","Senior Level"))</f>
        <v>Early Career</v>
      </c>
      <c r="T1607" t="str">
        <f>IF(Table1[[#This Row],[AI_Exposure_Index]]&gt;=0.7,"High Exposure", IF(Table1[[#This Row],[AI_Exposure_Index]]&gt;=0.3,"Medium Exposure","Low Exposure"))</f>
        <v>Medium Exposure</v>
      </c>
    </row>
    <row r="1608" spans="1:20" x14ac:dyDescent="0.25">
      <c r="A1608" t="s">
        <v>24</v>
      </c>
      <c r="B1608">
        <v>122061</v>
      </c>
      <c r="C1608" s="1">
        <v>20</v>
      </c>
      <c r="D1608" t="s">
        <v>22</v>
      </c>
      <c r="E1608" s="7">
        <v>1.5</v>
      </c>
      <c r="F1608" s="2">
        <v>0.5</v>
      </c>
      <c r="G1608" s="7">
        <v>0.82</v>
      </c>
      <c r="H1608" s="9" t="s">
        <v>20</v>
      </c>
      <c r="I1608">
        <v>0.22</v>
      </c>
      <c r="J1608">
        <v>0.51</v>
      </c>
      <c r="K1608">
        <v>0.04</v>
      </c>
      <c r="L1608">
        <v>0.9</v>
      </c>
      <c r="M1608">
        <v>0.82</v>
      </c>
      <c r="N1608">
        <v>0.73</v>
      </c>
      <c r="O1608">
        <v>0.61</v>
      </c>
      <c r="P1608">
        <v>0.57999999999999996</v>
      </c>
      <c r="Q1608">
        <v>1</v>
      </c>
      <c r="R1608" s="2">
        <v>0.28000000000000003</v>
      </c>
      <c r="S1608" t="str">
        <f>IF(Table1[[#This Row],[Years_Experience]]&lt;=5,"Early Career",
IF(Table1[[#This Row],[Years_Experience]]&lt;=15,"Mid Career","Senior Level"))</f>
        <v>Senior Level</v>
      </c>
      <c r="T1608" t="str">
        <f>IF(Table1[[#This Row],[AI_Exposure_Index]]&gt;=0.7,"High Exposure", IF(Table1[[#This Row],[AI_Exposure_Index]]&gt;=0.3,"Medium Exposure","Low Exposure"))</f>
        <v>Medium Exposure</v>
      </c>
    </row>
    <row r="1609" spans="1:20" x14ac:dyDescent="0.25">
      <c r="A1609" t="s">
        <v>34</v>
      </c>
      <c r="B1609">
        <v>121396</v>
      </c>
      <c r="C1609" s="1">
        <v>16</v>
      </c>
      <c r="D1609" t="s">
        <v>22</v>
      </c>
      <c r="E1609" s="7">
        <v>0.88</v>
      </c>
      <c r="F1609" s="2">
        <v>0.31</v>
      </c>
      <c r="G1609" s="7">
        <v>0.5</v>
      </c>
      <c r="H1609" s="9" t="s">
        <v>27</v>
      </c>
      <c r="I1609">
        <v>0.02</v>
      </c>
      <c r="J1609">
        <v>0.08</v>
      </c>
      <c r="K1609">
        <v>0.26</v>
      </c>
      <c r="L1609">
        <v>0.55000000000000004</v>
      </c>
      <c r="M1609">
        <v>0.77</v>
      </c>
      <c r="N1609">
        <v>0.69</v>
      </c>
      <c r="O1609">
        <v>0.56999999999999995</v>
      </c>
      <c r="P1609">
        <v>0.4</v>
      </c>
      <c r="Q1609">
        <v>0.87</v>
      </c>
      <c r="R1609" s="2">
        <v>0.46</v>
      </c>
      <c r="S1609" t="str">
        <f>IF(Table1[[#This Row],[Years_Experience]]&lt;=5,"Early Career",
IF(Table1[[#This Row],[Years_Experience]]&lt;=15,"Mid Career","Senior Level"))</f>
        <v>Senior Level</v>
      </c>
      <c r="T1609" t="str">
        <f>IF(Table1[[#This Row],[AI_Exposure_Index]]&gt;=0.7,"High Exposure", IF(Table1[[#This Row],[AI_Exposure_Index]]&gt;=0.3,"Medium Exposure","Low Exposure"))</f>
        <v>Medium Exposure</v>
      </c>
    </row>
    <row r="1610" spans="1:20" x14ac:dyDescent="0.25">
      <c r="A1610" t="s">
        <v>40</v>
      </c>
      <c r="B1610">
        <v>87454</v>
      </c>
      <c r="C1610" s="1">
        <v>15</v>
      </c>
      <c r="D1610" t="s">
        <v>22</v>
      </c>
      <c r="E1610" s="7">
        <v>0.86</v>
      </c>
      <c r="F1610" s="2">
        <v>0.27</v>
      </c>
      <c r="G1610" s="7">
        <v>0.28999999999999998</v>
      </c>
      <c r="H1610" s="9" t="s">
        <v>23</v>
      </c>
      <c r="I1610">
        <v>0.24</v>
      </c>
      <c r="J1610">
        <v>0.1</v>
      </c>
      <c r="K1610">
        <v>7.0000000000000007E-2</v>
      </c>
      <c r="L1610">
        <v>0.5</v>
      </c>
      <c r="M1610">
        <v>0.64</v>
      </c>
      <c r="N1610">
        <v>0.33</v>
      </c>
      <c r="O1610">
        <v>0.69</v>
      </c>
      <c r="P1610">
        <v>0.06</v>
      </c>
      <c r="Q1610">
        <v>0.86</v>
      </c>
      <c r="R1610" s="2">
        <v>0.82</v>
      </c>
      <c r="S1610" t="str">
        <f>IF(Table1[[#This Row],[Years_Experience]]&lt;=5,"Early Career",
IF(Table1[[#This Row],[Years_Experience]]&lt;=15,"Mid Career","Senior Level"))</f>
        <v>Mid Career</v>
      </c>
      <c r="T1610" t="str">
        <f>IF(Table1[[#This Row],[AI_Exposure_Index]]&gt;=0.7,"High Exposure", IF(Table1[[#This Row],[AI_Exposure_Index]]&gt;=0.3,"Medium Exposure","Low Exposure"))</f>
        <v>Low Exposure</v>
      </c>
    </row>
    <row r="1611" spans="1:20" x14ac:dyDescent="0.25">
      <c r="A1611" t="s">
        <v>31</v>
      </c>
      <c r="B1611">
        <v>127216</v>
      </c>
      <c r="C1611" s="1">
        <v>7</v>
      </c>
      <c r="D1611" t="s">
        <v>19</v>
      </c>
      <c r="E1611" s="7">
        <v>0.86</v>
      </c>
      <c r="F1611" s="2">
        <v>0.94</v>
      </c>
      <c r="G1611" s="7">
        <v>0.15</v>
      </c>
      <c r="H1611" s="9" t="s">
        <v>23</v>
      </c>
      <c r="I1611">
        <v>0.75</v>
      </c>
      <c r="J1611">
        <v>0.13</v>
      </c>
      <c r="K1611">
        <v>0.31</v>
      </c>
      <c r="L1611">
        <v>0.12</v>
      </c>
      <c r="M1611">
        <v>0.45</v>
      </c>
      <c r="N1611">
        <v>0.55000000000000004</v>
      </c>
      <c r="O1611">
        <v>0.21</v>
      </c>
      <c r="P1611">
        <v>0.03</v>
      </c>
      <c r="Q1611">
        <v>0.72</v>
      </c>
      <c r="R1611" s="2">
        <v>0.02</v>
      </c>
      <c r="S1611" t="str">
        <f>IF(Table1[[#This Row],[Years_Experience]]&lt;=5,"Early Career",
IF(Table1[[#This Row],[Years_Experience]]&lt;=15,"Mid Career","Senior Level"))</f>
        <v>Mid Career</v>
      </c>
      <c r="T1611" t="str">
        <f>IF(Table1[[#This Row],[AI_Exposure_Index]]&gt;=0.7,"High Exposure", IF(Table1[[#This Row],[AI_Exposure_Index]]&gt;=0.3,"Medium Exposure","Low Exposure"))</f>
        <v>High Exposure</v>
      </c>
    </row>
    <row r="1612" spans="1:20" x14ac:dyDescent="0.25">
      <c r="A1612" t="s">
        <v>36</v>
      </c>
      <c r="B1612">
        <v>89871</v>
      </c>
      <c r="C1612" s="1">
        <v>29</v>
      </c>
      <c r="D1612" t="s">
        <v>19</v>
      </c>
      <c r="E1612" s="7">
        <v>1.1599999999999999</v>
      </c>
      <c r="F1612" s="2">
        <v>0.22</v>
      </c>
      <c r="G1612" s="7">
        <v>0.47</v>
      </c>
      <c r="H1612" s="9" t="s">
        <v>27</v>
      </c>
      <c r="I1612">
        <v>0.06</v>
      </c>
      <c r="J1612">
        <v>0.47</v>
      </c>
      <c r="K1612">
        <v>0.52</v>
      </c>
      <c r="L1612">
        <v>0.85</v>
      </c>
      <c r="M1612">
        <v>0.73</v>
      </c>
      <c r="N1612">
        <v>0.08</v>
      </c>
      <c r="O1612">
        <v>0.21</v>
      </c>
      <c r="P1612">
        <v>0.31</v>
      </c>
      <c r="Q1612">
        <v>0.12</v>
      </c>
      <c r="R1612" s="2">
        <v>0.46</v>
      </c>
      <c r="S1612" t="str">
        <f>IF(Table1[[#This Row],[Years_Experience]]&lt;=5,"Early Career",
IF(Table1[[#This Row],[Years_Experience]]&lt;=15,"Mid Career","Senior Level"))</f>
        <v>Senior Level</v>
      </c>
      <c r="T1612" t="str">
        <f>IF(Table1[[#This Row],[AI_Exposure_Index]]&gt;=0.7,"High Exposure", IF(Table1[[#This Row],[AI_Exposure_Index]]&gt;=0.3,"Medium Exposure","Low Exposure"))</f>
        <v>Low Exposure</v>
      </c>
    </row>
    <row r="1613" spans="1:20" x14ac:dyDescent="0.25">
      <c r="A1613" t="s">
        <v>30</v>
      </c>
      <c r="B1613">
        <v>140564</v>
      </c>
      <c r="C1613" s="1">
        <v>19</v>
      </c>
      <c r="D1613" t="s">
        <v>38</v>
      </c>
      <c r="E1613" s="7">
        <v>1.24</v>
      </c>
      <c r="F1613" s="2">
        <v>0.51</v>
      </c>
      <c r="G1613" s="7">
        <v>0.56999999999999995</v>
      </c>
      <c r="H1613" s="9" t="s">
        <v>27</v>
      </c>
      <c r="I1613">
        <v>0.85</v>
      </c>
      <c r="J1613">
        <v>0.22</v>
      </c>
      <c r="K1613">
        <v>0.75</v>
      </c>
      <c r="L1613">
        <v>0.88</v>
      </c>
      <c r="M1613">
        <v>0.17</v>
      </c>
      <c r="N1613">
        <v>0.35</v>
      </c>
      <c r="O1613">
        <v>0.97</v>
      </c>
      <c r="P1613">
        <v>0.78</v>
      </c>
      <c r="Q1613">
        <v>0.28000000000000003</v>
      </c>
      <c r="R1613" s="2">
        <v>0.56000000000000005</v>
      </c>
      <c r="S1613" t="str">
        <f>IF(Table1[[#This Row],[Years_Experience]]&lt;=5,"Early Career",
IF(Table1[[#This Row],[Years_Experience]]&lt;=15,"Mid Career","Senior Level"))</f>
        <v>Senior Level</v>
      </c>
      <c r="T1613" t="str">
        <f>IF(Table1[[#This Row],[AI_Exposure_Index]]&gt;=0.7,"High Exposure", IF(Table1[[#This Row],[AI_Exposure_Index]]&gt;=0.3,"Medium Exposure","Low Exposure"))</f>
        <v>Medium Exposure</v>
      </c>
    </row>
    <row r="1614" spans="1:20" x14ac:dyDescent="0.25">
      <c r="A1614" t="s">
        <v>26</v>
      </c>
      <c r="B1614">
        <v>76887</v>
      </c>
      <c r="C1614" s="1">
        <v>18</v>
      </c>
      <c r="D1614" t="s">
        <v>22</v>
      </c>
      <c r="E1614" s="7">
        <v>0.77</v>
      </c>
      <c r="F1614" s="2">
        <v>0.77</v>
      </c>
      <c r="G1614" s="7">
        <v>0.56999999999999995</v>
      </c>
      <c r="H1614" s="9" t="s">
        <v>27</v>
      </c>
      <c r="I1614">
        <v>0.35</v>
      </c>
      <c r="J1614">
        <v>0.56999999999999995</v>
      </c>
      <c r="K1614">
        <v>0.38</v>
      </c>
      <c r="L1614">
        <v>0.3</v>
      </c>
      <c r="M1614">
        <v>0.86</v>
      </c>
      <c r="N1614">
        <v>0.75</v>
      </c>
      <c r="O1614">
        <v>0.35</v>
      </c>
      <c r="P1614">
        <v>0.43</v>
      </c>
      <c r="Q1614">
        <v>0.69</v>
      </c>
      <c r="R1614" s="2">
        <v>0.81</v>
      </c>
      <c r="S1614" t="str">
        <f>IF(Table1[[#This Row],[Years_Experience]]&lt;=5,"Early Career",
IF(Table1[[#This Row],[Years_Experience]]&lt;=15,"Mid Career","Senior Level"))</f>
        <v>Senior Level</v>
      </c>
      <c r="T1614" t="str">
        <f>IF(Table1[[#This Row],[AI_Exposure_Index]]&gt;=0.7,"High Exposure", IF(Table1[[#This Row],[AI_Exposure_Index]]&gt;=0.3,"Medium Exposure","Low Exposure"))</f>
        <v>High Exposure</v>
      </c>
    </row>
    <row r="1615" spans="1:20" x14ac:dyDescent="0.25">
      <c r="A1615" t="s">
        <v>29</v>
      </c>
      <c r="B1615">
        <v>94817</v>
      </c>
      <c r="C1615" s="1">
        <v>12</v>
      </c>
      <c r="D1615" t="s">
        <v>25</v>
      </c>
      <c r="E1615" s="7">
        <v>1.45</v>
      </c>
      <c r="F1615" s="2">
        <v>0.54</v>
      </c>
      <c r="G1615" s="7">
        <v>0.24</v>
      </c>
      <c r="H1615" s="9" t="s">
        <v>23</v>
      </c>
      <c r="I1615">
        <v>0.12</v>
      </c>
      <c r="J1615">
        <v>0.56000000000000005</v>
      </c>
      <c r="K1615">
        <v>0.41</v>
      </c>
      <c r="L1615">
        <v>0.79</v>
      </c>
      <c r="M1615">
        <v>0.04</v>
      </c>
      <c r="N1615">
        <v>0.41</v>
      </c>
      <c r="O1615">
        <v>0.32</v>
      </c>
      <c r="P1615">
        <v>0.14000000000000001</v>
      </c>
      <c r="Q1615">
        <v>0.38</v>
      </c>
      <c r="R1615" s="2">
        <v>0.67</v>
      </c>
      <c r="S1615" t="str">
        <f>IF(Table1[[#This Row],[Years_Experience]]&lt;=5,"Early Career",
IF(Table1[[#This Row],[Years_Experience]]&lt;=15,"Mid Career","Senior Level"))</f>
        <v>Mid Career</v>
      </c>
      <c r="T1615" t="str">
        <f>IF(Table1[[#This Row],[AI_Exposure_Index]]&gt;=0.7,"High Exposure", IF(Table1[[#This Row],[AI_Exposure_Index]]&gt;=0.3,"Medium Exposure","Low Exposure"))</f>
        <v>Medium Exposure</v>
      </c>
    </row>
    <row r="1616" spans="1:20" x14ac:dyDescent="0.25">
      <c r="A1616" t="s">
        <v>35</v>
      </c>
      <c r="B1616">
        <v>90388</v>
      </c>
      <c r="C1616" s="1">
        <v>5</v>
      </c>
      <c r="D1616" t="s">
        <v>19</v>
      </c>
      <c r="E1616" s="7">
        <v>1.0900000000000001</v>
      </c>
      <c r="F1616" s="2">
        <v>0.57999999999999996</v>
      </c>
      <c r="G1616" s="7">
        <v>0.53</v>
      </c>
      <c r="H1616" s="9" t="s">
        <v>27</v>
      </c>
      <c r="I1616">
        <v>0.53</v>
      </c>
      <c r="J1616">
        <v>0.12</v>
      </c>
      <c r="K1616">
        <v>0.22</v>
      </c>
      <c r="L1616">
        <v>0.8</v>
      </c>
      <c r="M1616">
        <v>0.5</v>
      </c>
      <c r="N1616">
        <v>0.71</v>
      </c>
      <c r="O1616">
        <v>0.56999999999999995</v>
      </c>
      <c r="P1616">
        <v>0.04</v>
      </c>
      <c r="Q1616">
        <v>0.8</v>
      </c>
      <c r="R1616" s="2">
        <v>0.06</v>
      </c>
      <c r="S1616" t="str">
        <f>IF(Table1[[#This Row],[Years_Experience]]&lt;=5,"Early Career",
IF(Table1[[#This Row],[Years_Experience]]&lt;=15,"Mid Career","Senior Level"))</f>
        <v>Early Career</v>
      </c>
      <c r="T1616" t="str">
        <f>IF(Table1[[#This Row],[AI_Exposure_Index]]&gt;=0.7,"High Exposure", IF(Table1[[#This Row],[AI_Exposure_Index]]&gt;=0.3,"Medium Exposure","Low Exposure"))</f>
        <v>Medium Exposure</v>
      </c>
    </row>
    <row r="1617" spans="1:20" x14ac:dyDescent="0.25">
      <c r="A1617" t="s">
        <v>31</v>
      </c>
      <c r="B1617">
        <v>133323</v>
      </c>
      <c r="C1617" s="1">
        <v>3</v>
      </c>
      <c r="D1617" t="s">
        <v>19</v>
      </c>
      <c r="E1617" s="7">
        <v>0.89</v>
      </c>
      <c r="F1617" s="2">
        <v>0.09</v>
      </c>
      <c r="G1617" s="7">
        <v>0.2</v>
      </c>
      <c r="H1617" s="9" t="s">
        <v>23</v>
      </c>
      <c r="I1617">
        <v>0.57999999999999996</v>
      </c>
      <c r="J1617">
        <v>0.54</v>
      </c>
      <c r="K1617">
        <v>0.34</v>
      </c>
      <c r="L1617">
        <v>0.71</v>
      </c>
      <c r="M1617">
        <v>0.83</v>
      </c>
      <c r="N1617">
        <v>0.35</v>
      </c>
      <c r="O1617">
        <v>0.09</v>
      </c>
      <c r="P1617">
        <v>0.3</v>
      </c>
      <c r="Q1617">
        <v>0.14000000000000001</v>
      </c>
      <c r="R1617" s="2">
        <v>0.47</v>
      </c>
      <c r="S1617" t="str">
        <f>IF(Table1[[#This Row],[Years_Experience]]&lt;=5,"Early Career",
IF(Table1[[#This Row],[Years_Experience]]&lt;=15,"Mid Career","Senior Level"))</f>
        <v>Early Career</v>
      </c>
      <c r="T1617" t="str">
        <f>IF(Table1[[#This Row],[AI_Exposure_Index]]&gt;=0.7,"High Exposure", IF(Table1[[#This Row],[AI_Exposure_Index]]&gt;=0.3,"Medium Exposure","Low Exposure"))</f>
        <v>Low Exposure</v>
      </c>
    </row>
    <row r="1618" spans="1:20" x14ac:dyDescent="0.25">
      <c r="A1618" t="s">
        <v>18</v>
      </c>
      <c r="B1618">
        <v>119526</v>
      </c>
      <c r="C1618" s="1">
        <v>10</v>
      </c>
      <c r="D1618" t="s">
        <v>22</v>
      </c>
      <c r="E1618" s="7">
        <v>0.72</v>
      </c>
      <c r="F1618" s="2">
        <v>0.46</v>
      </c>
      <c r="G1618" s="7">
        <v>0.88</v>
      </c>
      <c r="H1618" s="9" t="s">
        <v>20</v>
      </c>
      <c r="I1618">
        <v>0.03</v>
      </c>
      <c r="J1618">
        <v>0.55000000000000004</v>
      </c>
      <c r="K1618">
        <v>0.17</v>
      </c>
      <c r="L1618">
        <v>0</v>
      </c>
      <c r="M1618">
        <v>0.87</v>
      </c>
      <c r="N1618">
        <v>0.67</v>
      </c>
      <c r="O1618">
        <v>0.1</v>
      </c>
      <c r="P1618">
        <v>0.66</v>
      </c>
      <c r="Q1618">
        <v>0.61</v>
      </c>
      <c r="R1618" s="2">
        <v>0.47</v>
      </c>
      <c r="S1618" t="str">
        <f>IF(Table1[[#This Row],[Years_Experience]]&lt;=5,"Early Career",
IF(Table1[[#This Row],[Years_Experience]]&lt;=15,"Mid Career","Senior Level"))</f>
        <v>Mid Career</v>
      </c>
      <c r="T1618" t="str">
        <f>IF(Table1[[#This Row],[AI_Exposure_Index]]&gt;=0.7,"High Exposure", IF(Table1[[#This Row],[AI_Exposure_Index]]&gt;=0.3,"Medium Exposure","Low Exposure"))</f>
        <v>Medium Exposure</v>
      </c>
    </row>
    <row r="1619" spans="1:20" x14ac:dyDescent="0.25">
      <c r="A1619" t="s">
        <v>36</v>
      </c>
      <c r="B1619">
        <v>62676</v>
      </c>
      <c r="C1619" s="1">
        <v>4</v>
      </c>
      <c r="D1619" t="s">
        <v>22</v>
      </c>
      <c r="E1619" s="7">
        <v>0.75</v>
      </c>
      <c r="F1619" s="2">
        <v>0.16</v>
      </c>
      <c r="G1619" s="7">
        <v>0.66</v>
      </c>
      <c r="H1619" s="9" t="s">
        <v>27</v>
      </c>
      <c r="I1619">
        <v>0.97</v>
      </c>
      <c r="J1619">
        <v>0.95</v>
      </c>
      <c r="K1619">
        <v>0.19</v>
      </c>
      <c r="L1619">
        <v>0.9</v>
      </c>
      <c r="M1619">
        <v>0.14000000000000001</v>
      </c>
      <c r="N1619">
        <v>0.51</v>
      </c>
      <c r="O1619">
        <v>0.64</v>
      </c>
      <c r="P1619">
        <v>0.46</v>
      </c>
      <c r="Q1619">
        <v>0.95</v>
      </c>
      <c r="R1619" s="2">
        <v>0.33</v>
      </c>
      <c r="S1619" t="str">
        <f>IF(Table1[[#This Row],[Years_Experience]]&lt;=5,"Early Career",
IF(Table1[[#This Row],[Years_Experience]]&lt;=15,"Mid Career","Senior Level"))</f>
        <v>Early Career</v>
      </c>
      <c r="T1619" t="str">
        <f>IF(Table1[[#This Row],[AI_Exposure_Index]]&gt;=0.7,"High Exposure", IF(Table1[[#This Row],[AI_Exposure_Index]]&gt;=0.3,"Medium Exposure","Low Exposure"))</f>
        <v>Low Exposure</v>
      </c>
    </row>
    <row r="1620" spans="1:20" x14ac:dyDescent="0.25">
      <c r="A1620" t="s">
        <v>36</v>
      </c>
      <c r="B1620">
        <v>44590</v>
      </c>
      <c r="C1620" s="1">
        <v>22</v>
      </c>
      <c r="D1620" t="s">
        <v>25</v>
      </c>
      <c r="E1620" s="7">
        <v>1.35</v>
      </c>
      <c r="F1620" s="2">
        <v>0.08</v>
      </c>
      <c r="G1620" s="7">
        <v>0.47</v>
      </c>
      <c r="H1620" s="9" t="s">
        <v>27</v>
      </c>
      <c r="I1620">
        <v>0.7</v>
      </c>
      <c r="J1620">
        <v>0.68</v>
      </c>
      <c r="K1620">
        <v>0.68</v>
      </c>
      <c r="L1620">
        <v>0.51</v>
      </c>
      <c r="M1620">
        <v>0.28000000000000003</v>
      </c>
      <c r="N1620">
        <v>0.63</v>
      </c>
      <c r="O1620">
        <v>0.96</v>
      </c>
      <c r="P1620">
        <v>0.83</v>
      </c>
      <c r="Q1620">
        <v>0.11</v>
      </c>
      <c r="R1620" s="2">
        <v>0.02</v>
      </c>
      <c r="S1620" t="str">
        <f>IF(Table1[[#This Row],[Years_Experience]]&lt;=5,"Early Career",
IF(Table1[[#This Row],[Years_Experience]]&lt;=15,"Mid Career","Senior Level"))</f>
        <v>Senior Level</v>
      </c>
      <c r="T1620" t="str">
        <f>IF(Table1[[#This Row],[AI_Exposure_Index]]&gt;=0.7,"High Exposure", IF(Table1[[#This Row],[AI_Exposure_Index]]&gt;=0.3,"Medium Exposure","Low Exposure"))</f>
        <v>Low Exposure</v>
      </c>
    </row>
    <row r="1621" spans="1:20" x14ac:dyDescent="0.25">
      <c r="A1621" t="s">
        <v>26</v>
      </c>
      <c r="B1621">
        <v>68463</v>
      </c>
      <c r="C1621" s="1">
        <v>5</v>
      </c>
      <c r="D1621" t="s">
        <v>38</v>
      </c>
      <c r="E1621" s="7">
        <v>0.81</v>
      </c>
      <c r="F1621" s="2">
        <v>0.78</v>
      </c>
      <c r="G1621" s="7">
        <v>0.57999999999999996</v>
      </c>
      <c r="H1621" s="9" t="s">
        <v>27</v>
      </c>
      <c r="I1621">
        <v>0.93</v>
      </c>
      <c r="J1621">
        <v>0.46</v>
      </c>
      <c r="K1621">
        <v>0.24</v>
      </c>
      <c r="L1621">
        <v>0.92</v>
      </c>
      <c r="M1621">
        <v>0.47</v>
      </c>
      <c r="N1621">
        <v>0.41</v>
      </c>
      <c r="O1621">
        <v>0.35</v>
      </c>
      <c r="P1621">
        <v>0.42</v>
      </c>
      <c r="Q1621">
        <v>0.67</v>
      </c>
      <c r="R1621" s="2">
        <v>0.43</v>
      </c>
      <c r="S1621" t="str">
        <f>IF(Table1[[#This Row],[Years_Experience]]&lt;=5,"Early Career",
IF(Table1[[#This Row],[Years_Experience]]&lt;=15,"Mid Career","Senior Level"))</f>
        <v>Early Career</v>
      </c>
      <c r="T1621" t="str">
        <f>IF(Table1[[#This Row],[AI_Exposure_Index]]&gt;=0.7,"High Exposure", IF(Table1[[#This Row],[AI_Exposure_Index]]&gt;=0.3,"Medium Exposure","Low Exposure"))</f>
        <v>High Exposure</v>
      </c>
    </row>
    <row r="1622" spans="1:20" x14ac:dyDescent="0.25">
      <c r="A1622" t="s">
        <v>26</v>
      </c>
      <c r="B1622">
        <v>52053</v>
      </c>
      <c r="C1622" s="1">
        <v>16</v>
      </c>
      <c r="D1622" t="s">
        <v>38</v>
      </c>
      <c r="E1622" s="7">
        <v>0.7</v>
      </c>
      <c r="F1622" s="2">
        <v>0.74</v>
      </c>
      <c r="G1622" s="7">
        <v>0.38</v>
      </c>
      <c r="H1622" s="9" t="s">
        <v>27</v>
      </c>
      <c r="I1622">
        <v>0.7</v>
      </c>
      <c r="J1622">
        <v>0.87</v>
      </c>
      <c r="K1622">
        <v>0.24</v>
      </c>
      <c r="L1622">
        <v>0.19</v>
      </c>
      <c r="M1622">
        <v>0.67</v>
      </c>
      <c r="N1622">
        <v>0.62</v>
      </c>
      <c r="O1622">
        <v>0.45</v>
      </c>
      <c r="P1622">
        <v>0.1</v>
      </c>
      <c r="Q1622">
        <v>0.09</v>
      </c>
      <c r="R1622" s="2">
        <v>0.78</v>
      </c>
      <c r="S1622" t="str">
        <f>IF(Table1[[#This Row],[Years_Experience]]&lt;=5,"Early Career",
IF(Table1[[#This Row],[Years_Experience]]&lt;=15,"Mid Career","Senior Level"))</f>
        <v>Senior Level</v>
      </c>
      <c r="T1622" t="str">
        <f>IF(Table1[[#This Row],[AI_Exposure_Index]]&gt;=0.7,"High Exposure", IF(Table1[[#This Row],[AI_Exposure_Index]]&gt;=0.3,"Medium Exposure","Low Exposure"))</f>
        <v>High Exposure</v>
      </c>
    </row>
    <row r="1623" spans="1:20" x14ac:dyDescent="0.25">
      <c r="A1623" t="s">
        <v>26</v>
      </c>
      <c r="B1623">
        <v>104767</v>
      </c>
      <c r="C1623" s="1">
        <v>24</v>
      </c>
      <c r="D1623" t="s">
        <v>38</v>
      </c>
      <c r="E1623" s="7">
        <v>1.07</v>
      </c>
      <c r="F1623" s="2">
        <v>0.86</v>
      </c>
      <c r="G1623" s="7">
        <v>0.55000000000000004</v>
      </c>
      <c r="H1623" s="9" t="s">
        <v>27</v>
      </c>
      <c r="I1623">
        <v>0.93</v>
      </c>
      <c r="J1623">
        <v>0.16</v>
      </c>
      <c r="K1623">
        <v>0.54</v>
      </c>
      <c r="L1623">
        <v>0.06</v>
      </c>
      <c r="M1623">
        <v>0.36</v>
      </c>
      <c r="N1623">
        <v>0.15</v>
      </c>
      <c r="O1623">
        <v>0.19</v>
      </c>
      <c r="P1623">
        <v>0.93</v>
      </c>
      <c r="Q1623">
        <v>0.61</v>
      </c>
      <c r="R1623" s="2">
        <v>0.89</v>
      </c>
      <c r="S1623" t="str">
        <f>IF(Table1[[#This Row],[Years_Experience]]&lt;=5,"Early Career",
IF(Table1[[#This Row],[Years_Experience]]&lt;=15,"Mid Career","Senior Level"))</f>
        <v>Senior Level</v>
      </c>
      <c r="T1623" t="str">
        <f>IF(Table1[[#This Row],[AI_Exposure_Index]]&gt;=0.7,"High Exposure", IF(Table1[[#This Row],[AI_Exposure_Index]]&gt;=0.3,"Medium Exposure","Low Exposure"))</f>
        <v>High Exposure</v>
      </c>
    </row>
    <row r="1624" spans="1:20" x14ac:dyDescent="0.25">
      <c r="A1624" t="s">
        <v>26</v>
      </c>
      <c r="B1624">
        <v>65303</v>
      </c>
      <c r="C1624" s="1">
        <v>20</v>
      </c>
      <c r="D1624" t="s">
        <v>22</v>
      </c>
      <c r="E1624" s="7">
        <v>0.53</v>
      </c>
      <c r="F1624" s="2">
        <v>0.6</v>
      </c>
      <c r="G1624" s="7">
        <v>0.49</v>
      </c>
      <c r="H1624" s="9" t="s">
        <v>27</v>
      </c>
      <c r="I1624">
        <v>0.56000000000000005</v>
      </c>
      <c r="J1624">
        <v>0.02</v>
      </c>
      <c r="K1624">
        <v>0.79</v>
      </c>
      <c r="L1624">
        <v>0.3</v>
      </c>
      <c r="M1624">
        <v>0.45</v>
      </c>
      <c r="N1624">
        <v>0.54</v>
      </c>
      <c r="O1624">
        <v>0.99</v>
      </c>
      <c r="P1624">
        <v>0.1</v>
      </c>
      <c r="Q1624">
        <v>0.56000000000000005</v>
      </c>
      <c r="R1624" s="2">
        <v>0.53</v>
      </c>
      <c r="S1624" t="str">
        <f>IF(Table1[[#This Row],[Years_Experience]]&lt;=5,"Early Career",
IF(Table1[[#This Row],[Years_Experience]]&lt;=15,"Mid Career","Senior Level"))</f>
        <v>Senior Level</v>
      </c>
      <c r="T1624" t="str">
        <f>IF(Table1[[#This Row],[AI_Exposure_Index]]&gt;=0.7,"High Exposure", IF(Table1[[#This Row],[AI_Exposure_Index]]&gt;=0.3,"Medium Exposure","Low Exposure"))</f>
        <v>Medium Exposure</v>
      </c>
    </row>
    <row r="1625" spans="1:20" x14ac:dyDescent="0.25">
      <c r="A1625" t="s">
        <v>42</v>
      </c>
      <c r="B1625">
        <v>34312</v>
      </c>
      <c r="C1625" s="1">
        <v>3</v>
      </c>
      <c r="D1625" t="s">
        <v>38</v>
      </c>
      <c r="E1625" s="7">
        <v>0.79</v>
      </c>
      <c r="F1625" s="2">
        <v>0.63</v>
      </c>
      <c r="G1625" s="7">
        <v>0.34</v>
      </c>
      <c r="H1625" s="9" t="s">
        <v>27</v>
      </c>
      <c r="I1625">
        <v>0.18</v>
      </c>
      <c r="J1625">
        <v>0.82</v>
      </c>
      <c r="K1625">
        <v>0.1</v>
      </c>
      <c r="L1625">
        <v>0.47</v>
      </c>
      <c r="M1625">
        <v>0.2</v>
      </c>
      <c r="N1625">
        <v>0.16</v>
      </c>
      <c r="O1625">
        <v>0.21</v>
      </c>
      <c r="P1625">
        <v>0.49</v>
      </c>
      <c r="Q1625">
        <v>0.24</v>
      </c>
      <c r="R1625" s="2">
        <v>0.1</v>
      </c>
      <c r="S1625" t="str">
        <f>IF(Table1[[#This Row],[Years_Experience]]&lt;=5,"Early Career",
IF(Table1[[#This Row],[Years_Experience]]&lt;=15,"Mid Career","Senior Level"))</f>
        <v>Early Career</v>
      </c>
      <c r="T1625" t="str">
        <f>IF(Table1[[#This Row],[AI_Exposure_Index]]&gt;=0.7,"High Exposure", IF(Table1[[#This Row],[AI_Exposure_Index]]&gt;=0.3,"Medium Exposure","Low Exposure"))</f>
        <v>Medium Exposure</v>
      </c>
    </row>
    <row r="1626" spans="1:20" x14ac:dyDescent="0.25">
      <c r="A1626" t="s">
        <v>43</v>
      </c>
      <c r="B1626">
        <v>69794</v>
      </c>
      <c r="C1626" s="1">
        <v>21</v>
      </c>
      <c r="D1626" t="s">
        <v>38</v>
      </c>
      <c r="E1626" s="7">
        <v>0.66</v>
      </c>
      <c r="F1626" s="2">
        <v>0.54</v>
      </c>
      <c r="G1626" s="7">
        <v>0.17</v>
      </c>
      <c r="H1626" s="9" t="s">
        <v>23</v>
      </c>
      <c r="I1626">
        <v>7.0000000000000007E-2</v>
      </c>
      <c r="J1626">
        <v>0.57999999999999996</v>
      </c>
      <c r="K1626">
        <v>0.34</v>
      </c>
      <c r="L1626">
        <v>0.1</v>
      </c>
      <c r="M1626">
        <v>0.18</v>
      </c>
      <c r="N1626">
        <v>0.35</v>
      </c>
      <c r="O1626">
        <v>0.81</v>
      </c>
      <c r="P1626">
        <v>0.17</v>
      </c>
      <c r="Q1626">
        <v>0.11</v>
      </c>
      <c r="R1626" s="2">
        <v>0.52</v>
      </c>
      <c r="S1626" t="str">
        <f>IF(Table1[[#This Row],[Years_Experience]]&lt;=5,"Early Career",
IF(Table1[[#This Row],[Years_Experience]]&lt;=15,"Mid Career","Senior Level"))</f>
        <v>Senior Level</v>
      </c>
      <c r="T1626" t="str">
        <f>IF(Table1[[#This Row],[AI_Exposure_Index]]&gt;=0.7,"High Exposure", IF(Table1[[#This Row],[AI_Exposure_Index]]&gt;=0.3,"Medium Exposure","Low Exposure"))</f>
        <v>Medium Exposure</v>
      </c>
    </row>
    <row r="1627" spans="1:20" x14ac:dyDescent="0.25">
      <c r="A1627" t="s">
        <v>41</v>
      </c>
      <c r="B1627">
        <v>80102</v>
      </c>
      <c r="C1627" s="1">
        <v>23</v>
      </c>
      <c r="D1627" t="s">
        <v>19</v>
      </c>
      <c r="E1627" s="7">
        <v>0.78</v>
      </c>
      <c r="F1627" s="2">
        <v>0.09</v>
      </c>
      <c r="G1627" s="7">
        <v>0.77</v>
      </c>
      <c r="H1627" s="9" t="s">
        <v>20</v>
      </c>
      <c r="I1627">
        <v>0.19</v>
      </c>
      <c r="J1627">
        <v>0.32</v>
      </c>
      <c r="K1627">
        <v>0.04</v>
      </c>
      <c r="L1627">
        <v>0.65</v>
      </c>
      <c r="M1627">
        <v>0.99</v>
      </c>
      <c r="N1627">
        <v>0.63</v>
      </c>
      <c r="O1627">
        <v>0.36</v>
      </c>
      <c r="P1627">
        <v>0.67</v>
      </c>
      <c r="Q1627">
        <v>0.56999999999999995</v>
      </c>
      <c r="R1627" s="2">
        <v>0.85</v>
      </c>
      <c r="S1627" t="str">
        <f>IF(Table1[[#This Row],[Years_Experience]]&lt;=5,"Early Career",
IF(Table1[[#This Row],[Years_Experience]]&lt;=15,"Mid Career","Senior Level"))</f>
        <v>Senior Level</v>
      </c>
      <c r="T1627" t="str">
        <f>IF(Table1[[#This Row],[AI_Exposure_Index]]&gt;=0.7,"High Exposure", IF(Table1[[#This Row],[AI_Exposure_Index]]&gt;=0.3,"Medium Exposure","Low Exposure"))</f>
        <v>Low Exposure</v>
      </c>
    </row>
    <row r="1628" spans="1:20" x14ac:dyDescent="0.25">
      <c r="A1628" t="s">
        <v>24</v>
      </c>
      <c r="B1628">
        <v>106743</v>
      </c>
      <c r="C1628" s="1">
        <v>11</v>
      </c>
      <c r="D1628" t="s">
        <v>19</v>
      </c>
      <c r="E1628" s="7">
        <v>0.72</v>
      </c>
      <c r="F1628" s="2">
        <v>0.63</v>
      </c>
      <c r="G1628" s="7">
        <v>0.8</v>
      </c>
      <c r="H1628" s="9" t="s">
        <v>20</v>
      </c>
      <c r="I1628">
        <v>0.34</v>
      </c>
      <c r="J1628">
        <v>0.01</v>
      </c>
      <c r="K1628">
        <v>0.31</v>
      </c>
      <c r="L1628">
        <v>0.49</v>
      </c>
      <c r="M1628">
        <v>0.6</v>
      </c>
      <c r="N1628">
        <v>0.93</v>
      </c>
      <c r="O1628">
        <v>0.24</v>
      </c>
      <c r="P1628">
        <v>0.15</v>
      </c>
      <c r="Q1628">
        <v>0.87</v>
      </c>
      <c r="R1628" s="2">
        <v>0.94</v>
      </c>
      <c r="S1628" t="str">
        <f>IF(Table1[[#This Row],[Years_Experience]]&lt;=5,"Early Career",
IF(Table1[[#This Row],[Years_Experience]]&lt;=15,"Mid Career","Senior Level"))</f>
        <v>Mid Career</v>
      </c>
      <c r="T1628" t="str">
        <f>IF(Table1[[#This Row],[AI_Exposure_Index]]&gt;=0.7,"High Exposure", IF(Table1[[#This Row],[AI_Exposure_Index]]&gt;=0.3,"Medium Exposure","Low Exposure"))</f>
        <v>Medium Exposure</v>
      </c>
    </row>
    <row r="1629" spans="1:20" x14ac:dyDescent="0.25">
      <c r="A1629" t="s">
        <v>18</v>
      </c>
      <c r="B1629">
        <v>67333</v>
      </c>
      <c r="C1629" s="1">
        <v>10</v>
      </c>
      <c r="D1629" t="s">
        <v>25</v>
      </c>
      <c r="E1629" s="7">
        <v>0.99</v>
      </c>
      <c r="F1629" s="2">
        <v>0.12</v>
      </c>
      <c r="G1629" s="7">
        <v>0.73</v>
      </c>
      <c r="H1629" s="9" t="s">
        <v>20</v>
      </c>
      <c r="I1629">
        <v>0.88</v>
      </c>
      <c r="J1629">
        <v>0.71</v>
      </c>
      <c r="K1629">
        <v>0.24</v>
      </c>
      <c r="L1629">
        <v>0.89</v>
      </c>
      <c r="M1629">
        <v>0.64</v>
      </c>
      <c r="N1629">
        <v>0.95</v>
      </c>
      <c r="O1629">
        <v>0.98</v>
      </c>
      <c r="P1629">
        <v>0</v>
      </c>
      <c r="Q1629">
        <v>0.12</v>
      </c>
      <c r="R1629" s="2">
        <v>0.55000000000000004</v>
      </c>
      <c r="S1629" t="str">
        <f>IF(Table1[[#This Row],[Years_Experience]]&lt;=5,"Early Career",
IF(Table1[[#This Row],[Years_Experience]]&lt;=15,"Mid Career","Senior Level"))</f>
        <v>Mid Career</v>
      </c>
      <c r="T1629" t="str">
        <f>IF(Table1[[#This Row],[AI_Exposure_Index]]&gt;=0.7,"High Exposure", IF(Table1[[#This Row],[AI_Exposure_Index]]&gt;=0.3,"Medium Exposure","Low Exposure"))</f>
        <v>Low Exposure</v>
      </c>
    </row>
    <row r="1630" spans="1:20" x14ac:dyDescent="0.25">
      <c r="A1630" t="s">
        <v>29</v>
      </c>
      <c r="B1630">
        <v>80724</v>
      </c>
      <c r="C1630" s="1">
        <v>18</v>
      </c>
      <c r="D1630" t="s">
        <v>38</v>
      </c>
      <c r="E1630" s="7">
        <v>1.07</v>
      </c>
      <c r="F1630" s="2">
        <v>0.99</v>
      </c>
      <c r="G1630" s="7">
        <v>0.09</v>
      </c>
      <c r="H1630" s="9" t="s">
        <v>23</v>
      </c>
      <c r="I1630">
        <v>0.16</v>
      </c>
      <c r="J1630">
        <v>0.76</v>
      </c>
      <c r="K1630">
        <v>0.59</v>
      </c>
      <c r="L1630">
        <v>0.55000000000000004</v>
      </c>
      <c r="M1630">
        <v>0.47</v>
      </c>
      <c r="N1630">
        <v>0.73</v>
      </c>
      <c r="O1630">
        <v>0.86</v>
      </c>
      <c r="P1630">
        <v>0.3</v>
      </c>
      <c r="Q1630">
        <v>0.22</v>
      </c>
      <c r="R1630" s="2">
        <v>0.67</v>
      </c>
      <c r="S1630" t="str">
        <f>IF(Table1[[#This Row],[Years_Experience]]&lt;=5,"Early Career",
IF(Table1[[#This Row],[Years_Experience]]&lt;=15,"Mid Career","Senior Level"))</f>
        <v>Senior Level</v>
      </c>
      <c r="T1630" t="str">
        <f>IF(Table1[[#This Row],[AI_Exposure_Index]]&gt;=0.7,"High Exposure", IF(Table1[[#This Row],[AI_Exposure_Index]]&gt;=0.3,"Medium Exposure","Low Exposure"))</f>
        <v>High Exposure</v>
      </c>
    </row>
    <row r="1631" spans="1:20" x14ac:dyDescent="0.25">
      <c r="A1631" t="s">
        <v>32</v>
      </c>
      <c r="B1631">
        <v>107684</v>
      </c>
      <c r="C1631" s="1">
        <v>5</v>
      </c>
      <c r="D1631" t="s">
        <v>25</v>
      </c>
      <c r="E1631" s="7">
        <v>1.48</v>
      </c>
      <c r="F1631" s="2">
        <v>0.6</v>
      </c>
      <c r="G1631" s="7">
        <v>0.68</v>
      </c>
      <c r="H1631" s="9" t="s">
        <v>27</v>
      </c>
      <c r="I1631">
        <v>0.43</v>
      </c>
      <c r="J1631">
        <v>0.72</v>
      </c>
      <c r="K1631">
        <v>0.83</v>
      </c>
      <c r="L1631">
        <v>0.9</v>
      </c>
      <c r="M1631">
        <v>7.0000000000000007E-2</v>
      </c>
      <c r="N1631">
        <v>0.3</v>
      </c>
      <c r="O1631">
        <v>0.32</v>
      </c>
      <c r="P1631">
        <v>0.43</v>
      </c>
      <c r="Q1631">
        <v>0.17</v>
      </c>
      <c r="R1631" s="2">
        <v>0.5</v>
      </c>
      <c r="S1631" t="str">
        <f>IF(Table1[[#This Row],[Years_Experience]]&lt;=5,"Early Career",
IF(Table1[[#This Row],[Years_Experience]]&lt;=15,"Mid Career","Senior Level"))</f>
        <v>Early Career</v>
      </c>
      <c r="T1631" t="str">
        <f>IF(Table1[[#This Row],[AI_Exposure_Index]]&gt;=0.7,"High Exposure", IF(Table1[[#This Row],[AI_Exposure_Index]]&gt;=0.3,"Medium Exposure","Low Exposure"))</f>
        <v>Medium Exposure</v>
      </c>
    </row>
    <row r="1632" spans="1:20" x14ac:dyDescent="0.25">
      <c r="A1632" t="s">
        <v>44</v>
      </c>
      <c r="B1632">
        <v>57161</v>
      </c>
      <c r="C1632" s="1">
        <v>28</v>
      </c>
      <c r="D1632" t="s">
        <v>22</v>
      </c>
      <c r="E1632" s="7">
        <v>1.17</v>
      </c>
      <c r="F1632" s="2">
        <v>0.5</v>
      </c>
      <c r="G1632" s="7">
        <v>0.33</v>
      </c>
      <c r="H1632" s="9" t="s">
        <v>27</v>
      </c>
      <c r="I1632">
        <v>0.88</v>
      </c>
      <c r="J1632">
        <v>0.94</v>
      </c>
      <c r="K1632">
        <v>0.62</v>
      </c>
      <c r="L1632">
        <v>0.88</v>
      </c>
      <c r="M1632">
        <v>0.13</v>
      </c>
      <c r="N1632">
        <v>0.8</v>
      </c>
      <c r="O1632">
        <v>0.12</v>
      </c>
      <c r="P1632">
        <v>0.41</v>
      </c>
      <c r="Q1632">
        <v>0.32</v>
      </c>
      <c r="R1632" s="2">
        <v>0.59</v>
      </c>
      <c r="S1632" t="str">
        <f>IF(Table1[[#This Row],[Years_Experience]]&lt;=5,"Early Career",
IF(Table1[[#This Row],[Years_Experience]]&lt;=15,"Mid Career","Senior Level"))</f>
        <v>Senior Level</v>
      </c>
      <c r="T1632" t="str">
        <f>IF(Table1[[#This Row],[AI_Exposure_Index]]&gt;=0.7,"High Exposure", IF(Table1[[#This Row],[AI_Exposure_Index]]&gt;=0.3,"Medium Exposure","Low Exposure"))</f>
        <v>Medium Exposure</v>
      </c>
    </row>
    <row r="1633" spans="1:20" x14ac:dyDescent="0.25">
      <c r="A1633" t="s">
        <v>34</v>
      </c>
      <c r="B1633">
        <v>33687</v>
      </c>
      <c r="C1633" s="1">
        <v>15</v>
      </c>
      <c r="D1633" t="s">
        <v>25</v>
      </c>
      <c r="E1633" s="7">
        <v>0.87</v>
      </c>
      <c r="F1633" s="2">
        <v>0.64</v>
      </c>
      <c r="G1633" s="7">
        <v>0.64</v>
      </c>
      <c r="H1633" s="9" t="s">
        <v>27</v>
      </c>
      <c r="I1633">
        <v>0.63</v>
      </c>
      <c r="J1633">
        <v>0.22</v>
      </c>
      <c r="K1633">
        <v>0.34</v>
      </c>
      <c r="L1633">
        <v>0.85</v>
      </c>
      <c r="M1633">
        <v>0.39</v>
      </c>
      <c r="N1633">
        <v>0.54</v>
      </c>
      <c r="O1633">
        <v>0.65</v>
      </c>
      <c r="P1633">
        <v>0.35</v>
      </c>
      <c r="Q1633">
        <v>0.28999999999999998</v>
      </c>
      <c r="R1633" s="2">
        <v>0.48</v>
      </c>
      <c r="S1633" t="str">
        <f>IF(Table1[[#This Row],[Years_Experience]]&lt;=5,"Early Career",
IF(Table1[[#This Row],[Years_Experience]]&lt;=15,"Mid Career","Senior Level"))</f>
        <v>Mid Career</v>
      </c>
      <c r="T1633" t="str">
        <f>IF(Table1[[#This Row],[AI_Exposure_Index]]&gt;=0.7,"High Exposure", IF(Table1[[#This Row],[AI_Exposure_Index]]&gt;=0.3,"Medium Exposure","Low Exposure"))</f>
        <v>Medium Exposure</v>
      </c>
    </row>
    <row r="1634" spans="1:20" x14ac:dyDescent="0.25">
      <c r="A1634" t="s">
        <v>33</v>
      </c>
      <c r="B1634">
        <v>58777</v>
      </c>
      <c r="C1634" s="1">
        <v>18</v>
      </c>
      <c r="D1634" t="s">
        <v>19</v>
      </c>
      <c r="E1634" s="7">
        <v>0.56000000000000005</v>
      </c>
      <c r="F1634" s="2">
        <v>0.28000000000000003</v>
      </c>
      <c r="G1634" s="7">
        <v>0.78</v>
      </c>
      <c r="H1634" s="9" t="s">
        <v>20</v>
      </c>
      <c r="I1634">
        <v>0.32</v>
      </c>
      <c r="J1634">
        <v>0.96</v>
      </c>
      <c r="K1634">
        <v>0.59</v>
      </c>
      <c r="L1634">
        <v>0.79</v>
      </c>
      <c r="M1634">
        <v>0.05</v>
      </c>
      <c r="N1634">
        <v>0.11</v>
      </c>
      <c r="O1634">
        <v>0.81</v>
      </c>
      <c r="P1634">
        <v>0.62</v>
      </c>
      <c r="Q1634">
        <v>0.19</v>
      </c>
      <c r="R1634" s="2">
        <v>0.4</v>
      </c>
      <c r="S1634" t="str">
        <f>IF(Table1[[#This Row],[Years_Experience]]&lt;=5,"Early Career",
IF(Table1[[#This Row],[Years_Experience]]&lt;=15,"Mid Career","Senior Level"))</f>
        <v>Senior Level</v>
      </c>
      <c r="T1634" t="str">
        <f>IF(Table1[[#This Row],[AI_Exposure_Index]]&gt;=0.7,"High Exposure", IF(Table1[[#This Row],[AI_Exposure_Index]]&gt;=0.3,"Medium Exposure","Low Exposure"))</f>
        <v>Low Exposure</v>
      </c>
    </row>
    <row r="1635" spans="1:20" x14ac:dyDescent="0.25">
      <c r="A1635" t="s">
        <v>37</v>
      </c>
      <c r="B1635">
        <v>58915</v>
      </c>
      <c r="C1635" s="1">
        <v>24</v>
      </c>
      <c r="D1635" t="s">
        <v>19</v>
      </c>
      <c r="E1635" s="7">
        <v>0.56000000000000005</v>
      </c>
      <c r="F1635" s="2">
        <v>0.84</v>
      </c>
      <c r="G1635" s="7">
        <v>0.54</v>
      </c>
      <c r="H1635" s="9" t="s">
        <v>27</v>
      </c>
      <c r="I1635">
        <v>0.72</v>
      </c>
      <c r="J1635">
        <v>0.98</v>
      </c>
      <c r="K1635">
        <v>0.81</v>
      </c>
      <c r="L1635">
        <v>0.28000000000000003</v>
      </c>
      <c r="M1635">
        <v>0.71</v>
      </c>
      <c r="N1635">
        <v>0.76</v>
      </c>
      <c r="O1635">
        <v>0.73</v>
      </c>
      <c r="P1635">
        <v>0.82</v>
      </c>
      <c r="Q1635">
        <v>0.9</v>
      </c>
      <c r="R1635" s="2">
        <v>0.1</v>
      </c>
      <c r="S1635" t="str">
        <f>IF(Table1[[#This Row],[Years_Experience]]&lt;=5,"Early Career",
IF(Table1[[#This Row],[Years_Experience]]&lt;=15,"Mid Career","Senior Level"))</f>
        <v>Senior Level</v>
      </c>
      <c r="T1635" t="str">
        <f>IF(Table1[[#This Row],[AI_Exposure_Index]]&gt;=0.7,"High Exposure", IF(Table1[[#This Row],[AI_Exposure_Index]]&gt;=0.3,"Medium Exposure","Low Exposure"))</f>
        <v>High Exposure</v>
      </c>
    </row>
    <row r="1636" spans="1:20" x14ac:dyDescent="0.25">
      <c r="A1636" t="s">
        <v>35</v>
      </c>
      <c r="B1636">
        <v>148222</v>
      </c>
      <c r="C1636" s="1">
        <v>2</v>
      </c>
      <c r="D1636" t="s">
        <v>22</v>
      </c>
      <c r="E1636" s="7">
        <v>0.75</v>
      </c>
      <c r="F1636" s="2">
        <v>0.8</v>
      </c>
      <c r="G1636" s="7">
        <v>0.32</v>
      </c>
      <c r="H1636" s="9" t="s">
        <v>27</v>
      </c>
      <c r="I1636">
        <v>0.4</v>
      </c>
      <c r="J1636">
        <v>0.82</v>
      </c>
      <c r="K1636">
        <v>0.13</v>
      </c>
      <c r="L1636">
        <v>0.67</v>
      </c>
      <c r="M1636">
        <v>0</v>
      </c>
      <c r="N1636">
        <v>0.11</v>
      </c>
      <c r="O1636">
        <v>0.35</v>
      </c>
      <c r="P1636">
        <v>0.08</v>
      </c>
      <c r="Q1636">
        <v>0.85</v>
      </c>
      <c r="R1636" s="2">
        <v>0.86</v>
      </c>
      <c r="S1636" t="str">
        <f>IF(Table1[[#This Row],[Years_Experience]]&lt;=5,"Early Career",
IF(Table1[[#This Row],[Years_Experience]]&lt;=15,"Mid Career","Senior Level"))</f>
        <v>Early Career</v>
      </c>
      <c r="T1636" t="str">
        <f>IF(Table1[[#This Row],[AI_Exposure_Index]]&gt;=0.7,"High Exposure", IF(Table1[[#This Row],[AI_Exposure_Index]]&gt;=0.3,"Medium Exposure","Low Exposure"))</f>
        <v>High Exposure</v>
      </c>
    </row>
    <row r="1637" spans="1:20" x14ac:dyDescent="0.25">
      <c r="A1637" t="s">
        <v>34</v>
      </c>
      <c r="B1637">
        <v>100880</v>
      </c>
      <c r="C1637" s="1">
        <v>21</v>
      </c>
      <c r="D1637" t="s">
        <v>38</v>
      </c>
      <c r="E1637" s="7">
        <v>1.02</v>
      </c>
      <c r="F1637" s="2">
        <v>0.24</v>
      </c>
      <c r="G1637" s="7">
        <v>0.37</v>
      </c>
      <c r="H1637" s="9" t="s">
        <v>27</v>
      </c>
      <c r="I1637">
        <v>0.28000000000000003</v>
      </c>
      <c r="J1637">
        <v>0.52</v>
      </c>
      <c r="K1637">
        <v>0.74</v>
      </c>
      <c r="L1637">
        <v>0.09</v>
      </c>
      <c r="M1637">
        <v>0.3</v>
      </c>
      <c r="N1637">
        <v>0.93</v>
      </c>
      <c r="O1637">
        <v>0.43</v>
      </c>
      <c r="P1637">
        <v>0.94</v>
      </c>
      <c r="Q1637">
        <v>0.99</v>
      </c>
      <c r="R1637" s="2">
        <v>0.53</v>
      </c>
      <c r="S1637" t="str">
        <f>IF(Table1[[#This Row],[Years_Experience]]&lt;=5,"Early Career",
IF(Table1[[#This Row],[Years_Experience]]&lt;=15,"Mid Career","Senior Level"))</f>
        <v>Senior Level</v>
      </c>
      <c r="T1637" t="str">
        <f>IF(Table1[[#This Row],[AI_Exposure_Index]]&gt;=0.7,"High Exposure", IF(Table1[[#This Row],[AI_Exposure_Index]]&gt;=0.3,"Medium Exposure","Low Exposure"))</f>
        <v>Low Exposure</v>
      </c>
    </row>
    <row r="1638" spans="1:20" x14ac:dyDescent="0.25">
      <c r="A1638" t="s">
        <v>31</v>
      </c>
      <c r="B1638">
        <v>112056</v>
      </c>
      <c r="C1638" s="1">
        <v>19</v>
      </c>
      <c r="D1638" t="s">
        <v>25</v>
      </c>
      <c r="E1638" s="7">
        <v>0.66</v>
      </c>
      <c r="F1638" s="2">
        <v>0.79</v>
      </c>
      <c r="G1638" s="7">
        <v>0.11</v>
      </c>
      <c r="H1638" s="9" t="s">
        <v>23</v>
      </c>
      <c r="I1638">
        <v>0.78</v>
      </c>
      <c r="J1638">
        <v>0.43</v>
      </c>
      <c r="K1638">
        <v>0.2</v>
      </c>
      <c r="L1638">
        <v>0.65</v>
      </c>
      <c r="M1638">
        <v>0.73</v>
      </c>
      <c r="N1638">
        <v>0.13</v>
      </c>
      <c r="O1638">
        <v>0.28000000000000003</v>
      </c>
      <c r="P1638">
        <v>0.22</v>
      </c>
      <c r="Q1638">
        <v>0.38</v>
      </c>
      <c r="R1638" s="2">
        <v>0.76</v>
      </c>
      <c r="S1638" t="str">
        <f>IF(Table1[[#This Row],[Years_Experience]]&lt;=5,"Early Career",
IF(Table1[[#This Row],[Years_Experience]]&lt;=15,"Mid Career","Senior Level"))</f>
        <v>Senior Level</v>
      </c>
      <c r="T1638" t="str">
        <f>IF(Table1[[#This Row],[AI_Exposure_Index]]&gt;=0.7,"High Exposure", IF(Table1[[#This Row],[AI_Exposure_Index]]&gt;=0.3,"Medium Exposure","Low Exposure"))</f>
        <v>High Exposure</v>
      </c>
    </row>
    <row r="1639" spans="1:20" x14ac:dyDescent="0.25">
      <c r="A1639" t="s">
        <v>26</v>
      </c>
      <c r="B1639">
        <v>133144</v>
      </c>
      <c r="C1639" s="1">
        <v>16</v>
      </c>
      <c r="D1639" t="s">
        <v>19</v>
      </c>
      <c r="E1639" s="7">
        <v>0.51</v>
      </c>
      <c r="F1639" s="2">
        <v>0.66</v>
      </c>
      <c r="G1639" s="7">
        <v>0.36</v>
      </c>
      <c r="H1639" s="9" t="s">
        <v>27</v>
      </c>
      <c r="I1639">
        <v>0.22</v>
      </c>
      <c r="J1639">
        <v>0.27</v>
      </c>
      <c r="K1639">
        <v>0.15</v>
      </c>
      <c r="L1639">
        <v>0.41</v>
      </c>
      <c r="M1639">
        <v>0.08</v>
      </c>
      <c r="N1639">
        <v>0.75</v>
      </c>
      <c r="O1639">
        <v>0.79</v>
      </c>
      <c r="P1639">
        <v>0.56999999999999995</v>
      </c>
      <c r="Q1639">
        <v>0.09</v>
      </c>
      <c r="R1639" s="2">
        <v>0.89</v>
      </c>
      <c r="S1639" t="str">
        <f>IF(Table1[[#This Row],[Years_Experience]]&lt;=5,"Early Career",
IF(Table1[[#This Row],[Years_Experience]]&lt;=15,"Mid Career","Senior Level"))</f>
        <v>Senior Level</v>
      </c>
      <c r="T1639" t="str">
        <f>IF(Table1[[#This Row],[AI_Exposure_Index]]&gt;=0.7,"High Exposure", IF(Table1[[#This Row],[AI_Exposure_Index]]&gt;=0.3,"Medium Exposure","Low Exposure"))</f>
        <v>Medium Exposure</v>
      </c>
    </row>
    <row r="1640" spans="1:20" x14ac:dyDescent="0.25">
      <c r="A1640" t="s">
        <v>26</v>
      </c>
      <c r="B1640">
        <v>127364</v>
      </c>
      <c r="C1640" s="1">
        <v>0</v>
      </c>
      <c r="D1640" t="s">
        <v>19</v>
      </c>
      <c r="E1640" s="7">
        <v>1.34</v>
      </c>
      <c r="F1640" s="2">
        <v>0.7</v>
      </c>
      <c r="G1640" s="7">
        <v>0.52</v>
      </c>
      <c r="H1640" s="9" t="s">
        <v>27</v>
      </c>
      <c r="I1640">
        <v>0.32</v>
      </c>
      <c r="J1640">
        <v>0.48</v>
      </c>
      <c r="K1640">
        <v>0.51</v>
      </c>
      <c r="L1640">
        <v>0.4</v>
      </c>
      <c r="M1640">
        <v>0.93</v>
      </c>
      <c r="N1640">
        <v>0.74</v>
      </c>
      <c r="O1640">
        <v>0.24</v>
      </c>
      <c r="P1640">
        <v>0.59</v>
      </c>
      <c r="Q1640">
        <v>0.69</v>
      </c>
      <c r="R1640" s="2">
        <v>0.14000000000000001</v>
      </c>
      <c r="S1640" t="str">
        <f>IF(Table1[[#This Row],[Years_Experience]]&lt;=5,"Early Career",
IF(Table1[[#This Row],[Years_Experience]]&lt;=15,"Mid Career","Senior Level"))</f>
        <v>Early Career</v>
      </c>
      <c r="T1640" t="str">
        <f>IF(Table1[[#This Row],[AI_Exposure_Index]]&gt;=0.7,"High Exposure", IF(Table1[[#This Row],[AI_Exposure_Index]]&gt;=0.3,"Medium Exposure","Low Exposure"))</f>
        <v>High Exposure</v>
      </c>
    </row>
    <row r="1641" spans="1:20" x14ac:dyDescent="0.25">
      <c r="A1641" t="s">
        <v>18</v>
      </c>
      <c r="B1641">
        <v>147257</v>
      </c>
      <c r="C1641" s="1">
        <v>23</v>
      </c>
      <c r="D1641" t="s">
        <v>25</v>
      </c>
      <c r="E1641" s="7">
        <v>1.07</v>
      </c>
      <c r="F1641" s="2">
        <v>0.91</v>
      </c>
      <c r="G1641" s="7">
        <v>0.75</v>
      </c>
      <c r="H1641" s="9" t="s">
        <v>20</v>
      </c>
      <c r="I1641">
        <v>0.12</v>
      </c>
      <c r="J1641">
        <v>0.52</v>
      </c>
      <c r="K1641">
        <v>0.55000000000000004</v>
      </c>
      <c r="L1641">
        <v>0.33</v>
      </c>
      <c r="M1641">
        <v>0.63</v>
      </c>
      <c r="N1641">
        <v>7.0000000000000007E-2</v>
      </c>
      <c r="O1641">
        <v>0.15</v>
      </c>
      <c r="P1641">
        <v>0.55000000000000004</v>
      </c>
      <c r="Q1641">
        <v>0.06</v>
      </c>
      <c r="R1641" s="2">
        <v>0.88</v>
      </c>
      <c r="S1641" t="str">
        <f>IF(Table1[[#This Row],[Years_Experience]]&lt;=5,"Early Career",
IF(Table1[[#This Row],[Years_Experience]]&lt;=15,"Mid Career","Senior Level"))</f>
        <v>Senior Level</v>
      </c>
      <c r="T1641" t="str">
        <f>IF(Table1[[#This Row],[AI_Exposure_Index]]&gt;=0.7,"High Exposure", IF(Table1[[#This Row],[AI_Exposure_Index]]&gt;=0.3,"Medium Exposure","Low Exposure"))</f>
        <v>High Exposure</v>
      </c>
    </row>
    <row r="1642" spans="1:20" x14ac:dyDescent="0.25">
      <c r="A1642" t="s">
        <v>34</v>
      </c>
      <c r="B1642">
        <v>141706</v>
      </c>
      <c r="C1642" s="1">
        <v>18</v>
      </c>
      <c r="D1642" t="s">
        <v>38</v>
      </c>
      <c r="E1642" s="7">
        <v>0.89</v>
      </c>
      <c r="F1642" s="2">
        <v>0.67</v>
      </c>
      <c r="G1642" s="7">
        <v>0.46</v>
      </c>
      <c r="H1642" s="9" t="s">
        <v>27</v>
      </c>
      <c r="I1642">
        <v>0.76</v>
      </c>
      <c r="J1642">
        <v>0.5</v>
      </c>
      <c r="K1642">
        <v>0.73</v>
      </c>
      <c r="L1642">
        <v>0.51</v>
      </c>
      <c r="M1642">
        <v>0.59</v>
      </c>
      <c r="N1642">
        <v>0.76</v>
      </c>
      <c r="O1642">
        <v>0.61</v>
      </c>
      <c r="P1642">
        <v>0.62</v>
      </c>
      <c r="Q1642">
        <v>0.79</v>
      </c>
      <c r="R1642" s="2">
        <v>0.95</v>
      </c>
      <c r="S1642" t="str">
        <f>IF(Table1[[#This Row],[Years_Experience]]&lt;=5,"Early Career",
IF(Table1[[#This Row],[Years_Experience]]&lt;=15,"Mid Career","Senior Level"))</f>
        <v>Senior Level</v>
      </c>
      <c r="T1642" t="str">
        <f>IF(Table1[[#This Row],[AI_Exposure_Index]]&gt;=0.7,"High Exposure", IF(Table1[[#This Row],[AI_Exposure_Index]]&gt;=0.3,"Medium Exposure","Low Exposure"))</f>
        <v>Medium Exposure</v>
      </c>
    </row>
    <row r="1643" spans="1:20" x14ac:dyDescent="0.25">
      <c r="A1643" t="s">
        <v>24</v>
      </c>
      <c r="B1643">
        <v>60795</v>
      </c>
      <c r="C1643" s="1">
        <v>2</v>
      </c>
      <c r="D1643" t="s">
        <v>38</v>
      </c>
      <c r="E1643" s="7">
        <v>0.59</v>
      </c>
      <c r="F1643" s="2">
        <v>0.57999999999999996</v>
      </c>
      <c r="G1643" s="7">
        <v>0.79</v>
      </c>
      <c r="H1643" s="9" t="s">
        <v>20</v>
      </c>
      <c r="I1643">
        <v>0.41</v>
      </c>
      <c r="J1643">
        <v>0.84</v>
      </c>
      <c r="K1643">
        <v>0.51</v>
      </c>
      <c r="L1643">
        <v>0.73</v>
      </c>
      <c r="M1643">
        <v>0.02</v>
      </c>
      <c r="N1643">
        <v>0.46</v>
      </c>
      <c r="O1643">
        <v>0.9</v>
      </c>
      <c r="P1643">
        <v>0.22</v>
      </c>
      <c r="Q1643">
        <v>0.03</v>
      </c>
      <c r="R1643" s="2">
        <v>0.43</v>
      </c>
      <c r="S1643" t="str">
        <f>IF(Table1[[#This Row],[Years_Experience]]&lt;=5,"Early Career",
IF(Table1[[#This Row],[Years_Experience]]&lt;=15,"Mid Career","Senior Level"))</f>
        <v>Early Career</v>
      </c>
      <c r="T1643" t="str">
        <f>IF(Table1[[#This Row],[AI_Exposure_Index]]&gt;=0.7,"High Exposure", IF(Table1[[#This Row],[AI_Exposure_Index]]&gt;=0.3,"Medium Exposure","Low Exposure"))</f>
        <v>Medium Exposure</v>
      </c>
    </row>
    <row r="1644" spans="1:20" x14ac:dyDescent="0.25">
      <c r="A1644" t="s">
        <v>18</v>
      </c>
      <c r="B1644">
        <v>137729</v>
      </c>
      <c r="C1644" s="1">
        <v>26</v>
      </c>
      <c r="D1644" t="s">
        <v>38</v>
      </c>
      <c r="E1644" s="7">
        <v>0.96</v>
      </c>
      <c r="F1644" s="2">
        <v>0.45</v>
      </c>
      <c r="G1644" s="7">
        <v>0.87</v>
      </c>
      <c r="H1644" s="9" t="s">
        <v>20</v>
      </c>
      <c r="I1644">
        <v>0.25</v>
      </c>
      <c r="J1644">
        <v>0.75</v>
      </c>
      <c r="K1644">
        <v>0.15</v>
      </c>
      <c r="L1644">
        <v>0.4</v>
      </c>
      <c r="M1644">
        <v>0.66</v>
      </c>
      <c r="N1644">
        <v>0.83</v>
      </c>
      <c r="O1644">
        <v>0.79</v>
      </c>
      <c r="P1644">
        <v>0.72</v>
      </c>
      <c r="Q1644">
        <v>0.36</v>
      </c>
      <c r="R1644" s="2">
        <v>0.12</v>
      </c>
      <c r="S1644" t="str">
        <f>IF(Table1[[#This Row],[Years_Experience]]&lt;=5,"Early Career",
IF(Table1[[#This Row],[Years_Experience]]&lt;=15,"Mid Career","Senior Level"))</f>
        <v>Senior Level</v>
      </c>
      <c r="T1644" t="str">
        <f>IF(Table1[[#This Row],[AI_Exposure_Index]]&gt;=0.7,"High Exposure", IF(Table1[[#This Row],[AI_Exposure_Index]]&gt;=0.3,"Medium Exposure","Low Exposure"))</f>
        <v>Medium Exposure</v>
      </c>
    </row>
    <row r="1645" spans="1:20" x14ac:dyDescent="0.25">
      <c r="A1645" t="s">
        <v>43</v>
      </c>
      <c r="B1645">
        <v>59340</v>
      </c>
      <c r="C1645" s="1">
        <v>5</v>
      </c>
      <c r="D1645" t="s">
        <v>25</v>
      </c>
      <c r="E1645" s="7">
        <v>1.36</v>
      </c>
      <c r="F1645" s="2">
        <v>0.86</v>
      </c>
      <c r="G1645" s="7">
        <v>0.28999999999999998</v>
      </c>
      <c r="H1645" s="9" t="s">
        <v>23</v>
      </c>
      <c r="I1645">
        <v>0.08</v>
      </c>
      <c r="J1645">
        <v>0.54</v>
      </c>
      <c r="K1645">
        <v>0.65</v>
      </c>
      <c r="L1645">
        <v>0.71</v>
      </c>
      <c r="M1645">
        <v>0.64</v>
      </c>
      <c r="N1645">
        <v>0.77</v>
      </c>
      <c r="O1645">
        <v>0.36</v>
      </c>
      <c r="P1645">
        <v>0.18</v>
      </c>
      <c r="Q1645">
        <v>0.2</v>
      </c>
      <c r="R1645" s="2">
        <v>0.01</v>
      </c>
      <c r="S1645" t="str">
        <f>IF(Table1[[#This Row],[Years_Experience]]&lt;=5,"Early Career",
IF(Table1[[#This Row],[Years_Experience]]&lt;=15,"Mid Career","Senior Level"))</f>
        <v>Early Career</v>
      </c>
      <c r="T1645" t="str">
        <f>IF(Table1[[#This Row],[AI_Exposure_Index]]&gt;=0.7,"High Exposure", IF(Table1[[#This Row],[AI_Exposure_Index]]&gt;=0.3,"Medium Exposure","Low Exposure"))</f>
        <v>High Exposure</v>
      </c>
    </row>
    <row r="1646" spans="1:20" x14ac:dyDescent="0.25">
      <c r="A1646" t="s">
        <v>32</v>
      </c>
      <c r="B1646">
        <v>75487</v>
      </c>
      <c r="C1646" s="1">
        <v>2</v>
      </c>
      <c r="D1646" t="s">
        <v>25</v>
      </c>
      <c r="E1646" s="7">
        <v>0.82</v>
      </c>
      <c r="F1646" s="2">
        <v>0.09</v>
      </c>
      <c r="G1646" s="7">
        <v>0.55000000000000004</v>
      </c>
      <c r="H1646" s="9" t="s">
        <v>27</v>
      </c>
      <c r="I1646">
        <v>0.89</v>
      </c>
      <c r="J1646">
        <v>0.84</v>
      </c>
      <c r="K1646">
        <v>0.25</v>
      </c>
      <c r="L1646">
        <v>0.13</v>
      </c>
      <c r="M1646">
        <v>0.19</v>
      </c>
      <c r="N1646">
        <v>0.97</v>
      </c>
      <c r="O1646">
        <v>0.55000000000000004</v>
      </c>
      <c r="P1646">
        <v>0.18</v>
      </c>
      <c r="Q1646">
        <v>0.84</v>
      </c>
      <c r="R1646" s="2">
        <v>0.4</v>
      </c>
      <c r="S1646" t="str">
        <f>IF(Table1[[#This Row],[Years_Experience]]&lt;=5,"Early Career",
IF(Table1[[#This Row],[Years_Experience]]&lt;=15,"Mid Career","Senior Level"))</f>
        <v>Early Career</v>
      </c>
      <c r="T1646" t="str">
        <f>IF(Table1[[#This Row],[AI_Exposure_Index]]&gt;=0.7,"High Exposure", IF(Table1[[#This Row],[AI_Exposure_Index]]&gt;=0.3,"Medium Exposure","Low Exposure"))</f>
        <v>Low Exposure</v>
      </c>
    </row>
    <row r="1647" spans="1:20" x14ac:dyDescent="0.25">
      <c r="A1647" t="s">
        <v>41</v>
      </c>
      <c r="B1647">
        <v>123258</v>
      </c>
      <c r="C1647" s="1">
        <v>17</v>
      </c>
      <c r="D1647" t="s">
        <v>19</v>
      </c>
      <c r="E1647" s="7">
        <v>0.89</v>
      </c>
      <c r="F1647" s="2">
        <v>0.26</v>
      </c>
      <c r="G1647" s="7">
        <v>0.83</v>
      </c>
      <c r="H1647" s="9" t="s">
        <v>20</v>
      </c>
      <c r="I1647">
        <v>0.89</v>
      </c>
      <c r="J1647">
        <v>0.87</v>
      </c>
      <c r="K1647">
        <v>0.56999999999999995</v>
      </c>
      <c r="L1647">
        <v>0.22</v>
      </c>
      <c r="M1647">
        <v>0.4</v>
      </c>
      <c r="N1647">
        <v>0.98</v>
      </c>
      <c r="O1647">
        <v>0.61</v>
      </c>
      <c r="P1647">
        <v>0.78</v>
      </c>
      <c r="Q1647">
        <v>0.45</v>
      </c>
      <c r="R1647" s="2">
        <v>0.53</v>
      </c>
      <c r="S1647" t="str">
        <f>IF(Table1[[#This Row],[Years_Experience]]&lt;=5,"Early Career",
IF(Table1[[#This Row],[Years_Experience]]&lt;=15,"Mid Career","Senior Level"))</f>
        <v>Senior Level</v>
      </c>
      <c r="T1647" t="str">
        <f>IF(Table1[[#This Row],[AI_Exposure_Index]]&gt;=0.7,"High Exposure", IF(Table1[[#This Row],[AI_Exposure_Index]]&gt;=0.3,"Medium Exposure","Low Exposure"))</f>
        <v>Low Exposure</v>
      </c>
    </row>
    <row r="1648" spans="1:20" x14ac:dyDescent="0.25">
      <c r="A1648" t="s">
        <v>31</v>
      </c>
      <c r="B1648">
        <v>37160</v>
      </c>
      <c r="C1648" s="1">
        <v>9</v>
      </c>
      <c r="D1648" t="s">
        <v>38</v>
      </c>
      <c r="E1648" s="7">
        <v>1.01</v>
      </c>
      <c r="F1648" s="2">
        <v>0.85</v>
      </c>
      <c r="G1648" s="7">
        <v>0.17</v>
      </c>
      <c r="H1648" s="9" t="s">
        <v>23</v>
      </c>
      <c r="I1648">
        <v>0.34</v>
      </c>
      <c r="J1648">
        <v>0.18</v>
      </c>
      <c r="K1648">
        <v>0.94</v>
      </c>
      <c r="L1648">
        <v>0.32</v>
      </c>
      <c r="M1648">
        <v>0.8</v>
      </c>
      <c r="N1648">
        <v>0.72</v>
      </c>
      <c r="O1648">
        <v>0.79</v>
      </c>
      <c r="P1648">
        <v>0.94</v>
      </c>
      <c r="Q1648">
        <v>0.62</v>
      </c>
      <c r="R1648" s="2">
        <v>0.9</v>
      </c>
      <c r="S1648" t="str">
        <f>IF(Table1[[#This Row],[Years_Experience]]&lt;=5,"Early Career",
IF(Table1[[#This Row],[Years_Experience]]&lt;=15,"Mid Career","Senior Level"))</f>
        <v>Mid Career</v>
      </c>
      <c r="T1648" t="str">
        <f>IF(Table1[[#This Row],[AI_Exposure_Index]]&gt;=0.7,"High Exposure", IF(Table1[[#This Row],[AI_Exposure_Index]]&gt;=0.3,"Medium Exposure","Low Exposure"))</f>
        <v>High Exposure</v>
      </c>
    </row>
    <row r="1649" spans="1:20" x14ac:dyDescent="0.25">
      <c r="A1649" t="s">
        <v>34</v>
      </c>
      <c r="B1649">
        <v>43869</v>
      </c>
      <c r="C1649" s="1">
        <v>7</v>
      </c>
      <c r="D1649" t="s">
        <v>25</v>
      </c>
      <c r="E1649" s="7">
        <v>1.27</v>
      </c>
      <c r="F1649" s="2">
        <v>0.63</v>
      </c>
      <c r="G1649" s="7">
        <v>0.41</v>
      </c>
      <c r="H1649" s="9" t="s">
        <v>27</v>
      </c>
      <c r="I1649">
        <v>0.74</v>
      </c>
      <c r="J1649">
        <v>0.78</v>
      </c>
      <c r="K1649">
        <v>0.83</v>
      </c>
      <c r="L1649">
        <v>0.31</v>
      </c>
      <c r="M1649">
        <v>0.68</v>
      </c>
      <c r="N1649">
        <v>0.3</v>
      </c>
      <c r="O1649">
        <v>0.74</v>
      </c>
      <c r="P1649">
        <v>0.46</v>
      </c>
      <c r="Q1649">
        <v>0.6</v>
      </c>
      <c r="R1649" s="2">
        <v>0.42</v>
      </c>
      <c r="S1649" t="str">
        <f>IF(Table1[[#This Row],[Years_Experience]]&lt;=5,"Early Career",
IF(Table1[[#This Row],[Years_Experience]]&lt;=15,"Mid Career","Senior Level"))</f>
        <v>Mid Career</v>
      </c>
      <c r="T1649" t="str">
        <f>IF(Table1[[#This Row],[AI_Exposure_Index]]&gt;=0.7,"High Exposure", IF(Table1[[#This Row],[AI_Exposure_Index]]&gt;=0.3,"Medium Exposure","Low Exposure"))</f>
        <v>Medium Exposure</v>
      </c>
    </row>
    <row r="1650" spans="1:20" x14ac:dyDescent="0.25">
      <c r="A1650" t="s">
        <v>24</v>
      </c>
      <c r="B1650">
        <v>142266</v>
      </c>
      <c r="C1650" s="1">
        <v>20</v>
      </c>
      <c r="D1650" t="s">
        <v>19</v>
      </c>
      <c r="E1650" s="7">
        <v>0.57999999999999996</v>
      </c>
      <c r="F1650" s="2">
        <v>0.18</v>
      </c>
      <c r="G1650" s="7">
        <v>0.85</v>
      </c>
      <c r="H1650" s="9" t="s">
        <v>20</v>
      </c>
      <c r="I1650">
        <v>0.85</v>
      </c>
      <c r="J1650">
        <v>0.02</v>
      </c>
      <c r="K1650">
        <v>7.0000000000000007E-2</v>
      </c>
      <c r="L1650">
        <v>0.46</v>
      </c>
      <c r="M1650">
        <v>0.74</v>
      </c>
      <c r="N1650">
        <v>0.16</v>
      </c>
      <c r="O1650">
        <v>0.27</v>
      </c>
      <c r="P1650">
        <v>0.23</v>
      </c>
      <c r="Q1650">
        <v>0.4</v>
      </c>
      <c r="R1650" s="2">
        <v>0.22</v>
      </c>
      <c r="S1650" t="str">
        <f>IF(Table1[[#This Row],[Years_Experience]]&lt;=5,"Early Career",
IF(Table1[[#This Row],[Years_Experience]]&lt;=15,"Mid Career","Senior Level"))</f>
        <v>Senior Level</v>
      </c>
      <c r="T1650" t="str">
        <f>IF(Table1[[#This Row],[AI_Exposure_Index]]&gt;=0.7,"High Exposure", IF(Table1[[#This Row],[AI_Exposure_Index]]&gt;=0.3,"Medium Exposure","Low Exposure"))</f>
        <v>Low Exposure</v>
      </c>
    </row>
    <row r="1651" spans="1:20" x14ac:dyDescent="0.25">
      <c r="A1651" t="s">
        <v>32</v>
      </c>
      <c r="B1651">
        <v>112833</v>
      </c>
      <c r="C1651" s="1">
        <v>24</v>
      </c>
      <c r="D1651" t="s">
        <v>25</v>
      </c>
      <c r="E1651" s="7">
        <v>0.61</v>
      </c>
      <c r="F1651" s="2">
        <v>0.34</v>
      </c>
      <c r="G1651" s="7">
        <v>0.32</v>
      </c>
      <c r="H1651" s="9" t="s">
        <v>27</v>
      </c>
      <c r="I1651">
        <v>0.37</v>
      </c>
      <c r="J1651">
        <v>0.05</v>
      </c>
      <c r="K1651">
        <v>0.1</v>
      </c>
      <c r="L1651">
        <v>0.14000000000000001</v>
      </c>
      <c r="M1651">
        <v>0</v>
      </c>
      <c r="N1651">
        <v>0.15</v>
      </c>
      <c r="O1651">
        <v>0.57999999999999996</v>
      </c>
      <c r="P1651">
        <v>0.82</v>
      </c>
      <c r="Q1651">
        <v>0.19</v>
      </c>
      <c r="R1651" s="2">
        <v>0.08</v>
      </c>
      <c r="S1651" t="str">
        <f>IF(Table1[[#This Row],[Years_Experience]]&lt;=5,"Early Career",
IF(Table1[[#This Row],[Years_Experience]]&lt;=15,"Mid Career","Senior Level"))</f>
        <v>Senior Level</v>
      </c>
      <c r="T1651" t="str">
        <f>IF(Table1[[#This Row],[AI_Exposure_Index]]&gt;=0.7,"High Exposure", IF(Table1[[#This Row],[AI_Exposure_Index]]&gt;=0.3,"Medium Exposure","Low Exposure"))</f>
        <v>Medium Exposure</v>
      </c>
    </row>
    <row r="1652" spans="1:20" x14ac:dyDescent="0.25">
      <c r="A1652" t="s">
        <v>39</v>
      </c>
      <c r="B1652">
        <v>124538</v>
      </c>
      <c r="C1652" s="1">
        <v>10</v>
      </c>
      <c r="D1652" t="s">
        <v>38</v>
      </c>
      <c r="E1652" s="7">
        <v>1.23</v>
      </c>
      <c r="F1652" s="2">
        <v>0.01</v>
      </c>
      <c r="G1652" s="7">
        <v>0.73</v>
      </c>
      <c r="H1652" s="9" t="s">
        <v>20</v>
      </c>
      <c r="I1652">
        <v>0.23</v>
      </c>
      <c r="J1652">
        <v>0.12</v>
      </c>
      <c r="K1652">
        <v>0.25</v>
      </c>
      <c r="L1652">
        <v>0.8</v>
      </c>
      <c r="M1652">
        <v>0.13</v>
      </c>
      <c r="N1652">
        <v>0.99</v>
      </c>
      <c r="O1652">
        <v>0.33</v>
      </c>
      <c r="P1652">
        <v>0.92</v>
      </c>
      <c r="Q1652">
        <v>0.19</v>
      </c>
      <c r="R1652" s="2">
        <v>0.19</v>
      </c>
      <c r="S1652" t="str">
        <f>IF(Table1[[#This Row],[Years_Experience]]&lt;=5,"Early Career",
IF(Table1[[#This Row],[Years_Experience]]&lt;=15,"Mid Career","Senior Level"))</f>
        <v>Mid Career</v>
      </c>
      <c r="T1652" t="str">
        <f>IF(Table1[[#This Row],[AI_Exposure_Index]]&gt;=0.7,"High Exposure", IF(Table1[[#This Row],[AI_Exposure_Index]]&gt;=0.3,"Medium Exposure","Low Exposure"))</f>
        <v>Low Exposure</v>
      </c>
    </row>
    <row r="1653" spans="1:20" x14ac:dyDescent="0.25">
      <c r="A1653" t="s">
        <v>26</v>
      </c>
      <c r="B1653">
        <v>54608</v>
      </c>
      <c r="C1653" s="1">
        <v>4</v>
      </c>
      <c r="D1653" t="s">
        <v>25</v>
      </c>
      <c r="E1653" s="7">
        <v>0.54</v>
      </c>
      <c r="F1653" s="2">
        <v>0.43</v>
      </c>
      <c r="G1653" s="7">
        <v>0.36</v>
      </c>
      <c r="H1653" s="9" t="s">
        <v>27</v>
      </c>
      <c r="I1653">
        <v>0.08</v>
      </c>
      <c r="J1653">
        <v>0.59</v>
      </c>
      <c r="K1653">
        <v>0.19</v>
      </c>
      <c r="L1653">
        <v>0.5</v>
      </c>
      <c r="M1653">
        <v>0.37</v>
      </c>
      <c r="N1653">
        <v>0.8</v>
      </c>
      <c r="O1653">
        <v>0.32</v>
      </c>
      <c r="P1653">
        <v>0.46</v>
      </c>
      <c r="Q1653">
        <v>0.72</v>
      </c>
      <c r="R1653" s="2">
        <v>0.43</v>
      </c>
      <c r="S1653" t="str">
        <f>IF(Table1[[#This Row],[Years_Experience]]&lt;=5,"Early Career",
IF(Table1[[#This Row],[Years_Experience]]&lt;=15,"Mid Career","Senior Level"))</f>
        <v>Early Career</v>
      </c>
      <c r="T1653" t="str">
        <f>IF(Table1[[#This Row],[AI_Exposure_Index]]&gt;=0.7,"High Exposure", IF(Table1[[#This Row],[AI_Exposure_Index]]&gt;=0.3,"Medium Exposure","Low Exposure"))</f>
        <v>Medium Exposure</v>
      </c>
    </row>
    <row r="1654" spans="1:20" x14ac:dyDescent="0.25">
      <c r="A1654" t="s">
        <v>44</v>
      </c>
      <c r="B1654">
        <v>41367</v>
      </c>
      <c r="C1654" s="1">
        <v>11</v>
      </c>
      <c r="D1654" t="s">
        <v>38</v>
      </c>
      <c r="E1654" s="7">
        <v>0.91</v>
      </c>
      <c r="F1654" s="2">
        <v>0.66</v>
      </c>
      <c r="G1654" s="7">
        <v>0.5</v>
      </c>
      <c r="H1654" s="9" t="s">
        <v>27</v>
      </c>
      <c r="I1654">
        <v>0.97</v>
      </c>
      <c r="J1654">
        <v>0.66</v>
      </c>
      <c r="K1654">
        <v>0.9</v>
      </c>
      <c r="L1654">
        <v>0.18</v>
      </c>
      <c r="M1654">
        <v>0.48</v>
      </c>
      <c r="N1654">
        <v>0.91</v>
      </c>
      <c r="O1654">
        <v>0.32</v>
      </c>
      <c r="P1654">
        <v>0.97</v>
      </c>
      <c r="Q1654">
        <v>0.1</v>
      </c>
      <c r="R1654" s="2">
        <v>0.9</v>
      </c>
      <c r="S1654" t="str">
        <f>IF(Table1[[#This Row],[Years_Experience]]&lt;=5,"Early Career",
IF(Table1[[#This Row],[Years_Experience]]&lt;=15,"Mid Career","Senior Level"))</f>
        <v>Mid Career</v>
      </c>
      <c r="T1654" t="str">
        <f>IF(Table1[[#This Row],[AI_Exposure_Index]]&gt;=0.7,"High Exposure", IF(Table1[[#This Row],[AI_Exposure_Index]]&gt;=0.3,"Medium Exposure","Low Exposure"))</f>
        <v>Medium Exposure</v>
      </c>
    </row>
    <row r="1655" spans="1:20" x14ac:dyDescent="0.25">
      <c r="A1655" t="s">
        <v>43</v>
      </c>
      <c r="B1655">
        <v>123159</v>
      </c>
      <c r="C1655" s="1">
        <v>22</v>
      </c>
      <c r="D1655" t="s">
        <v>22</v>
      </c>
      <c r="E1655" s="7">
        <v>1.38</v>
      </c>
      <c r="F1655" s="2">
        <v>7.0000000000000007E-2</v>
      </c>
      <c r="G1655" s="7">
        <v>0.11</v>
      </c>
      <c r="H1655" s="9" t="s">
        <v>23</v>
      </c>
      <c r="I1655">
        <v>0.02</v>
      </c>
      <c r="J1655">
        <v>0.14000000000000001</v>
      </c>
      <c r="K1655">
        <v>0.66</v>
      </c>
      <c r="L1655">
        <v>0.98</v>
      </c>
      <c r="M1655">
        <v>0.11</v>
      </c>
      <c r="N1655">
        <v>0.46</v>
      </c>
      <c r="O1655">
        <v>0.18</v>
      </c>
      <c r="P1655">
        <v>0.75</v>
      </c>
      <c r="Q1655">
        <v>0.12</v>
      </c>
      <c r="R1655" s="2">
        <v>0.24</v>
      </c>
      <c r="S1655" t="str">
        <f>IF(Table1[[#This Row],[Years_Experience]]&lt;=5,"Early Career",
IF(Table1[[#This Row],[Years_Experience]]&lt;=15,"Mid Career","Senior Level"))</f>
        <v>Senior Level</v>
      </c>
      <c r="T1655" t="str">
        <f>IF(Table1[[#This Row],[AI_Exposure_Index]]&gt;=0.7,"High Exposure", IF(Table1[[#This Row],[AI_Exposure_Index]]&gt;=0.3,"Medium Exposure","Low Exposure"))</f>
        <v>Low Exposure</v>
      </c>
    </row>
    <row r="1656" spans="1:20" x14ac:dyDescent="0.25">
      <c r="A1656" t="s">
        <v>24</v>
      </c>
      <c r="B1656">
        <v>138864</v>
      </c>
      <c r="C1656" s="1">
        <v>11</v>
      </c>
      <c r="D1656" t="s">
        <v>38</v>
      </c>
      <c r="E1656" s="7">
        <v>1.37</v>
      </c>
      <c r="F1656" s="2">
        <v>0.55000000000000004</v>
      </c>
      <c r="G1656" s="7">
        <v>0.83</v>
      </c>
      <c r="H1656" s="9" t="s">
        <v>20</v>
      </c>
      <c r="I1656">
        <v>0.06</v>
      </c>
      <c r="J1656">
        <v>0.56000000000000005</v>
      </c>
      <c r="K1656">
        <v>0.8</v>
      </c>
      <c r="L1656">
        <v>0.13</v>
      </c>
      <c r="M1656">
        <v>7.0000000000000007E-2</v>
      </c>
      <c r="N1656">
        <v>0.19</v>
      </c>
      <c r="O1656">
        <v>0.75</v>
      </c>
      <c r="P1656">
        <v>0.59</v>
      </c>
      <c r="Q1656">
        <v>0.54</v>
      </c>
      <c r="R1656" s="2">
        <v>0.25</v>
      </c>
      <c r="S1656" t="str">
        <f>IF(Table1[[#This Row],[Years_Experience]]&lt;=5,"Early Career",
IF(Table1[[#This Row],[Years_Experience]]&lt;=15,"Mid Career","Senior Level"))</f>
        <v>Mid Career</v>
      </c>
      <c r="T1656" t="str">
        <f>IF(Table1[[#This Row],[AI_Exposure_Index]]&gt;=0.7,"High Exposure", IF(Table1[[#This Row],[AI_Exposure_Index]]&gt;=0.3,"Medium Exposure","Low Exposure"))</f>
        <v>Medium Exposure</v>
      </c>
    </row>
    <row r="1657" spans="1:20" x14ac:dyDescent="0.25">
      <c r="A1657" t="s">
        <v>18</v>
      </c>
      <c r="B1657">
        <v>125504</v>
      </c>
      <c r="C1657" s="1">
        <v>14</v>
      </c>
      <c r="D1657" t="s">
        <v>25</v>
      </c>
      <c r="E1657" s="7">
        <v>0.74</v>
      </c>
      <c r="F1657" s="2">
        <v>0.97</v>
      </c>
      <c r="G1657" s="7">
        <v>0.93</v>
      </c>
      <c r="H1657" s="9" t="s">
        <v>20</v>
      </c>
      <c r="I1657">
        <v>0.57999999999999996</v>
      </c>
      <c r="J1657">
        <v>0.12</v>
      </c>
      <c r="K1657">
        <v>0.47</v>
      </c>
      <c r="L1657">
        <v>0.95</v>
      </c>
      <c r="M1657">
        <v>0.42</v>
      </c>
      <c r="N1657">
        <v>0.86</v>
      </c>
      <c r="O1657">
        <v>0.26</v>
      </c>
      <c r="P1657">
        <v>0.56999999999999995</v>
      </c>
      <c r="Q1657">
        <v>0.84</v>
      </c>
      <c r="R1657" s="2">
        <v>0.92</v>
      </c>
      <c r="S1657" t="str">
        <f>IF(Table1[[#This Row],[Years_Experience]]&lt;=5,"Early Career",
IF(Table1[[#This Row],[Years_Experience]]&lt;=15,"Mid Career","Senior Level"))</f>
        <v>Mid Career</v>
      </c>
      <c r="T1657" t="str">
        <f>IF(Table1[[#This Row],[AI_Exposure_Index]]&gt;=0.7,"High Exposure", IF(Table1[[#This Row],[AI_Exposure_Index]]&gt;=0.3,"Medium Exposure","Low Exposure"))</f>
        <v>High Exposure</v>
      </c>
    </row>
    <row r="1658" spans="1:20" x14ac:dyDescent="0.25">
      <c r="A1658" t="s">
        <v>36</v>
      </c>
      <c r="B1658">
        <v>90302</v>
      </c>
      <c r="C1658" s="1">
        <v>18</v>
      </c>
      <c r="D1658" t="s">
        <v>22</v>
      </c>
      <c r="E1658" s="7">
        <v>0.5</v>
      </c>
      <c r="F1658" s="2">
        <v>0.64</v>
      </c>
      <c r="G1658" s="7">
        <v>0.4</v>
      </c>
      <c r="H1658" s="9" t="s">
        <v>27</v>
      </c>
      <c r="I1658">
        <v>0.28000000000000003</v>
      </c>
      <c r="J1658">
        <v>0.09</v>
      </c>
      <c r="K1658">
        <v>0.28000000000000003</v>
      </c>
      <c r="L1658">
        <v>0.32</v>
      </c>
      <c r="M1658">
        <v>0.97</v>
      </c>
      <c r="N1658">
        <v>0.67</v>
      </c>
      <c r="O1658">
        <v>0.43</v>
      </c>
      <c r="P1658">
        <v>0.99</v>
      </c>
      <c r="Q1658">
        <v>0.15</v>
      </c>
      <c r="R1658" s="2">
        <v>0.48</v>
      </c>
      <c r="S1658" t="str">
        <f>IF(Table1[[#This Row],[Years_Experience]]&lt;=5,"Early Career",
IF(Table1[[#This Row],[Years_Experience]]&lt;=15,"Mid Career","Senior Level"))</f>
        <v>Senior Level</v>
      </c>
      <c r="T1658" t="str">
        <f>IF(Table1[[#This Row],[AI_Exposure_Index]]&gt;=0.7,"High Exposure", IF(Table1[[#This Row],[AI_Exposure_Index]]&gt;=0.3,"Medium Exposure","Low Exposure"))</f>
        <v>Medium Exposure</v>
      </c>
    </row>
    <row r="1659" spans="1:20" x14ac:dyDescent="0.25">
      <c r="A1659" t="s">
        <v>21</v>
      </c>
      <c r="B1659">
        <v>72722</v>
      </c>
      <c r="C1659" s="1">
        <v>0</v>
      </c>
      <c r="D1659" t="s">
        <v>38</v>
      </c>
      <c r="E1659" s="7">
        <v>1.21</v>
      </c>
      <c r="F1659" s="2">
        <v>0.48</v>
      </c>
      <c r="G1659" s="7">
        <v>0.1</v>
      </c>
      <c r="H1659" s="9" t="s">
        <v>23</v>
      </c>
      <c r="I1659">
        <v>0.74</v>
      </c>
      <c r="J1659">
        <v>0.55000000000000004</v>
      </c>
      <c r="K1659">
        <v>0.1</v>
      </c>
      <c r="L1659">
        <v>0.56000000000000005</v>
      </c>
      <c r="M1659">
        <v>7.0000000000000007E-2</v>
      </c>
      <c r="N1659">
        <v>0.01</v>
      </c>
      <c r="O1659">
        <v>0.89</v>
      </c>
      <c r="P1659">
        <v>0.49</v>
      </c>
      <c r="Q1659">
        <v>0.54</v>
      </c>
      <c r="R1659" s="2">
        <v>0.28000000000000003</v>
      </c>
      <c r="S1659" t="str">
        <f>IF(Table1[[#This Row],[Years_Experience]]&lt;=5,"Early Career",
IF(Table1[[#This Row],[Years_Experience]]&lt;=15,"Mid Career","Senior Level"))</f>
        <v>Early Career</v>
      </c>
      <c r="T1659" t="str">
        <f>IF(Table1[[#This Row],[AI_Exposure_Index]]&gt;=0.7,"High Exposure", IF(Table1[[#This Row],[AI_Exposure_Index]]&gt;=0.3,"Medium Exposure","Low Exposure"))</f>
        <v>Medium Exposure</v>
      </c>
    </row>
    <row r="1660" spans="1:20" x14ac:dyDescent="0.25">
      <c r="A1660" t="s">
        <v>39</v>
      </c>
      <c r="B1660">
        <v>116379</v>
      </c>
      <c r="C1660" s="1">
        <v>20</v>
      </c>
      <c r="D1660" t="s">
        <v>25</v>
      </c>
      <c r="E1660" s="7">
        <v>1.25</v>
      </c>
      <c r="F1660" s="2">
        <v>0.17</v>
      </c>
      <c r="G1660" s="7">
        <v>0.91</v>
      </c>
      <c r="H1660" s="9" t="s">
        <v>20</v>
      </c>
      <c r="I1660">
        <v>0.86</v>
      </c>
      <c r="J1660">
        <v>0.11</v>
      </c>
      <c r="K1660">
        <v>0.56000000000000005</v>
      </c>
      <c r="L1660">
        <v>0.81</v>
      </c>
      <c r="M1660">
        <v>0.13</v>
      </c>
      <c r="N1660">
        <v>0.1</v>
      </c>
      <c r="O1660">
        <v>0.82</v>
      </c>
      <c r="P1660">
        <v>0.8</v>
      </c>
      <c r="Q1660">
        <v>0.45</v>
      </c>
      <c r="R1660" s="2">
        <v>0.11</v>
      </c>
      <c r="S1660" t="str">
        <f>IF(Table1[[#This Row],[Years_Experience]]&lt;=5,"Early Career",
IF(Table1[[#This Row],[Years_Experience]]&lt;=15,"Mid Career","Senior Level"))</f>
        <v>Senior Level</v>
      </c>
      <c r="T1660" t="str">
        <f>IF(Table1[[#This Row],[AI_Exposure_Index]]&gt;=0.7,"High Exposure", IF(Table1[[#This Row],[AI_Exposure_Index]]&gt;=0.3,"Medium Exposure","Low Exposure"))</f>
        <v>Low Exposure</v>
      </c>
    </row>
    <row r="1661" spans="1:20" x14ac:dyDescent="0.25">
      <c r="A1661" t="s">
        <v>36</v>
      </c>
      <c r="B1661">
        <v>72412</v>
      </c>
      <c r="C1661" s="1">
        <v>21</v>
      </c>
      <c r="D1661" t="s">
        <v>38</v>
      </c>
      <c r="E1661" s="7">
        <v>1.02</v>
      </c>
      <c r="F1661" s="2">
        <v>0.39</v>
      </c>
      <c r="G1661" s="7">
        <v>0.48</v>
      </c>
      <c r="H1661" s="9" t="s">
        <v>27</v>
      </c>
      <c r="I1661">
        <v>0.56999999999999995</v>
      </c>
      <c r="J1661">
        <v>0.73</v>
      </c>
      <c r="K1661">
        <v>0.77</v>
      </c>
      <c r="L1661">
        <v>0.65</v>
      </c>
      <c r="M1661">
        <v>0.2</v>
      </c>
      <c r="N1661">
        <v>0.4</v>
      </c>
      <c r="O1661">
        <v>7.0000000000000007E-2</v>
      </c>
      <c r="P1661">
        <v>0.45</v>
      </c>
      <c r="Q1661">
        <v>0.97</v>
      </c>
      <c r="R1661" s="2">
        <v>0.64</v>
      </c>
      <c r="S1661" t="str">
        <f>IF(Table1[[#This Row],[Years_Experience]]&lt;=5,"Early Career",
IF(Table1[[#This Row],[Years_Experience]]&lt;=15,"Mid Career","Senior Level"))</f>
        <v>Senior Level</v>
      </c>
      <c r="T1661" t="str">
        <f>IF(Table1[[#This Row],[AI_Exposure_Index]]&gt;=0.7,"High Exposure", IF(Table1[[#This Row],[AI_Exposure_Index]]&gt;=0.3,"Medium Exposure","Low Exposure"))</f>
        <v>Medium Exposure</v>
      </c>
    </row>
    <row r="1662" spans="1:20" x14ac:dyDescent="0.25">
      <c r="A1662" t="s">
        <v>33</v>
      </c>
      <c r="B1662">
        <v>74956</v>
      </c>
      <c r="C1662" s="1">
        <v>1</v>
      </c>
      <c r="D1662" t="s">
        <v>25</v>
      </c>
      <c r="E1662" s="7">
        <v>0.56000000000000005</v>
      </c>
      <c r="F1662" s="2">
        <v>0.27</v>
      </c>
      <c r="G1662" s="7">
        <v>0.75</v>
      </c>
      <c r="H1662" s="9" t="s">
        <v>20</v>
      </c>
      <c r="I1662">
        <v>0.49</v>
      </c>
      <c r="J1662">
        <v>0.34</v>
      </c>
      <c r="K1662">
        <v>0.2</v>
      </c>
      <c r="L1662">
        <v>0.15</v>
      </c>
      <c r="M1662">
        <v>0.66</v>
      </c>
      <c r="N1662">
        <v>0.56000000000000005</v>
      </c>
      <c r="O1662">
        <v>0.84</v>
      </c>
      <c r="P1662">
        <v>0.18</v>
      </c>
      <c r="Q1662">
        <v>0.85</v>
      </c>
      <c r="R1662" s="2">
        <v>0.57999999999999996</v>
      </c>
      <c r="S1662" t="str">
        <f>IF(Table1[[#This Row],[Years_Experience]]&lt;=5,"Early Career",
IF(Table1[[#This Row],[Years_Experience]]&lt;=15,"Mid Career","Senior Level"))</f>
        <v>Early Career</v>
      </c>
      <c r="T1662" t="str">
        <f>IF(Table1[[#This Row],[AI_Exposure_Index]]&gt;=0.7,"High Exposure", IF(Table1[[#This Row],[AI_Exposure_Index]]&gt;=0.3,"Medium Exposure","Low Exposure"))</f>
        <v>Low Exposure</v>
      </c>
    </row>
    <row r="1663" spans="1:20" x14ac:dyDescent="0.25">
      <c r="A1663" t="s">
        <v>31</v>
      </c>
      <c r="B1663">
        <v>108872</v>
      </c>
      <c r="C1663" s="1">
        <v>16</v>
      </c>
      <c r="D1663" t="s">
        <v>25</v>
      </c>
      <c r="E1663" s="7">
        <v>0.89</v>
      </c>
      <c r="F1663" s="2">
        <v>0.27</v>
      </c>
      <c r="G1663" s="7">
        <v>0.17</v>
      </c>
      <c r="H1663" s="9" t="s">
        <v>23</v>
      </c>
      <c r="I1663">
        <v>0.08</v>
      </c>
      <c r="J1663">
        <v>0.84</v>
      </c>
      <c r="K1663">
        <v>0.12</v>
      </c>
      <c r="L1663">
        <v>0.48</v>
      </c>
      <c r="M1663">
        <v>0.38</v>
      </c>
      <c r="N1663">
        <v>0.51</v>
      </c>
      <c r="O1663">
        <v>0.89</v>
      </c>
      <c r="P1663">
        <v>0.99</v>
      </c>
      <c r="Q1663">
        <v>0.02</v>
      </c>
      <c r="R1663" s="2">
        <v>0.39</v>
      </c>
      <c r="S1663" t="str">
        <f>IF(Table1[[#This Row],[Years_Experience]]&lt;=5,"Early Career",
IF(Table1[[#This Row],[Years_Experience]]&lt;=15,"Mid Career","Senior Level"))</f>
        <v>Senior Level</v>
      </c>
      <c r="T1663" t="str">
        <f>IF(Table1[[#This Row],[AI_Exposure_Index]]&gt;=0.7,"High Exposure", IF(Table1[[#This Row],[AI_Exposure_Index]]&gt;=0.3,"Medium Exposure","Low Exposure"))</f>
        <v>Low Exposure</v>
      </c>
    </row>
    <row r="1664" spans="1:20" x14ac:dyDescent="0.25">
      <c r="A1664" t="s">
        <v>32</v>
      </c>
      <c r="B1664">
        <v>90542</v>
      </c>
      <c r="C1664" s="1">
        <v>19</v>
      </c>
      <c r="D1664" t="s">
        <v>25</v>
      </c>
      <c r="E1664" s="7">
        <v>1.1499999999999999</v>
      </c>
      <c r="F1664" s="2">
        <v>0.33</v>
      </c>
      <c r="G1664" s="7">
        <v>0.7</v>
      </c>
      <c r="H1664" s="9" t="s">
        <v>27</v>
      </c>
      <c r="I1664">
        <v>0.65</v>
      </c>
      <c r="J1664">
        <v>0.11</v>
      </c>
      <c r="K1664">
        <v>0.84</v>
      </c>
      <c r="L1664">
        <v>0.97</v>
      </c>
      <c r="M1664">
        <v>0.71</v>
      </c>
      <c r="N1664">
        <v>0.42</v>
      </c>
      <c r="O1664">
        <v>0.95</v>
      </c>
      <c r="P1664">
        <v>0.97</v>
      </c>
      <c r="Q1664">
        <v>0.94</v>
      </c>
      <c r="R1664" s="2">
        <v>0.41</v>
      </c>
      <c r="S1664" t="str">
        <f>IF(Table1[[#This Row],[Years_Experience]]&lt;=5,"Early Career",
IF(Table1[[#This Row],[Years_Experience]]&lt;=15,"Mid Career","Senior Level"))</f>
        <v>Senior Level</v>
      </c>
      <c r="T1664" t="str">
        <f>IF(Table1[[#This Row],[AI_Exposure_Index]]&gt;=0.7,"High Exposure", IF(Table1[[#This Row],[AI_Exposure_Index]]&gt;=0.3,"Medium Exposure","Low Exposure"))</f>
        <v>Medium Exposure</v>
      </c>
    </row>
    <row r="1665" spans="1:20" x14ac:dyDescent="0.25">
      <c r="A1665" t="s">
        <v>33</v>
      </c>
      <c r="B1665">
        <v>48481</v>
      </c>
      <c r="C1665" s="1">
        <v>9</v>
      </c>
      <c r="D1665" t="s">
        <v>38</v>
      </c>
      <c r="E1665" s="7">
        <v>0.68</v>
      </c>
      <c r="F1665" s="2">
        <v>0.65</v>
      </c>
      <c r="G1665" s="7">
        <v>0.83</v>
      </c>
      <c r="H1665" s="9" t="s">
        <v>20</v>
      </c>
      <c r="I1665">
        <v>0.75</v>
      </c>
      <c r="J1665">
        <v>0.9</v>
      </c>
      <c r="K1665">
        <v>0.86</v>
      </c>
      <c r="L1665">
        <v>0.15</v>
      </c>
      <c r="M1665">
        <v>0.49</v>
      </c>
      <c r="N1665">
        <v>0.48</v>
      </c>
      <c r="O1665">
        <v>0.9</v>
      </c>
      <c r="P1665">
        <v>0</v>
      </c>
      <c r="Q1665">
        <v>0.74</v>
      </c>
      <c r="R1665" s="2">
        <v>0.62</v>
      </c>
      <c r="S1665" t="str">
        <f>IF(Table1[[#This Row],[Years_Experience]]&lt;=5,"Early Career",
IF(Table1[[#This Row],[Years_Experience]]&lt;=15,"Mid Career","Senior Level"))</f>
        <v>Mid Career</v>
      </c>
      <c r="T1665" t="str">
        <f>IF(Table1[[#This Row],[AI_Exposure_Index]]&gt;=0.7,"High Exposure", IF(Table1[[#This Row],[AI_Exposure_Index]]&gt;=0.3,"Medium Exposure","Low Exposure"))</f>
        <v>Medium Exposure</v>
      </c>
    </row>
    <row r="1666" spans="1:20" x14ac:dyDescent="0.25">
      <c r="A1666" t="s">
        <v>44</v>
      </c>
      <c r="B1666">
        <v>37075</v>
      </c>
      <c r="C1666" s="1">
        <v>10</v>
      </c>
      <c r="D1666" t="s">
        <v>19</v>
      </c>
      <c r="E1666" s="7">
        <v>1.1599999999999999</v>
      </c>
      <c r="F1666" s="2">
        <v>0.46</v>
      </c>
      <c r="G1666" s="7">
        <v>0.69</v>
      </c>
      <c r="H1666" s="9" t="s">
        <v>27</v>
      </c>
      <c r="I1666">
        <v>0.74</v>
      </c>
      <c r="J1666">
        <v>7.0000000000000007E-2</v>
      </c>
      <c r="K1666">
        <v>0.17</v>
      </c>
      <c r="L1666">
        <v>0.82</v>
      </c>
      <c r="M1666">
        <v>0.33</v>
      </c>
      <c r="N1666">
        <v>0.71</v>
      </c>
      <c r="O1666">
        <v>0.7</v>
      </c>
      <c r="P1666">
        <v>0.99</v>
      </c>
      <c r="Q1666">
        <v>0.47</v>
      </c>
      <c r="R1666" s="2">
        <v>0.74</v>
      </c>
      <c r="S1666" t="str">
        <f>IF(Table1[[#This Row],[Years_Experience]]&lt;=5,"Early Career",
IF(Table1[[#This Row],[Years_Experience]]&lt;=15,"Mid Career","Senior Level"))</f>
        <v>Mid Career</v>
      </c>
      <c r="T1666" t="str">
        <f>IF(Table1[[#This Row],[AI_Exposure_Index]]&gt;=0.7,"High Exposure", IF(Table1[[#This Row],[AI_Exposure_Index]]&gt;=0.3,"Medium Exposure","Low Exposure"))</f>
        <v>Medium Exposure</v>
      </c>
    </row>
    <row r="1667" spans="1:20" x14ac:dyDescent="0.25">
      <c r="A1667" t="s">
        <v>35</v>
      </c>
      <c r="B1667">
        <v>100043</v>
      </c>
      <c r="C1667" s="1">
        <v>26</v>
      </c>
      <c r="D1667" t="s">
        <v>19</v>
      </c>
      <c r="E1667" s="7">
        <v>0.69</v>
      </c>
      <c r="F1667" s="2">
        <v>0.46</v>
      </c>
      <c r="G1667" s="7">
        <v>0.64</v>
      </c>
      <c r="H1667" s="9" t="s">
        <v>27</v>
      </c>
      <c r="I1667">
        <v>0.84</v>
      </c>
      <c r="J1667">
        <v>0.24</v>
      </c>
      <c r="K1667">
        <v>0.32</v>
      </c>
      <c r="L1667">
        <v>0.7</v>
      </c>
      <c r="M1667">
        <v>0.74</v>
      </c>
      <c r="N1667">
        <v>0.66</v>
      </c>
      <c r="O1667">
        <v>1</v>
      </c>
      <c r="P1667">
        <v>0.87</v>
      </c>
      <c r="Q1667">
        <v>0.42</v>
      </c>
      <c r="R1667" s="2">
        <v>0.33</v>
      </c>
      <c r="S1667" t="str">
        <f>IF(Table1[[#This Row],[Years_Experience]]&lt;=5,"Early Career",
IF(Table1[[#This Row],[Years_Experience]]&lt;=15,"Mid Career","Senior Level"))</f>
        <v>Senior Level</v>
      </c>
      <c r="T1667" t="str">
        <f>IF(Table1[[#This Row],[AI_Exposure_Index]]&gt;=0.7,"High Exposure", IF(Table1[[#This Row],[AI_Exposure_Index]]&gt;=0.3,"Medium Exposure","Low Exposure"))</f>
        <v>Medium Exposure</v>
      </c>
    </row>
    <row r="1668" spans="1:20" x14ac:dyDescent="0.25">
      <c r="A1668" t="s">
        <v>26</v>
      </c>
      <c r="B1668">
        <v>105069</v>
      </c>
      <c r="C1668" s="1">
        <v>12</v>
      </c>
      <c r="D1668" t="s">
        <v>19</v>
      </c>
      <c r="E1668" s="7">
        <v>0.98</v>
      </c>
      <c r="F1668" s="2">
        <v>0.82</v>
      </c>
      <c r="G1668" s="7">
        <v>0.6</v>
      </c>
      <c r="H1668" s="9" t="s">
        <v>27</v>
      </c>
      <c r="I1668">
        <v>0.02</v>
      </c>
      <c r="J1668">
        <v>0.93</v>
      </c>
      <c r="K1668">
        <v>0.77</v>
      </c>
      <c r="L1668">
        <v>0.39</v>
      </c>
      <c r="M1668">
        <v>0.38</v>
      </c>
      <c r="N1668">
        <v>0.1</v>
      </c>
      <c r="O1668">
        <v>0.82</v>
      </c>
      <c r="P1668">
        <v>0.77</v>
      </c>
      <c r="Q1668">
        <v>0.63</v>
      </c>
      <c r="R1668" s="2">
        <v>0.1</v>
      </c>
      <c r="S1668" t="str">
        <f>IF(Table1[[#This Row],[Years_Experience]]&lt;=5,"Early Career",
IF(Table1[[#This Row],[Years_Experience]]&lt;=15,"Mid Career","Senior Level"))</f>
        <v>Mid Career</v>
      </c>
      <c r="T1668" t="str">
        <f>IF(Table1[[#This Row],[AI_Exposure_Index]]&gt;=0.7,"High Exposure", IF(Table1[[#This Row],[AI_Exposure_Index]]&gt;=0.3,"Medium Exposure","Low Exposure"))</f>
        <v>High Exposure</v>
      </c>
    </row>
    <row r="1669" spans="1:20" x14ac:dyDescent="0.25">
      <c r="A1669" t="s">
        <v>31</v>
      </c>
      <c r="B1669">
        <v>82692</v>
      </c>
      <c r="C1669" s="1">
        <v>9</v>
      </c>
      <c r="D1669" t="s">
        <v>25</v>
      </c>
      <c r="E1669" s="7">
        <v>0.77</v>
      </c>
      <c r="F1669" s="2">
        <v>0.46</v>
      </c>
      <c r="G1669" s="7">
        <v>0.16</v>
      </c>
      <c r="H1669" s="9" t="s">
        <v>23</v>
      </c>
      <c r="I1669">
        <v>0.23</v>
      </c>
      <c r="J1669">
        <v>0.35</v>
      </c>
      <c r="K1669">
        <v>0.65</v>
      </c>
      <c r="L1669">
        <v>0.89</v>
      </c>
      <c r="M1669">
        <v>0.39</v>
      </c>
      <c r="N1669">
        <v>0.69</v>
      </c>
      <c r="O1669">
        <v>0.13</v>
      </c>
      <c r="P1669">
        <v>0.54</v>
      </c>
      <c r="Q1669">
        <v>0.92</v>
      </c>
      <c r="R1669" s="2">
        <v>0.03</v>
      </c>
      <c r="S1669" t="str">
        <f>IF(Table1[[#This Row],[Years_Experience]]&lt;=5,"Early Career",
IF(Table1[[#This Row],[Years_Experience]]&lt;=15,"Mid Career","Senior Level"))</f>
        <v>Mid Career</v>
      </c>
      <c r="T1669" t="str">
        <f>IF(Table1[[#This Row],[AI_Exposure_Index]]&gt;=0.7,"High Exposure", IF(Table1[[#This Row],[AI_Exposure_Index]]&gt;=0.3,"Medium Exposure","Low Exposure"))</f>
        <v>Medium Exposure</v>
      </c>
    </row>
    <row r="1670" spans="1:20" x14ac:dyDescent="0.25">
      <c r="A1670" t="s">
        <v>36</v>
      </c>
      <c r="B1670">
        <v>71918</v>
      </c>
      <c r="C1670" s="1">
        <v>15</v>
      </c>
      <c r="D1670" t="s">
        <v>22</v>
      </c>
      <c r="E1670" s="7">
        <v>1.03</v>
      </c>
      <c r="F1670" s="2">
        <v>0.13</v>
      </c>
      <c r="G1670" s="7">
        <v>0.56999999999999995</v>
      </c>
      <c r="H1670" s="9" t="s">
        <v>27</v>
      </c>
      <c r="I1670">
        <v>0.06</v>
      </c>
      <c r="J1670">
        <v>7.0000000000000007E-2</v>
      </c>
      <c r="K1670">
        <v>0.87</v>
      </c>
      <c r="L1670">
        <v>0.46</v>
      </c>
      <c r="M1670">
        <v>0.46</v>
      </c>
      <c r="N1670">
        <v>0.94</v>
      </c>
      <c r="O1670">
        <v>0.32</v>
      </c>
      <c r="P1670">
        <v>0.9</v>
      </c>
      <c r="Q1670">
        <v>0.97</v>
      </c>
      <c r="R1670" s="2">
        <v>0.24</v>
      </c>
      <c r="S1670" t="str">
        <f>IF(Table1[[#This Row],[Years_Experience]]&lt;=5,"Early Career",
IF(Table1[[#This Row],[Years_Experience]]&lt;=15,"Mid Career","Senior Level"))</f>
        <v>Mid Career</v>
      </c>
      <c r="T1670" t="str">
        <f>IF(Table1[[#This Row],[AI_Exposure_Index]]&gt;=0.7,"High Exposure", IF(Table1[[#This Row],[AI_Exposure_Index]]&gt;=0.3,"Medium Exposure","Low Exposure"))</f>
        <v>Low Exposure</v>
      </c>
    </row>
    <row r="1671" spans="1:20" x14ac:dyDescent="0.25">
      <c r="A1671" t="s">
        <v>33</v>
      </c>
      <c r="B1671">
        <v>33264</v>
      </c>
      <c r="C1671" s="1">
        <v>11</v>
      </c>
      <c r="D1671" t="s">
        <v>38</v>
      </c>
      <c r="E1671" s="7">
        <v>1.37</v>
      </c>
      <c r="F1671" s="2">
        <v>0.53</v>
      </c>
      <c r="G1671" s="7">
        <v>0.78</v>
      </c>
      <c r="H1671" s="9" t="s">
        <v>20</v>
      </c>
      <c r="I1671">
        <v>0.8</v>
      </c>
      <c r="J1671">
        <v>0.97</v>
      </c>
      <c r="K1671">
        <v>0.84</v>
      </c>
      <c r="L1671">
        <v>0.91</v>
      </c>
      <c r="M1671">
        <v>0.71</v>
      </c>
      <c r="N1671">
        <v>0.9</v>
      </c>
      <c r="O1671">
        <v>0.16</v>
      </c>
      <c r="P1671">
        <v>0.71</v>
      </c>
      <c r="Q1671">
        <v>0.73</v>
      </c>
      <c r="R1671" s="2">
        <v>0.44</v>
      </c>
      <c r="S1671" t="str">
        <f>IF(Table1[[#This Row],[Years_Experience]]&lt;=5,"Early Career",
IF(Table1[[#This Row],[Years_Experience]]&lt;=15,"Mid Career","Senior Level"))</f>
        <v>Mid Career</v>
      </c>
      <c r="T1671" t="str">
        <f>IF(Table1[[#This Row],[AI_Exposure_Index]]&gt;=0.7,"High Exposure", IF(Table1[[#This Row],[AI_Exposure_Index]]&gt;=0.3,"Medium Exposure","Low Exposure"))</f>
        <v>Medium Exposure</v>
      </c>
    </row>
    <row r="1672" spans="1:20" x14ac:dyDescent="0.25">
      <c r="A1672" t="s">
        <v>24</v>
      </c>
      <c r="B1672">
        <v>144047</v>
      </c>
      <c r="C1672" s="1">
        <v>16</v>
      </c>
      <c r="D1672" t="s">
        <v>25</v>
      </c>
      <c r="E1672" s="7">
        <v>1.48</v>
      </c>
      <c r="F1672" s="2">
        <v>0.43</v>
      </c>
      <c r="G1672" s="7">
        <v>0.75</v>
      </c>
      <c r="H1672" s="9" t="s">
        <v>20</v>
      </c>
      <c r="I1672">
        <v>0.71</v>
      </c>
      <c r="J1672">
        <v>0.53</v>
      </c>
      <c r="K1672">
        <v>0.82</v>
      </c>
      <c r="L1672">
        <v>0.48</v>
      </c>
      <c r="M1672">
        <v>0.78</v>
      </c>
      <c r="N1672">
        <v>0.93</v>
      </c>
      <c r="O1672">
        <v>0.73</v>
      </c>
      <c r="P1672">
        <v>0.78</v>
      </c>
      <c r="Q1672">
        <v>7.0000000000000007E-2</v>
      </c>
      <c r="R1672" s="2">
        <v>0.2</v>
      </c>
      <c r="S1672" t="str">
        <f>IF(Table1[[#This Row],[Years_Experience]]&lt;=5,"Early Career",
IF(Table1[[#This Row],[Years_Experience]]&lt;=15,"Mid Career","Senior Level"))</f>
        <v>Senior Level</v>
      </c>
      <c r="T1672" t="str">
        <f>IF(Table1[[#This Row],[AI_Exposure_Index]]&gt;=0.7,"High Exposure", IF(Table1[[#This Row],[AI_Exposure_Index]]&gt;=0.3,"Medium Exposure","Low Exposure"))</f>
        <v>Medium Exposure</v>
      </c>
    </row>
    <row r="1673" spans="1:20" x14ac:dyDescent="0.25">
      <c r="A1673" t="s">
        <v>21</v>
      </c>
      <c r="B1673">
        <v>83433</v>
      </c>
      <c r="C1673" s="1">
        <v>4</v>
      </c>
      <c r="D1673" t="s">
        <v>19</v>
      </c>
      <c r="E1673" s="7">
        <v>0.99</v>
      </c>
      <c r="F1673" s="2">
        <v>0.73</v>
      </c>
      <c r="G1673" s="7">
        <v>7.0000000000000007E-2</v>
      </c>
      <c r="H1673" s="9" t="s">
        <v>23</v>
      </c>
      <c r="I1673">
        <v>0.89</v>
      </c>
      <c r="J1673">
        <v>0.89</v>
      </c>
      <c r="K1673">
        <v>0.32</v>
      </c>
      <c r="L1673">
        <v>0.91</v>
      </c>
      <c r="M1673">
        <v>0.76</v>
      </c>
      <c r="N1673">
        <v>0.4</v>
      </c>
      <c r="O1673">
        <v>0.33</v>
      </c>
      <c r="P1673">
        <v>0.98</v>
      </c>
      <c r="Q1673">
        <v>0.71</v>
      </c>
      <c r="R1673" s="2">
        <v>0.38</v>
      </c>
      <c r="S1673" t="str">
        <f>IF(Table1[[#This Row],[Years_Experience]]&lt;=5,"Early Career",
IF(Table1[[#This Row],[Years_Experience]]&lt;=15,"Mid Career","Senior Level"))</f>
        <v>Early Career</v>
      </c>
      <c r="T1673" t="str">
        <f>IF(Table1[[#This Row],[AI_Exposure_Index]]&gt;=0.7,"High Exposure", IF(Table1[[#This Row],[AI_Exposure_Index]]&gt;=0.3,"Medium Exposure","Low Exposure"))</f>
        <v>High Exposure</v>
      </c>
    </row>
    <row r="1674" spans="1:20" x14ac:dyDescent="0.25">
      <c r="A1674" t="s">
        <v>42</v>
      </c>
      <c r="B1674">
        <v>99201</v>
      </c>
      <c r="C1674" s="1">
        <v>3</v>
      </c>
      <c r="D1674" t="s">
        <v>22</v>
      </c>
      <c r="E1674" s="7">
        <v>1.02</v>
      </c>
      <c r="F1674" s="2">
        <v>0.56999999999999995</v>
      </c>
      <c r="G1674" s="7">
        <v>0.56000000000000005</v>
      </c>
      <c r="H1674" s="9" t="s">
        <v>27</v>
      </c>
      <c r="I1674">
        <v>0.54</v>
      </c>
      <c r="J1674">
        <v>0.65</v>
      </c>
      <c r="K1674">
        <v>0.91</v>
      </c>
      <c r="L1674">
        <v>0.99</v>
      </c>
      <c r="M1674">
        <v>0.71</v>
      </c>
      <c r="N1674">
        <v>0.93</v>
      </c>
      <c r="O1674">
        <v>0.86</v>
      </c>
      <c r="P1674">
        <v>0.3</v>
      </c>
      <c r="Q1674">
        <v>0.93</v>
      </c>
      <c r="R1674" s="2">
        <v>7.0000000000000007E-2</v>
      </c>
      <c r="S1674" t="str">
        <f>IF(Table1[[#This Row],[Years_Experience]]&lt;=5,"Early Career",
IF(Table1[[#This Row],[Years_Experience]]&lt;=15,"Mid Career","Senior Level"))</f>
        <v>Early Career</v>
      </c>
      <c r="T1674" t="str">
        <f>IF(Table1[[#This Row],[AI_Exposure_Index]]&gt;=0.7,"High Exposure", IF(Table1[[#This Row],[AI_Exposure_Index]]&gt;=0.3,"Medium Exposure","Low Exposure"))</f>
        <v>Medium Exposure</v>
      </c>
    </row>
    <row r="1675" spans="1:20" x14ac:dyDescent="0.25">
      <c r="A1675" t="s">
        <v>26</v>
      </c>
      <c r="B1675">
        <v>145131</v>
      </c>
      <c r="C1675" s="1">
        <v>19</v>
      </c>
      <c r="D1675" t="s">
        <v>25</v>
      </c>
      <c r="E1675" s="7">
        <v>1.03</v>
      </c>
      <c r="F1675" s="2">
        <v>0.64</v>
      </c>
      <c r="G1675" s="7">
        <v>0.52</v>
      </c>
      <c r="H1675" s="9" t="s">
        <v>27</v>
      </c>
      <c r="I1675">
        <v>0.79</v>
      </c>
      <c r="J1675">
        <v>0.19</v>
      </c>
      <c r="K1675">
        <v>0.98</v>
      </c>
      <c r="L1675">
        <v>0.44</v>
      </c>
      <c r="M1675">
        <v>0.95</v>
      </c>
      <c r="N1675">
        <v>0.38</v>
      </c>
      <c r="O1675">
        <v>0.6</v>
      </c>
      <c r="P1675">
        <v>0.45</v>
      </c>
      <c r="Q1675">
        <v>0.68</v>
      </c>
      <c r="R1675" s="2">
        <v>0.18</v>
      </c>
      <c r="S1675" t="str">
        <f>IF(Table1[[#This Row],[Years_Experience]]&lt;=5,"Early Career",
IF(Table1[[#This Row],[Years_Experience]]&lt;=15,"Mid Career","Senior Level"))</f>
        <v>Senior Level</v>
      </c>
      <c r="T1675" t="str">
        <f>IF(Table1[[#This Row],[AI_Exposure_Index]]&gt;=0.7,"High Exposure", IF(Table1[[#This Row],[AI_Exposure_Index]]&gt;=0.3,"Medium Exposure","Low Exposure"))</f>
        <v>Medium Exposure</v>
      </c>
    </row>
    <row r="1676" spans="1:20" x14ac:dyDescent="0.25">
      <c r="A1676" t="s">
        <v>43</v>
      </c>
      <c r="B1676">
        <v>134290</v>
      </c>
      <c r="C1676" s="1">
        <v>8</v>
      </c>
      <c r="D1676" t="s">
        <v>22</v>
      </c>
      <c r="E1676" s="7">
        <v>1.1000000000000001</v>
      </c>
      <c r="F1676" s="2">
        <v>7.0000000000000007E-2</v>
      </c>
      <c r="G1676" s="7">
        <v>0.28999999999999998</v>
      </c>
      <c r="H1676" s="9" t="s">
        <v>23</v>
      </c>
      <c r="I1676">
        <v>0.05</v>
      </c>
      <c r="J1676">
        <v>0.66</v>
      </c>
      <c r="K1676">
        <v>0.78</v>
      </c>
      <c r="L1676">
        <v>0.21</v>
      </c>
      <c r="M1676">
        <v>0.27</v>
      </c>
      <c r="N1676">
        <v>0.2</v>
      </c>
      <c r="O1676">
        <v>0.3</v>
      </c>
      <c r="P1676">
        <v>0.11</v>
      </c>
      <c r="Q1676">
        <v>0.37</v>
      </c>
      <c r="R1676" s="2">
        <v>0.37</v>
      </c>
      <c r="S1676" t="str">
        <f>IF(Table1[[#This Row],[Years_Experience]]&lt;=5,"Early Career",
IF(Table1[[#This Row],[Years_Experience]]&lt;=15,"Mid Career","Senior Level"))</f>
        <v>Mid Career</v>
      </c>
      <c r="T1676" t="str">
        <f>IF(Table1[[#This Row],[AI_Exposure_Index]]&gt;=0.7,"High Exposure", IF(Table1[[#This Row],[AI_Exposure_Index]]&gt;=0.3,"Medium Exposure","Low Exposure"))</f>
        <v>Low Exposure</v>
      </c>
    </row>
    <row r="1677" spans="1:20" x14ac:dyDescent="0.25">
      <c r="A1677" t="s">
        <v>31</v>
      </c>
      <c r="B1677">
        <v>100779</v>
      </c>
      <c r="C1677" s="1">
        <v>21</v>
      </c>
      <c r="D1677" t="s">
        <v>22</v>
      </c>
      <c r="E1677" s="7">
        <v>1.3</v>
      </c>
      <c r="F1677" s="2">
        <v>0.8</v>
      </c>
      <c r="G1677" s="7">
        <v>0.19</v>
      </c>
      <c r="H1677" s="9" t="s">
        <v>23</v>
      </c>
      <c r="I1677">
        <v>0.33</v>
      </c>
      <c r="J1677">
        <v>0.41</v>
      </c>
      <c r="K1677">
        <v>0.32</v>
      </c>
      <c r="L1677">
        <v>0.57999999999999996</v>
      </c>
      <c r="M1677">
        <v>0.94</v>
      </c>
      <c r="N1677">
        <v>0.28000000000000003</v>
      </c>
      <c r="O1677">
        <v>0.46</v>
      </c>
      <c r="P1677">
        <v>0.66</v>
      </c>
      <c r="Q1677">
        <v>0.84</v>
      </c>
      <c r="R1677" s="2">
        <v>0.25</v>
      </c>
      <c r="S1677" t="str">
        <f>IF(Table1[[#This Row],[Years_Experience]]&lt;=5,"Early Career",
IF(Table1[[#This Row],[Years_Experience]]&lt;=15,"Mid Career","Senior Level"))</f>
        <v>Senior Level</v>
      </c>
      <c r="T1677" t="str">
        <f>IF(Table1[[#This Row],[AI_Exposure_Index]]&gt;=0.7,"High Exposure", IF(Table1[[#This Row],[AI_Exposure_Index]]&gt;=0.3,"Medium Exposure","Low Exposure"))</f>
        <v>High Exposure</v>
      </c>
    </row>
    <row r="1678" spans="1:20" x14ac:dyDescent="0.25">
      <c r="A1678" t="s">
        <v>21</v>
      </c>
      <c r="B1678">
        <v>100935</v>
      </c>
      <c r="C1678" s="1">
        <v>5</v>
      </c>
      <c r="D1678" t="s">
        <v>22</v>
      </c>
      <c r="E1678" s="7">
        <v>0.57999999999999996</v>
      </c>
      <c r="F1678" s="2">
        <v>0.89</v>
      </c>
      <c r="G1678" s="7">
        <v>0.2</v>
      </c>
      <c r="H1678" s="9" t="s">
        <v>23</v>
      </c>
      <c r="I1678">
        <v>0.86</v>
      </c>
      <c r="J1678">
        <v>0.92</v>
      </c>
      <c r="K1678">
        <v>0.01</v>
      </c>
      <c r="L1678">
        <v>0.37</v>
      </c>
      <c r="M1678">
        <v>0.26</v>
      </c>
      <c r="N1678">
        <v>0.56999999999999995</v>
      </c>
      <c r="O1678">
        <v>0.63</v>
      </c>
      <c r="P1678">
        <v>1</v>
      </c>
      <c r="Q1678">
        <v>0.51</v>
      </c>
      <c r="R1678" s="2">
        <v>0.55000000000000004</v>
      </c>
      <c r="S1678" t="str">
        <f>IF(Table1[[#This Row],[Years_Experience]]&lt;=5,"Early Career",
IF(Table1[[#This Row],[Years_Experience]]&lt;=15,"Mid Career","Senior Level"))</f>
        <v>Early Career</v>
      </c>
      <c r="T1678" t="str">
        <f>IF(Table1[[#This Row],[AI_Exposure_Index]]&gt;=0.7,"High Exposure", IF(Table1[[#This Row],[AI_Exposure_Index]]&gt;=0.3,"Medium Exposure","Low Exposure"))</f>
        <v>High Exposure</v>
      </c>
    </row>
    <row r="1679" spans="1:20" x14ac:dyDescent="0.25">
      <c r="A1679" t="s">
        <v>40</v>
      </c>
      <c r="B1679">
        <v>59483</v>
      </c>
      <c r="C1679" s="1">
        <v>25</v>
      </c>
      <c r="D1679" t="s">
        <v>25</v>
      </c>
      <c r="E1679" s="7">
        <v>0.56000000000000005</v>
      </c>
      <c r="F1679" s="2">
        <v>0.34</v>
      </c>
      <c r="G1679" s="7">
        <v>0.18</v>
      </c>
      <c r="H1679" s="9" t="s">
        <v>23</v>
      </c>
      <c r="I1679">
        <v>0.6</v>
      </c>
      <c r="J1679">
        <v>0.01</v>
      </c>
      <c r="K1679">
        <v>0.1</v>
      </c>
      <c r="L1679">
        <v>0.21</v>
      </c>
      <c r="M1679">
        <v>0.35</v>
      </c>
      <c r="N1679">
        <v>0.54</v>
      </c>
      <c r="O1679">
        <v>0.28999999999999998</v>
      </c>
      <c r="P1679">
        <v>0.28000000000000003</v>
      </c>
      <c r="Q1679">
        <v>0.87</v>
      </c>
      <c r="R1679" s="2">
        <v>0.15</v>
      </c>
      <c r="S1679" t="str">
        <f>IF(Table1[[#This Row],[Years_Experience]]&lt;=5,"Early Career",
IF(Table1[[#This Row],[Years_Experience]]&lt;=15,"Mid Career","Senior Level"))</f>
        <v>Senior Level</v>
      </c>
      <c r="T1679" t="str">
        <f>IF(Table1[[#This Row],[AI_Exposure_Index]]&gt;=0.7,"High Exposure", IF(Table1[[#This Row],[AI_Exposure_Index]]&gt;=0.3,"Medium Exposure","Low Exposure"))</f>
        <v>Medium Exposure</v>
      </c>
    </row>
    <row r="1680" spans="1:20" x14ac:dyDescent="0.25">
      <c r="A1680" t="s">
        <v>44</v>
      </c>
      <c r="B1680">
        <v>61155</v>
      </c>
      <c r="C1680" s="1">
        <v>26</v>
      </c>
      <c r="D1680" t="s">
        <v>25</v>
      </c>
      <c r="E1680" s="7">
        <v>1.1299999999999999</v>
      </c>
      <c r="F1680" s="2">
        <v>0.95</v>
      </c>
      <c r="G1680" s="7">
        <v>0.59</v>
      </c>
      <c r="H1680" s="9" t="s">
        <v>27</v>
      </c>
      <c r="I1680">
        <v>0.43</v>
      </c>
      <c r="J1680">
        <v>0.02</v>
      </c>
      <c r="K1680">
        <v>0.65</v>
      </c>
      <c r="L1680">
        <v>0.63</v>
      </c>
      <c r="M1680">
        <v>0.11</v>
      </c>
      <c r="N1680">
        <v>0.46</v>
      </c>
      <c r="O1680">
        <v>0.92</v>
      </c>
      <c r="P1680">
        <v>0.21</v>
      </c>
      <c r="Q1680">
        <v>0.46</v>
      </c>
      <c r="R1680" s="2">
        <v>0.46</v>
      </c>
      <c r="S1680" t="str">
        <f>IF(Table1[[#This Row],[Years_Experience]]&lt;=5,"Early Career",
IF(Table1[[#This Row],[Years_Experience]]&lt;=15,"Mid Career","Senior Level"))</f>
        <v>Senior Level</v>
      </c>
      <c r="T1680" t="str">
        <f>IF(Table1[[#This Row],[AI_Exposure_Index]]&gt;=0.7,"High Exposure", IF(Table1[[#This Row],[AI_Exposure_Index]]&gt;=0.3,"Medium Exposure","Low Exposure"))</f>
        <v>High Exposure</v>
      </c>
    </row>
    <row r="1681" spans="1:20" x14ac:dyDescent="0.25">
      <c r="A1681" t="s">
        <v>44</v>
      </c>
      <c r="B1681">
        <v>34176</v>
      </c>
      <c r="C1681" s="1">
        <v>6</v>
      </c>
      <c r="D1681" t="s">
        <v>19</v>
      </c>
      <c r="E1681" s="7">
        <v>1.26</v>
      </c>
      <c r="F1681" s="2">
        <v>0.82</v>
      </c>
      <c r="G1681" s="7">
        <v>0.45</v>
      </c>
      <c r="H1681" s="9" t="s">
        <v>27</v>
      </c>
      <c r="I1681">
        <v>7.0000000000000007E-2</v>
      </c>
      <c r="J1681">
        <v>0.35</v>
      </c>
      <c r="K1681">
        <v>0.68</v>
      </c>
      <c r="L1681">
        <v>0.7</v>
      </c>
      <c r="M1681">
        <v>0.97</v>
      </c>
      <c r="N1681">
        <v>0.45</v>
      </c>
      <c r="O1681">
        <v>0.63</v>
      </c>
      <c r="P1681">
        <v>0.54</v>
      </c>
      <c r="Q1681">
        <v>0.15</v>
      </c>
      <c r="R1681" s="2">
        <v>0.46</v>
      </c>
      <c r="S1681" t="str">
        <f>IF(Table1[[#This Row],[Years_Experience]]&lt;=5,"Early Career",
IF(Table1[[#This Row],[Years_Experience]]&lt;=15,"Mid Career","Senior Level"))</f>
        <v>Mid Career</v>
      </c>
      <c r="T1681" t="str">
        <f>IF(Table1[[#This Row],[AI_Exposure_Index]]&gt;=0.7,"High Exposure", IF(Table1[[#This Row],[AI_Exposure_Index]]&gt;=0.3,"Medium Exposure","Low Exposure"))</f>
        <v>High Exposure</v>
      </c>
    </row>
    <row r="1682" spans="1:20" x14ac:dyDescent="0.25">
      <c r="A1682" t="s">
        <v>33</v>
      </c>
      <c r="B1682">
        <v>50746</v>
      </c>
      <c r="C1682" s="1">
        <v>12</v>
      </c>
      <c r="D1682" t="s">
        <v>19</v>
      </c>
      <c r="E1682" s="7">
        <v>0.87</v>
      </c>
      <c r="F1682" s="2">
        <v>0.95</v>
      </c>
      <c r="G1682" s="7">
        <v>0.95</v>
      </c>
      <c r="H1682" s="9" t="s">
        <v>20</v>
      </c>
      <c r="I1682">
        <v>0.54</v>
      </c>
      <c r="J1682">
        <v>0.24</v>
      </c>
      <c r="K1682">
        <v>0.19</v>
      </c>
      <c r="L1682">
        <v>0.14000000000000001</v>
      </c>
      <c r="M1682">
        <v>0.45</v>
      </c>
      <c r="N1682">
        <v>0.02</v>
      </c>
      <c r="O1682">
        <v>0.45</v>
      </c>
      <c r="P1682">
        <v>0.99</v>
      </c>
      <c r="Q1682">
        <v>0.67</v>
      </c>
      <c r="R1682" s="2">
        <v>0.76</v>
      </c>
      <c r="S1682" t="str">
        <f>IF(Table1[[#This Row],[Years_Experience]]&lt;=5,"Early Career",
IF(Table1[[#This Row],[Years_Experience]]&lt;=15,"Mid Career","Senior Level"))</f>
        <v>Mid Career</v>
      </c>
      <c r="T1682" t="str">
        <f>IF(Table1[[#This Row],[AI_Exposure_Index]]&gt;=0.7,"High Exposure", IF(Table1[[#This Row],[AI_Exposure_Index]]&gt;=0.3,"Medium Exposure","Low Exposure"))</f>
        <v>High Exposure</v>
      </c>
    </row>
    <row r="1683" spans="1:20" x14ac:dyDescent="0.25">
      <c r="A1683" t="s">
        <v>40</v>
      </c>
      <c r="B1683">
        <v>104557</v>
      </c>
      <c r="C1683" s="1">
        <v>18</v>
      </c>
      <c r="D1683" t="s">
        <v>19</v>
      </c>
      <c r="E1683" s="7">
        <v>0.79</v>
      </c>
      <c r="F1683" s="2">
        <v>0.47</v>
      </c>
      <c r="G1683" s="7">
        <v>0.27</v>
      </c>
      <c r="H1683" s="9" t="s">
        <v>23</v>
      </c>
      <c r="I1683">
        <v>0.18</v>
      </c>
      <c r="J1683">
        <v>0.46</v>
      </c>
      <c r="K1683">
        <v>0.59</v>
      </c>
      <c r="L1683">
        <v>0.51</v>
      </c>
      <c r="M1683">
        <v>0.83</v>
      </c>
      <c r="N1683">
        <v>0.23</v>
      </c>
      <c r="O1683">
        <v>0.38</v>
      </c>
      <c r="P1683">
        <v>0.79</v>
      </c>
      <c r="Q1683">
        <v>0.53</v>
      </c>
      <c r="R1683" s="2">
        <v>0.4</v>
      </c>
      <c r="S1683" t="str">
        <f>IF(Table1[[#This Row],[Years_Experience]]&lt;=5,"Early Career",
IF(Table1[[#This Row],[Years_Experience]]&lt;=15,"Mid Career","Senior Level"))</f>
        <v>Senior Level</v>
      </c>
      <c r="T1683" t="str">
        <f>IF(Table1[[#This Row],[AI_Exposure_Index]]&gt;=0.7,"High Exposure", IF(Table1[[#This Row],[AI_Exposure_Index]]&gt;=0.3,"Medium Exposure","Low Exposure"))</f>
        <v>Medium Exposure</v>
      </c>
    </row>
    <row r="1684" spans="1:20" x14ac:dyDescent="0.25">
      <c r="A1684" t="s">
        <v>40</v>
      </c>
      <c r="B1684">
        <v>131242</v>
      </c>
      <c r="C1684" s="1">
        <v>14</v>
      </c>
      <c r="D1684" t="s">
        <v>38</v>
      </c>
      <c r="E1684" s="7">
        <v>1.47</v>
      </c>
      <c r="F1684" s="2">
        <v>0.75</v>
      </c>
      <c r="G1684" s="7">
        <v>0.21</v>
      </c>
      <c r="H1684" s="9" t="s">
        <v>23</v>
      </c>
      <c r="I1684">
        <v>0.86</v>
      </c>
      <c r="J1684">
        <v>0.52</v>
      </c>
      <c r="K1684">
        <v>0.23</v>
      </c>
      <c r="L1684">
        <v>0.01</v>
      </c>
      <c r="M1684">
        <v>0.65</v>
      </c>
      <c r="N1684">
        <v>0.49</v>
      </c>
      <c r="O1684">
        <v>0.78</v>
      </c>
      <c r="P1684">
        <v>0.69</v>
      </c>
      <c r="Q1684">
        <v>0.99</v>
      </c>
      <c r="R1684" s="2">
        <v>0.51</v>
      </c>
      <c r="S1684" t="str">
        <f>IF(Table1[[#This Row],[Years_Experience]]&lt;=5,"Early Career",
IF(Table1[[#This Row],[Years_Experience]]&lt;=15,"Mid Career","Senior Level"))</f>
        <v>Mid Career</v>
      </c>
      <c r="T1684" t="str">
        <f>IF(Table1[[#This Row],[AI_Exposure_Index]]&gt;=0.7,"High Exposure", IF(Table1[[#This Row],[AI_Exposure_Index]]&gt;=0.3,"Medium Exposure","Low Exposure"))</f>
        <v>High Exposure</v>
      </c>
    </row>
    <row r="1685" spans="1:20" x14ac:dyDescent="0.25">
      <c r="A1685" t="s">
        <v>26</v>
      </c>
      <c r="B1685">
        <v>116949</v>
      </c>
      <c r="C1685" s="1">
        <v>11</v>
      </c>
      <c r="D1685" t="s">
        <v>25</v>
      </c>
      <c r="E1685" s="7">
        <v>0.98</v>
      </c>
      <c r="F1685" s="2">
        <v>0.28999999999999998</v>
      </c>
      <c r="G1685" s="7">
        <v>0.65</v>
      </c>
      <c r="H1685" s="9" t="s">
        <v>27</v>
      </c>
      <c r="I1685">
        <v>0.04</v>
      </c>
      <c r="J1685">
        <v>0.98</v>
      </c>
      <c r="K1685">
        <v>0.99</v>
      </c>
      <c r="L1685">
        <v>0.6</v>
      </c>
      <c r="M1685">
        <v>0.33</v>
      </c>
      <c r="N1685">
        <v>0.22</v>
      </c>
      <c r="O1685">
        <v>0.28000000000000003</v>
      </c>
      <c r="P1685">
        <v>0.05</v>
      </c>
      <c r="Q1685">
        <v>0.48</v>
      </c>
      <c r="R1685" s="2">
        <v>0.06</v>
      </c>
      <c r="S1685" t="str">
        <f>IF(Table1[[#This Row],[Years_Experience]]&lt;=5,"Early Career",
IF(Table1[[#This Row],[Years_Experience]]&lt;=15,"Mid Career","Senior Level"))</f>
        <v>Mid Career</v>
      </c>
      <c r="T1685" t="str">
        <f>IF(Table1[[#This Row],[AI_Exposure_Index]]&gt;=0.7,"High Exposure", IF(Table1[[#This Row],[AI_Exposure_Index]]&gt;=0.3,"Medium Exposure","Low Exposure"))</f>
        <v>Low Exposure</v>
      </c>
    </row>
    <row r="1686" spans="1:20" x14ac:dyDescent="0.25">
      <c r="A1686" t="s">
        <v>36</v>
      </c>
      <c r="B1686">
        <v>88204</v>
      </c>
      <c r="C1686" s="1">
        <v>14</v>
      </c>
      <c r="D1686" t="s">
        <v>22</v>
      </c>
      <c r="E1686" s="7">
        <v>0.84</v>
      </c>
      <c r="F1686" s="2">
        <v>0.5</v>
      </c>
      <c r="G1686" s="7">
        <v>0.55000000000000004</v>
      </c>
      <c r="H1686" s="9" t="s">
        <v>27</v>
      </c>
      <c r="I1686">
        <v>0.84</v>
      </c>
      <c r="J1686">
        <v>0.06</v>
      </c>
      <c r="K1686">
        <v>0.97</v>
      </c>
      <c r="L1686">
        <v>0.1</v>
      </c>
      <c r="M1686">
        <v>0.51</v>
      </c>
      <c r="N1686">
        <v>0.56000000000000005</v>
      </c>
      <c r="O1686">
        <v>0.14000000000000001</v>
      </c>
      <c r="P1686">
        <v>0.92</v>
      </c>
      <c r="Q1686">
        <v>0.47</v>
      </c>
      <c r="R1686" s="2">
        <v>0.14000000000000001</v>
      </c>
      <c r="S1686" t="str">
        <f>IF(Table1[[#This Row],[Years_Experience]]&lt;=5,"Early Career",
IF(Table1[[#This Row],[Years_Experience]]&lt;=15,"Mid Career","Senior Level"))</f>
        <v>Mid Career</v>
      </c>
      <c r="T1686" t="str">
        <f>IF(Table1[[#This Row],[AI_Exposure_Index]]&gt;=0.7,"High Exposure", IF(Table1[[#This Row],[AI_Exposure_Index]]&gt;=0.3,"Medium Exposure","Low Exposure"))</f>
        <v>Medium Exposure</v>
      </c>
    </row>
    <row r="1687" spans="1:20" x14ac:dyDescent="0.25">
      <c r="A1687" t="s">
        <v>40</v>
      </c>
      <c r="B1687">
        <v>45089</v>
      </c>
      <c r="C1687" s="1">
        <v>4</v>
      </c>
      <c r="D1687" t="s">
        <v>22</v>
      </c>
      <c r="E1687" s="7">
        <v>0.65</v>
      </c>
      <c r="F1687" s="2">
        <v>0.96</v>
      </c>
      <c r="G1687" s="7">
        <v>0.28999999999999998</v>
      </c>
      <c r="H1687" s="9" t="s">
        <v>23</v>
      </c>
      <c r="I1687">
        <v>0.09</v>
      </c>
      <c r="J1687">
        <v>0.22</v>
      </c>
      <c r="K1687">
        <v>0.44</v>
      </c>
      <c r="L1687">
        <v>0.99</v>
      </c>
      <c r="M1687">
        <v>0.49</v>
      </c>
      <c r="N1687">
        <v>0.55000000000000004</v>
      </c>
      <c r="O1687">
        <v>0.69</v>
      </c>
      <c r="P1687">
        <v>0.97</v>
      </c>
      <c r="Q1687">
        <v>0.78</v>
      </c>
      <c r="R1687" s="2">
        <v>0.22</v>
      </c>
      <c r="S1687" t="str">
        <f>IF(Table1[[#This Row],[Years_Experience]]&lt;=5,"Early Career",
IF(Table1[[#This Row],[Years_Experience]]&lt;=15,"Mid Career","Senior Level"))</f>
        <v>Early Career</v>
      </c>
      <c r="T1687" t="str">
        <f>IF(Table1[[#This Row],[AI_Exposure_Index]]&gt;=0.7,"High Exposure", IF(Table1[[#This Row],[AI_Exposure_Index]]&gt;=0.3,"Medium Exposure","Low Exposure"))</f>
        <v>High Exposure</v>
      </c>
    </row>
    <row r="1688" spans="1:20" x14ac:dyDescent="0.25">
      <c r="A1688" t="s">
        <v>31</v>
      </c>
      <c r="B1688">
        <v>83341</v>
      </c>
      <c r="C1688" s="1">
        <v>5</v>
      </c>
      <c r="D1688" t="s">
        <v>19</v>
      </c>
      <c r="E1688" s="7">
        <v>1.1399999999999999</v>
      </c>
      <c r="F1688" s="2">
        <v>0.1</v>
      </c>
      <c r="G1688" s="7">
        <v>0.1</v>
      </c>
      <c r="H1688" s="9" t="s">
        <v>23</v>
      </c>
      <c r="I1688">
        <v>0.26</v>
      </c>
      <c r="J1688">
        <v>0.89</v>
      </c>
      <c r="K1688">
        <v>0.33</v>
      </c>
      <c r="L1688">
        <v>0.56999999999999995</v>
      </c>
      <c r="M1688">
        <v>0.4</v>
      </c>
      <c r="N1688">
        <v>7.0000000000000007E-2</v>
      </c>
      <c r="O1688">
        <v>0.36</v>
      </c>
      <c r="P1688">
        <v>0.41</v>
      </c>
      <c r="Q1688">
        <v>0.9</v>
      </c>
      <c r="R1688" s="2">
        <v>0.32</v>
      </c>
      <c r="S1688" t="str">
        <f>IF(Table1[[#This Row],[Years_Experience]]&lt;=5,"Early Career",
IF(Table1[[#This Row],[Years_Experience]]&lt;=15,"Mid Career","Senior Level"))</f>
        <v>Early Career</v>
      </c>
      <c r="T1688" t="str">
        <f>IF(Table1[[#This Row],[AI_Exposure_Index]]&gt;=0.7,"High Exposure", IF(Table1[[#This Row],[AI_Exposure_Index]]&gt;=0.3,"Medium Exposure","Low Exposure"))</f>
        <v>Low Exposure</v>
      </c>
    </row>
    <row r="1689" spans="1:20" x14ac:dyDescent="0.25">
      <c r="A1689" t="s">
        <v>24</v>
      </c>
      <c r="B1689">
        <v>126621</v>
      </c>
      <c r="C1689" s="1">
        <v>13</v>
      </c>
      <c r="D1689" t="s">
        <v>25</v>
      </c>
      <c r="E1689" s="7">
        <v>0.88</v>
      </c>
      <c r="F1689" s="2">
        <v>0.55000000000000004</v>
      </c>
      <c r="G1689" s="7">
        <v>0.73</v>
      </c>
      <c r="H1689" s="9" t="s">
        <v>20</v>
      </c>
      <c r="I1689">
        <v>0.77</v>
      </c>
      <c r="J1689">
        <v>0.93</v>
      </c>
      <c r="K1689">
        <v>0.95</v>
      </c>
      <c r="L1689">
        <v>0.67</v>
      </c>
      <c r="M1689">
        <v>0.41</v>
      </c>
      <c r="N1689">
        <v>0.48</v>
      </c>
      <c r="O1689">
        <v>0.66</v>
      </c>
      <c r="P1689">
        <v>0.82</v>
      </c>
      <c r="Q1689">
        <v>0.37</v>
      </c>
      <c r="R1689" s="2">
        <v>0.92</v>
      </c>
      <c r="S1689" t="str">
        <f>IF(Table1[[#This Row],[Years_Experience]]&lt;=5,"Early Career",
IF(Table1[[#This Row],[Years_Experience]]&lt;=15,"Mid Career","Senior Level"))</f>
        <v>Mid Career</v>
      </c>
      <c r="T1689" t="str">
        <f>IF(Table1[[#This Row],[AI_Exposure_Index]]&gt;=0.7,"High Exposure", IF(Table1[[#This Row],[AI_Exposure_Index]]&gt;=0.3,"Medium Exposure","Low Exposure"))</f>
        <v>Medium Exposure</v>
      </c>
    </row>
    <row r="1690" spans="1:20" x14ac:dyDescent="0.25">
      <c r="A1690" t="s">
        <v>39</v>
      </c>
      <c r="B1690">
        <v>128283</v>
      </c>
      <c r="C1690" s="1">
        <v>4</v>
      </c>
      <c r="D1690" t="s">
        <v>38</v>
      </c>
      <c r="E1690" s="7">
        <v>1.46</v>
      </c>
      <c r="F1690" s="2">
        <v>0.53</v>
      </c>
      <c r="G1690" s="7">
        <v>0.93</v>
      </c>
      <c r="H1690" s="9" t="s">
        <v>20</v>
      </c>
      <c r="I1690">
        <v>0.7</v>
      </c>
      <c r="J1690">
        <v>0.32</v>
      </c>
      <c r="K1690">
        <v>0.22</v>
      </c>
      <c r="L1690">
        <v>0.08</v>
      </c>
      <c r="M1690">
        <v>0.71</v>
      </c>
      <c r="N1690">
        <v>0.5</v>
      </c>
      <c r="O1690">
        <v>0.56999999999999995</v>
      </c>
      <c r="P1690">
        <v>0.47</v>
      </c>
      <c r="Q1690">
        <v>0.48</v>
      </c>
      <c r="R1690" s="2">
        <v>0.56999999999999995</v>
      </c>
      <c r="S1690" t="str">
        <f>IF(Table1[[#This Row],[Years_Experience]]&lt;=5,"Early Career",
IF(Table1[[#This Row],[Years_Experience]]&lt;=15,"Mid Career","Senior Level"))</f>
        <v>Early Career</v>
      </c>
      <c r="T1690" t="str">
        <f>IF(Table1[[#This Row],[AI_Exposure_Index]]&gt;=0.7,"High Exposure", IF(Table1[[#This Row],[AI_Exposure_Index]]&gt;=0.3,"Medium Exposure","Low Exposure"))</f>
        <v>Medium Exposure</v>
      </c>
    </row>
    <row r="1691" spans="1:20" x14ac:dyDescent="0.25">
      <c r="A1691" t="s">
        <v>35</v>
      </c>
      <c r="B1691">
        <v>100446</v>
      </c>
      <c r="C1691" s="1">
        <v>9</v>
      </c>
      <c r="D1691" t="s">
        <v>25</v>
      </c>
      <c r="E1691" s="7">
        <v>1.3</v>
      </c>
      <c r="F1691" s="2">
        <v>0.03</v>
      </c>
      <c r="G1691" s="7">
        <v>0.46</v>
      </c>
      <c r="H1691" s="9" t="s">
        <v>27</v>
      </c>
      <c r="I1691">
        <v>0.74</v>
      </c>
      <c r="J1691">
        <v>0.95</v>
      </c>
      <c r="K1691">
        <v>0.31</v>
      </c>
      <c r="L1691">
        <v>0.09</v>
      </c>
      <c r="M1691">
        <v>0.23</v>
      </c>
      <c r="N1691">
        <v>0.22</v>
      </c>
      <c r="O1691">
        <v>0.74</v>
      </c>
      <c r="P1691">
        <v>0.06</v>
      </c>
      <c r="Q1691">
        <v>0.05</v>
      </c>
      <c r="R1691" s="2">
        <v>0.69</v>
      </c>
      <c r="S1691" t="str">
        <f>IF(Table1[[#This Row],[Years_Experience]]&lt;=5,"Early Career",
IF(Table1[[#This Row],[Years_Experience]]&lt;=15,"Mid Career","Senior Level"))</f>
        <v>Mid Career</v>
      </c>
      <c r="T1691" t="str">
        <f>IF(Table1[[#This Row],[AI_Exposure_Index]]&gt;=0.7,"High Exposure", IF(Table1[[#This Row],[AI_Exposure_Index]]&gt;=0.3,"Medium Exposure","Low Exposure"))</f>
        <v>Low Exposure</v>
      </c>
    </row>
    <row r="1692" spans="1:20" x14ac:dyDescent="0.25">
      <c r="A1692" t="s">
        <v>42</v>
      </c>
      <c r="B1692">
        <v>107413</v>
      </c>
      <c r="C1692" s="1">
        <v>21</v>
      </c>
      <c r="D1692" t="s">
        <v>38</v>
      </c>
      <c r="E1692" s="7">
        <v>0.85</v>
      </c>
      <c r="F1692" s="2">
        <v>0.7</v>
      </c>
      <c r="G1692" s="7">
        <v>0.48</v>
      </c>
      <c r="H1692" s="9" t="s">
        <v>27</v>
      </c>
      <c r="I1692">
        <v>0.56000000000000005</v>
      </c>
      <c r="J1692">
        <v>0.69</v>
      </c>
      <c r="K1692">
        <v>0.24</v>
      </c>
      <c r="L1692">
        <v>0.84</v>
      </c>
      <c r="M1692">
        <v>0.72</v>
      </c>
      <c r="N1692">
        <v>0.23</v>
      </c>
      <c r="O1692">
        <v>0.97</v>
      </c>
      <c r="P1692">
        <v>0.66</v>
      </c>
      <c r="Q1692">
        <v>0.45</v>
      </c>
      <c r="R1692" s="2">
        <v>0.16</v>
      </c>
      <c r="S1692" t="str">
        <f>IF(Table1[[#This Row],[Years_Experience]]&lt;=5,"Early Career",
IF(Table1[[#This Row],[Years_Experience]]&lt;=15,"Mid Career","Senior Level"))</f>
        <v>Senior Level</v>
      </c>
      <c r="T1692" t="str">
        <f>IF(Table1[[#This Row],[AI_Exposure_Index]]&gt;=0.7,"High Exposure", IF(Table1[[#This Row],[AI_Exposure_Index]]&gt;=0.3,"Medium Exposure","Low Exposure"))</f>
        <v>High Exposure</v>
      </c>
    </row>
    <row r="1693" spans="1:20" x14ac:dyDescent="0.25">
      <c r="A1693" t="s">
        <v>21</v>
      </c>
      <c r="B1693">
        <v>106789</v>
      </c>
      <c r="C1693" s="1">
        <v>20</v>
      </c>
      <c r="D1693" t="s">
        <v>22</v>
      </c>
      <c r="E1693" s="7">
        <v>0.93</v>
      </c>
      <c r="F1693" s="2">
        <v>0.16</v>
      </c>
      <c r="G1693" s="7">
        <v>0.15</v>
      </c>
      <c r="H1693" s="9" t="s">
        <v>23</v>
      </c>
      <c r="I1693">
        <v>0.72</v>
      </c>
      <c r="J1693">
        <v>0.19</v>
      </c>
      <c r="K1693">
        <v>0.82</v>
      </c>
      <c r="L1693">
        <v>0.33</v>
      </c>
      <c r="M1693">
        <v>0.44</v>
      </c>
      <c r="N1693">
        <v>0.77</v>
      </c>
      <c r="O1693">
        <v>0.63</v>
      </c>
      <c r="P1693">
        <v>0.31</v>
      </c>
      <c r="Q1693">
        <v>0.39</v>
      </c>
      <c r="R1693" s="2">
        <v>0.31</v>
      </c>
      <c r="S1693" t="str">
        <f>IF(Table1[[#This Row],[Years_Experience]]&lt;=5,"Early Career",
IF(Table1[[#This Row],[Years_Experience]]&lt;=15,"Mid Career","Senior Level"))</f>
        <v>Senior Level</v>
      </c>
      <c r="T1693" t="str">
        <f>IF(Table1[[#This Row],[AI_Exposure_Index]]&gt;=0.7,"High Exposure", IF(Table1[[#This Row],[AI_Exposure_Index]]&gt;=0.3,"Medium Exposure","Low Exposure"))</f>
        <v>Low Exposure</v>
      </c>
    </row>
    <row r="1694" spans="1:20" x14ac:dyDescent="0.25">
      <c r="A1694" t="s">
        <v>42</v>
      </c>
      <c r="B1694">
        <v>86193</v>
      </c>
      <c r="C1694" s="1">
        <v>3</v>
      </c>
      <c r="D1694" t="s">
        <v>25</v>
      </c>
      <c r="E1694" s="7">
        <v>1.23</v>
      </c>
      <c r="F1694" s="2">
        <v>0.33</v>
      </c>
      <c r="G1694" s="7">
        <v>0.53</v>
      </c>
      <c r="H1694" s="9" t="s">
        <v>27</v>
      </c>
      <c r="I1694">
        <v>0.15</v>
      </c>
      <c r="J1694">
        <v>0.31</v>
      </c>
      <c r="K1694">
        <v>0.22</v>
      </c>
      <c r="L1694">
        <v>0.39</v>
      </c>
      <c r="M1694">
        <v>0.52</v>
      </c>
      <c r="N1694">
        <v>0.51</v>
      </c>
      <c r="O1694">
        <v>0.75</v>
      </c>
      <c r="P1694">
        <v>0.19</v>
      </c>
      <c r="Q1694">
        <v>0.95</v>
      </c>
      <c r="R1694" s="2">
        <v>0.34</v>
      </c>
      <c r="S1694" t="str">
        <f>IF(Table1[[#This Row],[Years_Experience]]&lt;=5,"Early Career",
IF(Table1[[#This Row],[Years_Experience]]&lt;=15,"Mid Career","Senior Level"))</f>
        <v>Early Career</v>
      </c>
      <c r="T1694" t="str">
        <f>IF(Table1[[#This Row],[AI_Exposure_Index]]&gt;=0.7,"High Exposure", IF(Table1[[#This Row],[AI_Exposure_Index]]&gt;=0.3,"Medium Exposure","Low Exposure"))</f>
        <v>Medium Exposure</v>
      </c>
    </row>
    <row r="1695" spans="1:20" x14ac:dyDescent="0.25">
      <c r="A1695" t="s">
        <v>42</v>
      </c>
      <c r="B1695">
        <v>102652</v>
      </c>
      <c r="C1695" s="1">
        <v>16</v>
      </c>
      <c r="D1695" t="s">
        <v>25</v>
      </c>
      <c r="E1695" s="7">
        <v>1.31</v>
      </c>
      <c r="F1695" s="2">
        <v>0.69</v>
      </c>
      <c r="G1695" s="7">
        <v>0.45</v>
      </c>
      <c r="H1695" s="9" t="s">
        <v>27</v>
      </c>
      <c r="I1695">
        <v>0.75</v>
      </c>
      <c r="J1695">
        <v>0.88</v>
      </c>
      <c r="K1695">
        <v>0.77</v>
      </c>
      <c r="L1695">
        <v>0.03</v>
      </c>
      <c r="M1695">
        <v>0.83</v>
      </c>
      <c r="N1695">
        <v>0.77</v>
      </c>
      <c r="O1695">
        <v>0.67</v>
      </c>
      <c r="P1695">
        <v>0.76</v>
      </c>
      <c r="Q1695">
        <v>0.98</v>
      </c>
      <c r="R1695" s="2">
        <v>0.43</v>
      </c>
      <c r="S1695" t="str">
        <f>IF(Table1[[#This Row],[Years_Experience]]&lt;=5,"Early Career",
IF(Table1[[#This Row],[Years_Experience]]&lt;=15,"Mid Career","Senior Level"))</f>
        <v>Senior Level</v>
      </c>
      <c r="T1695" t="str">
        <f>IF(Table1[[#This Row],[AI_Exposure_Index]]&gt;=0.7,"High Exposure", IF(Table1[[#This Row],[AI_Exposure_Index]]&gt;=0.3,"Medium Exposure","Low Exposure"))</f>
        <v>Medium Exposure</v>
      </c>
    </row>
    <row r="1696" spans="1:20" x14ac:dyDescent="0.25">
      <c r="A1696" t="s">
        <v>30</v>
      </c>
      <c r="B1696">
        <v>131038</v>
      </c>
      <c r="C1696" s="1">
        <v>25</v>
      </c>
      <c r="D1696" t="s">
        <v>22</v>
      </c>
      <c r="E1696" s="7">
        <v>1.23</v>
      </c>
      <c r="F1696" s="2">
        <v>0.57999999999999996</v>
      </c>
      <c r="G1696" s="7">
        <v>0.39</v>
      </c>
      <c r="H1696" s="9" t="s">
        <v>27</v>
      </c>
      <c r="I1696">
        <v>0.26</v>
      </c>
      <c r="J1696">
        <v>0.23</v>
      </c>
      <c r="K1696">
        <v>0.69</v>
      </c>
      <c r="L1696">
        <v>0.35</v>
      </c>
      <c r="M1696">
        <v>0.41</v>
      </c>
      <c r="N1696">
        <v>0.71</v>
      </c>
      <c r="O1696">
        <v>0.97</v>
      </c>
      <c r="P1696">
        <v>0.16</v>
      </c>
      <c r="Q1696">
        <v>0.06</v>
      </c>
      <c r="R1696" s="2">
        <v>0.19</v>
      </c>
      <c r="S1696" t="str">
        <f>IF(Table1[[#This Row],[Years_Experience]]&lt;=5,"Early Career",
IF(Table1[[#This Row],[Years_Experience]]&lt;=15,"Mid Career","Senior Level"))</f>
        <v>Senior Level</v>
      </c>
      <c r="T1696" t="str">
        <f>IF(Table1[[#This Row],[AI_Exposure_Index]]&gt;=0.7,"High Exposure", IF(Table1[[#This Row],[AI_Exposure_Index]]&gt;=0.3,"Medium Exposure","Low Exposure"))</f>
        <v>Medium Exposure</v>
      </c>
    </row>
    <row r="1697" spans="1:20" x14ac:dyDescent="0.25">
      <c r="A1697" t="s">
        <v>39</v>
      </c>
      <c r="B1697">
        <v>55143</v>
      </c>
      <c r="C1697" s="1">
        <v>2</v>
      </c>
      <c r="D1697" t="s">
        <v>19</v>
      </c>
      <c r="E1697" s="7">
        <v>1.08</v>
      </c>
      <c r="F1697" s="2">
        <v>0.19</v>
      </c>
      <c r="G1697" s="7">
        <v>0.85</v>
      </c>
      <c r="H1697" s="9" t="s">
        <v>20</v>
      </c>
      <c r="I1697">
        <v>0.28999999999999998</v>
      </c>
      <c r="J1697">
        <v>7.0000000000000007E-2</v>
      </c>
      <c r="K1697">
        <v>0.4</v>
      </c>
      <c r="L1697">
        <v>0.19</v>
      </c>
      <c r="M1697">
        <v>0.18</v>
      </c>
      <c r="N1697">
        <v>0.52</v>
      </c>
      <c r="O1697">
        <v>0.67</v>
      </c>
      <c r="P1697">
        <v>0.08</v>
      </c>
      <c r="Q1697">
        <v>0.57999999999999996</v>
      </c>
      <c r="R1697" s="2">
        <v>0.25</v>
      </c>
      <c r="S1697" t="str">
        <f>IF(Table1[[#This Row],[Years_Experience]]&lt;=5,"Early Career",
IF(Table1[[#This Row],[Years_Experience]]&lt;=15,"Mid Career","Senior Level"))</f>
        <v>Early Career</v>
      </c>
      <c r="T1697" t="str">
        <f>IF(Table1[[#This Row],[AI_Exposure_Index]]&gt;=0.7,"High Exposure", IF(Table1[[#This Row],[AI_Exposure_Index]]&gt;=0.3,"Medium Exposure","Low Exposure"))</f>
        <v>Low Exposure</v>
      </c>
    </row>
    <row r="1698" spans="1:20" x14ac:dyDescent="0.25">
      <c r="A1698" t="s">
        <v>28</v>
      </c>
      <c r="B1698">
        <v>112702</v>
      </c>
      <c r="C1698" s="1">
        <v>22</v>
      </c>
      <c r="D1698" t="s">
        <v>38</v>
      </c>
      <c r="E1698" s="7">
        <v>1.31</v>
      </c>
      <c r="F1698" s="2">
        <v>0.81</v>
      </c>
      <c r="G1698" s="7">
        <v>0.45</v>
      </c>
      <c r="H1698" s="9" t="s">
        <v>27</v>
      </c>
      <c r="I1698">
        <v>0.56999999999999995</v>
      </c>
      <c r="J1698">
        <v>0.79</v>
      </c>
      <c r="K1698">
        <v>0.06</v>
      </c>
      <c r="L1698">
        <v>0.61</v>
      </c>
      <c r="M1698">
        <v>0.84</v>
      </c>
      <c r="N1698">
        <v>0.37</v>
      </c>
      <c r="O1698">
        <v>0.46</v>
      </c>
      <c r="P1698">
        <v>0.7</v>
      </c>
      <c r="Q1698">
        <v>7.0000000000000007E-2</v>
      </c>
      <c r="R1698" s="2">
        <v>0.39</v>
      </c>
      <c r="S1698" t="str">
        <f>IF(Table1[[#This Row],[Years_Experience]]&lt;=5,"Early Career",
IF(Table1[[#This Row],[Years_Experience]]&lt;=15,"Mid Career","Senior Level"))</f>
        <v>Senior Level</v>
      </c>
      <c r="T1698" t="str">
        <f>IF(Table1[[#This Row],[AI_Exposure_Index]]&gt;=0.7,"High Exposure", IF(Table1[[#This Row],[AI_Exposure_Index]]&gt;=0.3,"Medium Exposure","Low Exposure"))</f>
        <v>High Exposure</v>
      </c>
    </row>
    <row r="1699" spans="1:20" x14ac:dyDescent="0.25">
      <c r="A1699" t="s">
        <v>33</v>
      </c>
      <c r="B1699">
        <v>141459</v>
      </c>
      <c r="C1699" s="1">
        <v>26</v>
      </c>
      <c r="D1699" t="s">
        <v>22</v>
      </c>
      <c r="E1699" s="7">
        <v>0.7</v>
      </c>
      <c r="F1699" s="2">
        <v>0.02</v>
      </c>
      <c r="G1699" s="7">
        <v>0.8</v>
      </c>
      <c r="H1699" s="9" t="s">
        <v>20</v>
      </c>
      <c r="I1699">
        <v>0.2</v>
      </c>
      <c r="J1699">
        <v>0.6</v>
      </c>
      <c r="K1699">
        <v>0.45</v>
      </c>
      <c r="L1699">
        <v>0.04</v>
      </c>
      <c r="M1699">
        <v>0.28000000000000003</v>
      </c>
      <c r="N1699">
        <v>0.02</v>
      </c>
      <c r="O1699">
        <v>0.36</v>
      </c>
      <c r="P1699">
        <v>0.26</v>
      </c>
      <c r="Q1699">
        <v>0.69</v>
      </c>
      <c r="R1699" s="2">
        <v>0.31</v>
      </c>
      <c r="S1699" t="str">
        <f>IF(Table1[[#This Row],[Years_Experience]]&lt;=5,"Early Career",
IF(Table1[[#This Row],[Years_Experience]]&lt;=15,"Mid Career","Senior Level"))</f>
        <v>Senior Level</v>
      </c>
      <c r="T1699" t="str">
        <f>IF(Table1[[#This Row],[AI_Exposure_Index]]&gt;=0.7,"High Exposure", IF(Table1[[#This Row],[AI_Exposure_Index]]&gt;=0.3,"Medium Exposure","Low Exposure"))</f>
        <v>Low Exposure</v>
      </c>
    </row>
    <row r="1700" spans="1:20" x14ac:dyDescent="0.25">
      <c r="A1700" t="s">
        <v>37</v>
      </c>
      <c r="B1700">
        <v>56107</v>
      </c>
      <c r="C1700" s="1">
        <v>24</v>
      </c>
      <c r="D1700" t="s">
        <v>25</v>
      </c>
      <c r="E1700" s="7">
        <v>0.98</v>
      </c>
      <c r="F1700" s="2">
        <v>0.73</v>
      </c>
      <c r="G1700" s="7">
        <v>0.52</v>
      </c>
      <c r="H1700" s="9" t="s">
        <v>27</v>
      </c>
      <c r="I1700">
        <v>0.84</v>
      </c>
      <c r="J1700">
        <v>0.21</v>
      </c>
      <c r="K1700">
        <v>0.99</v>
      </c>
      <c r="L1700">
        <v>0.9</v>
      </c>
      <c r="M1700">
        <v>0.28999999999999998</v>
      </c>
      <c r="N1700">
        <v>0.89</v>
      </c>
      <c r="O1700">
        <v>0.75</v>
      </c>
      <c r="P1700">
        <v>0.93</v>
      </c>
      <c r="Q1700">
        <v>0.69</v>
      </c>
      <c r="R1700" s="2">
        <v>0.67</v>
      </c>
      <c r="S1700" t="str">
        <f>IF(Table1[[#This Row],[Years_Experience]]&lt;=5,"Early Career",
IF(Table1[[#This Row],[Years_Experience]]&lt;=15,"Mid Career","Senior Level"))</f>
        <v>Senior Level</v>
      </c>
      <c r="T1700" t="str">
        <f>IF(Table1[[#This Row],[AI_Exposure_Index]]&gt;=0.7,"High Exposure", IF(Table1[[#This Row],[AI_Exposure_Index]]&gt;=0.3,"Medium Exposure","Low Exposure"))</f>
        <v>High Exposure</v>
      </c>
    </row>
    <row r="1701" spans="1:20" x14ac:dyDescent="0.25">
      <c r="A1701" t="s">
        <v>35</v>
      </c>
      <c r="B1701">
        <v>98402</v>
      </c>
      <c r="C1701" s="1">
        <v>8</v>
      </c>
      <c r="D1701" t="s">
        <v>38</v>
      </c>
      <c r="E1701" s="7">
        <v>0.7</v>
      </c>
      <c r="F1701" s="2">
        <v>0.47</v>
      </c>
      <c r="G1701" s="7">
        <v>0.43</v>
      </c>
      <c r="H1701" s="9" t="s">
        <v>27</v>
      </c>
      <c r="I1701">
        <v>0.98</v>
      </c>
      <c r="J1701">
        <v>0.09</v>
      </c>
      <c r="K1701">
        <v>0.72</v>
      </c>
      <c r="L1701">
        <v>0.17</v>
      </c>
      <c r="M1701">
        <v>0.01</v>
      </c>
      <c r="N1701">
        <v>0.5</v>
      </c>
      <c r="O1701">
        <v>0.16</v>
      </c>
      <c r="P1701">
        <v>0.97</v>
      </c>
      <c r="Q1701">
        <v>0.2</v>
      </c>
      <c r="R1701" s="2">
        <v>0.19</v>
      </c>
      <c r="S1701" t="str">
        <f>IF(Table1[[#This Row],[Years_Experience]]&lt;=5,"Early Career",
IF(Table1[[#This Row],[Years_Experience]]&lt;=15,"Mid Career","Senior Level"))</f>
        <v>Mid Career</v>
      </c>
      <c r="T1701" t="str">
        <f>IF(Table1[[#This Row],[AI_Exposure_Index]]&gt;=0.7,"High Exposure", IF(Table1[[#This Row],[AI_Exposure_Index]]&gt;=0.3,"Medium Exposure","Low Exposure"))</f>
        <v>Medium Exposure</v>
      </c>
    </row>
    <row r="1702" spans="1:20" x14ac:dyDescent="0.25">
      <c r="A1702" t="s">
        <v>18</v>
      </c>
      <c r="B1702">
        <v>36005</v>
      </c>
      <c r="C1702" s="1">
        <v>14</v>
      </c>
      <c r="D1702" t="s">
        <v>25</v>
      </c>
      <c r="E1702" s="7">
        <v>0.52</v>
      </c>
      <c r="F1702" s="2">
        <v>0.33</v>
      </c>
      <c r="G1702" s="7">
        <v>0.82</v>
      </c>
      <c r="H1702" s="9" t="s">
        <v>20</v>
      </c>
      <c r="I1702">
        <v>0.51</v>
      </c>
      <c r="J1702">
        <v>0.05</v>
      </c>
      <c r="K1702">
        <v>0.24</v>
      </c>
      <c r="L1702">
        <v>0.83</v>
      </c>
      <c r="M1702">
        <v>0.46</v>
      </c>
      <c r="N1702">
        <v>0.43</v>
      </c>
      <c r="O1702">
        <v>0.7</v>
      </c>
      <c r="P1702">
        <v>0.71</v>
      </c>
      <c r="Q1702">
        <v>0.76</v>
      </c>
      <c r="R1702" s="2">
        <v>0.83</v>
      </c>
      <c r="S1702" t="str">
        <f>IF(Table1[[#This Row],[Years_Experience]]&lt;=5,"Early Career",
IF(Table1[[#This Row],[Years_Experience]]&lt;=15,"Mid Career","Senior Level"))</f>
        <v>Mid Career</v>
      </c>
      <c r="T1702" t="str">
        <f>IF(Table1[[#This Row],[AI_Exposure_Index]]&gt;=0.7,"High Exposure", IF(Table1[[#This Row],[AI_Exposure_Index]]&gt;=0.3,"Medium Exposure","Low Exposure"))</f>
        <v>Medium Exposure</v>
      </c>
    </row>
    <row r="1703" spans="1:20" x14ac:dyDescent="0.25">
      <c r="A1703" t="s">
        <v>40</v>
      </c>
      <c r="B1703">
        <v>81038</v>
      </c>
      <c r="C1703" s="1">
        <v>25</v>
      </c>
      <c r="D1703" t="s">
        <v>38</v>
      </c>
      <c r="E1703" s="7">
        <v>0.88</v>
      </c>
      <c r="F1703" s="2">
        <v>7.0000000000000007E-2</v>
      </c>
      <c r="G1703" s="7">
        <v>0.26</v>
      </c>
      <c r="H1703" s="9" t="s">
        <v>23</v>
      </c>
      <c r="I1703">
        <v>0.08</v>
      </c>
      <c r="J1703">
        <v>0.57999999999999996</v>
      </c>
      <c r="K1703">
        <v>0.7</v>
      </c>
      <c r="L1703">
        <v>0.48</v>
      </c>
      <c r="M1703">
        <v>0.26</v>
      </c>
      <c r="N1703">
        <v>0.33</v>
      </c>
      <c r="O1703">
        <v>7.0000000000000007E-2</v>
      </c>
      <c r="P1703">
        <v>0.28999999999999998</v>
      </c>
      <c r="Q1703">
        <v>0.04</v>
      </c>
      <c r="R1703" s="2">
        <v>0.73</v>
      </c>
      <c r="S1703" t="str">
        <f>IF(Table1[[#This Row],[Years_Experience]]&lt;=5,"Early Career",
IF(Table1[[#This Row],[Years_Experience]]&lt;=15,"Mid Career","Senior Level"))</f>
        <v>Senior Level</v>
      </c>
      <c r="T1703" t="str">
        <f>IF(Table1[[#This Row],[AI_Exposure_Index]]&gt;=0.7,"High Exposure", IF(Table1[[#This Row],[AI_Exposure_Index]]&gt;=0.3,"Medium Exposure","Low Exposure"))</f>
        <v>Low Exposure</v>
      </c>
    </row>
    <row r="1704" spans="1:20" x14ac:dyDescent="0.25">
      <c r="A1704" t="s">
        <v>34</v>
      </c>
      <c r="B1704">
        <v>96783</v>
      </c>
      <c r="C1704" s="1">
        <v>20</v>
      </c>
      <c r="D1704" t="s">
        <v>38</v>
      </c>
      <c r="E1704" s="7">
        <v>1.1599999999999999</v>
      </c>
      <c r="F1704" s="2">
        <v>0.63</v>
      </c>
      <c r="G1704" s="7">
        <v>0.49</v>
      </c>
      <c r="H1704" s="9" t="s">
        <v>27</v>
      </c>
      <c r="I1704">
        <v>0.16</v>
      </c>
      <c r="J1704">
        <v>0.01</v>
      </c>
      <c r="K1704">
        <v>0.34</v>
      </c>
      <c r="L1704">
        <v>0.75</v>
      </c>
      <c r="M1704">
        <v>0.96</v>
      </c>
      <c r="N1704">
        <v>0.43</v>
      </c>
      <c r="O1704">
        <v>0.37</v>
      </c>
      <c r="P1704">
        <v>0.45</v>
      </c>
      <c r="Q1704">
        <v>0.43</v>
      </c>
      <c r="R1704" s="2">
        <v>0.63</v>
      </c>
      <c r="S1704" t="str">
        <f>IF(Table1[[#This Row],[Years_Experience]]&lt;=5,"Early Career",
IF(Table1[[#This Row],[Years_Experience]]&lt;=15,"Mid Career","Senior Level"))</f>
        <v>Senior Level</v>
      </c>
      <c r="T1704" t="str">
        <f>IF(Table1[[#This Row],[AI_Exposure_Index]]&gt;=0.7,"High Exposure", IF(Table1[[#This Row],[AI_Exposure_Index]]&gt;=0.3,"Medium Exposure","Low Exposure"))</f>
        <v>Medium Exposure</v>
      </c>
    </row>
    <row r="1705" spans="1:20" x14ac:dyDescent="0.25">
      <c r="A1705" t="s">
        <v>43</v>
      </c>
      <c r="B1705">
        <v>101020</v>
      </c>
      <c r="C1705" s="1">
        <v>21</v>
      </c>
      <c r="D1705" t="s">
        <v>22</v>
      </c>
      <c r="E1705" s="7">
        <v>1.1499999999999999</v>
      </c>
      <c r="F1705" s="2">
        <v>0.78</v>
      </c>
      <c r="G1705" s="7">
        <v>0.16</v>
      </c>
      <c r="H1705" s="9" t="s">
        <v>23</v>
      </c>
      <c r="I1705">
        <v>0.95</v>
      </c>
      <c r="J1705">
        <v>0.71</v>
      </c>
      <c r="K1705">
        <v>0.43</v>
      </c>
      <c r="L1705">
        <v>0.45</v>
      </c>
      <c r="M1705">
        <v>0.82</v>
      </c>
      <c r="N1705">
        <v>0.44</v>
      </c>
      <c r="O1705">
        <v>0.52</v>
      </c>
      <c r="P1705">
        <v>0.28999999999999998</v>
      </c>
      <c r="Q1705">
        <v>0.84</v>
      </c>
      <c r="R1705" s="2">
        <v>0.52</v>
      </c>
      <c r="S1705" t="str">
        <f>IF(Table1[[#This Row],[Years_Experience]]&lt;=5,"Early Career",
IF(Table1[[#This Row],[Years_Experience]]&lt;=15,"Mid Career","Senior Level"))</f>
        <v>Senior Level</v>
      </c>
      <c r="T1705" t="str">
        <f>IF(Table1[[#This Row],[AI_Exposure_Index]]&gt;=0.7,"High Exposure", IF(Table1[[#This Row],[AI_Exposure_Index]]&gt;=0.3,"Medium Exposure","Low Exposure"))</f>
        <v>High Exposure</v>
      </c>
    </row>
    <row r="1706" spans="1:20" x14ac:dyDescent="0.25">
      <c r="A1706" t="s">
        <v>35</v>
      </c>
      <c r="B1706">
        <v>95217</v>
      </c>
      <c r="C1706" s="1">
        <v>16</v>
      </c>
      <c r="D1706" t="s">
        <v>38</v>
      </c>
      <c r="E1706" s="7">
        <v>0.78</v>
      </c>
      <c r="F1706" s="2">
        <v>0.66</v>
      </c>
      <c r="G1706" s="7">
        <v>0.63</v>
      </c>
      <c r="H1706" s="9" t="s">
        <v>27</v>
      </c>
      <c r="I1706">
        <v>0.31</v>
      </c>
      <c r="J1706">
        <v>0.99</v>
      </c>
      <c r="K1706">
        <v>0.61</v>
      </c>
      <c r="L1706">
        <v>0.84</v>
      </c>
      <c r="M1706">
        <v>7.0000000000000007E-2</v>
      </c>
      <c r="N1706">
        <v>0.35</v>
      </c>
      <c r="O1706">
        <v>0.74</v>
      </c>
      <c r="P1706">
        <v>0.66</v>
      </c>
      <c r="Q1706">
        <v>0.19</v>
      </c>
      <c r="R1706" s="2">
        <v>0.36</v>
      </c>
      <c r="S1706" t="str">
        <f>IF(Table1[[#This Row],[Years_Experience]]&lt;=5,"Early Career",
IF(Table1[[#This Row],[Years_Experience]]&lt;=15,"Mid Career","Senior Level"))</f>
        <v>Senior Level</v>
      </c>
      <c r="T1706" t="str">
        <f>IF(Table1[[#This Row],[AI_Exposure_Index]]&gt;=0.7,"High Exposure", IF(Table1[[#This Row],[AI_Exposure_Index]]&gt;=0.3,"Medium Exposure","Low Exposure"))</f>
        <v>Medium Exposure</v>
      </c>
    </row>
    <row r="1707" spans="1:20" x14ac:dyDescent="0.25">
      <c r="A1707" t="s">
        <v>34</v>
      </c>
      <c r="B1707">
        <v>97323</v>
      </c>
      <c r="C1707" s="1">
        <v>19</v>
      </c>
      <c r="D1707" t="s">
        <v>38</v>
      </c>
      <c r="E1707" s="7">
        <v>0.84</v>
      </c>
      <c r="F1707" s="2">
        <v>0.61</v>
      </c>
      <c r="G1707" s="7">
        <v>0.42</v>
      </c>
      <c r="H1707" s="9" t="s">
        <v>27</v>
      </c>
      <c r="I1707">
        <v>0.21</v>
      </c>
      <c r="J1707">
        <v>0.41</v>
      </c>
      <c r="K1707">
        <v>0.2</v>
      </c>
      <c r="L1707">
        <v>0.96</v>
      </c>
      <c r="M1707">
        <v>0.15</v>
      </c>
      <c r="N1707">
        <v>0.91</v>
      </c>
      <c r="O1707">
        <v>0.43</v>
      </c>
      <c r="P1707">
        <v>0.38</v>
      </c>
      <c r="Q1707">
        <v>0.23</v>
      </c>
      <c r="R1707" s="2">
        <v>0.64</v>
      </c>
      <c r="S1707" t="str">
        <f>IF(Table1[[#This Row],[Years_Experience]]&lt;=5,"Early Career",
IF(Table1[[#This Row],[Years_Experience]]&lt;=15,"Mid Career","Senior Level"))</f>
        <v>Senior Level</v>
      </c>
      <c r="T1707" t="str">
        <f>IF(Table1[[#This Row],[AI_Exposure_Index]]&gt;=0.7,"High Exposure", IF(Table1[[#This Row],[AI_Exposure_Index]]&gt;=0.3,"Medium Exposure","Low Exposure"))</f>
        <v>Medium Exposure</v>
      </c>
    </row>
    <row r="1708" spans="1:20" x14ac:dyDescent="0.25">
      <c r="A1708" t="s">
        <v>31</v>
      </c>
      <c r="B1708">
        <v>80049</v>
      </c>
      <c r="C1708" s="1">
        <v>19</v>
      </c>
      <c r="D1708" t="s">
        <v>38</v>
      </c>
      <c r="E1708" s="7">
        <v>0.56000000000000005</v>
      </c>
      <c r="F1708" s="2">
        <v>0.47</v>
      </c>
      <c r="G1708" s="7">
        <v>0.28000000000000003</v>
      </c>
      <c r="H1708" s="9" t="s">
        <v>23</v>
      </c>
      <c r="I1708">
        <v>0.98</v>
      </c>
      <c r="J1708">
        <v>0.43</v>
      </c>
      <c r="K1708">
        <v>0.61</v>
      </c>
      <c r="L1708">
        <v>0.45</v>
      </c>
      <c r="M1708">
        <v>0.32</v>
      </c>
      <c r="N1708">
        <v>0.08</v>
      </c>
      <c r="O1708">
        <v>0.46</v>
      </c>
      <c r="P1708">
        <v>0.82</v>
      </c>
      <c r="Q1708">
        <v>0.02</v>
      </c>
      <c r="R1708" s="2">
        <v>0.57999999999999996</v>
      </c>
      <c r="S1708" t="str">
        <f>IF(Table1[[#This Row],[Years_Experience]]&lt;=5,"Early Career",
IF(Table1[[#This Row],[Years_Experience]]&lt;=15,"Mid Career","Senior Level"))</f>
        <v>Senior Level</v>
      </c>
      <c r="T1708" t="str">
        <f>IF(Table1[[#This Row],[AI_Exposure_Index]]&gt;=0.7,"High Exposure", IF(Table1[[#This Row],[AI_Exposure_Index]]&gt;=0.3,"Medium Exposure","Low Exposure"))</f>
        <v>Medium Exposure</v>
      </c>
    </row>
    <row r="1709" spans="1:20" x14ac:dyDescent="0.25">
      <c r="A1709" t="s">
        <v>43</v>
      </c>
      <c r="B1709">
        <v>48428</v>
      </c>
      <c r="C1709" s="1">
        <v>2</v>
      </c>
      <c r="D1709" t="s">
        <v>19</v>
      </c>
      <c r="E1709" s="7">
        <v>0.68</v>
      </c>
      <c r="F1709" s="2">
        <v>0.22</v>
      </c>
      <c r="G1709" s="7">
        <v>0.24</v>
      </c>
      <c r="H1709" s="9" t="s">
        <v>23</v>
      </c>
      <c r="I1709">
        <v>0.26</v>
      </c>
      <c r="J1709">
        <v>0.19</v>
      </c>
      <c r="K1709">
        <v>0.38</v>
      </c>
      <c r="L1709">
        <v>0.39</v>
      </c>
      <c r="M1709">
        <v>0.87</v>
      </c>
      <c r="N1709">
        <v>0.62</v>
      </c>
      <c r="O1709">
        <v>0.41</v>
      </c>
      <c r="P1709">
        <v>0.53</v>
      </c>
      <c r="Q1709">
        <v>0.95</v>
      </c>
      <c r="R1709" s="2">
        <v>0.11</v>
      </c>
      <c r="S1709" t="str">
        <f>IF(Table1[[#This Row],[Years_Experience]]&lt;=5,"Early Career",
IF(Table1[[#This Row],[Years_Experience]]&lt;=15,"Mid Career","Senior Level"))</f>
        <v>Early Career</v>
      </c>
      <c r="T1709" t="str">
        <f>IF(Table1[[#This Row],[AI_Exposure_Index]]&gt;=0.7,"High Exposure", IF(Table1[[#This Row],[AI_Exposure_Index]]&gt;=0.3,"Medium Exposure","Low Exposure"))</f>
        <v>Low Exposure</v>
      </c>
    </row>
    <row r="1710" spans="1:20" x14ac:dyDescent="0.25">
      <c r="A1710" t="s">
        <v>31</v>
      </c>
      <c r="B1710">
        <v>85331</v>
      </c>
      <c r="C1710" s="1">
        <v>27</v>
      </c>
      <c r="D1710" t="s">
        <v>25</v>
      </c>
      <c r="E1710" s="7">
        <v>1.46</v>
      </c>
      <c r="F1710" s="2">
        <v>0.96</v>
      </c>
      <c r="G1710" s="7">
        <v>0.09</v>
      </c>
      <c r="H1710" s="9" t="s">
        <v>23</v>
      </c>
      <c r="I1710">
        <v>0.15</v>
      </c>
      <c r="J1710">
        <v>0.42</v>
      </c>
      <c r="K1710">
        <v>0.05</v>
      </c>
      <c r="L1710">
        <v>0.65</v>
      </c>
      <c r="M1710">
        <v>0.08</v>
      </c>
      <c r="N1710">
        <v>0.06</v>
      </c>
      <c r="O1710">
        <v>0.49</v>
      </c>
      <c r="P1710">
        <v>0.96</v>
      </c>
      <c r="Q1710">
        <v>0.43</v>
      </c>
      <c r="R1710" s="2">
        <v>0.36</v>
      </c>
      <c r="S1710" t="str">
        <f>IF(Table1[[#This Row],[Years_Experience]]&lt;=5,"Early Career",
IF(Table1[[#This Row],[Years_Experience]]&lt;=15,"Mid Career","Senior Level"))</f>
        <v>Senior Level</v>
      </c>
      <c r="T1710" t="str">
        <f>IF(Table1[[#This Row],[AI_Exposure_Index]]&gt;=0.7,"High Exposure", IF(Table1[[#This Row],[AI_Exposure_Index]]&gt;=0.3,"Medium Exposure","Low Exposure"))</f>
        <v>High Exposure</v>
      </c>
    </row>
    <row r="1711" spans="1:20" x14ac:dyDescent="0.25">
      <c r="A1711" t="s">
        <v>44</v>
      </c>
      <c r="B1711">
        <v>35973</v>
      </c>
      <c r="C1711" s="1">
        <v>2</v>
      </c>
      <c r="D1711" t="s">
        <v>25</v>
      </c>
      <c r="E1711" s="7">
        <v>0.88</v>
      </c>
      <c r="F1711" s="2">
        <v>0.53</v>
      </c>
      <c r="G1711" s="7">
        <v>0.45</v>
      </c>
      <c r="H1711" s="9" t="s">
        <v>27</v>
      </c>
      <c r="I1711">
        <v>0.19</v>
      </c>
      <c r="J1711">
        <v>0.51</v>
      </c>
      <c r="K1711">
        <v>0.44</v>
      </c>
      <c r="L1711">
        <v>0.27</v>
      </c>
      <c r="M1711">
        <v>0.16</v>
      </c>
      <c r="N1711">
        <v>0.31</v>
      </c>
      <c r="O1711">
        <v>0.51</v>
      </c>
      <c r="P1711">
        <v>0.06</v>
      </c>
      <c r="Q1711">
        <v>0.15</v>
      </c>
      <c r="R1711" s="2">
        <v>0.95</v>
      </c>
      <c r="S1711" t="str">
        <f>IF(Table1[[#This Row],[Years_Experience]]&lt;=5,"Early Career",
IF(Table1[[#This Row],[Years_Experience]]&lt;=15,"Mid Career","Senior Level"))</f>
        <v>Early Career</v>
      </c>
      <c r="T1711" t="str">
        <f>IF(Table1[[#This Row],[AI_Exposure_Index]]&gt;=0.7,"High Exposure", IF(Table1[[#This Row],[AI_Exposure_Index]]&gt;=0.3,"Medium Exposure","Low Exposure"))</f>
        <v>Medium Exposure</v>
      </c>
    </row>
    <row r="1712" spans="1:20" x14ac:dyDescent="0.25">
      <c r="A1712" t="s">
        <v>26</v>
      </c>
      <c r="B1712">
        <v>67236</v>
      </c>
      <c r="C1712" s="1">
        <v>10</v>
      </c>
      <c r="D1712" t="s">
        <v>19</v>
      </c>
      <c r="E1712" s="7">
        <v>1.19</v>
      </c>
      <c r="F1712" s="2">
        <v>0.06</v>
      </c>
      <c r="G1712" s="7">
        <v>0.32</v>
      </c>
      <c r="H1712" s="9" t="s">
        <v>27</v>
      </c>
      <c r="I1712">
        <v>0.74</v>
      </c>
      <c r="J1712">
        <v>0.75</v>
      </c>
      <c r="K1712">
        <v>0.65</v>
      </c>
      <c r="L1712">
        <v>0.73</v>
      </c>
      <c r="M1712">
        <v>0.09</v>
      </c>
      <c r="N1712">
        <v>0.73</v>
      </c>
      <c r="O1712">
        <v>0.14000000000000001</v>
      </c>
      <c r="P1712">
        <v>0.34</v>
      </c>
      <c r="Q1712">
        <v>0.94</v>
      </c>
      <c r="R1712" s="2">
        <v>0.5</v>
      </c>
      <c r="S1712" t="str">
        <f>IF(Table1[[#This Row],[Years_Experience]]&lt;=5,"Early Career",
IF(Table1[[#This Row],[Years_Experience]]&lt;=15,"Mid Career","Senior Level"))</f>
        <v>Mid Career</v>
      </c>
      <c r="T1712" t="str">
        <f>IF(Table1[[#This Row],[AI_Exposure_Index]]&gt;=0.7,"High Exposure", IF(Table1[[#This Row],[AI_Exposure_Index]]&gt;=0.3,"Medium Exposure","Low Exposure"))</f>
        <v>Low Exposure</v>
      </c>
    </row>
    <row r="1713" spans="1:20" x14ac:dyDescent="0.25">
      <c r="A1713" t="s">
        <v>28</v>
      </c>
      <c r="B1713">
        <v>112473</v>
      </c>
      <c r="C1713" s="1">
        <v>25</v>
      </c>
      <c r="D1713" t="s">
        <v>22</v>
      </c>
      <c r="E1713" s="7">
        <v>1.28</v>
      </c>
      <c r="F1713" s="2">
        <v>0.4</v>
      </c>
      <c r="G1713" s="7">
        <v>0.56000000000000005</v>
      </c>
      <c r="H1713" s="9" t="s">
        <v>27</v>
      </c>
      <c r="I1713">
        <v>0.57999999999999996</v>
      </c>
      <c r="J1713">
        <v>0.9</v>
      </c>
      <c r="K1713">
        <v>0.02</v>
      </c>
      <c r="L1713">
        <v>0.16</v>
      </c>
      <c r="M1713">
        <v>0.62</v>
      </c>
      <c r="N1713">
        <v>7.0000000000000007E-2</v>
      </c>
      <c r="O1713">
        <v>0.64</v>
      </c>
      <c r="P1713">
        <v>0.98</v>
      </c>
      <c r="Q1713">
        <v>0.88</v>
      </c>
      <c r="R1713" s="2">
        <v>0.59</v>
      </c>
      <c r="S1713" t="str">
        <f>IF(Table1[[#This Row],[Years_Experience]]&lt;=5,"Early Career",
IF(Table1[[#This Row],[Years_Experience]]&lt;=15,"Mid Career","Senior Level"))</f>
        <v>Senior Level</v>
      </c>
      <c r="T1713" t="str">
        <f>IF(Table1[[#This Row],[AI_Exposure_Index]]&gt;=0.7,"High Exposure", IF(Table1[[#This Row],[AI_Exposure_Index]]&gt;=0.3,"Medium Exposure","Low Exposure"))</f>
        <v>Medium Exposure</v>
      </c>
    </row>
    <row r="1714" spans="1:20" x14ac:dyDescent="0.25">
      <c r="A1714" t="s">
        <v>42</v>
      </c>
      <c r="B1714">
        <v>138480</v>
      </c>
      <c r="C1714" s="1">
        <v>27</v>
      </c>
      <c r="D1714" t="s">
        <v>38</v>
      </c>
      <c r="E1714" s="7">
        <v>0.95</v>
      </c>
      <c r="F1714" s="2">
        <v>0.12</v>
      </c>
      <c r="G1714" s="7">
        <v>0.47</v>
      </c>
      <c r="H1714" s="9" t="s">
        <v>27</v>
      </c>
      <c r="I1714">
        <v>0.34</v>
      </c>
      <c r="J1714">
        <v>0</v>
      </c>
      <c r="K1714">
        <v>0.89</v>
      </c>
      <c r="L1714">
        <v>0.78</v>
      </c>
      <c r="M1714">
        <v>0.65</v>
      </c>
      <c r="N1714">
        <v>0.13</v>
      </c>
      <c r="O1714">
        <v>0.38</v>
      </c>
      <c r="P1714">
        <v>0.92</v>
      </c>
      <c r="Q1714">
        <v>0.62</v>
      </c>
      <c r="R1714" s="2">
        <v>0.6</v>
      </c>
      <c r="S1714" t="str">
        <f>IF(Table1[[#This Row],[Years_Experience]]&lt;=5,"Early Career",
IF(Table1[[#This Row],[Years_Experience]]&lt;=15,"Mid Career","Senior Level"))</f>
        <v>Senior Level</v>
      </c>
      <c r="T1714" t="str">
        <f>IF(Table1[[#This Row],[AI_Exposure_Index]]&gt;=0.7,"High Exposure", IF(Table1[[#This Row],[AI_Exposure_Index]]&gt;=0.3,"Medium Exposure","Low Exposure"))</f>
        <v>Low Exposure</v>
      </c>
    </row>
    <row r="1715" spans="1:20" x14ac:dyDescent="0.25">
      <c r="A1715" t="s">
        <v>36</v>
      </c>
      <c r="B1715">
        <v>73464</v>
      </c>
      <c r="C1715" s="1">
        <v>27</v>
      </c>
      <c r="D1715" t="s">
        <v>19</v>
      </c>
      <c r="E1715" s="7">
        <v>1.1000000000000001</v>
      </c>
      <c r="F1715" s="2">
        <v>0.56000000000000005</v>
      </c>
      <c r="G1715" s="7">
        <v>0.44</v>
      </c>
      <c r="H1715" s="9" t="s">
        <v>27</v>
      </c>
      <c r="I1715">
        <v>0.37</v>
      </c>
      <c r="J1715">
        <v>0.69</v>
      </c>
      <c r="K1715">
        <v>0.32</v>
      </c>
      <c r="L1715">
        <v>0.56000000000000005</v>
      </c>
      <c r="M1715">
        <v>0.28000000000000003</v>
      </c>
      <c r="N1715">
        <v>0.17</v>
      </c>
      <c r="O1715">
        <v>0.45</v>
      </c>
      <c r="P1715">
        <v>0.22</v>
      </c>
      <c r="Q1715">
        <v>0.9</v>
      </c>
      <c r="R1715" s="2">
        <v>0.3</v>
      </c>
      <c r="S1715" t="str">
        <f>IF(Table1[[#This Row],[Years_Experience]]&lt;=5,"Early Career",
IF(Table1[[#This Row],[Years_Experience]]&lt;=15,"Mid Career","Senior Level"))</f>
        <v>Senior Level</v>
      </c>
      <c r="T1715" t="str">
        <f>IF(Table1[[#This Row],[AI_Exposure_Index]]&gt;=0.7,"High Exposure", IF(Table1[[#This Row],[AI_Exposure_Index]]&gt;=0.3,"Medium Exposure","Low Exposure"))</f>
        <v>Medium Exposure</v>
      </c>
    </row>
    <row r="1716" spans="1:20" x14ac:dyDescent="0.25">
      <c r="A1716" t="s">
        <v>40</v>
      </c>
      <c r="B1716">
        <v>118060</v>
      </c>
      <c r="C1716" s="1">
        <v>19</v>
      </c>
      <c r="D1716" t="s">
        <v>38</v>
      </c>
      <c r="E1716" s="7">
        <v>0.76</v>
      </c>
      <c r="F1716" s="2">
        <v>0.26</v>
      </c>
      <c r="G1716" s="7">
        <v>0.14000000000000001</v>
      </c>
      <c r="H1716" s="9" t="s">
        <v>23</v>
      </c>
      <c r="I1716">
        <v>0.92</v>
      </c>
      <c r="J1716">
        <v>0.39</v>
      </c>
      <c r="K1716">
        <v>0.82</v>
      </c>
      <c r="L1716">
        <v>0.2</v>
      </c>
      <c r="M1716">
        <v>0.05</v>
      </c>
      <c r="N1716">
        <v>0.78</v>
      </c>
      <c r="O1716">
        <v>0.54</v>
      </c>
      <c r="P1716">
        <v>0.5</v>
      </c>
      <c r="Q1716">
        <v>0.27</v>
      </c>
      <c r="R1716" s="2">
        <v>7.0000000000000007E-2</v>
      </c>
      <c r="S1716" t="str">
        <f>IF(Table1[[#This Row],[Years_Experience]]&lt;=5,"Early Career",
IF(Table1[[#This Row],[Years_Experience]]&lt;=15,"Mid Career","Senior Level"))</f>
        <v>Senior Level</v>
      </c>
      <c r="T1716" t="str">
        <f>IF(Table1[[#This Row],[AI_Exposure_Index]]&gt;=0.7,"High Exposure", IF(Table1[[#This Row],[AI_Exposure_Index]]&gt;=0.3,"Medium Exposure","Low Exposure"))</f>
        <v>Low Exposure</v>
      </c>
    </row>
    <row r="1717" spans="1:20" x14ac:dyDescent="0.25">
      <c r="A1717" t="s">
        <v>26</v>
      </c>
      <c r="B1717">
        <v>76905</v>
      </c>
      <c r="C1717" s="1">
        <v>12</v>
      </c>
      <c r="D1717" t="s">
        <v>25</v>
      </c>
      <c r="E1717" s="7">
        <v>0.62</v>
      </c>
      <c r="F1717" s="2">
        <v>0.87</v>
      </c>
      <c r="G1717" s="7">
        <v>0.67</v>
      </c>
      <c r="H1717" s="9" t="s">
        <v>27</v>
      </c>
      <c r="I1717">
        <v>0.27</v>
      </c>
      <c r="J1717">
        <v>0.53</v>
      </c>
      <c r="K1717">
        <v>7.0000000000000007E-2</v>
      </c>
      <c r="L1717">
        <v>0.43</v>
      </c>
      <c r="M1717">
        <v>0.13</v>
      </c>
      <c r="N1717">
        <v>0.05</v>
      </c>
      <c r="O1717">
        <v>0.97</v>
      </c>
      <c r="P1717">
        <v>0.73</v>
      </c>
      <c r="Q1717">
        <v>0.72</v>
      </c>
      <c r="R1717" s="2">
        <v>0.09</v>
      </c>
      <c r="S1717" t="str">
        <f>IF(Table1[[#This Row],[Years_Experience]]&lt;=5,"Early Career",
IF(Table1[[#This Row],[Years_Experience]]&lt;=15,"Mid Career","Senior Level"))</f>
        <v>Mid Career</v>
      </c>
      <c r="T1717" t="str">
        <f>IF(Table1[[#This Row],[AI_Exposure_Index]]&gt;=0.7,"High Exposure", IF(Table1[[#This Row],[AI_Exposure_Index]]&gt;=0.3,"Medium Exposure","Low Exposure"))</f>
        <v>High Exposure</v>
      </c>
    </row>
    <row r="1718" spans="1:20" x14ac:dyDescent="0.25">
      <c r="A1718" t="s">
        <v>36</v>
      </c>
      <c r="B1718">
        <v>101341</v>
      </c>
      <c r="C1718" s="1">
        <v>15</v>
      </c>
      <c r="D1718" t="s">
        <v>25</v>
      </c>
      <c r="E1718" s="7">
        <v>0.51</v>
      </c>
      <c r="F1718" s="2">
        <v>0.85</v>
      </c>
      <c r="G1718" s="7">
        <v>0.42</v>
      </c>
      <c r="H1718" s="9" t="s">
        <v>27</v>
      </c>
      <c r="I1718">
        <v>1</v>
      </c>
      <c r="J1718">
        <v>0.43</v>
      </c>
      <c r="K1718">
        <v>0.89</v>
      </c>
      <c r="L1718">
        <v>0.33</v>
      </c>
      <c r="M1718">
        <v>0.53</v>
      </c>
      <c r="N1718">
        <v>0.85</v>
      </c>
      <c r="O1718">
        <v>0.61</v>
      </c>
      <c r="P1718">
        <v>0.73</v>
      </c>
      <c r="Q1718">
        <v>0.23</v>
      </c>
      <c r="R1718" s="2">
        <v>0.16</v>
      </c>
      <c r="S1718" t="str">
        <f>IF(Table1[[#This Row],[Years_Experience]]&lt;=5,"Early Career",
IF(Table1[[#This Row],[Years_Experience]]&lt;=15,"Mid Career","Senior Level"))</f>
        <v>Mid Career</v>
      </c>
      <c r="T1718" t="str">
        <f>IF(Table1[[#This Row],[AI_Exposure_Index]]&gt;=0.7,"High Exposure", IF(Table1[[#This Row],[AI_Exposure_Index]]&gt;=0.3,"Medium Exposure","Low Exposure"))</f>
        <v>High Exposure</v>
      </c>
    </row>
    <row r="1719" spans="1:20" x14ac:dyDescent="0.25">
      <c r="A1719" t="s">
        <v>18</v>
      </c>
      <c r="B1719">
        <v>119314</v>
      </c>
      <c r="C1719" s="1">
        <v>26</v>
      </c>
      <c r="D1719" t="s">
        <v>19</v>
      </c>
      <c r="E1719" s="7">
        <v>1.3</v>
      </c>
      <c r="F1719" s="2">
        <v>0.49</v>
      </c>
      <c r="G1719" s="7">
        <v>0.79</v>
      </c>
      <c r="H1719" s="9" t="s">
        <v>20</v>
      </c>
      <c r="I1719">
        <v>0.56000000000000005</v>
      </c>
      <c r="J1719">
        <v>0.8</v>
      </c>
      <c r="K1719">
        <v>0.24</v>
      </c>
      <c r="L1719">
        <v>0.88</v>
      </c>
      <c r="M1719">
        <v>0.95</v>
      </c>
      <c r="N1719">
        <v>0.04</v>
      </c>
      <c r="O1719">
        <v>0.06</v>
      </c>
      <c r="P1719">
        <v>0.09</v>
      </c>
      <c r="Q1719">
        <v>0.78</v>
      </c>
      <c r="R1719" s="2">
        <v>0.19</v>
      </c>
      <c r="S1719" t="str">
        <f>IF(Table1[[#This Row],[Years_Experience]]&lt;=5,"Early Career",
IF(Table1[[#This Row],[Years_Experience]]&lt;=15,"Mid Career","Senior Level"))</f>
        <v>Senior Level</v>
      </c>
      <c r="T1719" t="str">
        <f>IF(Table1[[#This Row],[AI_Exposure_Index]]&gt;=0.7,"High Exposure", IF(Table1[[#This Row],[AI_Exposure_Index]]&gt;=0.3,"Medium Exposure","Low Exposure"))</f>
        <v>Medium Exposure</v>
      </c>
    </row>
    <row r="1720" spans="1:20" x14ac:dyDescent="0.25">
      <c r="A1720" t="s">
        <v>33</v>
      </c>
      <c r="B1720">
        <v>109455</v>
      </c>
      <c r="C1720" s="1">
        <v>26</v>
      </c>
      <c r="D1720" t="s">
        <v>22</v>
      </c>
      <c r="E1720" s="7">
        <v>1.34</v>
      </c>
      <c r="F1720" s="2">
        <v>0.44</v>
      </c>
      <c r="G1720" s="7">
        <v>0.9</v>
      </c>
      <c r="H1720" s="9" t="s">
        <v>20</v>
      </c>
      <c r="I1720">
        <v>0.96</v>
      </c>
      <c r="J1720">
        <v>0.25</v>
      </c>
      <c r="K1720">
        <v>0.23</v>
      </c>
      <c r="L1720">
        <v>0.03</v>
      </c>
      <c r="M1720">
        <v>0.41</v>
      </c>
      <c r="N1720">
        <v>0.46</v>
      </c>
      <c r="O1720">
        <v>0.96</v>
      </c>
      <c r="P1720">
        <v>0.83</v>
      </c>
      <c r="Q1720">
        <v>0.17</v>
      </c>
      <c r="R1720" s="2">
        <v>0.8</v>
      </c>
      <c r="S1720" t="str">
        <f>IF(Table1[[#This Row],[Years_Experience]]&lt;=5,"Early Career",
IF(Table1[[#This Row],[Years_Experience]]&lt;=15,"Mid Career","Senior Level"))</f>
        <v>Senior Level</v>
      </c>
      <c r="T1720" t="str">
        <f>IF(Table1[[#This Row],[AI_Exposure_Index]]&gt;=0.7,"High Exposure", IF(Table1[[#This Row],[AI_Exposure_Index]]&gt;=0.3,"Medium Exposure","Low Exposure"))</f>
        <v>Medium Exposure</v>
      </c>
    </row>
    <row r="1721" spans="1:20" x14ac:dyDescent="0.25">
      <c r="A1721" t="s">
        <v>26</v>
      </c>
      <c r="B1721">
        <v>96951</v>
      </c>
      <c r="C1721" s="1">
        <v>6</v>
      </c>
      <c r="D1721" t="s">
        <v>19</v>
      </c>
      <c r="E1721" s="7">
        <v>1.34</v>
      </c>
      <c r="F1721" s="2">
        <v>0.08</v>
      </c>
      <c r="G1721" s="7">
        <v>0.69</v>
      </c>
      <c r="H1721" s="9" t="s">
        <v>27</v>
      </c>
      <c r="I1721">
        <v>0.09</v>
      </c>
      <c r="J1721">
        <v>0.81</v>
      </c>
      <c r="K1721">
        <v>0.86</v>
      </c>
      <c r="L1721">
        <v>0.12</v>
      </c>
      <c r="M1721">
        <v>0.28000000000000003</v>
      </c>
      <c r="N1721">
        <v>0.73</v>
      </c>
      <c r="O1721">
        <v>0.81</v>
      </c>
      <c r="P1721">
        <v>0.35</v>
      </c>
      <c r="Q1721">
        <v>0.16</v>
      </c>
      <c r="R1721" s="2">
        <v>0.65</v>
      </c>
      <c r="S1721" t="str">
        <f>IF(Table1[[#This Row],[Years_Experience]]&lt;=5,"Early Career",
IF(Table1[[#This Row],[Years_Experience]]&lt;=15,"Mid Career","Senior Level"))</f>
        <v>Mid Career</v>
      </c>
      <c r="T1721" t="str">
        <f>IF(Table1[[#This Row],[AI_Exposure_Index]]&gt;=0.7,"High Exposure", IF(Table1[[#This Row],[AI_Exposure_Index]]&gt;=0.3,"Medium Exposure","Low Exposure"))</f>
        <v>Low Exposure</v>
      </c>
    </row>
    <row r="1722" spans="1:20" x14ac:dyDescent="0.25">
      <c r="A1722" t="s">
        <v>26</v>
      </c>
      <c r="B1722">
        <v>44057</v>
      </c>
      <c r="C1722" s="1">
        <v>5</v>
      </c>
      <c r="D1722" t="s">
        <v>25</v>
      </c>
      <c r="E1722" s="7">
        <v>0.64</v>
      </c>
      <c r="F1722" s="2">
        <v>0.5</v>
      </c>
      <c r="G1722" s="7">
        <v>0.64</v>
      </c>
      <c r="H1722" s="9" t="s">
        <v>27</v>
      </c>
      <c r="I1722">
        <v>0.65</v>
      </c>
      <c r="J1722">
        <v>0.87</v>
      </c>
      <c r="K1722">
        <v>0.93</v>
      </c>
      <c r="L1722">
        <v>0.81</v>
      </c>
      <c r="M1722">
        <v>0.96</v>
      </c>
      <c r="N1722">
        <v>0.95</v>
      </c>
      <c r="O1722">
        <v>0.62</v>
      </c>
      <c r="P1722">
        <v>0.73</v>
      </c>
      <c r="Q1722">
        <v>0.7</v>
      </c>
      <c r="R1722" s="2">
        <v>0.62</v>
      </c>
      <c r="S1722" t="str">
        <f>IF(Table1[[#This Row],[Years_Experience]]&lt;=5,"Early Career",
IF(Table1[[#This Row],[Years_Experience]]&lt;=15,"Mid Career","Senior Level"))</f>
        <v>Early Career</v>
      </c>
      <c r="T1722" t="str">
        <f>IF(Table1[[#This Row],[AI_Exposure_Index]]&gt;=0.7,"High Exposure", IF(Table1[[#This Row],[AI_Exposure_Index]]&gt;=0.3,"Medium Exposure","Low Exposure"))</f>
        <v>Medium Exposure</v>
      </c>
    </row>
    <row r="1723" spans="1:20" x14ac:dyDescent="0.25">
      <c r="A1723" t="s">
        <v>39</v>
      </c>
      <c r="B1723">
        <v>60185</v>
      </c>
      <c r="C1723" s="1">
        <v>28</v>
      </c>
      <c r="D1723" t="s">
        <v>25</v>
      </c>
      <c r="E1723" s="7">
        <v>0.6</v>
      </c>
      <c r="F1723" s="2">
        <v>0.36</v>
      </c>
      <c r="G1723" s="7">
        <v>0.78</v>
      </c>
      <c r="H1723" s="9" t="s">
        <v>20</v>
      </c>
      <c r="I1723">
        <v>7.0000000000000007E-2</v>
      </c>
      <c r="J1723">
        <v>0.92</v>
      </c>
      <c r="K1723">
        <v>0.45</v>
      </c>
      <c r="L1723">
        <v>0.19</v>
      </c>
      <c r="M1723">
        <v>0.57999999999999996</v>
      </c>
      <c r="N1723">
        <v>0.2</v>
      </c>
      <c r="O1723">
        <v>0.8</v>
      </c>
      <c r="P1723">
        <v>0.31</v>
      </c>
      <c r="Q1723">
        <v>0.31</v>
      </c>
      <c r="R1723" s="2">
        <v>0.87</v>
      </c>
      <c r="S1723" t="str">
        <f>IF(Table1[[#This Row],[Years_Experience]]&lt;=5,"Early Career",
IF(Table1[[#This Row],[Years_Experience]]&lt;=15,"Mid Career","Senior Level"))</f>
        <v>Senior Level</v>
      </c>
      <c r="T1723" t="str">
        <f>IF(Table1[[#This Row],[AI_Exposure_Index]]&gt;=0.7,"High Exposure", IF(Table1[[#This Row],[AI_Exposure_Index]]&gt;=0.3,"Medium Exposure","Low Exposure"))</f>
        <v>Medium Exposure</v>
      </c>
    </row>
    <row r="1724" spans="1:20" x14ac:dyDescent="0.25">
      <c r="A1724" t="s">
        <v>36</v>
      </c>
      <c r="B1724">
        <v>63797</v>
      </c>
      <c r="C1724" s="1">
        <v>24</v>
      </c>
      <c r="D1724" t="s">
        <v>38</v>
      </c>
      <c r="E1724" s="7">
        <v>0.79</v>
      </c>
      <c r="F1724" s="2">
        <v>0.68</v>
      </c>
      <c r="G1724" s="7">
        <v>0.31</v>
      </c>
      <c r="H1724" s="9" t="s">
        <v>27</v>
      </c>
      <c r="I1724">
        <v>0.2</v>
      </c>
      <c r="J1724">
        <v>0.4</v>
      </c>
      <c r="K1724">
        <v>0.17</v>
      </c>
      <c r="L1724">
        <v>0.19</v>
      </c>
      <c r="M1724">
        <v>0.39</v>
      </c>
      <c r="N1724">
        <v>0.96</v>
      </c>
      <c r="O1724">
        <v>0.76</v>
      </c>
      <c r="P1724">
        <v>0.32</v>
      </c>
      <c r="Q1724">
        <v>0.95</v>
      </c>
      <c r="R1724" s="2">
        <v>0.65</v>
      </c>
      <c r="S1724" t="str">
        <f>IF(Table1[[#This Row],[Years_Experience]]&lt;=5,"Early Career",
IF(Table1[[#This Row],[Years_Experience]]&lt;=15,"Mid Career","Senior Level"))</f>
        <v>Senior Level</v>
      </c>
      <c r="T1724" t="str">
        <f>IF(Table1[[#This Row],[AI_Exposure_Index]]&gt;=0.7,"High Exposure", IF(Table1[[#This Row],[AI_Exposure_Index]]&gt;=0.3,"Medium Exposure","Low Exposure"))</f>
        <v>Medium Exposure</v>
      </c>
    </row>
    <row r="1725" spans="1:20" x14ac:dyDescent="0.25">
      <c r="A1725" t="s">
        <v>32</v>
      </c>
      <c r="B1725">
        <v>52792</v>
      </c>
      <c r="C1725" s="1">
        <v>6</v>
      </c>
      <c r="D1725" t="s">
        <v>25</v>
      </c>
      <c r="E1725" s="7">
        <v>0.91</v>
      </c>
      <c r="F1725" s="2">
        <v>0.47</v>
      </c>
      <c r="G1725" s="7">
        <v>0.39</v>
      </c>
      <c r="H1725" s="9" t="s">
        <v>27</v>
      </c>
      <c r="I1725">
        <v>0.39</v>
      </c>
      <c r="J1725">
        <v>0.53</v>
      </c>
      <c r="K1725">
        <v>0.53</v>
      </c>
      <c r="L1725">
        <v>0.76</v>
      </c>
      <c r="M1725">
        <v>0.36</v>
      </c>
      <c r="N1725">
        <v>0.72</v>
      </c>
      <c r="O1725">
        <v>0.57999999999999996</v>
      </c>
      <c r="P1725">
        <v>0.96</v>
      </c>
      <c r="Q1725">
        <v>0.39</v>
      </c>
      <c r="R1725" s="2">
        <v>0.9</v>
      </c>
      <c r="S1725" t="str">
        <f>IF(Table1[[#This Row],[Years_Experience]]&lt;=5,"Early Career",
IF(Table1[[#This Row],[Years_Experience]]&lt;=15,"Mid Career","Senior Level"))</f>
        <v>Mid Career</v>
      </c>
      <c r="T1725" t="str">
        <f>IF(Table1[[#This Row],[AI_Exposure_Index]]&gt;=0.7,"High Exposure", IF(Table1[[#This Row],[AI_Exposure_Index]]&gt;=0.3,"Medium Exposure","Low Exposure"))</f>
        <v>Medium Exposure</v>
      </c>
    </row>
    <row r="1726" spans="1:20" x14ac:dyDescent="0.25">
      <c r="A1726" t="s">
        <v>29</v>
      </c>
      <c r="B1726">
        <v>136827</v>
      </c>
      <c r="C1726" s="1">
        <v>15</v>
      </c>
      <c r="D1726" t="s">
        <v>25</v>
      </c>
      <c r="E1726" s="7">
        <v>1.1499999999999999</v>
      </c>
      <c r="F1726" s="2">
        <v>0.64</v>
      </c>
      <c r="G1726" s="7">
        <v>7.0000000000000007E-2</v>
      </c>
      <c r="H1726" s="9" t="s">
        <v>23</v>
      </c>
      <c r="I1726">
        <v>0.95</v>
      </c>
      <c r="J1726">
        <v>0.11</v>
      </c>
      <c r="K1726">
        <v>0.56000000000000005</v>
      </c>
      <c r="L1726">
        <v>0.33</v>
      </c>
      <c r="M1726">
        <v>0.43</v>
      </c>
      <c r="N1726">
        <v>0.61</v>
      </c>
      <c r="O1726">
        <v>0.91</v>
      </c>
      <c r="P1726">
        <v>0.46</v>
      </c>
      <c r="Q1726">
        <v>0.99</v>
      </c>
      <c r="R1726" s="2">
        <v>0.59</v>
      </c>
      <c r="S1726" t="str">
        <f>IF(Table1[[#This Row],[Years_Experience]]&lt;=5,"Early Career",
IF(Table1[[#This Row],[Years_Experience]]&lt;=15,"Mid Career","Senior Level"))</f>
        <v>Mid Career</v>
      </c>
      <c r="T1726" t="str">
        <f>IF(Table1[[#This Row],[AI_Exposure_Index]]&gt;=0.7,"High Exposure", IF(Table1[[#This Row],[AI_Exposure_Index]]&gt;=0.3,"Medium Exposure","Low Exposure"))</f>
        <v>Medium Exposure</v>
      </c>
    </row>
    <row r="1727" spans="1:20" x14ac:dyDescent="0.25">
      <c r="A1727" t="s">
        <v>43</v>
      </c>
      <c r="B1727">
        <v>34134</v>
      </c>
      <c r="C1727" s="1">
        <v>12</v>
      </c>
      <c r="D1727" t="s">
        <v>22</v>
      </c>
      <c r="E1727" s="7">
        <v>1.22</v>
      </c>
      <c r="F1727" s="2">
        <v>0.19</v>
      </c>
      <c r="G1727" s="7">
        <v>0.06</v>
      </c>
      <c r="H1727" s="9" t="s">
        <v>23</v>
      </c>
      <c r="I1727">
        <v>0.48</v>
      </c>
      <c r="J1727">
        <v>0.15</v>
      </c>
      <c r="K1727">
        <v>0.43</v>
      </c>
      <c r="L1727">
        <v>0.75</v>
      </c>
      <c r="M1727">
        <v>0.46</v>
      </c>
      <c r="N1727">
        <v>0.16</v>
      </c>
      <c r="O1727">
        <v>0.25</v>
      </c>
      <c r="P1727">
        <v>0.37</v>
      </c>
      <c r="Q1727">
        <v>7.0000000000000007E-2</v>
      </c>
      <c r="R1727" s="2">
        <v>0.57999999999999996</v>
      </c>
      <c r="S1727" t="str">
        <f>IF(Table1[[#This Row],[Years_Experience]]&lt;=5,"Early Career",
IF(Table1[[#This Row],[Years_Experience]]&lt;=15,"Mid Career","Senior Level"))</f>
        <v>Mid Career</v>
      </c>
      <c r="T1727" t="str">
        <f>IF(Table1[[#This Row],[AI_Exposure_Index]]&gt;=0.7,"High Exposure", IF(Table1[[#This Row],[AI_Exposure_Index]]&gt;=0.3,"Medium Exposure","Low Exposure"))</f>
        <v>Low Exposure</v>
      </c>
    </row>
    <row r="1728" spans="1:20" x14ac:dyDescent="0.25">
      <c r="A1728" t="s">
        <v>18</v>
      </c>
      <c r="B1728">
        <v>117463</v>
      </c>
      <c r="C1728" s="1">
        <v>19</v>
      </c>
      <c r="D1728" t="s">
        <v>25</v>
      </c>
      <c r="E1728" s="7">
        <v>0.9</v>
      </c>
      <c r="F1728" s="2">
        <v>0.06</v>
      </c>
      <c r="G1728" s="7">
        <v>0.8</v>
      </c>
      <c r="H1728" s="9" t="s">
        <v>20</v>
      </c>
      <c r="I1728">
        <v>0.33</v>
      </c>
      <c r="J1728">
        <v>0.56000000000000005</v>
      </c>
      <c r="K1728">
        <v>0.35</v>
      </c>
      <c r="L1728">
        <v>0.42</v>
      </c>
      <c r="M1728">
        <v>0.8</v>
      </c>
      <c r="N1728">
        <v>0.16</v>
      </c>
      <c r="O1728">
        <v>0.62</v>
      </c>
      <c r="P1728">
        <v>0.51</v>
      </c>
      <c r="Q1728">
        <v>0.31</v>
      </c>
      <c r="R1728" s="2">
        <v>0.73</v>
      </c>
      <c r="S1728" t="str">
        <f>IF(Table1[[#This Row],[Years_Experience]]&lt;=5,"Early Career",
IF(Table1[[#This Row],[Years_Experience]]&lt;=15,"Mid Career","Senior Level"))</f>
        <v>Senior Level</v>
      </c>
      <c r="T1728" t="str">
        <f>IF(Table1[[#This Row],[AI_Exposure_Index]]&gt;=0.7,"High Exposure", IF(Table1[[#This Row],[AI_Exposure_Index]]&gt;=0.3,"Medium Exposure","Low Exposure"))</f>
        <v>Low Exposure</v>
      </c>
    </row>
    <row r="1729" spans="1:20" x14ac:dyDescent="0.25">
      <c r="A1729" t="s">
        <v>29</v>
      </c>
      <c r="B1729">
        <v>74597</v>
      </c>
      <c r="C1729" s="1">
        <v>12</v>
      </c>
      <c r="D1729" t="s">
        <v>25</v>
      </c>
      <c r="E1729" s="7">
        <v>1.17</v>
      </c>
      <c r="F1729" s="2">
        <v>0.48</v>
      </c>
      <c r="G1729" s="7">
        <v>0.25</v>
      </c>
      <c r="H1729" s="9" t="s">
        <v>23</v>
      </c>
      <c r="I1729">
        <v>0.97</v>
      </c>
      <c r="J1729">
        <v>0.63</v>
      </c>
      <c r="K1729">
        <v>0.87</v>
      </c>
      <c r="L1729">
        <v>0</v>
      </c>
      <c r="M1729">
        <v>0.53</v>
      </c>
      <c r="N1729">
        <v>0.21</v>
      </c>
      <c r="O1729">
        <v>0.09</v>
      </c>
      <c r="P1729">
        <v>0.53</v>
      </c>
      <c r="Q1729">
        <v>0.75</v>
      </c>
      <c r="R1729" s="2">
        <v>0.41</v>
      </c>
      <c r="S1729" t="str">
        <f>IF(Table1[[#This Row],[Years_Experience]]&lt;=5,"Early Career",
IF(Table1[[#This Row],[Years_Experience]]&lt;=15,"Mid Career","Senior Level"))</f>
        <v>Mid Career</v>
      </c>
      <c r="T1729" t="str">
        <f>IF(Table1[[#This Row],[AI_Exposure_Index]]&gt;=0.7,"High Exposure", IF(Table1[[#This Row],[AI_Exposure_Index]]&gt;=0.3,"Medium Exposure","Low Exposure"))</f>
        <v>Medium Exposure</v>
      </c>
    </row>
    <row r="1730" spans="1:20" x14ac:dyDescent="0.25">
      <c r="A1730" t="s">
        <v>32</v>
      </c>
      <c r="B1730">
        <v>40603</v>
      </c>
      <c r="C1730" s="1">
        <v>24</v>
      </c>
      <c r="D1730" t="s">
        <v>25</v>
      </c>
      <c r="E1730" s="7">
        <v>0.94</v>
      </c>
      <c r="F1730" s="2">
        <v>0.49</v>
      </c>
      <c r="G1730" s="7">
        <v>0.42</v>
      </c>
      <c r="H1730" s="9" t="s">
        <v>27</v>
      </c>
      <c r="I1730">
        <v>0.38</v>
      </c>
      <c r="J1730">
        <v>0.35</v>
      </c>
      <c r="K1730">
        <v>0.65</v>
      </c>
      <c r="L1730">
        <v>0.12</v>
      </c>
      <c r="M1730">
        <v>0.09</v>
      </c>
      <c r="N1730">
        <v>0.66</v>
      </c>
      <c r="O1730">
        <v>0.55000000000000004</v>
      </c>
      <c r="P1730">
        <v>0.43</v>
      </c>
      <c r="Q1730">
        <v>0.15</v>
      </c>
      <c r="R1730" s="2">
        <v>0.41</v>
      </c>
      <c r="S1730" t="str">
        <f>IF(Table1[[#This Row],[Years_Experience]]&lt;=5,"Early Career",
IF(Table1[[#This Row],[Years_Experience]]&lt;=15,"Mid Career","Senior Level"))</f>
        <v>Senior Level</v>
      </c>
      <c r="T1730" t="str">
        <f>IF(Table1[[#This Row],[AI_Exposure_Index]]&gt;=0.7,"High Exposure", IF(Table1[[#This Row],[AI_Exposure_Index]]&gt;=0.3,"Medium Exposure","Low Exposure"))</f>
        <v>Medium Exposure</v>
      </c>
    </row>
    <row r="1731" spans="1:20" x14ac:dyDescent="0.25">
      <c r="A1731" t="s">
        <v>31</v>
      </c>
      <c r="B1731">
        <v>106968</v>
      </c>
      <c r="C1731" s="1">
        <v>22</v>
      </c>
      <c r="D1731" t="s">
        <v>19</v>
      </c>
      <c r="E1731" s="7">
        <v>0.56000000000000005</v>
      </c>
      <c r="F1731" s="2">
        <v>0.7</v>
      </c>
      <c r="G1731" s="7">
        <v>0.22</v>
      </c>
      <c r="H1731" s="9" t="s">
        <v>23</v>
      </c>
      <c r="I1731">
        <v>0.24</v>
      </c>
      <c r="J1731">
        <v>0.32</v>
      </c>
      <c r="K1731">
        <v>0.2</v>
      </c>
      <c r="L1731">
        <v>0.78</v>
      </c>
      <c r="M1731">
        <v>0.65</v>
      </c>
      <c r="N1731">
        <v>0.61</v>
      </c>
      <c r="O1731">
        <v>0.67</v>
      </c>
      <c r="P1731">
        <v>0.24</v>
      </c>
      <c r="Q1731">
        <v>0.44</v>
      </c>
      <c r="R1731" s="2">
        <v>0.63</v>
      </c>
      <c r="S1731" t="str">
        <f>IF(Table1[[#This Row],[Years_Experience]]&lt;=5,"Early Career",
IF(Table1[[#This Row],[Years_Experience]]&lt;=15,"Mid Career","Senior Level"))</f>
        <v>Senior Level</v>
      </c>
      <c r="T1731" t="str">
        <f>IF(Table1[[#This Row],[AI_Exposure_Index]]&gt;=0.7,"High Exposure", IF(Table1[[#This Row],[AI_Exposure_Index]]&gt;=0.3,"Medium Exposure","Low Exposure"))</f>
        <v>High Exposure</v>
      </c>
    </row>
    <row r="1732" spans="1:20" x14ac:dyDescent="0.25">
      <c r="A1732" t="s">
        <v>37</v>
      </c>
      <c r="B1732">
        <v>149700</v>
      </c>
      <c r="C1732" s="1">
        <v>26</v>
      </c>
      <c r="D1732" t="s">
        <v>22</v>
      </c>
      <c r="E1732" s="7">
        <v>0.79</v>
      </c>
      <c r="F1732" s="2">
        <v>0.79</v>
      </c>
      <c r="G1732" s="7">
        <v>0.61</v>
      </c>
      <c r="H1732" s="9" t="s">
        <v>27</v>
      </c>
      <c r="I1732">
        <v>0.44</v>
      </c>
      <c r="J1732">
        <v>0.67</v>
      </c>
      <c r="K1732">
        <v>0.46</v>
      </c>
      <c r="L1732">
        <v>0.95</v>
      </c>
      <c r="M1732">
        <v>0.18</v>
      </c>
      <c r="N1732">
        <v>0.68</v>
      </c>
      <c r="O1732">
        <v>0.57999999999999996</v>
      </c>
      <c r="P1732">
        <v>0.17</v>
      </c>
      <c r="Q1732">
        <v>7.0000000000000007E-2</v>
      </c>
      <c r="R1732" s="2">
        <v>0.8</v>
      </c>
      <c r="S1732" t="str">
        <f>IF(Table1[[#This Row],[Years_Experience]]&lt;=5,"Early Career",
IF(Table1[[#This Row],[Years_Experience]]&lt;=15,"Mid Career","Senior Level"))</f>
        <v>Senior Level</v>
      </c>
      <c r="T1732" t="str">
        <f>IF(Table1[[#This Row],[AI_Exposure_Index]]&gt;=0.7,"High Exposure", IF(Table1[[#This Row],[AI_Exposure_Index]]&gt;=0.3,"Medium Exposure","Low Exposure"))</f>
        <v>High Exposure</v>
      </c>
    </row>
    <row r="1733" spans="1:20" x14ac:dyDescent="0.25">
      <c r="A1733" t="s">
        <v>40</v>
      </c>
      <c r="B1733">
        <v>77890</v>
      </c>
      <c r="C1733" s="1">
        <v>26</v>
      </c>
      <c r="D1733" t="s">
        <v>25</v>
      </c>
      <c r="E1733" s="7">
        <v>1.48</v>
      </c>
      <c r="F1733" s="2">
        <v>0.19</v>
      </c>
      <c r="G1733" s="7">
        <v>0.23</v>
      </c>
      <c r="H1733" s="9" t="s">
        <v>23</v>
      </c>
      <c r="I1733">
        <v>0.25</v>
      </c>
      <c r="J1733">
        <v>0.59</v>
      </c>
      <c r="K1733">
        <v>0.53</v>
      </c>
      <c r="L1733">
        <v>0.84</v>
      </c>
      <c r="M1733">
        <v>0.73</v>
      </c>
      <c r="N1733">
        <v>0.83</v>
      </c>
      <c r="O1733">
        <v>0.21</v>
      </c>
      <c r="P1733">
        <v>0.64</v>
      </c>
      <c r="Q1733">
        <v>0.04</v>
      </c>
      <c r="R1733" s="2">
        <v>7.0000000000000007E-2</v>
      </c>
      <c r="S1733" t="str">
        <f>IF(Table1[[#This Row],[Years_Experience]]&lt;=5,"Early Career",
IF(Table1[[#This Row],[Years_Experience]]&lt;=15,"Mid Career","Senior Level"))</f>
        <v>Senior Level</v>
      </c>
      <c r="T1733" t="str">
        <f>IF(Table1[[#This Row],[AI_Exposure_Index]]&gt;=0.7,"High Exposure", IF(Table1[[#This Row],[AI_Exposure_Index]]&gt;=0.3,"Medium Exposure","Low Exposure"))</f>
        <v>Low Exposure</v>
      </c>
    </row>
    <row r="1734" spans="1:20" x14ac:dyDescent="0.25">
      <c r="A1734" t="s">
        <v>21</v>
      </c>
      <c r="B1734">
        <v>141930</v>
      </c>
      <c r="C1734" s="1">
        <v>5</v>
      </c>
      <c r="D1734" t="s">
        <v>38</v>
      </c>
      <c r="E1734" s="7">
        <v>1.08</v>
      </c>
      <c r="F1734" s="2">
        <v>0.02</v>
      </c>
      <c r="G1734" s="7">
        <v>0.26</v>
      </c>
      <c r="H1734" s="9" t="s">
        <v>23</v>
      </c>
      <c r="I1734">
        <v>0.38</v>
      </c>
      <c r="J1734">
        <v>0.04</v>
      </c>
      <c r="K1734">
        <v>0.71</v>
      </c>
      <c r="L1734">
        <v>0.93</v>
      </c>
      <c r="M1734">
        <v>0.72</v>
      </c>
      <c r="N1734">
        <v>0.57999999999999996</v>
      </c>
      <c r="O1734">
        <v>0.23</v>
      </c>
      <c r="P1734">
        <v>0.02</v>
      </c>
      <c r="Q1734">
        <v>0.69</v>
      </c>
      <c r="R1734" s="2">
        <v>0.23</v>
      </c>
      <c r="S1734" t="str">
        <f>IF(Table1[[#This Row],[Years_Experience]]&lt;=5,"Early Career",
IF(Table1[[#This Row],[Years_Experience]]&lt;=15,"Mid Career","Senior Level"))</f>
        <v>Early Career</v>
      </c>
      <c r="T1734" t="str">
        <f>IF(Table1[[#This Row],[AI_Exposure_Index]]&gt;=0.7,"High Exposure", IF(Table1[[#This Row],[AI_Exposure_Index]]&gt;=0.3,"Medium Exposure","Low Exposure"))</f>
        <v>Low Exposure</v>
      </c>
    </row>
    <row r="1735" spans="1:20" x14ac:dyDescent="0.25">
      <c r="A1735" t="s">
        <v>28</v>
      </c>
      <c r="B1735">
        <v>65976</v>
      </c>
      <c r="C1735" s="1">
        <v>2</v>
      </c>
      <c r="D1735" t="s">
        <v>38</v>
      </c>
      <c r="E1735" s="7">
        <v>1.03</v>
      </c>
      <c r="F1735" s="2">
        <v>0.47</v>
      </c>
      <c r="G1735" s="7">
        <v>0.6</v>
      </c>
      <c r="H1735" s="9" t="s">
        <v>27</v>
      </c>
      <c r="I1735">
        <v>0.78</v>
      </c>
      <c r="J1735">
        <v>0.64</v>
      </c>
      <c r="K1735">
        <v>0.94</v>
      </c>
      <c r="L1735">
        <v>0.98</v>
      </c>
      <c r="M1735">
        <v>0.95</v>
      </c>
      <c r="N1735">
        <v>0.82</v>
      </c>
      <c r="O1735">
        <v>0.71</v>
      </c>
      <c r="P1735">
        <v>0.66</v>
      </c>
      <c r="Q1735">
        <v>0.1</v>
      </c>
      <c r="R1735" s="2">
        <v>0.27</v>
      </c>
      <c r="S1735" t="str">
        <f>IF(Table1[[#This Row],[Years_Experience]]&lt;=5,"Early Career",
IF(Table1[[#This Row],[Years_Experience]]&lt;=15,"Mid Career","Senior Level"))</f>
        <v>Early Career</v>
      </c>
      <c r="T1735" t="str">
        <f>IF(Table1[[#This Row],[AI_Exposure_Index]]&gt;=0.7,"High Exposure", IF(Table1[[#This Row],[AI_Exposure_Index]]&gt;=0.3,"Medium Exposure","Low Exposure"))</f>
        <v>Medium Exposure</v>
      </c>
    </row>
    <row r="1736" spans="1:20" x14ac:dyDescent="0.25">
      <c r="A1736" t="s">
        <v>44</v>
      </c>
      <c r="B1736">
        <v>81356</v>
      </c>
      <c r="C1736" s="1">
        <v>7</v>
      </c>
      <c r="D1736" t="s">
        <v>25</v>
      </c>
      <c r="E1736" s="7">
        <v>0.94</v>
      </c>
      <c r="F1736" s="2">
        <v>0.14000000000000001</v>
      </c>
      <c r="G1736" s="7">
        <v>0.36</v>
      </c>
      <c r="H1736" s="9" t="s">
        <v>27</v>
      </c>
      <c r="I1736">
        <v>0.9</v>
      </c>
      <c r="J1736">
        <v>0.81</v>
      </c>
      <c r="K1736">
        <v>7.0000000000000007E-2</v>
      </c>
      <c r="L1736">
        <v>0.25</v>
      </c>
      <c r="M1736">
        <v>0.82</v>
      </c>
      <c r="N1736">
        <v>0.8</v>
      </c>
      <c r="O1736">
        <v>0.95</v>
      </c>
      <c r="P1736">
        <v>1</v>
      </c>
      <c r="Q1736">
        <v>0.98</v>
      </c>
      <c r="R1736" s="2">
        <v>0.41</v>
      </c>
      <c r="S1736" t="str">
        <f>IF(Table1[[#This Row],[Years_Experience]]&lt;=5,"Early Career",
IF(Table1[[#This Row],[Years_Experience]]&lt;=15,"Mid Career","Senior Level"))</f>
        <v>Mid Career</v>
      </c>
      <c r="T1736" t="str">
        <f>IF(Table1[[#This Row],[AI_Exposure_Index]]&gt;=0.7,"High Exposure", IF(Table1[[#This Row],[AI_Exposure_Index]]&gt;=0.3,"Medium Exposure","Low Exposure"))</f>
        <v>Low Exposure</v>
      </c>
    </row>
    <row r="1737" spans="1:20" x14ac:dyDescent="0.25">
      <c r="A1737" t="s">
        <v>43</v>
      </c>
      <c r="B1737">
        <v>129928</v>
      </c>
      <c r="C1737" s="1">
        <v>0</v>
      </c>
      <c r="D1737" t="s">
        <v>38</v>
      </c>
      <c r="E1737" s="7">
        <v>0.8</v>
      </c>
      <c r="F1737" s="2">
        <v>0.76</v>
      </c>
      <c r="G1737" s="7">
        <v>0.25</v>
      </c>
      <c r="H1737" s="9" t="s">
        <v>23</v>
      </c>
      <c r="I1737">
        <v>0.53</v>
      </c>
      <c r="J1737">
        <v>0.79</v>
      </c>
      <c r="K1737">
        <v>0.28000000000000003</v>
      </c>
      <c r="L1737">
        <v>0.51</v>
      </c>
      <c r="M1737">
        <v>0.56000000000000005</v>
      </c>
      <c r="N1737">
        <v>0.94</v>
      </c>
      <c r="O1737">
        <v>0.27</v>
      </c>
      <c r="P1737">
        <v>0.94</v>
      </c>
      <c r="Q1737">
        <v>0.8</v>
      </c>
      <c r="R1737" s="2">
        <v>0.73</v>
      </c>
      <c r="S1737" t="str">
        <f>IF(Table1[[#This Row],[Years_Experience]]&lt;=5,"Early Career",
IF(Table1[[#This Row],[Years_Experience]]&lt;=15,"Mid Career","Senior Level"))</f>
        <v>Early Career</v>
      </c>
      <c r="T1737" t="str">
        <f>IF(Table1[[#This Row],[AI_Exposure_Index]]&gt;=0.7,"High Exposure", IF(Table1[[#This Row],[AI_Exposure_Index]]&gt;=0.3,"Medium Exposure","Low Exposure"))</f>
        <v>High Exposure</v>
      </c>
    </row>
    <row r="1738" spans="1:20" x14ac:dyDescent="0.25">
      <c r="A1738" t="s">
        <v>41</v>
      </c>
      <c r="B1738">
        <v>51625</v>
      </c>
      <c r="C1738" s="1">
        <v>1</v>
      </c>
      <c r="D1738" t="s">
        <v>38</v>
      </c>
      <c r="E1738" s="7">
        <v>0.74</v>
      </c>
      <c r="F1738" s="2">
        <v>0.61</v>
      </c>
      <c r="G1738" s="7">
        <v>0.75</v>
      </c>
      <c r="H1738" s="9" t="s">
        <v>20</v>
      </c>
      <c r="I1738">
        <v>0.87</v>
      </c>
      <c r="J1738">
        <v>0.73</v>
      </c>
      <c r="K1738">
        <v>0.21</v>
      </c>
      <c r="L1738">
        <v>0.62</v>
      </c>
      <c r="M1738">
        <v>0.45</v>
      </c>
      <c r="N1738">
        <v>0.16</v>
      </c>
      <c r="O1738">
        <v>0.53</v>
      </c>
      <c r="P1738">
        <v>0.28000000000000003</v>
      </c>
      <c r="Q1738">
        <v>0.1</v>
      </c>
      <c r="R1738" s="2">
        <v>0.47</v>
      </c>
      <c r="S1738" t="str">
        <f>IF(Table1[[#This Row],[Years_Experience]]&lt;=5,"Early Career",
IF(Table1[[#This Row],[Years_Experience]]&lt;=15,"Mid Career","Senior Level"))</f>
        <v>Early Career</v>
      </c>
      <c r="T1738" t="str">
        <f>IF(Table1[[#This Row],[AI_Exposure_Index]]&gt;=0.7,"High Exposure", IF(Table1[[#This Row],[AI_Exposure_Index]]&gt;=0.3,"Medium Exposure","Low Exposure"))</f>
        <v>Medium Exposure</v>
      </c>
    </row>
    <row r="1739" spans="1:20" x14ac:dyDescent="0.25">
      <c r="A1739" t="s">
        <v>42</v>
      </c>
      <c r="B1739">
        <v>118760</v>
      </c>
      <c r="C1739" s="1">
        <v>20</v>
      </c>
      <c r="D1739" t="s">
        <v>25</v>
      </c>
      <c r="E1739" s="7">
        <v>0.9</v>
      </c>
      <c r="F1739" s="2">
        <v>0.05</v>
      </c>
      <c r="G1739" s="7">
        <v>0.4</v>
      </c>
      <c r="H1739" s="9" t="s">
        <v>27</v>
      </c>
      <c r="I1739">
        <v>0.03</v>
      </c>
      <c r="J1739">
        <v>0.13</v>
      </c>
      <c r="K1739">
        <v>0.14000000000000001</v>
      </c>
      <c r="L1739">
        <v>0.18</v>
      </c>
      <c r="M1739">
        <v>0.8</v>
      </c>
      <c r="N1739">
        <v>0.44</v>
      </c>
      <c r="O1739">
        <v>0.15</v>
      </c>
      <c r="P1739">
        <v>0.1</v>
      </c>
      <c r="Q1739">
        <v>0.3</v>
      </c>
      <c r="R1739" s="2">
        <v>0.8</v>
      </c>
      <c r="S1739" t="str">
        <f>IF(Table1[[#This Row],[Years_Experience]]&lt;=5,"Early Career",
IF(Table1[[#This Row],[Years_Experience]]&lt;=15,"Mid Career","Senior Level"))</f>
        <v>Senior Level</v>
      </c>
      <c r="T1739" t="str">
        <f>IF(Table1[[#This Row],[AI_Exposure_Index]]&gt;=0.7,"High Exposure", IF(Table1[[#This Row],[AI_Exposure_Index]]&gt;=0.3,"Medium Exposure","Low Exposure"))</f>
        <v>Low Exposure</v>
      </c>
    </row>
    <row r="1740" spans="1:20" x14ac:dyDescent="0.25">
      <c r="A1740" t="s">
        <v>26</v>
      </c>
      <c r="B1740">
        <v>111299</v>
      </c>
      <c r="C1740" s="1">
        <v>27</v>
      </c>
      <c r="D1740" t="s">
        <v>25</v>
      </c>
      <c r="E1740" s="7">
        <v>0.9</v>
      </c>
      <c r="F1740" s="2">
        <v>0.16</v>
      </c>
      <c r="G1740" s="7">
        <v>0.52</v>
      </c>
      <c r="H1740" s="9" t="s">
        <v>27</v>
      </c>
      <c r="I1740">
        <v>0.03</v>
      </c>
      <c r="J1740">
        <v>0.63</v>
      </c>
      <c r="K1740">
        <v>0.4</v>
      </c>
      <c r="L1740">
        <v>0.01</v>
      </c>
      <c r="M1740">
        <v>0.67</v>
      </c>
      <c r="N1740">
        <v>0.71</v>
      </c>
      <c r="O1740">
        <v>0.63</v>
      </c>
      <c r="P1740">
        <v>0.34</v>
      </c>
      <c r="Q1740">
        <v>0.53</v>
      </c>
      <c r="R1740" s="2">
        <v>0.39</v>
      </c>
      <c r="S1740" t="str">
        <f>IF(Table1[[#This Row],[Years_Experience]]&lt;=5,"Early Career",
IF(Table1[[#This Row],[Years_Experience]]&lt;=15,"Mid Career","Senior Level"))</f>
        <v>Senior Level</v>
      </c>
      <c r="T1740" t="str">
        <f>IF(Table1[[#This Row],[AI_Exposure_Index]]&gt;=0.7,"High Exposure", IF(Table1[[#This Row],[AI_Exposure_Index]]&gt;=0.3,"Medium Exposure","Low Exposure"))</f>
        <v>Low Exposure</v>
      </c>
    </row>
    <row r="1741" spans="1:20" x14ac:dyDescent="0.25">
      <c r="A1741" t="s">
        <v>34</v>
      </c>
      <c r="B1741">
        <v>94535</v>
      </c>
      <c r="C1741" s="1">
        <v>1</v>
      </c>
      <c r="D1741" t="s">
        <v>25</v>
      </c>
      <c r="E1741" s="7">
        <v>0.71</v>
      </c>
      <c r="F1741" s="2">
        <v>0.7</v>
      </c>
      <c r="G1741" s="7">
        <v>0.41</v>
      </c>
      <c r="H1741" s="9" t="s">
        <v>27</v>
      </c>
      <c r="I1741">
        <v>0.56999999999999995</v>
      </c>
      <c r="J1741">
        <v>0.45</v>
      </c>
      <c r="K1741">
        <v>0.74</v>
      </c>
      <c r="L1741">
        <v>0.38</v>
      </c>
      <c r="M1741">
        <v>0.86</v>
      </c>
      <c r="N1741">
        <v>0.43</v>
      </c>
      <c r="O1741">
        <v>0.04</v>
      </c>
      <c r="P1741">
        <v>0.02</v>
      </c>
      <c r="Q1741">
        <v>0.65</v>
      </c>
      <c r="R1741" s="2">
        <v>0.54</v>
      </c>
      <c r="S1741" t="str">
        <f>IF(Table1[[#This Row],[Years_Experience]]&lt;=5,"Early Career",
IF(Table1[[#This Row],[Years_Experience]]&lt;=15,"Mid Career","Senior Level"))</f>
        <v>Early Career</v>
      </c>
      <c r="T1741" t="str">
        <f>IF(Table1[[#This Row],[AI_Exposure_Index]]&gt;=0.7,"High Exposure", IF(Table1[[#This Row],[AI_Exposure_Index]]&gt;=0.3,"Medium Exposure","Low Exposure"))</f>
        <v>High Exposure</v>
      </c>
    </row>
    <row r="1742" spans="1:20" x14ac:dyDescent="0.25">
      <c r="A1742" t="s">
        <v>41</v>
      </c>
      <c r="B1742">
        <v>116030</v>
      </c>
      <c r="C1742" s="1">
        <v>1</v>
      </c>
      <c r="D1742" t="s">
        <v>19</v>
      </c>
      <c r="E1742" s="7">
        <v>0.88</v>
      </c>
      <c r="F1742" s="2">
        <v>0.79</v>
      </c>
      <c r="G1742" s="7">
        <v>0.95</v>
      </c>
      <c r="H1742" s="9" t="s">
        <v>20</v>
      </c>
      <c r="I1742">
        <v>0.95</v>
      </c>
      <c r="J1742">
        <v>0.01</v>
      </c>
      <c r="K1742">
        <v>0.9</v>
      </c>
      <c r="L1742">
        <v>0.68</v>
      </c>
      <c r="M1742">
        <v>0.5</v>
      </c>
      <c r="N1742">
        <v>0.57999999999999996</v>
      </c>
      <c r="O1742">
        <v>0.84</v>
      </c>
      <c r="P1742">
        <v>0.95</v>
      </c>
      <c r="Q1742">
        <v>0.56000000000000005</v>
      </c>
      <c r="R1742" s="2">
        <v>0.18</v>
      </c>
      <c r="S1742" t="str">
        <f>IF(Table1[[#This Row],[Years_Experience]]&lt;=5,"Early Career",
IF(Table1[[#This Row],[Years_Experience]]&lt;=15,"Mid Career","Senior Level"))</f>
        <v>Early Career</v>
      </c>
      <c r="T1742" t="str">
        <f>IF(Table1[[#This Row],[AI_Exposure_Index]]&gt;=0.7,"High Exposure", IF(Table1[[#This Row],[AI_Exposure_Index]]&gt;=0.3,"Medium Exposure","Low Exposure"))</f>
        <v>High Exposure</v>
      </c>
    </row>
    <row r="1743" spans="1:20" x14ac:dyDescent="0.25">
      <c r="A1743" t="s">
        <v>18</v>
      </c>
      <c r="B1743">
        <v>90127</v>
      </c>
      <c r="C1743" s="1">
        <v>24</v>
      </c>
      <c r="D1743" t="s">
        <v>22</v>
      </c>
      <c r="E1743" s="7">
        <v>1.1399999999999999</v>
      </c>
      <c r="F1743" s="2">
        <v>0.08</v>
      </c>
      <c r="G1743" s="7">
        <v>0.9</v>
      </c>
      <c r="H1743" s="9" t="s">
        <v>20</v>
      </c>
      <c r="I1743">
        <v>0.35</v>
      </c>
      <c r="J1743">
        <v>7.0000000000000007E-2</v>
      </c>
      <c r="K1743">
        <v>0.69</v>
      </c>
      <c r="L1743">
        <v>0.34</v>
      </c>
      <c r="M1743">
        <v>0.25</v>
      </c>
      <c r="N1743">
        <v>0.69</v>
      </c>
      <c r="O1743">
        <v>0.97</v>
      </c>
      <c r="P1743">
        <v>0.75</v>
      </c>
      <c r="Q1743">
        <v>0.49</v>
      </c>
      <c r="R1743" s="2">
        <v>0.6</v>
      </c>
      <c r="S1743" t="str">
        <f>IF(Table1[[#This Row],[Years_Experience]]&lt;=5,"Early Career",
IF(Table1[[#This Row],[Years_Experience]]&lt;=15,"Mid Career","Senior Level"))</f>
        <v>Senior Level</v>
      </c>
      <c r="T1743" t="str">
        <f>IF(Table1[[#This Row],[AI_Exposure_Index]]&gt;=0.7,"High Exposure", IF(Table1[[#This Row],[AI_Exposure_Index]]&gt;=0.3,"Medium Exposure","Low Exposure"))</f>
        <v>Low Exposure</v>
      </c>
    </row>
    <row r="1744" spans="1:20" x14ac:dyDescent="0.25">
      <c r="A1744" t="s">
        <v>26</v>
      </c>
      <c r="B1744">
        <v>55577</v>
      </c>
      <c r="C1744" s="1">
        <v>7</v>
      </c>
      <c r="D1744" t="s">
        <v>25</v>
      </c>
      <c r="E1744" s="7">
        <v>1.1000000000000001</v>
      </c>
      <c r="F1744" s="2">
        <v>0.81</v>
      </c>
      <c r="G1744" s="7">
        <v>0.69</v>
      </c>
      <c r="H1744" s="9" t="s">
        <v>27</v>
      </c>
      <c r="I1744">
        <v>0.98</v>
      </c>
      <c r="J1744">
        <v>0.35</v>
      </c>
      <c r="K1744">
        <v>0.99</v>
      </c>
      <c r="L1744">
        <v>0.96</v>
      </c>
      <c r="M1744">
        <v>0.64</v>
      </c>
      <c r="N1744">
        <v>0.33</v>
      </c>
      <c r="O1744">
        <v>0.75</v>
      </c>
      <c r="P1744">
        <v>0.27</v>
      </c>
      <c r="Q1744">
        <v>0.63</v>
      </c>
      <c r="R1744" s="2">
        <v>0.02</v>
      </c>
      <c r="S1744" t="str">
        <f>IF(Table1[[#This Row],[Years_Experience]]&lt;=5,"Early Career",
IF(Table1[[#This Row],[Years_Experience]]&lt;=15,"Mid Career","Senior Level"))</f>
        <v>Mid Career</v>
      </c>
      <c r="T1744" t="str">
        <f>IF(Table1[[#This Row],[AI_Exposure_Index]]&gt;=0.7,"High Exposure", IF(Table1[[#This Row],[AI_Exposure_Index]]&gt;=0.3,"Medium Exposure","Low Exposure"))</f>
        <v>High Exposure</v>
      </c>
    </row>
    <row r="1745" spans="1:20" x14ac:dyDescent="0.25">
      <c r="A1745" t="s">
        <v>24</v>
      </c>
      <c r="B1745">
        <v>82573</v>
      </c>
      <c r="C1745" s="1">
        <v>24</v>
      </c>
      <c r="D1745" t="s">
        <v>25</v>
      </c>
      <c r="E1745" s="7">
        <v>0.74</v>
      </c>
      <c r="F1745" s="2">
        <v>0.95</v>
      </c>
      <c r="G1745" s="7">
        <v>0.89</v>
      </c>
      <c r="H1745" s="9" t="s">
        <v>20</v>
      </c>
      <c r="I1745">
        <v>0.28999999999999998</v>
      </c>
      <c r="J1745">
        <v>0.71</v>
      </c>
      <c r="K1745">
        <v>0.7</v>
      </c>
      <c r="L1745">
        <v>0.18</v>
      </c>
      <c r="M1745">
        <v>0.6</v>
      </c>
      <c r="N1745">
        <v>0.86</v>
      </c>
      <c r="O1745">
        <v>0.38</v>
      </c>
      <c r="P1745">
        <v>0.71</v>
      </c>
      <c r="Q1745">
        <v>0.67</v>
      </c>
      <c r="R1745" s="2">
        <v>0.26</v>
      </c>
      <c r="S1745" t="str">
        <f>IF(Table1[[#This Row],[Years_Experience]]&lt;=5,"Early Career",
IF(Table1[[#This Row],[Years_Experience]]&lt;=15,"Mid Career","Senior Level"))</f>
        <v>Senior Level</v>
      </c>
      <c r="T1745" t="str">
        <f>IF(Table1[[#This Row],[AI_Exposure_Index]]&gt;=0.7,"High Exposure", IF(Table1[[#This Row],[AI_Exposure_Index]]&gt;=0.3,"Medium Exposure","Low Exposure"))</f>
        <v>High Exposure</v>
      </c>
    </row>
    <row r="1746" spans="1:20" x14ac:dyDescent="0.25">
      <c r="A1746" t="s">
        <v>40</v>
      </c>
      <c r="B1746">
        <v>44703</v>
      </c>
      <c r="C1746" s="1">
        <v>3</v>
      </c>
      <c r="D1746" t="s">
        <v>22</v>
      </c>
      <c r="E1746" s="7">
        <v>0.86</v>
      </c>
      <c r="F1746" s="2">
        <v>0.56000000000000005</v>
      </c>
      <c r="G1746" s="7">
        <v>0.09</v>
      </c>
      <c r="H1746" s="9" t="s">
        <v>23</v>
      </c>
      <c r="I1746">
        <v>0.47</v>
      </c>
      <c r="J1746">
        <v>0.73</v>
      </c>
      <c r="K1746">
        <v>0.62</v>
      </c>
      <c r="L1746">
        <v>0.73</v>
      </c>
      <c r="M1746">
        <v>0.79</v>
      </c>
      <c r="N1746">
        <v>0.44</v>
      </c>
      <c r="O1746">
        <v>0.52</v>
      </c>
      <c r="P1746">
        <v>0.99</v>
      </c>
      <c r="Q1746">
        <v>0.97</v>
      </c>
      <c r="R1746" s="2">
        <v>0.41</v>
      </c>
      <c r="S1746" t="str">
        <f>IF(Table1[[#This Row],[Years_Experience]]&lt;=5,"Early Career",
IF(Table1[[#This Row],[Years_Experience]]&lt;=15,"Mid Career","Senior Level"))</f>
        <v>Early Career</v>
      </c>
      <c r="T1746" t="str">
        <f>IF(Table1[[#This Row],[AI_Exposure_Index]]&gt;=0.7,"High Exposure", IF(Table1[[#This Row],[AI_Exposure_Index]]&gt;=0.3,"Medium Exposure","Low Exposure"))</f>
        <v>Medium Exposure</v>
      </c>
    </row>
    <row r="1747" spans="1:20" x14ac:dyDescent="0.25">
      <c r="A1747" t="s">
        <v>28</v>
      </c>
      <c r="B1747">
        <v>66003</v>
      </c>
      <c r="C1747" s="1">
        <v>2</v>
      </c>
      <c r="D1747" t="s">
        <v>25</v>
      </c>
      <c r="E1747" s="7">
        <v>1.1499999999999999</v>
      </c>
      <c r="F1747" s="2">
        <v>0.77</v>
      </c>
      <c r="G1747" s="7">
        <v>0.42</v>
      </c>
      <c r="H1747" s="9" t="s">
        <v>27</v>
      </c>
      <c r="I1747">
        <v>0.49</v>
      </c>
      <c r="J1747">
        <v>0.04</v>
      </c>
      <c r="K1747">
        <v>0.19</v>
      </c>
      <c r="L1747">
        <v>0.42</v>
      </c>
      <c r="M1747">
        <v>0.83</v>
      </c>
      <c r="N1747">
        <v>0.48</v>
      </c>
      <c r="O1747">
        <v>0.59</v>
      </c>
      <c r="P1747">
        <v>0.87</v>
      </c>
      <c r="Q1747">
        <v>0.31</v>
      </c>
      <c r="R1747" s="2">
        <v>0.7</v>
      </c>
      <c r="S1747" t="str">
        <f>IF(Table1[[#This Row],[Years_Experience]]&lt;=5,"Early Career",
IF(Table1[[#This Row],[Years_Experience]]&lt;=15,"Mid Career","Senior Level"))</f>
        <v>Early Career</v>
      </c>
      <c r="T1747" t="str">
        <f>IF(Table1[[#This Row],[AI_Exposure_Index]]&gt;=0.7,"High Exposure", IF(Table1[[#This Row],[AI_Exposure_Index]]&gt;=0.3,"Medium Exposure","Low Exposure"))</f>
        <v>High Exposure</v>
      </c>
    </row>
    <row r="1748" spans="1:20" x14ac:dyDescent="0.25">
      <c r="A1748" t="s">
        <v>21</v>
      </c>
      <c r="B1748">
        <v>44756</v>
      </c>
      <c r="C1748" s="1">
        <v>11</v>
      </c>
      <c r="D1748" t="s">
        <v>25</v>
      </c>
      <c r="E1748" s="7">
        <v>0.86</v>
      </c>
      <c r="F1748" s="2">
        <v>0.2</v>
      </c>
      <c r="G1748" s="7">
        <v>0.28999999999999998</v>
      </c>
      <c r="H1748" s="9" t="s">
        <v>23</v>
      </c>
      <c r="I1748">
        <v>0.98</v>
      </c>
      <c r="J1748">
        <v>0.22</v>
      </c>
      <c r="K1748">
        <v>7.0000000000000007E-2</v>
      </c>
      <c r="L1748">
        <v>0.27</v>
      </c>
      <c r="M1748">
        <v>0.4</v>
      </c>
      <c r="N1748">
        <v>0.44</v>
      </c>
      <c r="O1748">
        <v>0.62</v>
      </c>
      <c r="P1748">
        <v>0.9</v>
      </c>
      <c r="Q1748">
        <v>0.33</v>
      </c>
      <c r="R1748" s="2">
        <v>0.85</v>
      </c>
      <c r="S1748" t="str">
        <f>IF(Table1[[#This Row],[Years_Experience]]&lt;=5,"Early Career",
IF(Table1[[#This Row],[Years_Experience]]&lt;=15,"Mid Career","Senior Level"))</f>
        <v>Mid Career</v>
      </c>
      <c r="T1748" t="str">
        <f>IF(Table1[[#This Row],[AI_Exposure_Index]]&gt;=0.7,"High Exposure", IF(Table1[[#This Row],[AI_Exposure_Index]]&gt;=0.3,"Medium Exposure","Low Exposure"))</f>
        <v>Low Exposure</v>
      </c>
    </row>
    <row r="1749" spans="1:20" x14ac:dyDescent="0.25">
      <c r="A1749" t="s">
        <v>37</v>
      </c>
      <c r="B1749">
        <v>45380</v>
      </c>
      <c r="C1749" s="1">
        <v>20</v>
      </c>
      <c r="D1749" t="s">
        <v>38</v>
      </c>
      <c r="E1749" s="7">
        <v>1</v>
      </c>
      <c r="F1749" s="2">
        <v>0.04</v>
      </c>
      <c r="G1749" s="7">
        <v>0.32</v>
      </c>
      <c r="H1749" s="9" t="s">
        <v>27</v>
      </c>
      <c r="I1749">
        <v>0.39</v>
      </c>
      <c r="J1749">
        <v>0.9</v>
      </c>
      <c r="K1749">
        <v>0.24</v>
      </c>
      <c r="L1749">
        <v>0.71</v>
      </c>
      <c r="M1749">
        <v>0.3</v>
      </c>
      <c r="N1749">
        <v>0.04</v>
      </c>
      <c r="O1749">
        <v>0.56000000000000005</v>
      </c>
      <c r="P1749">
        <v>0.83</v>
      </c>
      <c r="Q1749">
        <v>0.41</v>
      </c>
      <c r="R1749" s="2">
        <v>0.62</v>
      </c>
      <c r="S1749" t="str">
        <f>IF(Table1[[#This Row],[Years_Experience]]&lt;=5,"Early Career",
IF(Table1[[#This Row],[Years_Experience]]&lt;=15,"Mid Career","Senior Level"))</f>
        <v>Senior Level</v>
      </c>
      <c r="T1749" t="str">
        <f>IF(Table1[[#This Row],[AI_Exposure_Index]]&gt;=0.7,"High Exposure", IF(Table1[[#This Row],[AI_Exposure_Index]]&gt;=0.3,"Medium Exposure","Low Exposure"))</f>
        <v>Low Exposure</v>
      </c>
    </row>
    <row r="1750" spans="1:20" x14ac:dyDescent="0.25">
      <c r="A1750" t="s">
        <v>41</v>
      </c>
      <c r="B1750">
        <v>139044</v>
      </c>
      <c r="C1750" s="1">
        <v>6</v>
      </c>
      <c r="D1750" t="s">
        <v>25</v>
      </c>
      <c r="E1750" s="7">
        <v>1.23</v>
      </c>
      <c r="F1750" s="2">
        <v>0.19</v>
      </c>
      <c r="G1750" s="7">
        <v>0.83</v>
      </c>
      <c r="H1750" s="9" t="s">
        <v>20</v>
      </c>
      <c r="I1750">
        <v>0.75</v>
      </c>
      <c r="J1750">
        <v>0.49</v>
      </c>
      <c r="K1750">
        <v>0.13</v>
      </c>
      <c r="L1750">
        <v>0.56999999999999995</v>
      </c>
      <c r="M1750">
        <v>0.49</v>
      </c>
      <c r="N1750">
        <v>0.52</v>
      </c>
      <c r="O1750">
        <v>0.88</v>
      </c>
      <c r="P1750">
        <v>0.89</v>
      </c>
      <c r="Q1750">
        <v>0.45</v>
      </c>
      <c r="R1750" s="2">
        <v>0.46</v>
      </c>
      <c r="S1750" t="str">
        <f>IF(Table1[[#This Row],[Years_Experience]]&lt;=5,"Early Career",
IF(Table1[[#This Row],[Years_Experience]]&lt;=15,"Mid Career","Senior Level"))</f>
        <v>Mid Career</v>
      </c>
      <c r="T1750" t="str">
        <f>IF(Table1[[#This Row],[AI_Exposure_Index]]&gt;=0.7,"High Exposure", IF(Table1[[#This Row],[AI_Exposure_Index]]&gt;=0.3,"Medium Exposure","Low Exposure"))</f>
        <v>Low Exposure</v>
      </c>
    </row>
    <row r="1751" spans="1:20" x14ac:dyDescent="0.25">
      <c r="A1751" t="s">
        <v>36</v>
      </c>
      <c r="B1751">
        <v>114705</v>
      </c>
      <c r="C1751" s="1">
        <v>29</v>
      </c>
      <c r="D1751" t="s">
        <v>19</v>
      </c>
      <c r="E1751" s="7">
        <v>1.45</v>
      </c>
      <c r="F1751" s="2">
        <v>0.52</v>
      </c>
      <c r="G1751" s="7">
        <v>0.56000000000000005</v>
      </c>
      <c r="H1751" s="9" t="s">
        <v>27</v>
      </c>
      <c r="I1751">
        <v>0.28000000000000003</v>
      </c>
      <c r="J1751">
        <v>0.53</v>
      </c>
      <c r="K1751">
        <v>0.63</v>
      </c>
      <c r="L1751">
        <v>0.64</v>
      </c>
      <c r="M1751">
        <v>0.59</v>
      </c>
      <c r="N1751">
        <v>0.18</v>
      </c>
      <c r="O1751">
        <v>0.03</v>
      </c>
      <c r="P1751">
        <v>0.34</v>
      </c>
      <c r="Q1751">
        <v>0.43</v>
      </c>
      <c r="R1751" s="2">
        <v>0.06</v>
      </c>
      <c r="S1751" t="str">
        <f>IF(Table1[[#This Row],[Years_Experience]]&lt;=5,"Early Career",
IF(Table1[[#This Row],[Years_Experience]]&lt;=15,"Mid Career","Senior Level"))</f>
        <v>Senior Level</v>
      </c>
      <c r="T1751" t="str">
        <f>IF(Table1[[#This Row],[AI_Exposure_Index]]&gt;=0.7,"High Exposure", IF(Table1[[#This Row],[AI_Exposure_Index]]&gt;=0.3,"Medium Exposure","Low Exposure"))</f>
        <v>Medium Exposure</v>
      </c>
    </row>
    <row r="1752" spans="1:20" x14ac:dyDescent="0.25">
      <c r="A1752" t="s">
        <v>43</v>
      </c>
      <c r="B1752">
        <v>141375</v>
      </c>
      <c r="C1752" s="1">
        <v>16</v>
      </c>
      <c r="D1752" t="s">
        <v>22</v>
      </c>
      <c r="E1752" s="7">
        <v>1.41</v>
      </c>
      <c r="F1752" s="2">
        <v>0.34</v>
      </c>
      <c r="G1752" s="7">
        <v>0.09</v>
      </c>
      <c r="H1752" s="9" t="s">
        <v>23</v>
      </c>
      <c r="I1752">
        <v>0.06</v>
      </c>
      <c r="J1752">
        <v>0.48</v>
      </c>
      <c r="K1752">
        <v>0.19</v>
      </c>
      <c r="L1752">
        <v>0.94</v>
      </c>
      <c r="M1752">
        <v>0.01</v>
      </c>
      <c r="N1752">
        <v>0.41</v>
      </c>
      <c r="O1752">
        <v>0.93</v>
      </c>
      <c r="P1752">
        <v>0.38</v>
      </c>
      <c r="Q1752">
        <v>0.09</v>
      </c>
      <c r="R1752" s="2">
        <v>0.3</v>
      </c>
      <c r="S1752" t="str">
        <f>IF(Table1[[#This Row],[Years_Experience]]&lt;=5,"Early Career",
IF(Table1[[#This Row],[Years_Experience]]&lt;=15,"Mid Career","Senior Level"))</f>
        <v>Senior Level</v>
      </c>
      <c r="T1752" t="str">
        <f>IF(Table1[[#This Row],[AI_Exposure_Index]]&gt;=0.7,"High Exposure", IF(Table1[[#This Row],[AI_Exposure_Index]]&gt;=0.3,"Medium Exposure","Low Exposure"))</f>
        <v>Medium Exposure</v>
      </c>
    </row>
    <row r="1753" spans="1:20" x14ac:dyDescent="0.25">
      <c r="A1753" t="s">
        <v>24</v>
      </c>
      <c r="B1753">
        <v>135454</v>
      </c>
      <c r="C1753" s="1">
        <v>16</v>
      </c>
      <c r="D1753" t="s">
        <v>22</v>
      </c>
      <c r="E1753" s="7">
        <v>0.97</v>
      </c>
      <c r="F1753" s="2">
        <v>0.19</v>
      </c>
      <c r="G1753" s="7">
        <v>0.91</v>
      </c>
      <c r="H1753" s="9" t="s">
        <v>20</v>
      </c>
      <c r="I1753">
        <v>0.87</v>
      </c>
      <c r="J1753">
        <v>0.05</v>
      </c>
      <c r="K1753">
        <v>0.16</v>
      </c>
      <c r="L1753">
        <v>0.28000000000000003</v>
      </c>
      <c r="M1753">
        <v>0.59</v>
      </c>
      <c r="N1753">
        <v>0.36</v>
      </c>
      <c r="O1753">
        <v>0.84</v>
      </c>
      <c r="P1753">
        <v>0.72</v>
      </c>
      <c r="Q1753">
        <v>0.1</v>
      </c>
      <c r="R1753" s="2">
        <v>0.62</v>
      </c>
      <c r="S1753" t="str">
        <f>IF(Table1[[#This Row],[Years_Experience]]&lt;=5,"Early Career",
IF(Table1[[#This Row],[Years_Experience]]&lt;=15,"Mid Career","Senior Level"))</f>
        <v>Senior Level</v>
      </c>
      <c r="T1753" t="str">
        <f>IF(Table1[[#This Row],[AI_Exposure_Index]]&gt;=0.7,"High Exposure", IF(Table1[[#This Row],[AI_Exposure_Index]]&gt;=0.3,"Medium Exposure","Low Exposure"))</f>
        <v>Low Exposure</v>
      </c>
    </row>
    <row r="1754" spans="1:20" x14ac:dyDescent="0.25">
      <c r="A1754" t="s">
        <v>21</v>
      </c>
      <c r="B1754">
        <v>55903</v>
      </c>
      <c r="C1754" s="1">
        <v>23</v>
      </c>
      <c r="D1754" t="s">
        <v>19</v>
      </c>
      <c r="E1754" s="7">
        <v>0.68</v>
      </c>
      <c r="F1754" s="2">
        <v>0.26</v>
      </c>
      <c r="G1754" s="7">
        <v>0.09</v>
      </c>
      <c r="H1754" s="9" t="s">
        <v>23</v>
      </c>
      <c r="I1754">
        <v>0.62</v>
      </c>
      <c r="J1754">
        <v>0.56000000000000005</v>
      </c>
      <c r="K1754">
        <v>0.18</v>
      </c>
      <c r="L1754">
        <v>0.99</v>
      </c>
      <c r="M1754">
        <v>0.42</v>
      </c>
      <c r="N1754">
        <v>0.1</v>
      </c>
      <c r="O1754">
        <v>0.12</v>
      </c>
      <c r="P1754">
        <v>0.57999999999999996</v>
      </c>
      <c r="Q1754">
        <v>0.98</v>
      </c>
      <c r="R1754" s="2">
        <v>0.56999999999999995</v>
      </c>
      <c r="S1754" t="str">
        <f>IF(Table1[[#This Row],[Years_Experience]]&lt;=5,"Early Career",
IF(Table1[[#This Row],[Years_Experience]]&lt;=15,"Mid Career","Senior Level"))</f>
        <v>Senior Level</v>
      </c>
      <c r="T1754" t="str">
        <f>IF(Table1[[#This Row],[AI_Exposure_Index]]&gt;=0.7,"High Exposure", IF(Table1[[#This Row],[AI_Exposure_Index]]&gt;=0.3,"Medium Exposure","Low Exposure"))</f>
        <v>Low Exposure</v>
      </c>
    </row>
    <row r="1755" spans="1:20" x14ac:dyDescent="0.25">
      <c r="A1755" t="s">
        <v>39</v>
      </c>
      <c r="B1755">
        <v>55036</v>
      </c>
      <c r="C1755" s="1">
        <v>21</v>
      </c>
      <c r="D1755" t="s">
        <v>25</v>
      </c>
      <c r="E1755" s="7">
        <v>0.94</v>
      </c>
      <c r="F1755" s="2">
        <v>0.44</v>
      </c>
      <c r="G1755" s="7">
        <v>0.83</v>
      </c>
      <c r="H1755" s="9" t="s">
        <v>20</v>
      </c>
      <c r="I1755">
        <v>0.7</v>
      </c>
      <c r="J1755">
        <v>0.37</v>
      </c>
      <c r="K1755">
        <v>0.86</v>
      </c>
      <c r="L1755">
        <v>0.03</v>
      </c>
      <c r="M1755">
        <v>0.44</v>
      </c>
      <c r="N1755">
        <v>0.51</v>
      </c>
      <c r="O1755">
        <v>0.61</v>
      </c>
      <c r="P1755">
        <v>0.28000000000000003</v>
      </c>
      <c r="Q1755">
        <v>0.43</v>
      </c>
      <c r="R1755" s="2">
        <v>0.48</v>
      </c>
      <c r="S1755" t="str">
        <f>IF(Table1[[#This Row],[Years_Experience]]&lt;=5,"Early Career",
IF(Table1[[#This Row],[Years_Experience]]&lt;=15,"Mid Career","Senior Level"))</f>
        <v>Senior Level</v>
      </c>
      <c r="T1755" t="str">
        <f>IF(Table1[[#This Row],[AI_Exposure_Index]]&gt;=0.7,"High Exposure", IF(Table1[[#This Row],[AI_Exposure_Index]]&gt;=0.3,"Medium Exposure","Low Exposure"))</f>
        <v>Medium Exposure</v>
      </c>
    </row>
    <row r="1756" spans="1:20" x14ac:dyDescent="0.25">
      <c r="A1756" t="s">
        <v>28</v>
      </c>
      <c r="B1756">
        <v>117309</v>
      </c>
      <c r="C1756" s="1">
        <v>8</v>
      </c>
      <c r="D1756" t="s">
        <v>22</v>
      </c>
      <c r="E1756" s="7">
        <v>1.24</v>
      </c>
      <c r="F1756" s="2">
        <v>0.77</v>
      </c>
      <c r="G1756" s="7">
        <v>0.44</v>
      </c>
      <c r="H1756" s="9" t="s">
        <v>27</v>
      </c>
      <c r="I1756">
        <v>1</v>
      </c>
      <c r="J1756">
        <v>0.85</v>
      </c>
      <c r="K1756">
        <v>0.26</v>
      </c>
      <c r="L1756">
        <v>0.2</v>
      </c>
      <c r="M1756">
        <v>0.31</v>
      </c>
      <c r="N1756">
        <v>0.45</v>
      </c>
      <c r="O1756">
        <v>0.85</v>
      </c>
      <c r="P1756">
        <v>0.78</v>
      </c>
      <c r="Q1756">
        <v>0.85</v>
      </c>
      <c r="R1756" s="2">
        <v>0.27</v>
      </c>
      <c r="S1756" t="str">
        <f>IF(Table1[[#This Row],[Years_Experience]]&lt;=5,"Early Career",
IF(Table1[[#This Row],[Years_Experience]]&lt;=15,"Mid Career","Senior Level"))</f>
        <v>Mid Career</v>
      </c>
      <c r="T1756" t="str">
        <f>IF(Table1[[#This Row],[AI_Exposure_Index]]&gt;=0.7,"High Exposure", IF(Table1[[#This Row],[AI_Exposure_Index]]&gt;=0.3,"Medium Exposure","Low Exposure"))</f>
        <v>High Exposure</v>
      </c>
    </row>
    <row r="1757" spans="1:20" x14ac:dyDescent="0.25">
      <c r="A1757" t="s">
        <v>26</v>
      </c>
      <c r="B1757">
        <v>100412</v>
      </c>
      <c r="C1757" s="1">
        <v>21</v>
      </c>
      <c r="D1757" t="s">
        <v>38</v>
      </c>
      <c r="E1757" s="7">
        <v>0.61</v>
      </c>
      <c r="F1757" s="2">
        <v>0.28000000000000003</v>
      </c>
      <c r="G1757" s="7">
        <v>0.56999999999999995</v>
      </c>
      <c r="H1757" s="9" t="s">
        <v>27</v>
      </c>
      <c r="I1757">
        <v>0.14000000000000001</v>
      </c>
      <c r="J1757">
        <v>0.67</v>
      </c>
      <c r="K1757">
        <v>0.65</v>
      </c>
      <c r="L1757">
        <v>0.81</v>
      </c>
      <c r="M1757">
        <v>0.14000000000000001</v>
      </c>
      <c r="N1757">
        <v>0.78</v>
      </c>
      <c r="O1757">
        <v>1</v>
      </c>
      <c r="P1757">
        <v>0.85</v>
      </c>
      <c r="Q1757">
        <v>0.75</v>
      </c>
      <c r="R1757" s="2">
        <v>0.66</v>
      </c>
      <c r="S1757" t="str">
        <f>IF(Table1[[#This Row],[Years_Experience]]&lt;=5,"Early Career",
IF(Table1[[#This Row],[Years_Experience]]&lt;=15,"Mid Career","Senior Level"))</f>
        <v>Senior Level</v>
      </c>
      <c r="T1757" t="str">
        <f>IF(Table1[[#This Row],[AI_Exposure_Index]]&gt;=0.7,"High Exposure", IF(Table1[[#This Row],[AI_Exposure_Index]]&gt;=0.3,"Medium Exposure","Low Exposure"))</f>
        <v>Low Exposure</v>
      </c>
    </row>
    <row r="1758" spans="1:20" x14ac:dyDescent="0.25">
      <c r="A1758" t="s">
        <v>28</v>
      </c>
      <c r="B1758">
        <v>32414</v>
      </c>
      <c r="C1758" s="1">
        <v>16</v>
      </c>
      <c r="D1758" t="s">
        <v>38</v>
      </c>
      <c r="E1758" s="7">
        <v>1.04</v>
      </c>
      <c r="F1758" s="2">
        <v>0.84</v>
      </c>
      <c r="G1758" s="7">
        <v>0.6</v>
      </c>
      <c r="H1758" s="9" t="s">
        <v>27</v>
      </c>
      <c r="I1758">
        <v>0.79</v>
      </c>
      <c r="J1758">
        <v>0.51</v>
      </c>
      <c r="K1758">
        <v>0.54</v>
      </c>
      <c r="L1758">
        <v>0.2</v>
      </c>
      <c r="M1758">
        <v>0.24</v>
      </c>
      <c r="N1758">
        <v>0.9</v>
      </c>
      <c r="O1758">
        <v>0.84</v>
      </c>
      <c r="P1758">
        <v>0.01</v>
      </c>
      <c r="Q1758">
        <v>0.87</v>
      </c>
      <c r="R1758" s="2">
        <v>0.03</v>
      </c>
      <c r="S1758" t="str">
        <f>IF(Table1[[#This Row],[Years_Experience]]&lt;=5,"Early Career",
IF(Table1[[#This Row],[Years_Experience]]&lt;=15,"Mid Career","Senior Level"))</f>
        <v>Senior Level</v>
      </c>
      <c r="T1758" t="str">
        <f>IF(Table1[[#This Row],[AI_Exposure_Index]]&gt;=0.7,"High Exposure", IF(Table1[[#This Row],[AI_Exposure_Index]]&gt;=0.3,"Medium Exposure","Low Exposure"))</f>
        <v>High Exposure</v>
      </c>
    </row>
    <row r="1759" spans="1:20" x14ac:dyDescent="0.25">
      <c r="A1759" t="s">
        <v>30</v>
      </c>
      <c r="B1759">
        <v>140419</v>
      </c>
      <c r="C1759" s="1">
        <v>14</v>
      </c>
      <c r="D1759" t="s">
        <v>22</v>
      </c>
      <c r="E1759" s="7">
        <v>0.98</v>
      </c>
      <c r="F1759" s="2">
        <v>0.28999999999999998</v>
      </c>
      <c r="G1759" s="7">
        <v>0.46</v>
      </c>
      <c r="H1759" s="9" t="s">
        <v>27</v>
      </c>
      <c r="I1759">
        <v>0.93</v>
      </c>
      <c r="J1759">
        <v>0.04</v>
      </c>
      <c r="K1759">
        <v>0.68</v>
      </c>
      <c r="L1759">
        <v>0.85</v>
      </c>
      <c r="M1759">
        <v>0.96</v>
      </c>
      <c r="N1759">
        <v>0.18</v>
      </c>
      <c r="O1759">
        <v>0.53</v>
      </c>
      <c r="P1759">
        <v>0.04</v>
      </c>
      <c r="Q1759">
        <v>0.5</v>
      </c>
      <c r="R1759" s="2">
        <v>0.13</v>
      </c>
      <c r="S1759" t="str">
        <f>IF(Table1[[#This Row],[Years_Experience]]&lt;=5,"Early Career",
IF(Table1[[#This Row],[Years_Experience]]&lt;=15,"Mid Career","Senior Level"))</f>
        <v>Mid Career</v>
      </c>
      <c r="T1759" t="str">
        <f>IF(Table1[[#This Row],[AI_Exposure_Index]]&gt;=0.7,"High Exposure", IF(Table1[[#This Row],[AI_Exposure_Index]]&gt;=0.3,"Medium Exposure","Low Exposure"))</f>
        <v>Low Exposure</v>
      </c>
    </row>
    <row r="1760" spans="1:20" x14ac:dyDescent="0.25">
      <c r="A1760" t="s">
        <v>21</v>
      </c>
      <c r="B1760">
        <v>55976</v>
      </c>
      <c r="C1760" s="1">
        <v>17</v>
      </c>
      <c r="D1760" t="s">
        <v>19</v>
      </c>
      <c r="E1760" s="7">
        <v>1.01</v>
      </c>
      <c r="F1760" s="2">
        <v>0.11</v>
      </c>
      <c r="G1760" s="7">
        <v>0.18</v>
      </c>
      <c r="H1760" s="9" t="s">
        <v>23</v>
      </c>
      <c r="I1760">
        <v>0.97</v>
      </c>
      <c r="J1760">
        <v>0.65</v>
      </c>
      <c r="K1760">
        <v>0.28999999999999998</v>
      </c>
      <c r="L1760">
        <v>0.24</v>
      </c>
      <c r="M1760">
        <v>0.13</v>
      </c>
      <c r="N1760">
        <v>0.76</v>
      </c>
      <c r="O1760">
        <v>0.69</v>
      </c>
      <c r="P1760">
        <v>0.61</v>
      </c>
      <c r="Q1760">
        <v>0.04</v>
      </c>
      <c r="R1760" s="2">
        <v>0.76</v>
      </c>
      <c r="S1760" t="str">
        <f>IF(Table1[[#This Row],[Years_Experience]]&lt;=5,"Early Career",
IF(Table1[[#This Row],[Years_Experience]]&lt;=15,"Mid Career","Senior Level"))</f>
        <v>Senior Level</v>
      </c>
      <c r="T1760" t="str">
        <f>IF(Table1[[#This Row],[AI_Exposure_Index]]&gt;=0.7,"High Exposure", IF(Table1[[#This Row],[AI_Exposure_Index]]&gt;=0.3,"Medium Exposure","Low Exposure"))</f>
        <v>Low Exposure</v>
      </c>
    </row>
    <row r="1761" spans="1:20" x14ac:dyDescent="0.25">
      <c r="A1761" t="s">
        <v>40</v>
      </c>
      <c r="B1761">
        <v>78787</v>
      </c>
      <c r="C1761" s="1">
        <v>25</v>
      </c>
      <c r="D1761" t="s">
        <v>19</v>
      </c>
      <c r="E1761" s="7">
        <v>1.0900000000000001</v>
      </c>
      <c r="F1761" s="2">
        <v>0.96</v>
      </c>
      <c r="G1761" s="7">
        <v>0.13</v>
      </c>
      <c r="H1761" s="9" t="s">
        <v>23</v>
      </c>
      <c r="I1761">
        <v>0.38</v>
      </c>
      <c r="J1761">
        <v>0.18</v>
      </c>
      <c r="K1761">
        <v>0.72</v>
      </c>
      <c r="L1761">
        <v>0.71</v>
      </c>
      <c r="M1761">
        <v>0.2</v>
      </c>
      <c r="N1761">
        <v>0.16</v>
      </c>
      <c r="O1761">
        <v>0.08</v>
      </c>
      <c r="P1761">
        <v>0.91</v>
      </c>
      <c r="Q1761">
        <v>0.23</v>
      </c>
      <c r="R1761" s="2">
        <v>0.34</v>
      </c>
      <c r="S1761" t="str">
        <f>IF(Table1[[#This Row],[Years_Experience]]&lt;=5,"Early Career",
IF(Table1[[#This Row],[Years_Experience]]&lt;=15,"Mid Career","Senior Level"))</f>
        <v>Senior Level</v>
      </c>
      <c r="T1761" t="str">
        <f>IF(Table1[[#This Row],[AI_Exposure_Index]]&gt;=0.7,"High Exposure", IF(Table1[[#This Row],[AI_Exposure_Index]]&gt;=0.3,"Medium Exposure","Low Exposure"))</f>
        <v>High Exposure</v>
      </c>
    </row>
    <row r="1762" spans="1:20" x14ac:dyDescent="0.25">
      <c r="A1762" t="s">
        <v>18</v>
      </c>
      <c r="B1762">
        <v>104918</v>
      </c>
      <c r="C1762" s="1">
        <v>4</v>
      </c>
      <c r="D1762" t="s">
        <v>25</v>
      </c>
      <c r="E1762" s="7">
        <v>1.21</v>
      </c>
      <c r="F1762" s="2">
        <v>0.41</v>
      </c>
      <c r="G1762" s="7">
        <v>0.92</v>
      </c>
      <c r="H1762" s="9" t="s">
        <v>20</v>
      </c>
      <c r="I1762">
        <v>0.18</v>
      </c>
      <c r="J1762">
        <v>0.69</v>
      </c>
      <c r="K1762">
        <v>0.35</v>
      </c>
      <c r="L1762">
        <v>0.98</v>
      </c>
      <c r="M1762">
        <v>0.3</v>
      </c>
      <c r="N1762">
        <v>0.01</v>
      </c>
      <c r="O1762">
        <v>0.52</v>
      </c>
      <c r="P1762">
        <v>0.15</v>
      </c>
      <c r="Q1762">
        <v>0.04</v>
      </c>
      <c r="R1762" s="2">
        <v>0.7</v>
      </c>
      <c r="S1762" t="str">
        <f>IF(Table1[[#This Row],[Years_Experience]]&lt;=5,"Early Career",
IF(Table1[[#This Row],[Years_Experience]]&lt;=15,"Mid Career","Senior Level"))</f>
        <v>Early Career</v>
      </c>
      <c r="T1762" t="str">
        <f>IF(Table1[[#This Row],[AI_Exposure_Index]]&gt;=0.7,"High Exposure", IF(Table1[[#This Row],[AI_Exposure_Index]]&gt;=0.3,"Medium Exposure","Low Exposure"))</f>
        <v>Medium Exposure</v>
      </c>
    </row>
    <row r="1763" spans="1:20" x14ac:dyDescent="0.25">
      <c r="A1763" t="s">
        <v>39</v>
      </c>
      <c r="B1763">
        <v>118121</v>
      </c>
      <c r="C1763" s="1">
        <v>25</v>
      </c>
      <c r="D1763" t="s">
        <v>19</v>
      </c>
      <c r="E1763" s="7">
        <v>1.18</v>
      </c>
      <c r="F1763" s="2">
        <v>0.46</v>
      </c>
      <c r="G1763" s="7">
        <v>0.83</v>
      </c>
      <c r="H1763" s="9" t="s">
        <v>20</v>
      </c>
      <c r="I1763">
        <v>0.63</v>
      </c>
      <c r="J1763">
        <v>0.6</v>
      </c>
      <c r="K1763">
        <v>0.67</v>
      </c>
      <c r="L1763">
        <v>0.2</v>
      </c>
      <c r="M1763">
        <v>0.27</v>
      </c>
      <c r="N1763">
        <v>0.44</v>
      </c>
      <c r="O1763">
        <v>0.45</v>
      </c>
      <c r="P1763">
        <v>0.77</v>
      </c>
      <c r="Q1763">
        <v>0.37</v>
      </c>
      <c r="R1763" s="2">
        <v>0.16</v>
      </c>
      <c r="S1763" t="str">
        <f>IF(Table1[[#This Row],[Years_Experience]]&lt;=5,"Early Career",
IF(Table1[[#This Row],[Years_Experience]]&lt;=15,"Mid Career","Senior Level"))</f>
        <v>Senior Level</v>
      </c>
      <c r="T1763" t="str">
        <f>IF(Table1[[#This Row],[AI_Exposure_Index]]&gt;=0.7,"High Exposure", IF(Table1[[#This Row],[AI_Exposure_Index]]&gt;=0.3,"Medium Exposure","Low Exposure"))</f>
        <v>Medium Exposure</v>
      </c>
    </row>
    <row r="1764" spans="1:20" x14ac:dyDescent="0.25">
      <c r="A1764" t="s">
        <v>41</v>
      </c>
      <c r="B1764">
        <v>34847</v>
      </c>
      <c r="C1764" s="1">
        <v>10</v>
      </c>
      <c r="D1764" t="s">
        <v>22</v>
      </c>
      <c r="E1764" s="7">
        <v>1.23</v>
      </c>
      <c r="F1764" s="2">
        <v>0.21</v>
      </c>
      <c r="G1764" s="7">
        <v>0.82</v>
      </c>
      <c r="H1764" s="9" t="s">
        <v>20</v>
      </c>
      <c r="I1764">
        <v>0.71</v>
      </c>
      <c r="J1764">
        <v>0.42</v>
      </c>
      <c r="K1764">
        <v>0.89</v>
      </c>
      <c r="L1764">
        <v>0.98</v>
      </c>
      <c r="M1764">
        <v>0.67</v>
      </c>
      <c r="N1764">
        <v>0.86</v>
      </c>
      <c r="O1764">
        <v>0.51</v>
      </c>
      <c r="P1764">
        <v>0.93</v>
      </c>
      <c r="Q1764">
        <v>0.83</v>
      </c>
      <c r="R1764" s="2">
        <v>0.99</v>
      </c>
      <c r="S1764" t="str">
        <f>IF(Table1[[#This Row],[Years_Experience]]&lt;=5,"Early Career",
IF(Table1[[#This Row],[Years_Experience]]&lt;=15,"Mid Career","Senior Level"))</f>
        <v>Mid Career</v>
      </c>
      <c r="T1764" t="str">
        <f>IF(Table1[[#This Row],[AI_Exposure_Index]]&gt;=0.7,"High Exposure", IF(Table1[[#This Row],[AI_Exposure_Index]]&gt;=0.3,"Medium Exposure","Low Exposure"))</f>
        <v>Low Exposure</v>
      </c>
    </row>
    <row r="1765" spans="1:20" x14ac:dyDescent="0.25">
      <c r="A1765" t="s">
        <v>39</v>
      </c>
      <c r="B1765">
        <v>100182</v>
      </c>
      <c r="C1765" s="1">
        <v>12</v>
      </c>
      <c r="D1765" t="s">
        <v>22</v>
      </c>
      <c r="E1765" s="7">
        <v>1.04</v>
      </c>
      <c r="F1765" s="2">
        <v>0.78</v>
      </c>
      <c r="G1765" s="7">
        <v>0.76</v>
      </c>
      <c r="H1765" s="9" t="s">
        <v>20</v>
      </c>
      <c r="I1765">
        <v>0.35</v>
      </c>
      <c r="J1765">
        <v>0.89</v>
      </c>
      <c r="K1765">
        <v>0.06</v>
      </c>
      <c r="L1765">
        <v>0.59</v>
      </c>
      <c r="M1765">
        <v>0.37</v>
      </c>
      <c r="N1765">
        <v>0.39</v>
      </c>
      <c r="O1765">
        <v>0.88</v>
      </c>
      <c r="P1765">
        <v>0.85</v>
      </c>
      <c r="Q1765">
        <v>0.6</v>
      </c>
      <c r="R1765" s="2">
        <v>0.27</v>
      </c>
      <c r="S1765" t="str">
        <f>IF(Table1[[#This Row],[Years_Experience]]&lt;=5,"Early Career",
IF(Table1[[#This Row],[Years_Experience]]&lt;=15,"Mid Career","Senior Level"))</f>
        <v>Mid Career</v>
      </c>
      <c r="T1765" t="str">
        <f>IF(Table1[[#This Row],[AI_Exposure_Index]]&gt;=0.7,"High Exposure", IF(Table1[[#This Row],[AI_Exposure_Index]]&gt;=0.3,"Medium Exposure","Low Exposure"))</f>
        <v>High Exposure</v>
      </c>
    </row>
    <row r="1766" spans="1:20" x14ac:dyDescent="0.25">
      <c r="A1766" t="s">
        <v>26</v>
      </c>
      <c r="B1766">
        <v>128757</v>
      </c>
      <c r="C1766" s="1">
        <v>14</v>
      </c>
      <c r="D1766" t="s">
        <v>22</v>
      </c>
      <c r="E1766" s="7">
        <v>0.85</v>
      </c>
      <c r="F1766" s="2">
        <v>0.41</v>
      </c>
      <c r="G1766" s="7">
        <v>0.34</v>
      </c>
      <c r="H1766" s="9" t="s">
        <v>27</v>
      </c>
      <c r="I1766">
        <v>0.54</v>
      </c>
      <c r="J1766">
        <v>0.3</v>
      </c>
      <c r="K1766">
        <v>0.66</v>
      </c>
      <c r="L1766">
        <v>0.32</v>
      </c>
      <c r="M1766">
        <v>0.43</v>
      </c>
      <c r="N1766">
        <v>0.05</v>
      </c>
      <c r="O1766">
        <v>0.99</v>
      </c>
      <c r="P1766">
        <v>0.51</v>
      </c>
      <c r="Q1766">
        <v>0.02</v>
      </c>
      <c r="R1766" s="2">
        <v>0.54</v>
      </c>
      <c r="S1766" t="str">
        <f>IF(Table1[[#This Row],[Years_Experience]]&lt;=5,"Early Career",
IF(Table1[[#This Row],[Years_Experience]]&lt;=15,"Mid Career","Senior Level"))</f>
        <v>Mid Career</v>
      </c>
      <c r="T1766" t="str">
        <f>IF(Table1[[#This Row],[AI_Exposure_Index]]&gt;=0.7,"High Exposure", IF(Table1[[#This Row],[AI_Exposure_Index]]&gt;=0.3,"Medium Exposure","Low Exposure"))</f>
        <v>Medium Exposure</v>
      </c>
    </row>
    <row r="1767" spans="1:20" x14ac:dyDescent="0.25">
      <c r="A1767" t="s">
        <v>34</v>
      </c>
      <c r="B1767">
        <v>129584</v>
      </c>
      <c r="C1767" s="1">
        <v>7</v>
      </c>
      <c r="D1767" t="s">
        <v>38</v>
      </c>
      <c r="E1767" s="7">
        <v>1.2</v>
      </c>
      <c r="F1767" s="2">
        <v>0.77</v>
      </c>
      <c r="G1767" s="7">
        <v>0.36</v>
      </c>
      <c r="H1767" s="9" t="s">
        <v>27</v>
      </c>
      <c r="I1767">
        <v>0.66</v>
      </c>
      <c r="J1767">
        <v>0.77</v>
      </c>
      <c r="K1767">
        <v>0.56999999999999995</v>
      </c>
      <c r="L1767">
        <v>0.89</v>
      </c>
      <c r="M1767">
        <v>0.28000000000000003</v>
      </c>
      <c r="N1767">
        <v>0.24</v>
      </c>
      <c r="O1767">
        <v>0.87</v>
      </c>
      <c r="P1767">
        <v>0.63</v>
      </c>
      <c r="Q1767">
        <v>0</v>
      </c>
      <c r="R1767" s="2">
        <v>0.35</v>
      </c>
      <c r="S1767" t="str">
        <f>IF(Table1[[#This Row],[Years_Experience]]&lt;=5,"Early Career",
IF(Table1[[#This Row],[Years_Experience]]&lt;=15,"Mid Career","Senior Level"))</f>
        <v>Mid Career</v>
      </c>
      <c r="T1767" t="str">
        <f>IF(Table1[[#This Row],[AI_Exposure_Index]]&gt;=0.7,"High Exposure", IF(Table1[[#This Row],[AI_Exposure_Index]]&gt;=0.3,"Medium Exposure","Low Exposure"))</f>
        <v>High Exposure</v>
      </c>
    </row>
    <row r="1768" spans="1:20" x14ac:dyDescent="0.25">
      <c r="A1768" t="s">
        <v>24</v>
      </c>
      <c r="B1768">
        <v>59476</v>
      </c>
      <c r="C1768" s="1">
        <v>5</v>
      </c>
      <c r="D1768" t="s">
        <v>19</v>
      </c>
      <c r="E1768" s="7">
        <v>0.5</v>
      </c>
      <c r="F1768" s="2">
        <v>0.03</v>
      </c>
      <c r="G1768" s="7">
        <v>0.77</v>
      </c>
      <c r="H1768" s="9" t="s">
        <v>20</v>
      </c>
      <c r="I1768">
        <v>0.91</v>
      </c>
      <c r="J1768">
        <v>0.9</v>
      </c>
      <c r="K1768">
        <v>0.52</v>
      </c>
      <c r="L1768">
        <v>0.55000000000000004</v>
      </c>
      <c r="M1768">
        <v>0.33</v>
      </c>
      <c r="N1768">
        <v>0.24</v>
      </c>
      <c r="O1768">
        <v>0.82</v>
      </c>
      <c r="P1768">
        <v>0.11</v>
      </c>
      <c r="Q1768">
        <v>0.49</v>
      </c>
      <c r="R1768" s="2">
        <v>0.63</v>
      </c>
      <c r="S1768" t="str">
        <f>IF(Table1[[#This Row],[Years_Experience]]&lt;=5,"Early Career",
IF(Table1[[#This Row],[Years_Experience]]&lt;=15,"Mid Career","Senior Level"))</f>
        <v>Early Career</v>
      </c>
      <c r="T1768" t="str">
        <f>IF(Table1[[#This Row],[AI_Exposure_Index]]&gt;=0.7,"High Exposure", IF(Table1[[#This Row],[AI_Exposure_Index]]&gt;=0.3,"Medium Exposure","Low Exposure"))</f>
        <v>Low Exposure</v>
      </c>
    </row>
    <row r="1769" spans="1:20" x14ac:dyDescent="0.25">
      <c r="A1769" t="s">
        <v>21</v>
      </c>
      <c r="B1769">
        <v>81880</v>
      </c>
      <c r="C1769" s="1">
        <v>3</v>
      </c>
      <c r="D1769" t="s">
        <v>19</v>
      </c>
      <c r="E1769" s="7">
        <v>1.08</v>
      </c>
      <c r="F1769" s="2">
        <v>0.52</v>
      </c>
      <c r="G1769" s="7">
        <v>0.24</v>
      </c>
      <c r="H1769" s="9" t="s">
        <v>23</v>
      </c>
      <c r="I1769">
        <v>0.23</v>
      </c>
      <c r="J1769">
        <v>0.28999999999999998</v>
      </c>
      <c r="K1769">
        <v>0.56999999999999995</v>
      </c>
      <c r="L1769">
        <v>0.98</v>
      </c>
      <c r="M1769">
        <v>0.22</v>
      </c>
      <c r="N1769">
        <v>0.99</v>
      </c>
      <c r="O1769">
        <v>0.71</v>
      </c>
      <c r="P1769">
        <v>0.83</v>
      </c>
      <c r="Q1769">
        <v>0.09</v>
      </c>
      <c r="R1769" s="2">
        <v>0.3</v>
      </c>
      <c r="S1769" t="str">
        <f>IF(Table1[[#This Row],[Years_Experience]]&lt;=5,"Early Career",
IF(Table1[[#This Row],[Years_Experience]]&lt;=15,"Mid Career","Senior Level"))</f>
        <v>Early Career</v>
      </c>
      <c r="T1769" t="str">
        <f>IF(Table1[[#This Row],[AI_Exposure_Index]]&gt;=0.7,"High Exposure", IF(Table1[[#This Row],[AI_Exposure_Index]]&gt;=0.3,"Medium Exposure","Low Exposure"))</f>
        <v>Medium Exposure</v>
      </c>
    </row>
    <row r="1770" spans="1:20" x14ac:dyDescent="0.25">
      <c r="A1770" t="s">
        <v>29</v>
      </c>
      <c r="B1770">
        <v>148283</v>
      </c>
      <c r="C1770" s="1">
        <v>25</v>
      </c>
      <c r="D1770" t="s">
        <v>38</v>
      </c>
      <c r="E1770" s="7">
        <v>1.48</v>
      </c>
      <c r="F1770" s="2">
        <v>0.37</v>
      </c>
      <c r="G1770" s="7">
        <v>0.08</v>
      </c>
      <c r="H1770" s="9" t="s">
        <v>23</v>
      </c>
      <c r="I1770">
        <v>0.56000000000000005</v>
      </c>
      <c r="J1770">
        <v>0.01</v>
      </c>
      <c r="K1770">
        <v>0.71</v>
      </c>
      <c r="L1770">
        <v>0.2</v>
      </c>
      <c r="M1770">
        <v>0.13</v>
      </c>
      <c r="N1770">
        <v>0.34</v>
      </c>
      <c r="O1770">
        <v>0.77</v>
      </c>
      <c r="P1770">
        <v>0.11</v>
      </c>
      <c r="Q1770">
        <v>0.23</v>
      </c>
      <c r="R1770" s="2">
        <v>0.01</v>
      </c>
      <c r="S1770" t="str">
        <f>IF(Table1[[#This Row],[Years_Experience]]&lt;=5,"Early Career",
IF(Table1[[#This Row],[Years_Experience]]&lt;=15,"Mid Career","Senior Level"))</f>
        <v>Senior Level</v>
      </c>
      <c r="T1770" t="str">
        <f>IF(Table1[[#This Row],[AI_Exposure_Index]]&gt;=0.7,"High Exposure", IF(Table1[[#This Row],[AI_Exposure_Index]]&gt;=0.3,"Medium Exposure","Low Exposure"))</f>
        <v>Medium Exposure</v>
      </c>
    </row>
    <row r="1771" spans="1:20" x14ac:dyDescent="0.25">
      <c r="A1771" t="s">
        <v>35</v>
      </c>
      <c r="B1771">
        <v>32393</v>
      </c>
      <c r="C1771" s="1">
        <v>24</v>
      </c>
      <c r="D1771" t="s">
        <v>22</v>
      </c>
      <c r="E1771" s="7">
        <v>1.22</v>
      </c>
      <c r="F1771" s="2">
        <v>0.59</v>
      </c>
      <c r="G1771" s="7">
        <v>0.56000000000000005</v>
      </c>
      <c r="H1771" s="9" t="s">
        <v>27</v>
      </c>
      <c r="I1771">
        <v>0.14000000000000001</v>
      </c>
      <c r="J1771">
        <v>0.59</v>
      </c>
      <c r="K1771">
        <v>0.13</v>
      </c>
      <c r="L1771">
        <v>0.4</v>
      </c>
      <c r="M1771">
        <v>0.56999999999999995</v>
      </c>
      <c r="N1771">
        <v>0.56000000000000005</v>
      </c>
      <c r="O1771">
        <v>0.12</v>
      </c>
      <c r="P1771">
        <v>0.03</v>
      </c>
      <c r="Q1771">
        <v>0.8</v>
      </c>
      <c r="R1771" s="2">
        <v>0.73</v>
      </c>
      <c r="S1771" t="str">
        <f>IF(Table1[[#This Row],[Years_Experience]]&lt;=5,"Early Career",
IF(Table1[[#This Row],[Years_Experience]]&lt;=15,"Mid Career","Senior Level"))</f>
        <v>Senior Level</v>
      </c>
      <c r="T1771" t="str">
        <f>IF(Table1[[#This Row],[AI_Exposure_Index]]&gt;=0.7,"High Exposure", IF(Table1[[#This Row],[AI_Exposure_Index]]&gt;=0.3,"Medium Exposure","Low Exposure"))</f>
        <v>Medium Exposure</v>
      </c>
    </row>
    <row r="1772" spans="1:20" x14ac:dyDescent="0.25">
      <c r="A1772" t="s">
        <v>39</v>
      </c>
      <c r="B1772">
        <v>35481</v>
      </c>
      <c r="C1772" s="1">
        <v>1</v>
      </c>
      <c r="D1772" t="s">
        <v>25</v>
      </c>
      <c r="E1772" s="7">
        <v>1.39</v>
      </c>
      <c r="F1772" s="2">
        <v>0.13</v>
      </c>
      <c r="G1772" s="7">
        <v>0.89</v>
      </c>
      <c r="H1772" s="9" t="s">
        <v>20</v>
      </c>
      <c r="I1772">
        <v>1</v>
      </c>
      <c r="J1772">
        <v>0.25</v>
      </c>
      <c r="K1772">
        <v>0.49</v>
      </c>
      <c r="L1772">
        <v>0.24</v>
      </c>
      <c r="M1772">
        <v>0.62</v>
      </c>
      <c r="N1772">
        <v>0.12</v>
      </c>
      <c r="O1772">
        <v>0.13</v>
      </c>
      <c r="P1772">
        <v>7.0000000000000007E-2</v>
      </c>
      <c r="Q1772">
        <v>0.69</v>
      </c>
      <c r="R1772" s="2">
        <v>0.49</v>
      </c>
      <c r="S1772" t="str">
        <f>IF(Table1[[#This Row],[Years_Experience]]&lt;=5,"Early Career",
IF(Table1[[#This Row],[Years_Experience]]&lt;=15,"Mid Career","Senior Level"))</f>
        <v>Early Career</v>
      </c>
      <c r="T1772" t="str">
        <f>IF(Table1[[#This Row],[AI_Exposure_Index]]&gt;=0.7,"High Exposure", IF(Table1[[#This Row],[AI_Exposure_Index]]&gt;=0.3,"Medium Exposure","Low Exposure"))</f>
        <v>Low Exposure</v>
      </c>
    </row>
    <row r="1773" spans="1:20" x14ac:dyDescent="0.25">
      <c r="A1773" t="s">
        <v>36</v>
      </c>
      <c r="B1773">
        <v>137033</v>
      </c>
      <c r="C1773" s="1">
        <v>28</v>
      </c>
      <c r="D1773" t="s">
        <v>38</v>
      </c>
      <c r="E1773" s="7">
        <v>1.24</v>
      </c>
      <c r="F1773" s="2">
        <v>0.88</v>
      </c>
      <c r="G1773" s="7">
        <v>0.48</v>
      </c>
      <c r="H1773" s="9" t="s">
        <v>27</v>
      </c>
      <c r="I1773">
        <v>0.98</v>
      </c>
      <c r="J1773">
        <v>0.46</v>
      </c>
      <c r="K1773">
        <v>0.11</v>
      </c>
      <c r="L1773">
        <v>0.99</v>
      </c>
      <c r="M1773">
        <v>0.02</v>
      </c>
      <c r="N1773">
        <v>0.55000000000000004</v>
      </c>
      <c r="O1773">
        <v>0.31</v>
      </c>
      <c r="P1773">
        <v>0.5</v>
      </c>
      <c r="Q1773">
        <v>0.56000000000000005</v>
      </c>
      <c r="R1773" s="2">
        <v>0.24</v>
      </c>
      <c r="S1773" t="str">
        <f>IF(Table1[[#This Row],[Years_Experience]]&lt;=5,"Early Career",
IF(Table1[[#This Row],[Years_Experience]]&lt;=15,"Mid Career","Senior Level"))</f>
        <v>Senior Level</v>
      </c>
      <c r="T1773" t="str">
        <f>IF(Table1[[#This Row],[AI_Exposure_Index]]&gt;=0.7,"High Exposure", IF(Table1[[#This Row],[AI_Exposure_Index]]&gt;=0.3,"Medium Exposure","Low Exposure"))</f>
        <v>High Exposure</v>
      </c>
    </row>
    <row r="1774" spans="1:20" x14ac:dyDescent="0.25">
      <c r="A1774" t="s">
        <v>29</v>
      </c>
      <c r="B1774">
        <v>49361</v>
      </c>
      <c r="C1774" s="1">
        <v>20</v>
      </c>
      <c r="D1774" t="s">
        <v>19</v>
      </c>
      <c r="E1774" s="7">
        <v>1.34</v>
      </c>
      <c r="F1774" s="2">
        <v>0.68</v>
      </c>
      <c r="G1774" s="7">
        <v>0.17</v>
      </c>
      <c r="H1774" s="9" t="s">
        <v>23</v>
      </c>
      <c r="I1774">
        <v>0.83</v>
      </c>
      <c r="J1774">
        <v>0.78</v>
      </c>
      <c r="K1774">
        <v>0.67</v>
      </c>
      <c r="L1774">
        <v>0.45</v>
      </c>
      <c r="M1774">
        <v>0.27</v>
      </c>
      <c r="N1774">
        <v>0.86</v>
      </c>
      <c r="O1774">
        <v>0.65</v>
      </c>
      <c r="P1774">
        <v>0.8</v>
      </c>
      <c r="Q1774">
        <v>0.55000000000000004</v>
      </c>
      <c r="R1774" s="2">
        <v>0.17</v>
      </c>
      <c r="S1774" t="str">
        <f>IF(Table1[[#This Row],[Years_Experience]]&lt;=5,"Early Career",
IF(Table1[[#This Row],[Years_Experience]]&lt;=15,"Mid Career","Senior Level"))</f>
        <v>Senior Level</v>
      </c>
      <c r="T1774" t="str">
        <f>IF(Table1[[#This Row],[AI_Exposure_Index]]&gt;=0.7,"High Exposure", IF(Table1[[#This Row],[AI_Exposure_Index]]&gt;=0.3,"Medium Exposure","Low Exposure"))</f>
        <v>Medium Exposure</v>
      </c>
    </row>
    <row r="1775" spans="1:20" x14ac:dyDescent="0.25">
      <c r="A1775" t="s">
        <v>31</v>
      </c>
      <c r="B1775">
        <v>59146</v>
      </c>
      <c r="C1775" s="1">
        <v>9</v>
      </c>
      <c r="D1775" t="s">
        <v>38</v>
      </c>
      <c r="E1775" s="7">
        <v>1.43</v>
      </c>
      <c r="F1775" s="2">
        <v>0.04</v>
      </c>
      <c r="G1775" s="7">
        <v>0.1</v>
      </c>
      <c r="H1775" s="9" t="s">
        <v>23</v>
      </c>
      <c r="I1775">
        <v>0.91</v>
      </c>
      <c r="J1775">
        <v>0.06</v>
      </c>
      <c r="K1775">
        <v>0.95</v>
      </c>
      <c r="L1775">
        <v>0.2</v>
      </c>
      <c r="M1775">
        <v>0.3</v>
      </c>
      <c r="N1775">
        <v>0.49</v>
      </c>
      <c r="O1775">
        <v>0.38</v>
      </c>
      <c r="P1775">
        <v>0.67</v>
      </c>
      <c r="Q1775">
        <v>0.97</v>
      </c>
      <c r="R1775" s="2">
        <v>0.61</v>
      </c>
      <c r="S1775" t="str">
        <f>IF(Table1[[#This Row],[Years_Experience]]&lt;=5,"Early Career",
IF(Table1[[#This Row],[Years_Experience]]&lt;=15,"Mid Career","Senior Level"))</f>
        <v>Mid Career</v>
      </c>
      <c r="T1775" t="str">
        <f>IF(Table1[[#This Row],[AI_Exposure_Index]]&gt;=0.7,"High Exposure", IF(Table1[[#This Row],[AI_Exposure_Index]]&gt;=0.3,"Medium Exposure","Low Exposure"))</f>
        <v>Low Exposure</v>
      </c>
    </row>
    <row r="1776" spans="1:20" x14ac:dyDescent="0.25">
      <c r="A1776" t="s">
        <v>28</v>
      </c>
      <c r="B1776">
        <v>113102</v>
      </c>
      <c r="C1776" s="1">
        <v>26</v>
      </c>
      <c r="D1776" t="s">
        <v>22</v>
      </c>
      <c r="E1776" s="7">
        <v>1.34</v>
      </c>
      <c r="F1776" s="2">
        <v>0.75</v>
      </c>
      <c r="G1776" s="7">
        <v>0.67</v>
      </c>
      <c r="H1776" s="9" t="s">
        <v>27</v>
      </c>
      <c r="I1776">
        <v>0.57999999999999996</v>
      </c>
      <c r="J1776">
        <v>0.78</v>
      </c>
      <c r="K1776">
        <v>0.49</v>
      </c>
      <c r="L1776">
        <v>0.04</v>
      </c>
      <c r="M1776">
        <v>0.16</v>
      </c>
      <c r="N1776">
        <v>0.13</v>
      </c>
      <c r="O1776">
        <v>0.17</v>
      </c>
      <c r="P1776">
        <v>0.01</v>
      </c>
      <c r="Q1776">
        <v>0.86</v>
      </c>
      <c r="R1776" s="2">
        <v>0.56000000000000005</v>
      </c>
      <c r="S1776" t="str">
        <f>IF(Table1[[#This Row],[Years_Experience]]&lt;=5,"Early Career",
IF(Table1[[#This Row],[Years_Experience]]&lt;=15,"Mid Career","Senior Level"))</f>
        <v>Senior Level</v>
      </c>
      <c r="T1776" t="str">
        <f>IF(Table1[[#This Row],[AI_Exposure_Index]]&gt;=0.7,"High Exposure", IF(Table1[[#This Row],[AI_Exposure_Index]]&gt;=0.3,"Medium Exposure","Low Exposure"))</f>
        <v>High Exposure</v>
      </c>
    </row>
    <row r="1777" spans="1:20" x14ac:dyDescent="0.25">
      <c r="A1777" t="s">
        <v>34</v>
      </c>
      <c r="B1777">
        <v>37769</v>
      </c>
      <c r="C1777" s="1">
        <v>22</v>
      </c>
      <c r="D1777" t="s">
        <v>22</v>
      </c>
      <c r="E1777" s="7">
        <v>0.96</v>
      </c>
      <c r="F1777" s="2">
        <v>0.41</v>
      </c>
      <c r="G1777" s="7">
        <v>0.33</v>
      </c>
      <c r="H1777" s="9" t="s">
        <v>27</v>
      </c>
      <c r="I1777">
        <v>0.27</v>
      </c>
      <c r="J1777">
        <v>0.85</v>
      </c>
      <c r="K1777">
        <v>0.74</v>
      </c>
      <c r="L1777">
        <v>0.56000000000000005</v>
      </c>
      <c r="M1777">
        <v>0.48</v>
      </c>
      <c r="N1777">
        <v>0.26</v>
      </c>
      <c r="O1777">
        <v>0.47</v>
      </c>
      <c r="P1777">
        <v>0.6</v>
      </c>
      <c r="Q1777">
        <v>0.71</v>
      </c>
      <c r="R1777" s="2">
        <v>0.17</v>
      </c>
      <c r="S1777" t="str">
        <f>IF(Table1[[#This Row],[Years_Experience]]&lt;=5,"Early Career",
IF(Table1[[#This Row],[Years_Experience]]&lt;=15,"Mid Career","Senior Level"))</f>
        <v>Senior Level</v>
      </c>
      <c r="T1777" t="str">
        <f>IF(Table1[[#This Row],[AI_Exposure_Index]]&gt;=0.7,"High Exposure", IF(Table1[[#This Row],[AI_Exposure_Index]]&gt;=0.3,"Medium Exposure","Low Exposure"))</f>
        <v>Medium Exposure</v>
      </c>
    </row>
    <row r="1778" spans="1:20" x14ac:dyDescent="0.25">
      <c r="A1778" t="s">
        <v>33</v>
      </c>
      <c r="B1778">
        <v>126939</v>
      </c>
      <c r="C1778" s="1">
        <v>9</v>
      </c>
      <c r="D1778" t="s">
        <v>25</v>
      </c>
      <c r="E1778" s="7">
        <v>1.1100000000000001</v>
      </c>
      <c r="F1778" s="2">
        <v>0.5</v>
      </c>
      <c r="G1778" s="7">
        <v>0.82</v>
      </c>
      <c r="H1778" s="9" t="s">
        <v>20</v>
      </c>
      <c r="I1778">
        <v>0.56999999999999995</v>
      </c>
      <c r="J1778">
        <v>0.11</v>
      </c>
      <c r="K1778">
        <v>0.43</v>
      </c>
      <c r="L1778">
        <v>0.28000000000000003</v>
      </c>
      <c r="M1778">
        <v>0.09</v>
      </c>
      <c r="N1778">
        <v>0.19</v>
      </c>
      <c r="O1778">
        <v>0.6</v>
      </c>
      <c r="P1778">
        <v>0.2</v>
      </c>
      <c r="Q1778">
        <v>0.18</v>
      </c>
      <c r="R1778" s="2">
        <v>0.55000000000000004</v>
      </c>
      <c r="S1778" t="str">
        <f>IF(Table1[[#This Row],[Years_Experience]]&lt;=5,"Early Career",
IF(Table1[[#This Row],[Years_Experience]]&lt;=15,"Mid Career","Senior Level"))</f>
        <v>Mid Career</v>
      </c>
      <c r="T1778" t="str">
        <f>IF(Table1[[#This Row],[AI_Exposure_Index]]&gt;=0.7,"High Exposure", IF(Table1[[#This Row],[AI_Exposure_Index]]&gt;=0.3,"Medium Exposure","Low Exposure"))</f>
        <v>Medium Exposure</v>
      </c>
    </row>
    <row r="1779" spans="1:20" x14ac:dyDescent="0.25">
      <c r="A1779" t="s">
        <v>39</v>
      </c>
      <c r="B1779">
        <v>68226</v>
      </c>
      <c r="C1779" s="1">
        <v>11</v>
      </c>
      <c r="D1779" t="s">
        <v>22</v>
      </c>
      <c r="E1779" s="7">
        <v>1.41</v>
      </c>
      <c r="F1779" s="2">
        <v>0.79</v>
      </c>
      <c r="G1779" s="7">
        <v>0.85</v>
      </c>
      <c r="H1779" s="9" t="s">
        <v>20</v>
      </c>
      <c r="I1779">
        <v>0.41</v>
      </c>
      <c r="J1779">
        <v>0.73</v>
      </c>
      <c r="K1779">
        <v>0.26</v>
      </c>
      <c r="L1779">
        <v>0.08</v>
      </c>
      <c r="M1779">
        <v>0.34</v>
      </c>
      <c r="N1779">
        <v>0.3</v>
      </c>
      <c r="O1779">
        <v>0.68</v>
      </c>
      <c r="P1779">
        <v>0.55000000000000004</v>
      </c>
      <c r="Q1779">
        <v>0.14000000000000001</v>
      </c>
      <c r="R1779" s="2">
        <v>0.91</v>
      </c>
      <c r="S1779" t="str">
        <f>IF(Table1[[#This Row],[Years_Experience]]&lt;=5,"Early Career",
IF(Table1[[#This Row],[Years_Experience]]&lt;=15,"Mid Career","Senior Level"))</f>
        <v>Mid Career</v>
      </c>
      <c r="T1779" t="str">
        <f>IF(Table1[[#This Row],[AI_Exposure_Index]]&gt;=0.7,"High Exposure", IF(Table1[[#This Row],[AI_Exposure_Index]]&gt;=0.3,"Medium Exposure","Low Exposure"))</f>
        <v>High Exposure</v>
      </c>
    </row>
    <row r="1780" spans="1:20" x14ac:dyDescent="0.25">
      <c r="A1780" t="s">
        <v>33</v>
      </c>
      <c r="B1780">
        <v>99516</v>
      </c>
      <c r="C1780" s="1">
        <v>21</v>
      </c>
      <c r="D1780" t="s">
        <v>22</v>
      </c>
      <c r="E1780" s="7">
        <v>1.44</v>
      </c>
      <c r="F1780" s="2">
        <v>0.46</v>
      </c>
      <c r="G1780" s="7">
        <v>0.72</v>
      </c>
      <c r="H1780" s="9" t="s">
        <v>20</v>
      </c>
      <c r="I1780">
        <v>0.79</v>
      </c>
      <c r="J1780">
        <v>0.36</v>
      </c>
      <c r="K1780">
        <v>0.7</v>
      </c>
      <c r="L1780">
        <v>0.93</v>
      </c>
      <c r="M1780">
        <v>0.52</v>
      </c>
      <c r="N1780">
        <v>0.02</v>
      </c>
      <c r="O1780">
        <v>0.03</v>
      </c>
      <c r="P1780">
        <v>0.33</v>
      </c>
      <c r="Q1780">
        <v>0.78</v>
      </c>
      <c r="R1780" s="2">
        <v>0.28999999999999998</v>
      </c>
      <c r="S1780" t="str">
        <f>IF(Table1[[#This Row],[Years_Experience]]&lt;=5,"Early Career",
IF(Table1[[#This Row],[Years_Experience]]&lt;=15,"Mid Career","Senior Level"))</f>
        <v>Senior Level</v>
      </c>
      <c r="T1780" t="str">
        <f>IF(Table1[[#This Row],[AI_Exposure_Index]]&gt;=0.7,"High Exposure", IF(Table1[[#This Row],[AI_Exposure_Index]]&gt;=0.3,"Medium Exposure","Low Exposure"))</f>
        <v>Medium Exposure</v>
      </c>
    </row>
    <row r="1781" spans="1:20" x14ac:dyDescent="0.25">
      <c r="A1781" t="s">
        <v>18</v>
      </c>
      <c r="B1781">
        <v>143645</v>
      </c>
      <c r="C1781" s="1">
        <v>26</v>
      </c>
      <c r="D1781" t="s">
        <v>38</v>
      </c>
      <c r="E1781" s="7">
        <v>0.62</v>
      </c>
      <c r="F1781" s="2">
        <v>0.78</v>
      </c>
      <c r="G1781" s="7">
        <v>0.91</v>
      </c>
      <c r="H1781" s="9" t="s">
        <v>20</v>
      </c>
      <c r="I1781">
        <v>0.27</v>
      </c>
      <c r="J1781">
        <v>0.05</v>
      </c>
      <c r="K1781">
        <v>0.12</v>
      </c>
      <c r="L1781">
        <v>0.95</v>
      </c>
      <c r="M1781">
        <v>0.45</v>
      </c>
      <c r="N1781">
        <v>0.26</v>
      </c>
      <c r="O1781">
        <v>0.52</v>
      </c>
      <c r="P1781">
        <v>0.68</v>
      </c>
      <c r="Q1781">
        <v>0.32</v>
      </c>
      <c r="R1781" s="2">
        <v>0.73</v>
      </c>
      <c r="S1781" t="str">
        <f>IF(Table1[[#This Row],[Years_Experience]]&lt;=5,"Early Career",
IF(Table1[[#This Row],[Years_Experience]]&lt;=15,"Mid Career","Senior Level"))</f>
        <v>Senior Level</v>
      </c>
      <c r="T1781" t="str">
        <f>IF(Table1[[#This Row],[AI_Exposure_Index]]&gt;=0.7,"High Exposure", IF(Table1[[#This Row],[AI_Exposure_Index]]&gt;=0.3,"Medium Exposure","Low Exposure"))</f>
        <v>High Exposure</v>
      </c>
    </row>
    <row r="1782" spans="1:20" x14ac:dyDescent="0.25">
      <c r="A1782" t="s">
        <v>37</v>
      </c>
      <c r="B1782">
        <v>134230</v>
      </c>
      <c r="C1782" s="1">
        <v>21</v>
      </c>
      <c r="D1782" t="s">
        <v>19</v>
      </c>
      <c r="E1782" s="7">
        <v>1.05</v>
      </c>
      <c r="F1782" s="2">
        <v>0.11</v>
      </c>
      <c r="G1782" s="7">
        <v>0.36</v>
      </c>
      <c r="H1782" s="9" t="s">
        <v>27</v>
      </c>
      <c r="I1782">
        <v>0.94</v>
      </c>
      <c r="J1782">
        <v>0</v>
      </c>
      <c r="K1782">
        <v>0.76</v>
      </c>
      <c r="L1782">
        <v>0.28000000000000003</v>
      </c>
      <c r="M1782">
        <v>0.85</v>
      </c>
      <c r="N1782">
        <v>0.06</v>
      </c>
      <c r="O1782">
        <v>0.95</v>
      </c>
      <c r="P1782">
        <v>0.1</v>
      </c>
      <c r="Q1782">
        <v>0.79</v>
      </c>
      <c r="R1782" s="2">
        <v>0.52</v>
      </c>
      <c r="S1782" t="str">
        <f>IF(Table1[[#This Row],[Years_Experience]]&lt;=5,"Early Career",
IF(Table1[[#This Row],[Years_Experience]]&lt;=15,"Mid Career","Senior Level"))</f>
        <v>Senior Level</v>
      </c>
      <c r="T1782" t="str">
        <f>IF(Table1[[#This Row],[AI_Exposure_Index]]&gt;=0.7,"High Exposure", IF(Table1[[#This Row],[AI_Exposure_Index]]&gt;=0.3,"Medium Exposure","Low Exposure"))</f>
        <v>Low Exposure</v>
      </c>
    </row>
    <row r="1783" spans="1:20" x14ac:dyDescent="0.25">
      <c r="A1783" t="s">
        <v>35</v>
      </c>
      <c r="B1783">
        <v>53167</v>
      </c>
      <c r="C1783" s="1">
        <v>22</v>
      </c>
      <c r="D1783" t="s">
        <v>25</v>
      </c>
      <c r="E1783" s="7">
        <v>1.34</v>
      </c>
      <c r="F1783" s="2">
        <v>0.28000000000000003</v>
      </c>
      <c r="G1783" s="7">
        <v>0.38</v>
      </c>
      <c r="H1783" s="9" t="s">
        <v>27</v>
      </c>
      <c r="I1783">
        <v>0.72</v>
      </c>
      <c r="J1783">
        <v>0.45</v>
      </c>
      <c r="K1783">
        <v>1</v>
      </c>
      <c r="L1783">
        <v>0.61</v>
      </c>
      <c r="M1783">
        <v>0.1</v>
      </c>
      <c r="N1783">
        <v>0.42</v>
      </c>
      <c r="O1783">
        <v>7.0000000000000007E-2</v>
      </c>
      <c r="P1783">
        <v>0.28999999999999998</v>
      </c>
      <c r="Q1783">
        <v>0.34</v>
      </c>
      <c r="R1783" s="2">
        <v>0.85</v>
      </c>
      <c r="S1783" t="str">
        <f>IF(Table1[[#This Row],[Years_Experience]]&lt;=5,"Early Career",
IF(Table1[[#This Row],[Years_Experience]]&lt;=15,"Mid Career","Senior Level"))</f>
        <v>Senior Level</v>
      </c>
      <c r="T1783" t="str">
        <f>IF(Table1[[#This Row],[AI_Exposure_Index]]&gt;=0.7,"High Exposure", IF(Table1[[#This Row],[AI_Exposure_Index]]&gt;=0.3,"Medium Exposure","Low Exposure"))</f>
        <v>Low Exposure</v>
      </c>
    </row>
    <row r="1784" spans="1:20" x14ac:dyDescent="0.25">
      <c r="A1784" t="s">
        <v>34</v>
      </c>
      <c r="B1784">
        <v>52772</v>
      </c>
      <c r="C1784" s="1">
        <v>29</v>
      </c>
      <c r="D1784" t="s">
        <v>22</v>
      </c>
      <c r="E1784" s="7">
        <v>1.03</v>
      </c>
      <c r="F1784" s="2">
        <v>0.01</v>
      </c>
      <c r="G1784" s="7">
        <v>0.39</v>
      </c>
      <c r="H1784" s="9" t="s">
        <v>27</v>
      </c>
      <c r="I1784">
        <v>0.32</v>
      </c>
      <c r="J1784">
        <v>0.02</v>
      </c>
      <c r="K1784">
        <v>0.75</v>
      </c>
      <c r="L1784">
        <v>0.95</v>
      </c>
      <c r="M1784">
        <v>0.22</v>
      </c>
      <c r="N1784">
        <v>0.34</v>
      </c>
      <c r="O1784">
        <v>0.21</v>
      </c>
      <c r="P1784">
        <v>0.93</v>
      </c>
      <c r="Q1784">
        <v>0.01</v>
      </c>
      <c r="R1784" s="2">
        <v>0.57999999999999996</v>
      </c>
      <c r="S1784" t="str">
        <f>IF(Table1[[#This Row],[Years_Experience]]&lt;=5,"Early Career",
IF(Table1[[#This Row],[Years_Experience]]&lt;=15,"Mid Career","Senior Level"))</f>
        <v>Senior Level</v>
      </c>
      <c r="T1784" t="str">
        <f>IF(Table1[[#This Row],[AI_Exposure_Index]]&gt;=0.7,"High Exposure", IF(Table1[[#This Row],[AI_Exposure_Index]]&gt;=0.3,"Medium Exposure","Low Exposure"))</f>
        <v>Low Exposure</v>
      </c>
    </row>
    <row r="1785" spans="1:20" x14ac:dyDescent="0.25">
      <c r="A1785" t="s">
        <v>31</v>
      </c>
      <c r="B1785">
        <v>55354</v>
      </c>
      <c r="C1785" s="1">
        <v>29</v>
      </c>
      <c r="D1785" t="s">
        <v>38</v>
      </c>
      <c r="E1785" s="7">
        <v>1.0900000000000001</v>
      </c>
      <c r="F1785" s="2">
        <v>0.19</v>
      </c>
      <c r="G1785" s="7">
        <v>0.06</v>
      </c>
      <c r="H1785" s="9" t="s">
        <v>23</v>
      </c>
      <c r="I1785">
        <v>0.81</v>
      </c>
      <c r="J1785">
        <v>0.27</v>
      </c>
      <c r="K1785">
        <v>0.99</v>
      </c>
      <c r="L1785">
        <v>0.92</v>
      </c>
      <c r="M1785">
        <v>0.73</v>
      </c>
      <c r="N1785">
        <v>0.5</v>
      </c>
      <c r="O1785">
        <v>0.77</v>
      </c>
      <c r="P1785">
        <v>0.13</v>
      </c>
      <c r="Q1785">
        <v>0.31</v>
      </c>
      <c r="R1785" s="2">
        <v>0.03</v>
      </c>
      <c r="S1785" t="str">
        <f>IF(Table1[[#This Row],[Years_Experience]]&lt;=5,"Early Career",
IF(Table1[[#This Row],[Years_Experience]]&lt;=15,"Mid Career","Senior Level"))</f>
        <v>Senior Level</v>
      </c>
      <c r="T1785" t="str">
        <f>IF(Table1[[#This Row],[AI_Exposure_Index]]&gt;=0.7,"High Exposure", IF(Table1[[#This Row],[AI_Exposure_Index]]&gt;=0.3,"Medium Exposure","Low Exposure"))</f>
        <v>Low Exposure</v>
      </c>
    </row>
    <row r="1786" spans="1:20" x14ac:dyDescent="0.25">
      <c r="A1786" t="s">
        <v>35</v>
      </c>
      <c r="B1786">
        <v>51942</v>
      </c>
      <c r="C1786" s="1">
        <v>7</v>
      </c>
      <c r="D1786" t="s">
        <v>38</v>
      </c>
      <c r="E1786" s="7">
        <v>1.45</v>
      </c>
      <c r="F1786" s="2">
        <v>0.81</v>
      </c>
      <c r="G1786" s="7">
        <v>0.56999999999999995</v>
      </c>
      <c r="H1786" s="9" t="s">
        <v>27</v>
      </c>
      <c r="I1786">
        <v>0.73</v>
      </c>
      <c r="J1786">
        <v>0.9</v>
      </c>
      <c r="K1786">
        <v>0.94</v>
      </c>
      <c r="L1786">
        <v>0.49</v>
      </c>
      <c r="M1786">
        <v>0.11</v>
      </c>
      <c r="N1786">
        <v>0.47</v>
      </c>
      <c r="O1786">
        <v>0.56000000000000005</v>
      </c>
      <c r="P1786">
        <v>0.63</v>
      </c>
      <c r="Q1786">
        <v>0.99</v>
      </c>
      <c r="R1786" s="2">
        <v>0.92</v>
      </c>
      <c r="S1786" t="str">
        <f>IF(Table1[[#This Row],[Years_Experience]]&lt;=5,"Early Career",
IF(Table1[[#This Row],[Years_Experience]]&lt;=15,"Mid Career","Senior Level"))</f>
        <v>Mid Career</v>
      </c>
      <c r="T1786" t="str">
        <f>IF(Table1[[#This Row],[AI_Exposure_Index]]&gt;=0.7,"High Exposure", IF(Table1[[#This Row],[AI_Exposure_Index]]&gt;=0.3,"Medium Exposure","Low Exposure"))</f>
        <v>High Exposure</v>
      </c>
    </row>
    <row r="1787" spans="1:20" x14ac:dyDescent="0.25">
      <c r="A1787" t="s">
        <v>32</v>
      </c>
      <c r="B1787">
        <v>38152</v>
      </c>
      <c r="C1787" s="1">
        <v>6</v>
      </c>
      <c r="D1787" t="s">
        <v>25</v>
      </c>
      <c r="E1787" s="7">
        <v>0.71</v>
      </c>
      <c r="F1787" s="2">
        <v>0.11</v>
      </c>
      <c r="G1787" s="7">
        <v>0.37</v>
      </c>
      <c r="H1787" s="9" t="s">
        <v>27</v>
      </c>
      <c r="I1787">
        <v>0.36</v>
      </c>
      <c r="J1787">
        <v>0.88</v>
      </c>
      <c r="K1787">
        <v>0.44</v>
      </c>
      <c r="L1787">
        <v>0.56999999999999995</v>
      </c>
      <c r="M1787">
        <v>0.18</v>
      </c>
      <c r="N1787">
        <v>0.49</v>
      </c>
      <c r="O1787">
        <v>0.87</v>
      </c>
      <c r="P1787">
        <v>0.77</v>
      </c>
      <c r="Q1787">
        <v>0.08</v>
      </c>
      <c r="R1787" s="2">
        <v>0.86</v>
      </c>
      <c r="S1787" t="str">
        <f>IF(Table1[[#This Row],[Years_Experience]]&lt;=5,"Early Career",
IF(Table1[[#This Row],[Years_Experience]]&lt;=15,"Mid Career","Senior Level"))</f>
        <v>Mid Career</v>
      </c>
      <c r="T1787" t="str">
        <f>IF(Table1[[#This Row],[AI_Exposure_Index]]&gt;=0.7,"High Exposure", IF(Table1[[#This Row],[AI_Exposure_Index]]&gt;=0.3,"Medium Exposure","Low Exposure"))</f>
        <v>Low Exposure</v>
      </c>
    </row>
    <row r="1788" spans="1:20" x14ac:dyDescent="0.25">
      <c r="A1788" t="s">
        <v>37</v>
      </c>
      <c r="B1788">
        <v>134753</v>
      </c>
      <c r="C1788" s="1">
        <v>3</v>
      </c>
      <c r="D1788" t="s">
        <v>19</v>
      </c>
      <c r="E1788" s="7">
        <v>0.65</v>
      </c>
      <c r="F1788" s="2">
        <v>0.67</v>
      </c>
      <c r="G1788" s="7">
        <v>0.56999999999999995</v>
      </c>
      <c r="H1788" s="9" t="s">
        <v>27</v>
      </c>
      <c r="I1788">
        <v>0.04</v>
      </c>
      <c r="J1788">
        <v>0.6</v>
      </c>
      <c r="K1788">
        <v>0.65</v>
      </c>
      <c r="L1788">
        <v>0.24</v>
      </c>
      <c r="M1788">
        <v>0.94</v>
      </c>
      <c r="N1788">
        <v>0.05</v>
      </c>
      <c r="O1788">
        <v>0.89</v>
      </c>
      <c r="P1788">
        <v>0.38</v>
      </c>
      <c r="Q1788">
        <v>0.71</v>
      </c>
      <c r="R1788" s="2">
        <v>0.65</v>
      </c>
      <c r="S1788" t="str">
        <f>IF(Table1[[#This Row],[Years_Experience]]&lt;=5,"Early Career",
IF(Table1[[#This Row],[Years_Experience]]&lt;=15,"Mid Career","Senior Level"))</f>
        <v>Early Career</v>
      </c>
      <c r="T1788" t="str">
        <f>IF(Table1[[#This Row],[AI_Exposure_Index]]&gt;=0.7,"High Exposure", IF(Table1[[#This Row],[AI_Exposure_Index]]&gt;=0.3,"Medium Exposure","Low Exposure"))</f>
        <v>Medium Exposure</v>
      </c>
    </row>
    <row r="1789" spans="1:20" x14ac:dyDescent="0.25">
      <c r="A1789" t="s">
        <v>32</v>
      </c>
      <c r="B1789">
        <v>42061</v>
      </c>
      <c r="C1789" s="1">
        <v>5</v>
      </c>
      <c r="D1789" t="s">
        <v>25</v>
      </c>
      <c r="E1789" s="7">
        <v>1.03</v>
      </c>
      <c r="F1789" s="2">
        <v>0.32</v>
      </c>
      <c r="G1789" s="7">
        <v>0.64</v>
      </c>
      <c r="H1789" s="9" t="s">
        <v>27</v>
      </c>
      <c r="I1789">
        <v>0.95</v>
      </c>
      <c r="J1789">
        <v>0.02</v>
      </c>
      <c r="K1789">
        <v>0.35</v>
      </c>
      <c r="L1789">
        <v>0.67</v>
      </c>
      <c r="M1789">
        <v>0.53</v>
      </c>
      <c r="N1789">
        <v>0.94</v>
      </c>
      <c r="O1789">
        <v>0.02</v>
      </c>
      <c r="P1789">
        <v>0.44</v>
      </c>
      <c r="Q1789">
        <v>0.67</v>
      </c>
      <c r="R1789" s="2">
        <v>0.22</v>
      </c>
      <c r="S1789" t="str">
        <f>IF(Table1[[#This Row],[Years_Experience]]&lt;=5,"Early Career",
IF(Table1[[#This Row],[Years_Experience]]&lt;=15,"Mid Career","Senior Level"))</f>
        <v>Early Career</v>
      </c>
      <c r="T1789" t="str">
        <f>IF(Table1[[#This Row],[AI_Exposure_Index]]&gt;=0.7,"High Exposure", IF(Table1[[#This Row],[AI_Exposure_Index]]&gt;=0.3,"Medium Exposure","Low Exposure"))</f>
        <v>Medium Exposure</v>
      </c>
    </row>
    <row r="1790" spans="1:20" x14ac:dyDescent="0.25">
      <c r="A1790" t="s">
        <v>32</v>
      </c>
      <c r="B1790">
        <v>76350</v>
      </c>
      <c r="C1790" s="1">
        <v>12</v>
      </c>
      <c r="D1790" t="s">
        <v>25</v>
      </c>
      <c r="E1790" s="7">
        <v>0.95</v>
      </c>
      <c r="F1790" s="2">
        <v>0.08</v>
      </c>
      <c r="G1790" s="7">
        <v>0.56999999999999995</v>
      </c>
      <c r="H1790" s="9" t="s">
        <v>27</v>
      </c>
      <c r="I1790">
        <v>0.27</v>
      </c>
      <c r="J1790">
        <v>7.0000000000000007E-2</v>
      </c>
      <c r="K1790">
        <v>0.96</v>
      </c>
      <c r="L1790">
        <v>0.91</v>
      </c>
      <c r="M1790">
        <v>0.93</v>
      </c>
      <c r="N1790">
        <v>0.98</v>
      </c>
      <c r="O1790">
        <v>0.18</v>
      </c>
      <c r="P1790">
        <v>0.16</v>
      </c>
      <c r="Q1790">
        <v>0.03</v>
      </c>
      <c r="R1790" s="2">
        <v>0.89</v>
      </c>
      <c r="S1790" t="str">
        <f>IF(Table1[[#This Row],[Years_Experience]]&lt;=5,"Early Career",
IF(Table1[[#This Row],[Years_Experience]]&lt;=15,"Mid Career","Senior Level"))</f>
        <v>Mid Career</v>
      </c>
      <c r="T1790" t="str">
        <f>IF(Table1[[#This Row],[AI_Exposure_Index]]&gt;=0.7,"High Exposure", IF(Table1[[#This Row],[AI_Exposure_Index]]&gt;=0.3,"Medium Exposure","Low Exposure"))</f>
        <v>Low Exposure</v>
      </c>
    </row>
    <row r="1791" spans="1:20" x14ac:dyDescent="0.25">
      <c r="A1791" t="s">
        <v>28</v>
      </c>
      <c r="B1791">
        <v>99828</v>
      </c>
      <c r="C1791" s="1">
        <v>27</v>
      </c>
      <c r="D1791" t="s">
        <v>38</v>
      </c>
      <c r="E1791" s="7">
        <v>1.43</v>
      </c>
      <c r="F1791" s="2">
        <v>0.63</v>
      </c>
      <c r="G1791" s="7">
        <v>0.53</v>
      </c>
      <c r="H1791" s="9" t="s">
        <v>27</v>
      </c>
      <c r="I1791">
        <v>0.13</v>
      </c>
      <c r="J1791">
        <v>0.18</v>
      </c>
      <c r="K1791">
        <v>0.13</v>
      </c>
      <c r="L1791">
        <v>0.31</v>
      </c>
      <c r="M1791">
        <v>0.38</v>
      </c>
      <c r="N1791">
        <v>0.8</v>
      </c>
      <c r="O1791">
        <v>0.19</v>
      </c>
      <c r="P1791">
        <v>0.73</v>
      </c>
      <c r="Q1791">
        <v>0.49</v>
      </c>
      <c r="R1791" s="2">
        <v>1</v>
      </c>
      <c r="S1791" t="str">
        <f>IF(Table1[[#This Row],[Years_Experience]]&lt;=5,"Early Career",
IF(Table1[[#This Row],[Years_Experience]]&lt;=15,"Mid Career","Senior Level"))</f>
        <v>Senior Level</v>
      </c>
      <c r="T1791" t="str">
        <f>IF(Table1[[#This Row],[AI_Exposure_Index]]&gt;=0.7,"High Exposure", IF(Table1[[#This Row],[AI_Exposure_Index]]&gt;=0.3,"Medium Exposure","Low Exposure"))</f>
        <v>Medium Exposure</v>
      </c>
    </row>
    <row r="1792" spans="1:20" x14ac:dyDescent="0.25">
      <c r="A1792" t="s">
        <v>37</v>
      </c>
      <c r="B1792">
        <v>37084</v>
      </c>
      <c r="C1792" s="1">
        <v>11</v>
      </c>
      <c r="D1792" t="s">
        <v>38</v>
      </c>
      <c r="E1792" s="7">
        <v>0.84</v>
      </c>
      <c r="F1792" s="2">
        <v>0.97</v>
      </c>
      <c r="G1792" s="7">
        <v>0.35</v>
      </c>
      <c r="H1792" s="9" t="s">
        <v>27</v>
      </c>
      <c r="I1792">
        <v>0.51</v>
      </c>
      <c r="J1792">
        <v>0.12</v>
      </c>
      <c r="K1792">
        <v>0.49</v>
      </c>
      <c r="L1792">
        <v>0.27</v>
      </c>
      <c r="M1792">
        <v>0.49</v>
      </c>
      <c r="N1792">
        <v>0.95</v>
      </c>
      <c r="O1792">
        <v>0.28999999999999998</v>
      </c>
      <c r="P1792">
        <v>0.99</v>
      </c>
      <c r="Q1792">
        <v>0.23</v>
      </c>
      <c r="R1792" s="2">
        <v>0.21</v>
      </c>
      <c r="S1792" t="str">
        <f>IF(Table1[[#This Row],[Years_Experience]]&lt;=5,"Early Career",
IF(Table1[[#This Row],[Years_Experience]]&lt;=15,"Mid Career","Senior Level"))</f>
        <v>Mid Career</v>
      </c>
      <c r="T1792" t="str">
        <f>IF(Table1[[#This Row],[AI_Exposure_Index]]&gt;=0.7,"High Exposure", IF(Table1[[#This Row],[AI_Exposure_Index]]&gt;=0.3,"Medium Exposure","Low Exposure"))</f>
        <v>High Exposure</v>
      </c>
    </row>
    <row r="1793" spans="1:20" x14ac:dyDescent="0.25">
      <c r="A1793" t="s">
        <v>42</v>
      </c>
      <c r="B1793">
        <v>112617</v>
      </c>
      <c r="C1793" s="1">
        <v>26</v>
      </c>
      <c r="D1793" t="s">
        <v>25</v>
      </c>
      <c r="E1793" s="7">
        <v>1.25</v>
      </c>
      <c r="F1793" s="2">
        <v>0.84</v>
      </c>
      <c r="G1793" s="7">
        <v>0.59</v>
      </c>
      <c r="H1793" s="9" t="s">
        <v>27</v>
      </c>
      <c r="I1793">
        <v>0.28000000000000003</v>
      </c>
      <c r="J1793">
        <v>0.02</v>
      </c>
      <c r="K1793">
        <v>0.16</v>
      </c>
      <c r="L1793">
        <v>0.35</v>
      </c>
      <c r="M1793">
        <v>0.97</v>
      </c>
      <c r="N1793">
        <v>0.92</v>
      </c>
      <c r="O1793">
        <v>0.2</v>
      </c>
      <c r="P1793">
        <v>0.73</v>
      </c>
      <c r="Q1793">
        <v>0.57999999999999996</v>
      </c>
      <c r="R1793" s="2">
        <v>0.05</v>
      </c>
      <c r="S1793" t="str">
        <f>IF(Table1[[#This Row],[Years_Experience]]&lt;=5,"Early Career",
IF(Table1[[#This Row],[Years_Experience]]&lt;=15,"Mid Career","Senior Level"))</f>
        <v>Senior Level</v>
      </c>
      <c r="T1793" t="str">
        <f>IF(Table1[[#This Row],[AI_Exposure_Index]]&gt;=0.7,"High Exposure", IF(Table1[[#This Row],[AI_Exposure_Index]]&gt;=0.3,"Medium Exposure","Low Exposure"))</f>
        <v>High Exposure</v>
      </c>
    </row>
    <row r="1794" spans="1:20" x14ac:dyDescent="0.25">
      <c r="A1794" t="s">
        <v>18</v>
      </c>
      <c r="B1794">
        <v>36486</v>
      </c>
      <c r="C1794" s="1">
        <v>5</v>
      </c>
      <c r="D1794" t="s">
        <v>38</v>
      </c>
      <c r="E1794" s="7">
        <v>0.61</v>
      </c>
      <c r="F1794" s="2">
        <v>7.0000000000000007E-2</v>
      </c>
      <c r="G1794" s="7">
        <v>0.86</v>
      </c>
      <c r="H1794" s="9" t="s">
        <v>20</v>
      </c>
      <c r="I1794">
        <v>0.76</v>
      </c>
      <c r="J1794">
        <v>0.32</v>
      </c>
      <c r="K1794">
        <v>0.49</v>
      </c>
      <c r="L1794">
        <v>0.95</v>
      </c>
      <c r="M1794">
        <v>0.95</v>
      </c>
      <c r="N1794">
        <v>0.31</v>
      </c>
      <c r="O1794">
        <v>0.81</v>
      </c>
      <c r="P1794">
        <v>0.59</v>
      </c>
      <c r="Q1794">
        <v>0.98</v>
      </c>
      <c r="R1794" s="2">
        <v>0.48</v>
      </c>
      <c r="S1794" t="str">
        <f>IF(Table1[[#This Row],[Years_Experience]]&lt;=5,"Early Career",
IF(Table1[[#This Row],[Years_Experience]]&lt;=15,"Mid Career","Senior Level"))</f>
        <v>Early Career</v>
      </c>
      <c r="T1794" t="str">
        <f>IF(Table1[[#This Row],[AI_Exposure_Index]]&gt;=0.7,"High Exposure", IF(Table1[[#This Row],[AI_Exposure_Index]]&gt;=0.3,"Medium Exposure","Low Exposure"))</f>
        <v>Low Exposure</v>
      </c>
    </row>
    <row r="1795" spans="1:20" x14ac:dyDescent="0.25">
      <c r="A1795" t="s">
        <v>26</v>
      </c>
      <c r="B1795">
        <v>107925</v>
      </c>
      <c r="C1795" s="1">
        <v>19</v>
      </c>
      <c r="D1795" t="s">
        <v>22</v>
      </c>
      <c r="E1795" s="7">
        <v>1</v>
      </c>
      <c r="F1795" s="2">
        <v>0.77</v>
      </c>
      <c r="G1795" s="7">
        <v>0.62</v>
      </c>
      <c r="H1795" s="9" t="s">
        <v>27</v>
      </c>
      <c r="I1795">
        <v>0.26</v>
      </c>
      <c r="J1795">
        <v>0.12</v>
      </c>
      <c r="K1795">
        <v>0.43</v>
      </c>
      <c r="L1795">
        <v>0.94</v>
      </c>
      <c r="M1795">
        <v>0.5</v>
      </c>
      <c r="N1795">
        <v>0.64</v>
      </c>
      <c r="O1795">
        <v>0.62</v>
      </c>
      <c r="P1795">
        <v>0.13</v>
      </c>
      <c r="Q1795">
        <v>0.39</v>
      </c>
      <c r="R1795" s="2">
        <v>0.71</v>
      </c>
      <c r="S1795" t="str">
        <f>IF(Table1[[#This Row],[Years_Experience]]&lt;=5,"Early Career",
IF(Table1[[#This Row],[Years_Experience]]&lt;=15,"Mid Career","Senior Level"))</f>
        <v>Senior Level</v>
      </c>
      <c r="T1795" t="str">
        <f>IF(Table1[[#This Row],[AI_Exposure_Index]]&gt;=0.7,"High Exposure", IF(Table1[[#This Row],[AI_Exposure_Index]]&gt;=0.3,"Medium Exposure","Low Exposure"))</f>
        <v>High Exposure</v>
      </c>
    </row>
    <row r="1796" spans="1:20" x14ac:dyDescent="0.25">
      <c r="A1796" t="s">
        <v>30</v>
      </c>
      <c r="B1796">
        <v>52474</v>
      </c>
      <c r="C1796" s="1">
        <v>27</v>
      </c>
      <c r="D1796" t="s">
        <v>19</v>
      </c>
      <c r="E1796" s="7">
        <v>0.91</v>
      </c>
      <c r="F1796" s="2">
        <v>0.17</v>
      </c>
      <c r="G1796" s="7">
        <v>0.34</v>
      </c>
      <c r="H1796" s="9" t="s">
        <v>27</v>
      </c>
      <c r="I1796">
        <v>0.24</v>
      </c>
      <c r="J1796">
        <v>0.38</v>
      </c>
      <c r="K1796">
        <v>0.54</v>
      </c>
      <c r="L1796">
        <v>0.23</v>
      </c>
      <c r="M1796">
        <v>0.23</v>
      </c>
      <c r="N1796">
        <v>0.78</v>
      </c>
      <c r="O1796">
        <v>0.96</v>
      </c>
      <c r="P1796">
        <v>0.32</v>
      </c>
      <c r="Q1796">
        <v>0.69</v>
      </c>
      <c r="R1796" s="2">
        <v>0.26</v>
      </c>
      <c r="S1796" t="str">
        <f>IF(Table1[[#This Row],[Years_Experience]]&lt;=5,"Early Career",
IF(Table1[[#This Row],[Years_Experience]]&lt;=15,"Mid Career","Senior Level"))</f>
        <v>Senior Level</v>
      </c>
      <c r="T1796" t="str">
        <f>IF(Table1[[#This Row],[AI_Exposure_Index]]&gt;=0.7,"High Exposure", IF(Table1[[#This Row],[AI_Exposure_Index]]&gt;=0.3,"Medium Exposure","Low Exposure"))</f>
        <v>Low Exposure</v>
      </c>
    </row>
    <row r="1797" spans="1:20" x14ac:dyDescent="0.25">
      <c r="A1797" t="s">
        <v>41</v>
      </c>
      <c r="B1797">
        <v>48274</v>
      </c>
      <c r="C1797" s="1">
        <v>11</v>
      </c>
      <c r="D1797" t="s">
        <v>38</v>
      </c>
      <c r="E1797" s="7">
        <v>1.3</v>
      </c>
      <c r="F1797" s="2">
        <v>0.67</v>
      </c>
      <c r="G1797" s="7">
        <v>0.71</v>
      </c>
      <c r="H1797" s="9" t="s">
        <v>20</v>
      </c>
      <c r="I1797">
        <v>0.6</v>
      </c>
      <c r="J1797">
        <v>0.53</v>
      </c>
      <c r="K1797">
        <v>0.28999999999999998</v>
      </c>
      <c r="L1797">
        <v>0.26</v>
      </c>
      <c r="M1797">
        <v>0.57999999999999996</v>
      </c>
      <c r="N1797">
        <v>0.71</v>
      </c>
      <c r="O1797">
        <v>0.03</v>
      </c>
      <c r="P1797">
        <v>0.56999999999999995</v>
      </c>
      <c r="Q1797">
        <v>0.17</v>
      </c>
      <c r="R1797" s="2">
        <v>0.14000000000000001</v>
      </c>
      <c r="S1797" t="str">
        <f>IF(Table1[[#This Row],[Years_Experience]]&lt;=5,"Early Career",
IF(Table1[[#This Row],[Years_Experience]]&lt;=15,"Mid Career","Senior Level"))</f>
        <v>Mid Career</v>
      </c>
      <c r="T1797" t="str">
        <f>IF(Table1[[#This Row],[AI_Exposure_Index]]&gt;=0.7,"High Exposure", IF(Table1[[#This Row],[AI_Exposure_Index]]&gt;=0.3,"Medium Exposure","Low Exposure"))</f>
        <v>Medium Exposure</v>
      </c>
    </row>
    <row r="1798" spans="1:20" x14ac:dyDescent="0.25">
      <c r="A1798" t="s">
        <v>44</v>
      </c>
      <c r="B1798">
        <v>79696</v>
      </c>
      <c r="C1798" s="1">
        <v>28</v>
      </c>
      <c r="D1798" t="s">
        <v>22</v>
      </c>
      <c r="E1798" s="7">
        <v>0.94</v>
      </c>
      <c r="F1798" s="2">
        <v>0.31</v>
      </c>
      <c r="G1798" s="7">
        <v>0.44</v>
      </c>
      <c r="H1798" s="9" t="s">
        <v>27</v>
      </c>
      <c r="I1798">
        <v>0.65</v>
      </c>
      <c r="J1798">
        <v>0.47</v>
      </c>
      <c r="K1798">
        <v>0.96</v>
      </c>
      <c r="L1798">
        <v>0.35</v>
      </c>
      <c r="M1798">
        <v>0.74</v>
      </c>
      <c r="N1798">
        <v>0.26</v>
      </c>
      <c r="O1798">
        <v>0.51</v>
      </c>
      <c r="P1798">
        <v>0.55000000000000004</v>
      </c>
      <c r="Q1798">
        <v>0.33</v>
      </c>
      <c r="R1798" s="2">
        <v>0.47</v>
      </c>
      <c r="S1798" t="str">
        <f>IF(Table1[[#This Row],[Years_Experience]]&lt;=5,"Early Career",
IF(Table1[[#This Row],[Years_Experience]]&lt;=15,"Mid Career","Senior Level"))</f>
        <v>Senior Level</v>
      </c>
      <c r="T1798" t="str">
        <f>IF(Table1[[#This Row],[AI_Exposure_Index]]&gt;=0.7,"High Exposure", IF(Table1[[#This Row],[AI_Exposure_Index]]&gt;=0.3,"Medium Exposure","Low Exposure"))</f>
        <v>Medium Exposure</v>
      </c>
    </row>
    <row r="1799" spans="1:20" x14ac:dyDescent="0.25">
      <c r="A1799" t="s">
        <v>34</v>
      </c>
      <c r="B1799">
        <v>82736</v>
      </c>
      <c r="C1799" s="1">
        <v>21</v>
      </c>
      <c r="D1799" t="s">
        <v>22</v>
      </c>
      <c r="E1799" s="7">
        <v>0.72</v>
      </c>
      <c r="F1799" s="2">
        <v>0.01</v>
      </c>
      <c r="G1799" s="7">
        <v>0.57999999999999996</v>
      </c>
      <c r="H1799" s="9" t="s">
        <v>27</v>
      </c>
      <c r="I1799">
        <v>0.77</v>
      </c>
      <c r="J1799">
        <v>0.28000000000000003</v>
      </c>
      <c r="K1799">
        <v>0.41</v>
      </c>
      <c r="L1799">
        <v>0.04</v>
      </c>
      <c r="M1799">
        <v>0.24</v>
      </c>
      <c r="N1799">
        <v>0.78</v>
      </c>
      <c r="O1799">
        <v>0.61</v>
      </c>
      <c r="P1799">
        <v>0.21</v>
      </c>
      <c r="Q1799">
        <v>0.26</v>
      </c>
      <c r="R1799" s="2">
        <v>0.82</v>
      </c>
      <c r="S1799" t="str">
        <f>IF(Table1[[#This Row],[Years_Experience]]&lt;=5,"Early Career",
IF(Table1[[#This Row],[Years_Experience]]&lt;=15,"Mid Career","Senior Level"))</f>
        <v>Senior Level</v>
      </c>
      <c r="T1799" t="str">
        <f>IF(Table1[[#This Row],[AI_Exposure_Index]]&gt;=0.7,"High Exposure", IF(Table1[[#This Row],[AI_Exposure_Index]]&gt;=0.3,"Medium Exposure","Low Exposure"))</f>
        <v>Low Exposure</v>
      </c>
    </row>
    <row r="1800" spans="1:20" x14ac:dyDescent="0.25">
      <c r="A1800" t="s">
        <v>40</v>
      </c>
      <c r="B1800">
        <v>65539</v>
      </c>
      <c r="C1800" s="1">
        <v>9</v>
      </c>
      <c r="D1800" t="s">
        <v>38</v>
      </c>
      <c r="E1800" s="7">
        <v>1.1599999999999999</v>
      </c>
      <c r="F1800" s="2">
        <v>0.33</v>
      </c>
      <c r="G1800" s="7">
        <v>0.19</v>
      </c>
      <c r="H1800" s="9" t="s">
        <v>23</v>
      </c>
      <c r="I1800">
        <v>0.46</v>
      </c>
      <c r="J1800">
        <v>0.9</v>
      </c>
      <c r="K1800">
        <v>0.22</v>
      </c>
      <c r="L1800">
        <v>0.74</v>
      </c>
      <c r="M1800">
        <v>0.16</v>
      </c>
      <c r="N1800">
        <v>0.62</v>
      </c>
      <c r="O1800">
        <v>0.87</v>
      </c>
      <c r="P1800">
        <v>0.46</v>
      </c>
      <c r="Q1800">
        <v>0.72</v>
      </c>
      <c r="R1800" s="2">
        <v>0.82</v>
      </c>
      <c r="S1800" t="str">
        <f>IF(Table1[[#This Row],[Years_Experience]]&lt;=5,"Early Career",
IF(Table1[[#This Row],[Years_Experience]]&lt;=15,"Mid Career","Senior Level"))</f>
        <v>Mid Career</v>
      </c>
      <c r="T1800" t="str">
        <f>IF(Table1[[#This Row],[AI_Exposure_Index]]&gt;=0.7,"High Exposure", IF(Table1[[#This Row],[AI_Exposure_Index]]&gt;=0.3,"Medium Exposure","Low Exposure"))</f>
        <v>Medium Exposure</v>
      </c>
    </row>
    <row r="1801" spans="1:20" x14ac:dyDescent="0.25">
      <c r="A1801" t="s">
        <v>44</v>
      </c>
      <c r="B1801">
        <v>71135</v>
      </c>
      <c r="C1801" s="1">
        <v>9</v>
      </c>
      <c r="D1801" t="s">
        <v>38</v>
      </c>
      <c r="E1801" s="7">
        <v>1.42</v>
      </c>
      <c r="F1801" s="2">
        <v>0.71</v>
      </c>
      <c r="G1801" s="7">
        <v>0.53</v>
      </c>
      <c r="H1801" s="9" t="s">
        <v>27</v>
      </c>
      <c r="I1801">
        <v>0.19</v>
      </c>
      <c r="J1801">
        <v>0.13</v>
      </c>
      <c r="K1801">
        <v>0.26</v>
      </c>
      <c r="L1801">
        <v>0.1</v>
      </c>
      <c r="M1801">
        <v>0.51</v>
      </c>
      <c r="N1801">
        <v>7.0000000000000007E-2</v>
      </c>
      <c r="O1801">
        <v>0.22</v>
      </c>
      <c r="P1801">
        <v>0.44</v>
      </c>
      <c r="Q1801">
        <v>0.47</v>
      </c>
      <c r="R1801" s="2">
        <v>0.56999999999999995</v>
      </c>
      <c r="S1801" t="str">
        <f>IF(Table1[[#This Row],[Years_Experience]]&lt;=5,"Early Career",
IF(Table1[[#This Row],[Years_Experience]]&lt;=15,"Mid Career","Senior Level"))</f>
        <v>Mid Career</v>
      </c>
      <c r="T1801" t="str">
        <f>IF(Table1[[#This Row],[AI_Exposure_Index]]&gt;=0.7,"High Exposure", IF(Table1[[#This Row],[AI_Exposure_Index]]&gt;=0.3,"Medium Exposure","Low Exposure"))</f>
        <v>High Exposure</v>
      </c>
    </row>
    <row r="1802" spans="1:20" x14ac:dyDescent="0.25">
      <c r="A1802" t="s">
        <v>35</v>
      </c>
      <c r="B1802">
        <v>107487</v>
      </c>
      <c r="C1802" s="1">
        <v>3</v>
      </c>
      <c r="D1802" t="s">
        <v>38</v>
      </c>
      <c r="E1802" s="7">
        <v>0.57999999999999996</v>
      </c>
      <c r="F1802" s="2">
        <v>0.05</v>
      </c>
      <c r="G1802" s="7">
        <v>0.32</v>
      </c>
      <c r="H1802" s="9" t="s">
        <v>27</v>
      </c>
      <c r="I1802">
        <v>0.42</v>
      </c>
      <c r="J1802">
        <v>0.04</v>
      </c>
      <c r="K1802">
        <v>0.75</v>
      </c>
      <c r="L1802">
        <v>0.22</v>
      </c>
      <c r="M1802">
        <v>0.94</v>
      </c>
      <c r="N1802">
        <v>0.49</v>
      </c>
      <c r="O1802">
        <v>0.45</v>
      </c>
      <c r="P1802">
        <v>0.78</v>
      </c>
      <c r="Q1802">
        <v>0.71</v>
      </c>
      <c r="R1802" s="2">
        <v>0.61</v>
      </c>
      <c r="S1802" t="str">
        <f>IF(Table1[[#This Row],[Years_Experience]]&lt;=5,"Early Career",
IF(Table1[[#This Row],[Years_Experience]]&lt;=15,"Mid Career","Senior Level"))</f>
        <v>Early Career</v>
      </c>
      <c r="T1802" t="str">
        <f>IF(Table1[[#This Row],[AI_Exposure_Index]]&gt;=0.7,"High Exposure", IF(Table1[[#This Row],[AI_Exposure_Index]]&gt;=0.3,"Medium Exposure","Low Exposure"))</f>
        <v>Low Exposure</v>
      </c>
    </row>
    <row r="1803" spans="1:20" x14ac:dyDescent="0.25">
      <c r="A1803" t="s">
        <v>34</v>
      </c>
      <c r="B1803">
        <v>146298</v>
      </c>
      <c r="C1803" s="1">
        <v>6</v>
      </c>
      <c r="D1803" t="s">
        <v>38</v>
      </c>
      <c r="E1803" s="7">
        <v>1.04</v>
      </c>
      <c r="F1803" s="2">
        <v>0.64</v>
      </c>
      <c r="G1803" s="7">
        <v>0.54</v>
      </c>
      <c r="H1803" s="9" t="s">
        <v>27</v>
      </c>
      <c r="I1803">
        <v>0.68</v>
      </c>
      <c r="J1803">
        <v>0.17</v>
      </c>
      <c r="K1803">
        <v>0.3</v>
      </c>
      <c r="L1803">
        <v>0.74</v>
      </c>
      <c r="M1803">
        <v>0.16</v>
      </c>
      <c r="N1803">
        <v>0.34</v>
      </c>
      <c r="O1803">
        <v>0.67</v>
      </c>
      <c r="P1803">
        <v>0.94</v>
      </c>
      <c r="Q1803">
        <v>0.08</v>
      </c>
      <c r="R1803" s="2">
        <v>0.52</v>
      </c>
      <c r="S1803" t="str">
        <f>IF(Table1[[#This Row],[Years_Experience]]&lt;=5,"Early Career",
IF(Table1[[#This Row],[Years_Experience]]&lt;=15,"Mid Career","Senior Level"))</f>
        <v>Mid Career</v>
      </c>
      <c r="T1803" t="str">
        <f>IF(Table1[[#This Row],[AI_Exposure_Index]]&gt;=0.7,"High Exposure", IF(Table1[[#This Row],[AI_Exposure_Index]]&gt;=0.3,"Medium Exposure","Low Exposure"))</f>
        <v>Medium Exposure</v>
      </c>
    </row>
    <row r="1804" spans="1:20" x14ac:dyDescent="0.25">
      <c r="A1804" t="s">
        <v>42</v>
      </c>
      <c r="B1804">
        <v>144571</v>
      </c>
      <c r="C1804" s="1">
        <v>22</v>
      </c>
      <c r="D1804" t="s">
        <v>19</v>
      </c>
      <c r="E1804" s="7">
        <v>0.68</v>
      </c>
      <c r="F1804" s="2">
        <v>0.38</v>
      </c>
      <c r="G1804" s="7">
        <v>0.56000000000000005</v>
      </c>
      <c r="H1804" s="9" t="s">
        <v>27</v>
      </c>
      <c r="I1804">
        <v>0.76</v>
      </c>
      <c r="J1804">
        <v>0.25</v>
      </c>
      <c r="K1804">
        <v>0.71</v>
      </c>
      <c r="L1804">
        <v>0.45</v>
      </c>
      <c r="M1804">
        <v>0.28000000000000003</v>
      </c>
      <c r="N1804">
        <v>0.52</v>
      </c>
      <c r="O1804">
        <v>0.38</v>
      </c>
      <c r="P1804">
        <v>0.23</v>
      </c>
      <c r="Q1804">
        <v>0.76</v>
      </c>
      <c r="R1804" s="2">
        <v>0.8</v>
      </c>
      <c r="S1804" t="str">
        <f>IF(Table1[[#This Row],[Years_Experience]]&lt;=5,"Early Career",
IF(Table1[[#This Row],[Years_Experience]]&lt;=15,"Mid Career","Senior Level"))</f>
        <v>Senior Level</v>
      </c>
      <c r="T1804" t="str">
        <f>IF(Table1[[#This Row],[AI_Exposure_Index]]&gt;=0.7,"High Exposure", IF(Table1[[#This Row],[AI_Exposure_Index]]&gt;=0.3,"Medium Exposure","Low Exposure"))</f>
        <v>Medium Exposure</v>
      </c>
    </row>
    <row r="1805" spans="1:20" x14ac:dyDescent="0.25">
      <c r="A1805" t="s">
        <v>26</v>
      </c>
      <c r="B1805">
        <v>112753</v>
      </c>
      <c r="C1805" s="1">
        <v>1</v>
      </c>
      <c r="D1805" t="s">
        <v>19</v>
      </c>
      <c r="E1805" s="7">
        <v>0.67</v>
      </c>
      <c r="F1805" s="2">
        <v>0.38</v>
      </c>
      <c r="G1805" s="7">
        <v>0.64</v>
      </c>
      <c r="H1805" s="9" t="s">
        <v>27</v>
      </c>
      <c r="I1805">
        <v>0.33</v>
      </c>
      <c r="J1805">
        <v>0.75</v>
      </c>
      <c r="K1805">
        <v>0.82</v>
      </c>
      <c r="L1805">
        <v>0.77</v>
      </c>
      <c r="M1805">
        <v>0.39</v>
      </c>
      <c r="N1805">
        <v>0.94</v>
      </c>
      <c r="O1805">
        <v>0.66</v>
      </c>
      <c r="P1805">
        <v>0.57999999999999996</v>
      </c>
      <c r="Q1805">
        <v>0.7</v>
      </c>
      <c r="R1805" s="2">
        <v>0.04</v>
      </c>
      <c r="S1805" t="str">
        <f>IF(Table1[[#This Row],[Years_Experience]]&lt;=5,"Early Career",
IF(Table1[[#This Row],[Years_Experience]]&lt;=15,"Mid Career","Senior Level"))</f>
        <v>Early Career</v>
      </c>
      <c r="T1805" t="str">
        <f>IF(Table1[[#This Row],[AI_Exposure_Index]]&gt;=0.7,"High Exposure", IF(Table1[[#This Row],[AI_Exposure_Index]]&gt;=0.3,"Medium Exposure","Low Exposure"))</f>
        <v>Medium Exposure</v>
      </c>
    </row>
    <row r="1806" spans="1:20" x14ac:dyDescent="0.25">
      <c r="A1806" t="s">
        <v>26</v>
      </c>
      <c r="B1806">
        <v>81716</v>
      </c>
      <c r="C1806" s="1">
        <v>26</v>
      </c>
      <c r="D1806" t="s">
        <v>19</v>
      </c>
      <c r="E1806" s="7">
        <v>0.66</v>
      </c>
      <c r="F1806" s="2">
        <v>0.88</v>
      </c>
      <c r="G1806" s="7">
        <v>0.47</v>
      </c>
      <c r="H1806" s="9" t="s">
        <v>27</v>
      </c>
      <c r="I1806">
        <v>0.41</v>
      </c>
      <c r="J1806">
        <v>0.36</v>
      </c>
      <c r="K1806">
        <v>0.56000000000000005</v>
      </c>
      <c r="L1806">
        <v>1</v>
      </c>
      <c r="M1806">
        <v>0.26</v>
      </c>
      <c r="N1806">
        <v>0.7</v>
      </c>
      <c r="O1806">
        <v>0.76</v>
      </c>
      <c r="P1806">
        <v>0.57999999999999996</v>
      </c>
      <c r="Q1806">
        <v>0.1</v>
      </c>
      <c r="R1806" s="2">
        <v>0.56999999999999995</v>
      </c>
      <c r="S1806" t="str">
        <f>IF(Table1[[#This Row],[Years_Experience]]&lt;=5,"Early Career",
IF(Table1[[#This Row],[Years_Experience]]&lt;=15,"Mid Career","Senior Level"))</f>
        <v>Senior Level</v>
      </c>
      <c r="T1806" t="str">
        <f>IF(Table1[[#This Row],[AI_Exposure_Index]]&gt;=0.7,"High Exposure", IF(Table1[[#This Row],[AI_Exposure_Index]]&gt;=0.3,"Medium Exposure","Low Exposure"))</f>
        <v>High Exposure</v>
      </c>
    </row>
    <row r="1807" spans="1:20" x14ac:dyDescent="0.25">
      <c r="A1807" t="s">
        <v>29</v>
      </c>
      <c r="B1807">
        <v>46250</v>
      </c>
      <c r="C1807" s="1">
        <v>19</v>
      </c>
      <c r="D1807" t="s">
        <v>22</v>
      </c>
      <c r="E1807" s="7">
        <v>1.1399999999999999</v>
      </c>
      <c r="F1807" s="2">
        <v>0.34</v>
      </c>
      <c r="G1807" s="7">
        <v>0.28999999999999998</v>
      </c>
      <c r="H1807" s="9" t="s">
        <v>23</v>
      </c>
      <c r="I1807">
        <v>0.8</v>
      </c>
      <c r="J1807">
        <v>0.69</v>
      </c>
      <c r="K1807">
        <v>0.97</v>
      </c>
      <c r="L1807">
        <v>0.17</v>
      </c>
      <c r="M1807">
        <v>0.77</v>
      </c>
      <c r="N1807">
        <v>0.41</v>
      </c>
      <c r="O1807">
        <v>0.36</v>
      </c>
      <c r="P1807">
        <v>0.52</v>
      </c>
      <c r="Q1807">
        <v>0.03</v>
      </c>
      <c r="R1807" s="2">
        <v>0.31</v>
      </c>
      <c r="S1807" t="str">
        <f>IF(Table1[[#This Row],[Years_Experience]]&lt;=5,"Early Career",
IF(Table1[[#This Row],[Years_Experience]]&lt;=15,"Mid Career","Senior Level"))</f>
        <v>Senior Level</v>
      </c>
      <c r="T1807" t="str">
        <f>IF(Table1[[#This Row],[AI_Exposure_Index]]&gt;=0.7,"High Exposure", IF(Table1[[#This Row],[AI_Exposure_Index]]&gt;=0.3,"Medium Exposure","Low Exposure"))</f>
        <v>Medium Exposure</v>
      </c>
    </row>
    <row r="1808" spans="1:20" x14ac:dyDescent="0.25">
      <c r="A1808" t="s">
        <v>40</v>
      </c>
      <c r="B1808">
        <v>102006</v>
      </c>
      <c r="C1808" s="1">
        <v>17</v>
      </c>
      <c r="D1808" t="s">
        <v>38</v>
      </c>
      <c r="E1808" s="7">
        <v>0.84</v>
      </c>
      <c r="F1808" s="2">
        <v>0.14000000000000001</v>
      </c>
      <c r="G1808" s="7">
        <v>0.25</v>
      </c>
      <c r="H1808" s="9" t="s">
        <v>23</v>
      </c>
      <c r="I1808">
        <v>0.2</v>
      </c>
      <c r="J1808">
        <v>0.53</v>
      </c>
      <c r="K1808">
        <v>0.75</v>
      </c>
      <c r="L1808">
        <v>0.24</v>
      </c>
      <c r="M1808">
        <v>0.92</v>
      </c>
      <c r="N1808">
        <v>0.87</v>
      </c>
      <c r="O1808">
        <v>0.25</v>
      </c>
      <c r="P1808">
        <v>0.99</v>
      </c>
      <c r="Q1808">
        <v>0.67</v>
      </c>
      <c r="R1808" s="2">
        <v>0.28999999999999998</v>
      </c>
      <c r="S1808" t="str">
        <f>IF(Table1[[#This Row],[Years_Experience]]&lt;=5,"Early Career",
IF(Table1[[#This Row],[Years_Experience]]&lt;=15,"Mid Career","Senior Level"))</f>
        <v>Senior Level</v>
      </c>
      <c r="T1808" t="str">
        <f>IF(Table1[[#This Row],[AI_Exposure_Index]]&gt;=0.7,"High Exposure", IF(Table1[[#This Row],[AI_Exposure_Index]]&gt;=0.3,"Medium Exposure","Low Exposure"))</f>
        <v>Low Exposure</v>
      </c>
    </row>
    <row r="1809" spans="1:20" x14ac:dyDescent="0.25">
      <c r="A1809" t="s">
        <v>40</v>
      </c>
      <c r="B1809">
        <v>60837</v>
      </c>
      <c r="C1809" s="1">
        <v>5</v>
      </c>
      <c r="D1809" t="s">
        <v>19</v>
      </c>
      <c r="E1809" s="7">
        <v>1.1100000000000001</v>
      </c>
      <c r="F1809" s="2">
        <v>0.67</v>
      </c>
      <c r="G1809" s="7">
        <v>0.23</v>
      </c>
      <c r="H1809" s="9" t="s">
        <v>23</v>
      </c>
      <c r="I1809">
        <v>0.27</v>
      </c>
      <c r="J1809">
        <v>0.98</v>
      </c>
      <c r="K1809">
        <v>0.86</v>
      </c>
      <c r="L1809">
        <v>0.75</v>
      </c>
      <c r="M1809">
        <v>0.03</v>
      </c>
      <c r="N1809">
        <v>0.59</v>
      </c>
      <c r="O1809">
        <v>0.71</v>
      </c>
      <c r="P1809">
        <v>0.85</v>
      </c>
      <c r="Q1809">
        <v>0.95</v>
      </c>
      <c r="R1809" s="2">
        <v>0.92</v>
      </c>
      <c r="S1809" t="str">
        <f>IF(Table1[[#This Row],[Years_Experience]]&lt;=5,"Early Career",
IF(Table1[[#This Row],[Years_Experience]]&lt;=15,"Mid Career","Senior Level"))</f>
        <v>Early Career</v>
      </c>
      <c r="T1809" t="str">
        <f>IF(Table1[[#This Row],[AI_Exposure_Index]]&gt;=0.7,"High Exposure", IF(Table1[[#This Row],[AI_Exposure_Index]]&gt;=0.3,"Medium Exposure","Low Exposure"))</f>
        <v>Medium Exposure</v>
      </c>
    </row>
    <row r="1810" spans="1:20" x14ac:dyDescent="0.25">
      <c r="A1810" t="s">
        <v>36</v>
      </c>
      <c r="B1810">
        <v>66742</v>
      </c>
      <c r="C1810" s="1">
        <v>3</v>
      </c>
      <c r="D1810" t="s">
        <v>25</v>
      </c>
      <c r="E1810" s="7">
        <v>0.97</v>
      </c>
      <c r="F1810" s="2">
        <v>0.6</v>
      </c>
      <c r="G1810" s="7">
        <v>0.43</v>
      </c>
      <c r="H1810" s="9" t="s">
        <v>27</v>
      </c>
      <c r="I1810">
        <v>0.37</v>
      </c>
      <c r="J1810">
        <v>0.37</v>
      </c>
      <c r="K1810">
        <v>0.97</v>
      </c>
      <c r="L1810">
        <v>0.23</v>
      </c>
      <c r="M1810">
        <v>0.82</v>
      </c>
      <c r="N1810">
        <v>0.71</v>
      </c>
      <c r="O1810">
        <v>0.01</v>
      </c>
      <c r="P1810">
        <v>0.99</v>
      </c>
      <c r="Q1810">
        <v>0.76</v>
      </c>
      <c r="R1810" s="2">
        <v>0.68</v>
      </c>
      <c r="S1810" t="str">
        <f>IF(Table1[[#This Row],[Years_Experience]]&lt;=5,"Early Career",
IF(Table1[[#This Row],[Years_Experience]]&lt;=15,"Mid Career","Senior Level"))</f>
        <v>Early Career</v>
      </c>
      <c r="T1810" t="str">
        <f>IF(Table1[[#This Row],[AI_Exposure_Index]]&gt;=0.7,"High Exposure", IF(Table1[[#This Row],[AI_Exposure_Index]]&gt;=0.3,"Medium Exposure","Low Exposure"))</f>
        <v>Medium Exposure</v>
      </c>
    </row>
    <row r="1811" spans="1:20" x14ac:dyDescent="0.25">
      <c r="A1811" t="s">
        <v>37</v>
      </c>
      <c r="B1811">
        <v>119131</v>
      </c>
      <c r="C1811" s="1">
        <v>10</v>
      </c>
      <c r="D1811" t="s">
        <v>22</v>
      </c>
      <c r="E1811" s="7">
        <v>0.75</v>
      </c>
      <c r="F1811" s="2">
        <v>0.56000000000000005</v>
      </c>
      <c r="G1811" s="7">
        <v>0.31</v>
      </c>
      <c r="H1811" s="9" t="s">
        <v>27</v>
      </c>
      <c r="I1811">
        <v>0.84</v>
      </c>
      <c r="J1811">
        <v>0.9</v>
      </c>
      <c r="K1811">
        <v>0.16</v>
      </c>
      <c r="L1811">
        <v>0.79</v>
      </c>
      <c r="M1811">
        <v>0.74</v>
      </c>
      <c r="N1811">
        <v>0.18</v>
      </c>
      <c r="O1811">
        <v>0.42</v>
      </c>
      <c r="P1811">
        <v>0.42</v>
      </c>
      <c r="Q1811">
        <v>0.76</v>
      </c>
      <c r="R1811" s="2">
        <v>0.84</v>
      </c>
      <c r="S1811" t="str">
        <f>IF(Table1[[#This Row],[Years_Experience]]&lt;=5,"Early Career",
IF(Table1[[#This Row],[Years_Experience]]&lt;=15,"Mid Career","Senior Level"))</f>
        <v>Mid Career</v>
      </c>
      <c r="T1811" t="str">
        <f>IF(Table1[[#This Row],[AI_Exposure_Index]]&gt;=0.7,"High Exposure", IF(Table1[[#This Row],[AI_Exposure_Index]]&gt;=0.3,"Medium Exposure","Low Exposure"))</f>
        <v>Medium Exposure</v>
      </c>
    </row>
    <row r="1812" spans="1:20" x14ac:dyDescent="0.25">
      <c r="A1812" t="s">
        <v>30</v>
      </c>
      <c r="B1812">
        <v>107497</v>
      </c>
      <c r="C1812" s="1">
        <v>29</v>
      </c>
      <c r="D1812" t="s">
        <v>22</v>
      </c>
      <c r="E1812" s="7">
        <v>1.26</v>
      </c>
      <c r="F1812" s="2">
        <v>0.56000000000000005</v>
      </c>
      <c r="G1812" s="7">
        <v>0.61</v>
      </c>
      <c r="H1812" s="9" t="s">
        <v>27</v>
      </c>
      <c r="I1812">
        <v>0.15</v>
      </c>
      <c r="J1812">
        <v>0.53</v>
      </c>
      <c r="K1812">
        <v>0.86</v>
      </c>
      <c r="L1812">
        <v>0.32</v>
      </c>
      <c r="M1812">
        <v>0.43</v>
      </c>
      <c r="N1812">
        <v>0.8</v>
      </c>
      <c r="O1812">
        <v>0.09</v>
      </c>
      <c r="P1812">
        <v>0.86</v>
      </c>
      <c r="Q1812">
        <v>0.31</v>
      </c>
      <c r="R1812" s="2">
        <v>0</v>
      </c>
      <c r="S1812" t="str">
        <f>IF(Table1[[#This Row],[Years_Experience]]&lt;=5,"Early Career",
IF(Table1[[#This Row],[Years_Experience]]&lt;=15,"Mid Career","Senior Level"))</f>
        <v>Senior Level</v>
      </c>
      <c r="T1812" t="str">
        <f>IF(Table1[[#This Row],[AI_Exposure_Index]]&gt;=0.7,"High Exposure", IF(Table1[[#This Row],[AI_Exposure_Index]]&gt;=0.3,"Medium Exposure","Low Exposure"))</f>
        <v>Medium Exposure</v>
      </c>
    </row>
    <row r="1813" spans="1:20" x14ac:dyDescent="0.25">
      <c r="A1813" t="s">
        <v>32</v>
      </c>
      <c r="B1813">
        <v>57788</v>
      </c>
      <c r="C1813" s="1">
        <v>14</v>
      </c>
      <c r="D1813" t="s">
        <v>22</v>
      </c>
      <c r="E1813" s="7">
        <v>0.82</v>
      </c>
      <c r="F1813" s="2">
        <v>0.68</v>
      </c>
      <c r="G1813" s="7">
        <v>0.35</v>
      </c>
      <c r="H1813" s="9" t="s">
        <v>27</v>
      </c>
      <c r="I1813">
        <v>0.62</v>
      </c>
      <c r="J1813">
        <v>0.22</v>
      </c>
      <c r="K1813">
        <v>0.68</v>
      </c>
      <c r="L1813">
        <v>0.84</v>
      </c>
      <c r="M1813">
        <v>0.12</v>
      </c>
      <c r="N1813">
        <v>0.44</v>
      </c>
      <c r="O1813">
        <v>0.44</v>
      </c>
      <c r="P1813">
        <v>0.63</v>
      </c>
      <c r="Q1813">
        <v>0.33</v>
      </c>
      <c r="R1813" s="2">
        <v>0.42</v>
      </c>
      <c r="S1813" t="str">
        <f>IF(Table1[[#This Row],[Years_Experience]]&lt;=5,"Early Career",
IF(Table1[[#This Row],[Years_Experience]]&lt;=15,"Mid Career","Senior Level"))</f>
        <v>Mid Career</v>
      </c>
      <c r="T1813" t="str">
        <f>IF(Table1[[#This Row],[AI_Exposure_Index]]&gt;=0.7,"High Exposure", IF(Table1[[#This Row],[AI_Exposure_Index]]&gt;=0.3,"Medium Exposure","Low Exposure"))</f>
        <v>Medium Exposure</v>
      </c>
    </row>
    <row r="1814" spans="1:20" x14ac:dyDescent="0.25">
      <c r="A1814" t="s">
        <v>30</v>
      </c>
      <c r="B1814">
        <v>64712</v>
      </c>
      <c r="C1814" s="1">
        <v>19</v>
      </c>
      <c r="D1814" t="s">
        <v>22</v>
      </c>
      <c r="E1814" s="7">
        <v>0.78</v>
      </c>
      <c r="F1814" s="2">
        <v>0.65</v>
      </c>
      <c r="G1814" s="7">
        <v>0.62</v>
      </c>
      <c r="H1814" s="9" t="s">
        <v>27</v>
      </c>
      <c r="I1814">
        <v>0.67</v>
      </c>
      <c r="J1814">
        <v>0.65</v>
      </c>
      <c r="K1814">
        <v>0.42</v>
      </c>
      <c r="L1814">
        <v>0.96</v>
      </c>
      <c r="M1814">
        <v>0.27</v>
      </c>
      <c r="N1814">
        <v>0.57999999999999996</v>
      </c>
      <c r="O1814">
        <v>0.31</v>
      </c>
      <c r="P1814">
        <v>0.74</v>
      </c>
      <c r="Q1814">
        <v>0.05</v>
      </c>
      <c r="R1814" s="2">
        <v>0.05</v>
      </c>
      <c r="S1814" t="str">
        <f>IF(Table1[[#This Row],[Years_Experience]]&lt;=5,"Early Career",
IF(Table1[[#This Row],[Years_Experience]]&lt;=15,"Mid Career","Senior Level"))</f>
        <v>Senior Level</v>
      </c>
      <c r="T1814" t="str">
        <f>IF(Table1[[#This Row],[AI_Exposure_Index]]&gt;=0.7,"High Exposure", IF(Table1[[#This Row],[AI_Exposure_Index]]&gt;=0.3,"Medium Exposure","Low Exposure"))</f>
        <v>Medium Exposure</v>
      </c>
    </row>
    <row r="1815" spans="1:20" x14ac:dyDescent="0.25">
      <c r="A1815" t="s">
        <v>28</v>
      </c>
      <c r="B1815">
        <v>68319</v>
      </c>
      <c r="C1815" s="1">
        <v>6</v>
      </c>
      <c r="D1815" t="s">
        <v>19</v>
      </c>
      <c r="E1815" s="7">
        <v>0.84</v>
      </c>
      <c r="F1815" s="2">
        <v>0.43</v>
      </c>
      <c r="G1815" s="7">
        <v>0.54</v>
      </c>
      <c r="H1815" s="9" t="s">
        <v>27</v>
      </c>
      <c r="I1815">
        <v>0.7</v>
      </c>
      <c r="J1815">
        <v>0.2</v>
      </c>
      <c r="K1815">
        <v>0.19</v>
      </c>
      <c r="L1815">
        <v>0.96</v>
      </c>
      <c r="M1815">
        <v>0.59</v>
      </c>
      <c r="N1815">
        <v>0.39</v>
      </c>
      <c r="O1815">
        <v>0.8</v>
      </c>
      <c r="P1815">
        <v>0.53</v>
      </c>
      <c r="Q1815">
        <v>0.24</v>
      </c>
      <c r="R1815" s="2">
        <v>0.21</v>
      </c>
      <c r="S1815" t="str">
        <f>IF(Table1[[#This Row],[Years_Experience]]&lt;=5,"Early Career",
IF(Table1[[#This Row],[Years_Experience]]&lt;=15,"Mid Career","Senior Level"))</f>
        <v>Mid Career</v>
      </c>
      <c r="T1815" t="str">
        <f>IF(Table1[[#This Row],[AI_Exposure_Index]]&gt;=0.7,"High Exposure", IF(Table1[[#This Row],[AI_Exposure_Index]]&gt;=0.3,"Medium Exposure","Low Exposure"))</f>
        <v>Medium Exposure</v>
      </c>
    </row>
    <row r="1816" spans="1:20" x14ac:dyDescent="0.25">
      <c r="A1816" t="s">
        <v>39</v>
      </c>
      <c r="B1816">
        <v>67289</v>
      </c>
      <c r="C1816" s="1">
        <v>22</v>
      </c>
      <c r="D1816" t="s">
        <v>22</v>
      </c>
      <c r="E1816" s="7">
        <v>0.56000000000000005</v>
      </c>
      <c r="F1816" s="2">
        <v>0.86</v>
      </c>
      <c r="G1816" s="7">
        <v>0.75</v>
      </c>
      <c r="H1816" s="9" t="s">
        <v>20</v>
      </c>
      <c r="I1816">
        <v>0.89</v>
      </c>
      <c r="J1816">
        <v>0.12</v>
      </c>
      <c r="K1816">
        <v>0.63</v>
      </c>
      <c r="L1816">
        <v>0.21</v>
      </c>
      <c r="M1816">
        <v>0.61</v>
      </c>
      <c r="N1816">
        <v>0.38</v>
      </c>
      <c r="O1816">
        <v>0.1</v>
      </c>
      <c r="P1816">
        <v>0.57999999999999996</v>
      </c>
      <c r="Q1816">
        <v>0.68</v>
      </c>
      <c r="R1816" s="2">
        <v>0.68</v>
      </c>
      <c r="S1816" t="str">
        <f>IF(Table1[[#This Row],[Years_Experience]]&lt;=5,"Early Career",
IF(Table1[[#This Row],[Years_Experience]]&lt;=15,"Mid Career","Senior Level"))</f>
        <v>Senior Level</v>
      </c>
      <c r="T1816" t="str">
        <f>IF(Table1[[#This Row],[AI_Exposure_Index]]&gt;=0.7,"High Exposure", IF(Table1[[#This Row],[AI_Exposure_Index]]&gt;=0.3,"Medium Exposure","Low Exposure"))</f>
        <v>High Exposure</v>
      </c>
    </row>
    <row r="1817" spans="1:20" x14ac:dyDescent="0.25">
      <c r="A1817" t="s">
        <v>34</v>
      </c>
      <c r="B1817">
        <v>75040</v>
      </c>
      <c r="C1817" s="1">
        <v>4</v>
      </c>
      <c r="D1817" t="s">
        <v>19</v>
      </c>
      <c r="E1817" s="7">
        <v>1.02</v>
      </c>
      <c r="F1817" s="2">
        <v>0.5</v>
      </c>
      <c r="G1817" s="7">
        <v>0.55000000000000004</v>
      </c>
      <c r="H1817" s="9" t="s">
        <v>27</v>
      </c>
      <c r="I1817">
        <v>0.69</v>
      </c>
      <c r="J1817">
        <v>0.65</v>
      </c>
      <c r="K1817">
        <v>0.59</v>
      </c>
      <c r="L1817">
        <v>0.16</v>
      </c>
      <c r="M1817">
        <v>0.21</v>
      </c>
      <c r="N1817">
        <v>0.26</v>
      </c>
      <c r="O1817">
        <v>0.92</v>
      </c>
      <c r="P1817">
        <v>0.76</v>
      </c>
      <c r="Q1817">
        <v>0.55000000000000004</v>
      </c>
      <c r="R1817" s="2">
        <v>0.25</v>
      </c>
      <c r="S1817" t="str">
        <f>IF(Table1[[#This Row],[Years_Experience]]&lt;=5,"Early Career",
IF(Table1[[#This Row],[Years_Experience]]&lt;=15,"Mid Career","Senior Level"))</f>
        <v>Early Career</v>
      </c>
      <c r="T1817" t="str">
        <f>IF(Table1[[#This Row],[AI_Exposure_Index]]&gt;=0.7,"High Exposure", IF(Table1[[#This Row],[AI_Exposure_Index]]&gt;=0.3,"Medium Exposure","Low Exposure"))</f>
        <v>Medium Exposure</v>
      </c>
    </row>
    <row r="1818" spans="1:20" x14ac:dyDescent="0.25">
      <c r="A1818" t="s">
        <v>41</v>
      </c>
      <c r="B1818">
        <v>120886</v>
      </c>
      <c r="C1818" s="1">
        <v>1</v>
      </c>
      <c r="D1818" t="s">
        <v>38</v>
      </c>
      <c r="E1818" s="7">
        <v>1.39</v>
      </c>
      <c r="F1818" s="2">
        <v>0.9</v>
      </c>
      <c r="G1818" s="7">
        <v>0.73</v>
      </c>
      <c r="H1818" s="9" t="s">
        <v>20</v>
      </c>
      <c r="I1818">
        <v>0.8</v>
      </c>
      <c r="J1818">
        <v>0.45</v>
      </c>
      <c r="K1818">
        <v>0.32</v>
      </c>
      <c r="L1818">
        <v>0.74</v>
      </c>
      <c r="M1818">
        <v>0.61</v>
      </c>
      <c r="N1818">
        <v>0.78</v>
      </c>
      <c r="O1818">
        <v>7.0000000000000007E-2</v>
      </c>
      <c r="P1818">
        <v>0.32</v>
      </c>
      <c r="Q1818">
        <v>0.32</v>
      </c>
      <c r="R1818" s="2">
        <v>0.33</v>
      </c>
      <c r="S1818" t="str">
        <f>IF(Table1[[#This Row],[Years_Experience]]&lt;=5,"Early Career",
IF(Table1[[#This Row],[Years_Experience]]&lt;=15,"Mid Career","Senior Level"))</f>
        <v>Early Career</v>
      </c>
      <c r="T1818" t="str">
        <f>IF(Table1[[#This Row],[AI_Exposure_Index]]&gt;=0.7,"High Exposure", IF(Table1[[#This Row],[AI_Exposure_Index]]&gt;=0.3,"Medium Exposure","Low Exposure"))</f>
        <v>High Exposure</v>
      </c>
    </row>
    <row r="1819" spans="1:20" x14ac:dyDescent="0.25">
      <c r="A1819" t="s">
        <v>28</v>
      </c>
      <c r="B1819">
        <v>64118</v>
      </c>
      <c r="C1819" s="1">
        <v>5</v>
      </c>
      <c r="D1819" t="s">
        <v>22</v>
      </c>
      <c r="E1819" s="7">
        <v>0.94</v>
      </c>
      <c r="F1819" s="2">
        <v>0.28000000000000003</v>
      </c>
      <c r="G1819" s="7">
        <v>0.45</v>
      </c>
      <c r="H1819" s="9" t="s">
        <v>27</v>
      </c>
      <c r="I1819">
        <v>0.74</v>
      </c>
      <c r="J1819">
        <v>0.6</v>
      </c>
      <c r="K1819">
        <v>0.65</v>
      </c>
      <c r="L1819">
        <v>0.21</v>
      </c>
      <c r="M1819">
        <v>0.33</v>
      </c>
      <c r="N1819">
        <v>0.02</v>
      </c>
      <c r="O1819">
        <v>0.11</v>
      </c>
      <c r="P1819">
        <v>0.27</v>
      </c>
      <c r="Q1819">
        <v>7.0000000000000007E-2</v>
      </c>
      <c r="R1819" s="2">
        <v>0.6</v>
      </c>
      <c r="S1819" t="str">
        <f>IF(Table1[[#This Row],[Years_Experience]]&lt;=5,"Early Career",
IF(Table1[[#This Row],[Years_Experience]]&lt;=15,"Mid Career","Senior Level"))</f>
        <v>Early Career</v>
      </c>
      <c r="T1819" t="str">
        <f>IF(Table1[[#This Row],[AI_Exposure_Index]]&gt;=0.7,"High Exposure", IF(Table1[[#This Row],[AI_Exposure_Index]]&gt;=0.3,"Medium Exposure","Low Exposure"))</f>
        <v>Low Exposure</v>
      </c>
    </row>
    <row r="1820" spans="1:20" x14ac:dyDescent="0.25">
      <c r="A1820" t="s">
        <v>37</v>
      </c>
      <c r="B1820">
        <v>125381</v>
      </c>
      <c r="C1820" s="1">
        <v>13</v>
      </c>
      <c r="D1820" t="s">
        <v>25</v>
      </c>
      <c r="E1820" s="7">
        <v>1.32</v>
      </c>
      <c r="F1820" s="2">
        <v>0.1</v>
      </c>
      <c r="G1820" s="7">
        <v>0.35</v>
      </c>
      <c r="H1820" s="9" t="s">
        <v>27</v>
      </c>
      <c r="I1820">
        <v>0.67</v>
      </c>
      <c r="J1820">
        <v>0.64</v>
      </c>
      <c r="K1820">
        <v>0.9</v>
      </c>
      <c r="L1820">
        <v>0.11</v>
      </c>
      <c r="M1820">
        <v>0.32</v>
      </c>
      <c r="N1820">
        <v>0.09</v>
      </c>
      <c r="O1820">
        <v>0.41</v>
      </c>
      <c r="P1820">
        <v>0.91</v>
      </c>
      <c r="Q1820">
        <v>0.78</v>
      </c>
      <c r="R1820" s="2">
        <v>0.72</v>
      </c>
      <c r="S1820" t="str">
        <f>IF(Table1[[#This Row],[Years_Experience]]&lt;=5,"Early Career",
IF(Table1[[#This Row],[Years_Experience]]&lt;=15,"Mid Career","Senior Level"))</f>
        <v>Mid Career</v>
      </c>
      <c r="T1820" t="str">
        <f>IF(Table1[[#This Row],[AI_Exposure_Index]]&gt;=0.7,"High Exposure", IF(Table1[[#This Row],[AI_Exposure_Index]]&gt;=0.3,"Medium Exposure","Low Exposure"))</f>
        <v>Low Exposure</v>
      </c>
    </row>
    <row r="1821" spans="1:20" x14ac:dyDescent="0.25">
      <c r="A1821" t="s">
        <v>33</v>
      </c>
      <c r="B1821">
        <v>62146</v>
      </c>
      <c r="C1821" s="1">
        <v>26</v>
      </c>
      <c r="D1821" t="s">
        <v>19</v>
      </c>
      <c r="E1821" s="7">
        <v>0.95</v>
      </c>
      <c r="F1821" s="2">
        <v>0.88</v>
      </c>
      <c r="G1821" s="7">
        <v>0.74</v>
      </c>
      <c r="H1821" s="9" t="s">
        <v>20</v>
      </c>
      <c r="I1821">
        <v>0.84</v>
      </c>
      <c r="J1821">
        <v>0.28000000000000003</v>
      </c>
      <c r="K1821">
        <v>0.05</v>
      </c>
      <c r="L1821">
        <v>0.13</v>
      </c>
      <c r="M1821">
        <v>0.61</v>
      </c>
      <c r="N1821">
        <v>0.61</v>
      </c>
      <c r="O1821">
        <v>0.26</v>
      </c>
      <c r="P1821">
        <v>0.73</v>
      </c>
      <c r="Q1821">
        <v>0.77</v>
      </c>
      <c r="R1821" s="2">
        <v>0.92</v>
      </c>
      <c r="S1821" t="str">
        <f>IF(Table1[[#This Row],[Years_Experience]]&lt;=5,"Early Career",
IF(Table1[[#This Row],[Years_Experience]]&lt;=15,"Mid Career","Senior Level"))</f>
        <v>Senior Level</v>
      </c>
      <c r="T1821" t="str">
        <f>IF(Table1[[#This Row],[AI_Exposure_Index]]&gt;=0.7,"High Exposure", IF(Table1[[#This Row],[AI_Exposure_Index]]&gt;=0.3,"Medium Exposure","Low Exposure"))</f>
        <v>High Exposure</v>
      </c>
    </row>
    <row r="1822" spans="1:20" x14ac:dyDescent="0.25">
      <c r="A1822" t="s">
        <v>28</v>
      </c>
      <c r="B1822">
        <v>60410</v>
      </c>
      <c r="C1822" s="1">
        <v>8</v>
      </c>
      <c r="D1822" t="s">
        <v>22</v>
      </c>
      <c r="E1822" s="7">
        <v>1.25</v>
      </c>
      <c r="F1822" s="2">
        <v>0.78</v>
      </c>
      <c r="G1822" s="7">
        <v>0.4</v>
      </c>
      <c r="H1822" s="9" t="s">
        <v>27</v>
      </c>
      <c r="I1822">
        <v>0.31</v>
      </c>
      <c r="J1822">
        <v>0.48</v>
      </c>
      <c r="K1822">
        <v>0.02</v>
      </c>
      <c r="L1822">
        <v>0.3</v>
      </c>
      <c r="M1822">
        <v>0.47</v>
      </c>
      <c r="N1822">
        <v>0.11</v>
      </c>
      <c r="O1822">
        <v>0.13</v>
      </c>
      <c r="P1822">
        <v>0.46</v>
      </c>
      <c r="Q1822">
        <v>0.73</v>
      </c>
      <c r="R1822" s="2">
        <v>0.83</v>
      </c>
      <c r="S1822" t="str">
        <f>IF(Table1[[#This Row],[Years_Experience]]&lt;=5,"Early Career",
IF(Table1[[#This Row],[Years_Experience]]&lt;=15,"Mid Career","Senior Level"))</f>
        <v>Mid Career</v>
      </c>
      <c r="T1822" t="str">
        <f>IF(Table1[[#This Row],[AI_Exposure_Index]]&gt;=0.7,"High Exposure", IF(Table1[[#This Row],[AI_Exposure_Index]]&gt;=0.3,"Medium Exposure","Low Exposure"))</f>
        <v>High Exposure</v>
      </c>
    </row>
    <row r="1823" spans="1:20" x14ac:dyDescent="0.25">
      <c r="A1823" t="s">
        <v>41</v>
      </c>
      <c r="B1823">
        <v>110449</v>
      </c>
      <c r="C1823" s="1">
        <v>21</v>
      </c>
      <c r="D1823" t="s">
        <v>25</v>
      </c>
      <c r="E1823" s="7">
        <v>0.88</v>
      </c>
      <c r="F1823" s="2">
        <v>0.47</v>
      </c>
      <c r="G1823" s="7">
        <v>0.75</v>
      </c>
      <c r="H1823" s="9" t="s">
        <v>20</v>
      </c>
      <c r="I1823">
        <v>0.15</v>
      </c>
      <c r="J1823">
        <v>0.79</v>
      </c>
      <c r="K1823">
        <v>0.47</v>
      </c>
      <c r="L1823">
        <v>0.79</v>
      </c>
      <c r="M1823">
        <v>0.7</v>
      </c>
      <c r="N1823">
        <v>0.19</v>
      </c>
      <c r="O1823">
        <v>0.51</v>
      </c>
      <c r="P1823">
        <v>0.44</v>
      </c>
      <c r="Q1823">
        <v>0.42</v>
      </c>
      <c r="R1823" s="2">
        <v>0.54</v>
      </c>
      <c r="S1823" t="str">
        <f>IF(Table1[[#This Row],[Years_Experience]]&lt;=5,"Early Career",
IF(Table1[[#This Row],[Years_Experience]]&lt;=15,"Mid Career","Senior Level"))</f>
        <v>Senior Level</v>
      </c>
      <c r="T1823" t="str">
        <f>IF(Table1[[#This Row],[AI_Exposure_Index]]&gt;=0.7,"High Exposure", IF(Table1[[#This Row],[AI_Exposure_Index]]&gt;=0.3,"Medium Exposure","Low Exposure"))</f>
        <v>Medium Exposure</v>
      </c>
    </row>
    <row r="1824" spans="1:20" x14ac:dyDescent="0.25">
      <c r="A1824" t="s">
        <v>28</v>
      </c>
      <c r="B1824">
        <v>142691</v>
      </c>
      <c r="C1824" s="1">
        <v>18</v>
      </c>
      <c r="D1824" t="s">
        <v>19</v>
      </c>
      <c r="E1824" s="7">
        <v>0.84</v>
      </c>
      <c r="F1824" s="2">
        <v>0.31</v>
      </c>
      <c r="G1824" s="7">
        <v>0.51</v>
      </c>
      <c r="H1824" s="9" t="s">
        <v>27</v>
      </c>
      <c r="I1824">
        <v>0.31</v>
      </c>
      <c r="J1824">
        <v>0.89</v>
      </c>
      <c r="K1824">
        <v>0.44</v>
      </c>
      <c r="L1824">
        <v>0.28999999999999998</v>
      </c>
      <c r="M1824">
        <v>0.16</v>
      </c>
      <c r="N1824">
        <v>0.67</v>
      </c>
      <c r="O1824">
        <v>0.03</v>
      </c>
      <c r="P1824">
        <v>0.45</v>
      </c>
      <c r="Q1824">
        <v>0.55000000000000004</v>
      </c>
      <c r="R1824" s="2">
        <v>0.34</v>
      </c>
      <c r="S1824" t="str">
        <f>IF(Table1[[#This Row],[Years_Experience]]&lt;=5,"Early Career",
IF(Table1[[#This Row],[Years_Experience]]&lt;=15,"Mid Career","Senior Level"))</f>
        <v>Senior Level</v>
      </c>
      <c r="T1824" t="str">
        <f>IF(Table1[[#This Row],[AI_Exposure_Index]]&gt;=0.7,"High Exposure", IF(Table1[[#This Row],[AI_Exposure_Index]]&gt;=0.3,"Medium Exposure","Low Exposure"))</f>
        <v>Medium Exposure</v>
      </c>
    </row>
    <row r="1825" spans="1:20" x14ac:dyDescent="0.25">
      <c r="A1825" t="s">
        <v>18</v>
      </c>
      <c r="B1825">
        <v>33659</v>
      </c>
      <c r="C1825" s="1">
        <v>17</v>
      </c>
      <c r="D1825" t="s">
        <v>22</v>
      </c>
      <c r="E1825" s="7">
        <v>1.47</v>
      </c>
      <c r="F1825" s="2">
        <v>0.68</v>
      </c>
      <c r="G1825" s="7">
        <v>0.83</v>
      </c>
      <c r="H1825" s="9" t="s">
        <v>20</v>
      </c>
      <c r="I1825">
        <v>0.54</v>
      </c>
      <c r="J1825">
        <v>0.25</v>
      </c>
      <c r="K1825">
        <v>0.39</v>
      </c>
      <c r="L1825">
        <v>0.03</v>
      </c>
      <c r="M1825">
        <v>0.69</v>
      </c>
      <c r="N1825">
        <v>0.31</v>
      </c>
      <c r="O1825">
        <v>0.54</v>
      </c>
      <c r="P1825">
        <v>0.25</v>
      </c>
      <c r="Q1825">
        <v>0.62</v>
      </c>
      <c r="R1825" s="2">
        <v>0.45</v>
      </c>
      <c r="S1825" t="str">
        <f>IF(Table1[[#This Row],[Years_Experience]]&lt;=5,"Early Career",
IF(Table1[[#This Row],[Years_Experience]]&lt;=15,"Mid Career","Senior Level"))</f>
        <v>Senior Level</v>
      </c>
      <c r="T1825" t="str">
        <f>IF(Table1[[#This Row],[AI_Exposure_Index]]&gt;=0.7,"High Exposure", IF(Table1[[#This Row],[AI_Exposure_Index]]&gt;=0.3,"Medium Exposure","Low Exposure"))</f>
        <v>Medium Exposure</v>
      </c>
    </row>
    <row r="1826" spans="1:20" x14ac:dyDescent="0.25">
      <c r="A1826" t="s">
        <v>40</v>
      </c>
      <c r="B1826">
        <v>109911</v>
      </c>
      <c r="C1826" s="1">
        <v>9</v>
      </c>
      <c r="D1826" t="s">
        <v>22</v>
      </c>
      <c r="E1826" s="7">
        <v>1.21</v>
      </c>
      <c r="F1826" s="2">
        <v>0.94</v>
      </c>
      <c r="G1826" s="7">
        <v>0.12</v>
      </c>
      <c r="H1826" s="9" t="s">
        <v>23</v>
      </c>
      <c r="I1826">
        <v>0.5</v>
      </c>
      <c r="J1826">
        <v>0.47</v>
      </c>
      <c r="K1826">
        <v>0.8</v>
      </c>
      <c r="L1826">
        <v>0.83</v>
      </c>
      <c r="M1826">
        <v>0.28000000000000003</v>
      </c>
      <c r="N1826">
        <v>0.82</v>
      </c>
      <c r="O1826">
        <v>0.18</v>
      </c>
      <c r="P1826">
        <v>0.76</v>
      </c>
      <c r="Q1826">
        <v>0.25</v>
      </c>
      <c r="R1826" s="2">
        <v>0.3</v>
      </c>
      <c r="S1826" t="str">
        <f>IF(Table1[[#This Row],[Years_Experience]]&lt;=5,"Early Career",
IF(Table1[[#This Row],[Years_Experience]]&lt;=15,"Mid Career","Senior Level"))</f>
        <v>Mid Career</v>
      </c>
      <c r="T1826" t="str">
        <f>IF(Table1[[#This Row],[AI_Exposure_Index]]&gt;=0.7,"High Exposure", IF(Table1[[#This Row],[AI_Exposure_Index]]&gt;=0.3,"Medium Exposure","Low Exposure"))</f>
        <v>High Exposure</v>
      </c>
    </row>
    <row r="1827" spans="1:20" x14ac:dyDescent="0.25">
      <c r="A1827" t="s">
        <v>30</v>
      </c>
      <c r="B1827">
        <v>117298</v>
      </c>
      <c r="C1827" s="1">
        <v>28</v>
      </c>
      <c r="D1827" t="s">
        <v>22</v>
      </c>
      <c r="E1827" s="7">
        <v>1.49</v>
      </c>
      <c r="F1827" s="2">
        <v>0.42</v>
      </c>
      <c r="G1827" s="7">
        <v>0.36</v>
      </c>
      <c r="H1827" s="9" t="s">
        <v>27</v>
      </c>
      <c r="I1827">
        <v>0.46</v>
      </c>
      <c r="J1827">
        <v>0.73</v>
      </c>
      <c r="K1827">
        <v>0.01</v>
      </c>
      <c r="L1827">
        <v>0.15</v>
      </c>
      <c r="M1827">
        <v>0.02</v>
      </c>
      <c r="N1827">
        <v>0.99</v>
      </c>
      <c r="O1827">
        <v>0.76</v>
      </c>
      <c r="P1827">
        <v>0.37</v>
      </c>
      <c r="Q1827">
        <v>0.16</v>
      </c>
      <c r="R1827" s="2">
        <v>0.09</v>
      </c>
      <c r="S1827" t="str">
        <f>IF(Table1[[#This Row],[Years_Experience]]&lt;=5,"Early Career",
IF(Table1[[#This Row],[Years_Experience]]&lt;=15,"Mid Career","Senior Level"))</f>
        <v>Senior Level</v>
      </c>
      <c r="T1827" t="str">
        <f>IF(Table1[[#This Row],[AI_Exposure_Index]]&gt;=0.7,"High Exposure", IF(Table1[[#This Row],[AI_Exposure_Index]]&gt;=0.3,"Medium Exposure","Low Exposure"))</f>
        <v>Medium Exposure</v>
      </c>
    </row>
    <row r="1828" spans="1:20" x14ac:dyDescent="0.25">
      <c r="A1828" t="s">
        <v>43</v>
      </c>
      <c r="B1828">
        <v>100114</v>
      </c>
      <c r="C1828" s="1">
        <v>14</v>
      </c>
      <c r="D1828" t="s">
        <v>22</v>
      </c>
      <c r="E1828" s="7">
        <v>1.17</v>
      </c>
      <c r="F1828" s="2">
        <v>0.98</v>
      </c>
      <c r="G1828" s="7">
        <v>0.14000000000000001</v>
      </c>
      <c r="H1828" s="9" t="s">
        <v>23</v>
      </c>
      <c r="I1828">
        <v>0.5</v>
      </c>
      <c r="J1828">
        <v>1</v>
      </c>
      <c r="K1828">
        <v>0.52</v>
      </c>
      <c r="L1828">
        <v>0.96</v>
      </c>
      <c r="M1828">
        <v>0.02</v>
      </c>
      <c r="N1828">
        <v>0.72</v>
      </c>
      <c r="O1828">
        <v>0.63</v>
      </c>
      <c r="P1828">
        <v>0.69</v>
      </c>
      <c r="Q1828">
        <v>0.56999999999999995</v>
      </c>
      <c r="R1828" s="2">
        <v>0.04</v>
      </c>
      <c r="S1828" t="str">
        <f>IF(Table1[[#This Row],[Years_Experience]]&lt;=5,"Early Career",
IF(Table1[[#This Row],[Years_Experience]]&lt;=15,"Mid Career","Senior Level"))</f>
        <v>Mid Career</v>
      </c>
      <c r="T1828" t="str">
        <f>IF(Table1[[#This Row],[AI_Exposure_Index]]&gt;=0.7,"High Exposure", IF(Table1[[#This Row],[AI_Exposure_Index]]&gt;=0.3,"Medium Exposure","Low Exposure"))</f>
        <v>High Exposure</v>
      </c>
    </row>
    <row r="1829" spans="1:20" x14ac:dyDescent="0.25">
      <c r="A1829" t="s">
        <v>43</v>
      </c>
      <c r="B1829">
        <v>149401</v>
      </c>
      <c r="C1829" s="1">
        <v>18</v>
      </c>
      <c r="D1829" t="s">
        <v>25</v>
      </c>
      <c r="E1829" s="7">
        <v>0.73</v>
      </c>
      <c r="F1829" s="2">
        <v>0.92</v>
      </c>
      <c r="G1829" s="7">
        <v>0.3</v>
      </c>
      <c r="H1829" s="9" t="s">
        <v>23</v>
      </c>
      <c r="I1829">
        <v>0.68</v>
      </c>
      <c r="J1829">
        <v>0.44</v>
      </c>
      <c r="K1829">
        <v>0.92</v>
      </c>
      <c r="L1829">
        <v>0.79</v>
      </c>
      <c r="M1829">
        <v>0.43</v>
      </c>
      <c r="N1829">
        <v>7.0000000000000007E-2</v>
      </c>
      <c r="O1829">
        <v>0.87</v>
      </c>
      <c r="P1829">
        <v>0.77</v>
      </c>
      <c r="Q1829">
        <v>0.79</v>
      </c>
      <c r="R1829" s="2">
        <v>0.74</v>
      </c>
      <c r="S1829" t="str">
        <f>IF(Table1[[#This Row],[Years_Experience]]&lt;=5,"Early Career",
IF(Table1[[#This Row],[Years_Experience]]&lt;=15,"Mid Career","Senior Level"))</f>
        <v>Senior Level</v>
      </c>
      <c r="T1829" t="str">
        <f>IF(Table1[[#This Row],[AI_Exposure_Index]]&gt;=0.7,"High Exposure", IF(Table1[[#This Row],[AI_Exposure_Index]]&gt;=0.3,"Medium Exposure","Low Exposure"))</f>
        <v>High Exposure</v>
      </c>
    </row>
    <row r="1830" spans="1:20" x14ac:dyDescent="0.25">
      <c r="A1830" t="s">
        <v>35</v>
      </c>
      <c r="B1830">
        <v>101160</v>
      </c>
      <c r="C1830" s="1">
        <v>3</v>
      </c>
      <c r="D1830" t="s">
        <v>25</v>
      </c>
      <c r="E1830" s="7">
        <v>0.74</v>
      </c>
      <c r="F1830" s="2">
        <v>0</v>
      </c>
      <c r="G1830" s="7">
        <v>0.32</v>
      </c>
      <c r="H1830" s="9" t="s">
        <v>27</v>
      </c>
      <c r="I1830">
        <v>0.11</v>
      </c>
      <c r="J1830">
        <v>0.53</v>
      </c>
      <c r="K1830">
        <v>0.04</v>
      </c>
      <c r="L1830">
        <v>0.18</v>
      </c>
      <c r="M1830">
        <v>0.23</v>
      </c>
      <c r="N1830">
        <v>0.66</v>
      </c>
      <c r="O1830">
        <v>0.47</v>
      </c>
      <c r="P1830">
        <v>0.46</v>
      </c>
      <c r="Q1830">
        <v>0.77</v>
      </c>
      <c r="R1830" s="2">
        <v>0.46</v>
      </c>
      <c r="S1830" t="str">
        <f>IF(Table1[[#This Row],[Years_Experience]]&lt;=5,"Early Career",
IF(Table1[[#This Row],[Years_Experience]]&lt;=15,"Mid Career","Senior Level"))</f>
        <v>Early Career</v>
      </c>
      <c r="T1830" t="str">
        <f>IF(Table1[[#This Row],[AI_Exposure_Index]]&gt;=0.7,"High Exposure", IF(Table1[[#This Row],[AI_Exposure_Index]]&gt;=0.3,"Medium Exposure","Low Exposure"))</f>
        <v>Low Exposure</v>
      </c>
    </row>
    <row r="1831" spans="1:20" x14ac:dyDescent="0.25">
      <c r="A1831" t="s">
        <v>42</v>
      </c>
      <c r="B1831">
        <v>66594</v>
      </c>
      <c r="C1831" s="1">
        <v>23</v>
      </c>
      <c r="D1831" t="s">
        <v>25</v>
      </c>
      <c r="E1831" s="7">
        <v>0.65</v>
      </c>
      <c r="F1831" s="2">
        <v>0.65</v>
      </c>
      <c r="G1831" s="7">
        <v>0.55000000000000004</v>
      </c>
      <c r="H1831" s="9" t="s">
        <v>27</v>
      </c>
      <c r="I1831">
        <v>0.85</v>
      </c>
      <c r="J1831">
        <v>0.12</v>
      </c>
      <c r="K1831">
        <v>0.9</v>
      </c>
      <c r="L1831">
        <v>0.08</v>
      </c>
      <c r="M1831">
        <v>0.35</v>
      </c>
      <c r="N1831">
        <v>0.61</v>
      </c>
      <c r="O1831">
        <v>0.56000000000000005</v>
      </c>
      <c r="P1831">
        <v>0.1</v>
      </c>
      <c r="Q1831">
        <v>0.8</v>
      </c>
      <c r="R1831" s="2">
        <v>0.97</v>
      </c>
      <c r="S1831" t="str">
        <f>IF(Table1[[#This Row],[Years_Experience]]&lt;=5,"Early Career",
IF(Table1[[#This Row],[Years_Experience]]&lt;=15,"Mid Career","Senior Level"))</f>
        <v>Senior Level</v>
      </c>
      <c r="T1831" t="str">
        <f>IF(Table1[[#This Row],[AI_Exposure_Index]]&gt;=0.7,"High Exposure", IF(Table1[[#This Row],[AI_Exposure_Index]]&gt;=0.3,"Medium Exposure","Low Exposure"))</f>
        <v>Medium Exposure</v>
      </c>
    </row>
    <row r="1832" spans="1:20" x14ac:dyDescent="0.25">
      <c r="A1832" t="s">
        <v>42</v>
      </c>
      <c r="B1832">
        <v>94043</v>
      </c>
      <c r="C1832" s="1">
        <v>5</v>
      </c>
      <c r="D1832" t="s">
        <v>22</v>
      </c>
      <c r="E1832" s="7">
        <v>1.06</v>
      </c>
      <c r="F1832" s="2">
        <v>0.9</v>
      </c>
      <c r="G1832" s="7">
        <v>0.67</v>
      </c>
      <c r="H1832" s="9" t="s">
        <v>27</v>
      </c>
      <c r="I1832">
        <v>0.18</v>
      </c>
      <c r="J1832">
        <v>0.79</v>
      </c>
      <c r="K1832">
        <v>0.06</v>
      </c>
      <c r="L1832">
        <v>0.88</v>
      </c>
      <c r="M1832">
        <v>0.67</v>
      </c>
      <c r="N1832">
        <v>0.37</v>
      </c>
      <c r="O1832">
        <v>0.19</v>
      </c>
      <c r="P1832">
        <v>0.82</v>
      </c>
      <c r="Q1832">
        <v>0.6</v>
      </c>
      <c r="R1832" s="2">
        <v>0.36</v>
      </c>
      <c r="S1832" t="str">
        <f>IF(Table1[[#This Row],[Years_Experience]]&lt;=5,"Early Career",
IF(Table1[[#This Row],[Years_Experience]]&lt;=15,"Mid Career","Senior Level"))</f>
        <v>Early Career</v>
      </c>
      <c r="T1832" t="str">
        <f>IF(Table1[[#This Row],[AI_Exposure_Index]]&gt;=0.7,"High Exposure", IF(Table1[[#This Row],[AI_Exposure_Index]]&gt;=0.3,"Medium Exposure","Low Exposure"))</f>
        <v>High Exposure</v>
      </c>
    </row>
    <row r="1833" spans="1:20" x14ac:dyDescent="0.25">
      <c r="A1833" t="s">
        <v>43</v>
      </c>
      <c r="B1833">
        <v>110270</v>
      </c>
      <c r="C1833" s="1">
        <v>21</v>
      </c>
      <c r="D1833" t="s">
        <v>25</v>
      </c>
      <c r="E1833" s="7">
        <v>0.84</v>
      </c>
      <c r="F1833" s="2">
        <v>0.83</v>
      </c>
      <c r="G1833" s="7">
        <v>7.0000000000000007E-2</v>
      </c>
      <c r="H1833" s="9" t="s">
        <v>23</v>
      </c>
      <c r="I1833">
        <v>0.91</v>
      </c>
      <c r="J1833">
        <v>0.39</v>
      </c>
      <c r="K1833">
        <v>0.35</v>
      </c>
      <c r="L1833">
        <v>0.2</v>
      </c>
      <c r="M1833">
        <v>0.9</v>
      </c>
      <c r="N1833">
        <v>0.22</v>
      </c>
      <c r="O1833">
        <v>0.64</v>
      </c>
      <c r="P1833">
        <v>0.88</v>
      </c>
      <c r="Q1833">
        <v>0.03</v>
      </c>
      <c r="R1833" s="2">
        <v>0.83</v>
      </c>
      <c r="S1833" t="str">
        <f>IF(Table1[[#This Row],[Years_Experience]]&lt;=5,"Early Career",
IF(Table1[[#This Row],[Years_Experience]]&lt;=15,"Mid Career","Senior Level"))</f>
        <v>Senior Level</v>
      </c>
      <c r="T1833" t="str">
        <f>IF(Table1[[#This Row],[AI_Exposure_Index]]&gt;=0.7,"High Exposure", IF(Table1[[#This Row],[AI_Exposure_Index]]&gt;=0.3,"Medium Exposure","Low Exposure"))</f>
        <v>High Exposure</v>
      </c>
    </row>
    <row r="1834" spans="1:20" x14ac:dyDescent="0.25">
      <c r="A1834" t="s">
        <v>43</v>
      </c>
      <c r="B1834">
        <v>98393</v>
      </c>
      <c r="C1834" s="1">
        <v>29</v>
      </c>
      <c r="D1834" t="s">
        <v>25</v>
      </c>
      <c r="E1834" s="7">
        <v>0.87</v>
      </c>
      <c r="F1834" s="2">
        <v>0.66</v>
      </c>
      <c r="G1834" s="7">
        <v>0.22</v>
      </c>
      <c r="H1834" s="9" t="s">
        <v>23</v>
      </c>
      <c r="I1834">
        <v>0.25</v>
      </c>
      <c r="J1834">
        <v>0.02</v>
      </c>
      <c r="K1834">
        <v>0.95</v>
      </c>
      <c r="L1834">
        <v>0.02</v>
      </c>
      <c r="M1834">
        <v>0.82</v>
      </c>
      <c r="N1834">
        <v>0.17</v>
      </c>
      <c r="O1834">
        <v>0.39</v>
      </c>
      <c r="P1834">
        <v>0.82</v>
      </c>
      <c r="Q1834">
        <v>0.21</v>
      </c>
      <c r="R1834" s="2">
        <v>0.87</v>
      </c>
      <c r="S1834" t="str">
        <f>IF(Table1[[#This Row],[Years_Experience]]&lt;=5,"Early Career",
IF(Table1[[#This Row],[Years_Experience]]&lt;=15,"Mid Career","Senior Level"))</f>
        <v>Senior Level</v>
      </c>
      <c r="T1834" t="str">
        <f>IF(Table1[[#This Row],[AI_Exposure_Index]]&gt;=0.7,"High Exposure", IF(Table1[[#This Row],[AI_Exposure_Index]]&gt;=0.3,"Medium Exposure","Low Exposure"))</f>
        <v>Medium Exposure</v>
      </c>
    </row>
    <row r="1835" spans="1:20" x14ac:dyDescent="0.25">
      <c r="A1835" t="s">
        <v>43</v>
      </c>
      <c r="B1835">
        <v>104038</v>
      </c>
      <c r="C1835" s="1">
        <v>26</v>
      </c>
      <c r="D1835" t="s">
        <v>19</v>
      </c>
      <c r="E1835" s="7">
        <v>1.1599999999999999</v>
      </c>
      <c r="F1835" s="2">
        <v>0.37</v>
      </c>
      <c r="G1835" s="7">
        <v>0.14000000000000001</v>
      </c>
      <c r="H1835" s="9" t="s">
        <v>23</v>
      </c>
      <c r="I1835">
        <v>0.35</v>
      </c>
      <c r="J1835">
        <v>0.73</v>
      </c>
      <c r="K1835">
        <v>0.31</v>
      </c>
      <c r="L1835">
        <v>0.2</v>
      </c>
      <c r="M1835">
        <v>0.81</v>
      </c>
      <c r="N1835">
        <v>0.81</v>
      </c>
      <c r="O1835">
        <v>0.5</v>
      </c>
      <c r="P1835">
        <v>0.53</v>
      </c>
      <c r="Q1835">
        <v>0.7</v>
      </c>
      <c r="R1835" s="2">
        <v>0.51</v>
      </c>
      <c r="S1835" t="str">
        <f>IF(Table1[[#This Row],[Years_Experience]]&lt;=5,"Early Career",
IF(Table1[[#This Row],[Years_Experience]]&lt;=15,"Mid Career","Senior Level"))</f>
        <v>Senior Level</v>
      </c>
      <c r="T1835" t="str">
        <f>IF(Table1[[#This Row],[AI_Exposure_Index]]&gt;=0.7,"High Exposure", IF(Table1[[#This Row],[AI_Exposure_Index]]&gt;=0.3,"Medium Exposure","Low Exposure"))</f>
        <v>Medium Exposure</v>
      </c>
    </row>
    <row r="1836" spans="1:20" x14ac:dyDescent="0.25">
      <c r="A1836" t="s">
        <v>35</v>
      </c>
      <c r="B1836">
        <v>104088</v>
      </c>
      <c r="C1836" s="1">
        <v>11</v>
      </c>
      <c r="D1836" t="s">
        <v>22</v>
      </c>
      <c r="E1836" s="7">
        <v>0.65</v>
      </c>
      <c r="F1836" s="2">
        <v>0.99</v>
      </c>
      <c r="G1836" s="7">
        <v>0.54</v>
      </c>
      <c r="H1836" s="9" t="s">
        <v>27</v>
      </c>
      <c r="I1836">
        <v>0.89</v>
      </c>
      <c r="J1836">
        <v>0.69</v>
      </c>
      <c r="K1836">
        <v>0.88</v>
      </c>
      <c r="L1836">
        <v>0.34</v>
      </c>
      <c r="M1836">
        <v>0.27</v>
      </c>
      <c r="N1836">
        <v>0.85</v>
      </c>
      <c r="O1836">
        <v>0.39</v>
      </c>
      <c r="P1836">
        <v>0.71</v>
      </c>
      <c r="Q1836">
        <v>0.15</v>
      </c>
      <c r="R1836" s="2">
        <v>0.76</v>
      </c>
      <c r="S1836" t="str">
        <f>IF(Table1[[#This Row],[Years_Experience]]&lt;=5,"Early Career",
IF(Table1[[#This Row],[Years_Experience]]&lt;=15,"Mid Career","Senior Level"))</f>
        <v>Mid Career</v>
      </c>
      <c r="T1836" t="str">
        <f>IF(Table1[[#This Row],[AI_Exposure_Index]]&gt;=0.7,"High Exposure", IF(Table1[[#This Row],[AI_Exposure_Index]]&gt;=0.3,"Medium Exposure","Low Exposure"))</f>
        <v>High Exposure</v>
      </c>
    </row>
    <row r="1837" spans="1:20" x14ac:dyDescent="0.25">
      <c r="A1837" t="s">
        <v>44</v>
      </c>
      <c r="B1837">
        <v>38290</v>
      </c>
      <c r="C1837" s="1">
        <v>27</v>
      </c>
      <c r="D1837" t="s">
        <v>22</v>
      </c>
      <c r="E1837" s="7">
        <v>0.99</v>
      </c>
      <c r="F1837" s="2">
        <v>0.27</v>
      </c>
      <c r="G1837" s="7">
        <v>0.57999999999999996</v>
      </c>
      <c r="H1837" s="9" t="s">
        <v>27</v>
      </c>
      <c r="I1837">
        <v>0.01</v>
      </c>
      <c r="J1837">
        <v>0.64</v>
      </c>
      <c r="K1837">
        <v>0.54</v>
      </c>
      <c r="L1837">
        <v>0.22</v>
      </c>
      <c r="M1837">
        <v>0.75</v>
      </c>
      <c r="N1837">
        <v>0.3</v>
      </c>
      <c r="O1837">
        <v>0.28000000000000003</v>
      </c>
      <c r="P1837">
        <v>0.47</v>
      </c>
      <c r="Q1837">
        <v>0.68</v>
      </c>
      <c r="R1837" s="2">
        <v>0.93</v>
      </c>
      <c r="S1837" t="str">
        <f>IF(Table1[[#This Row],[Years_Experience]]&lt;=5,"Early Career",
IF(Table1[[#This Row],[Years_Experience]]&lt;=15,"Mid Career","Senior Level"))</f>
        <v>Senior Level</v>
      </c>
      <c r="T1837" t="str">
        <f>IF(Table1[[#This Row],[AI_Exposure_Index]]&gt;=0.7,"High Exposure", IF(Table1[[#This Row],[AI_Exposure_Index]]&gt;=0.3,"Medium Exposure","Low Exposure"))</f>
        <v>Low Exposure</v>
      </c>
    </row>
    <row r="1838" spans="1:20" x14ac:dyDescent="0.25">
      <c r="A1838" t="s">
        <v>21</v>
      </c>
      <c r="B1838">
        <v>86373</v>
      </c>
      <c r="C1838" s="1">
        <v>16</v>
      </c>
      <c r="D1838" t="s">
        <v>22</v>
      </c>
      <c r="E1838" s="7">
        <v>1.41</v>
      </c>
      <c r="F1838" s="2">
        <v>0.39</v>
      </c>
      <c r="G1838" s="7">
        <v>0.27</v>
      </c>
      <c r="H1838" s="9" t="s">
        <v>23</v>
      </c>
      <c r="I1838">
        <v>0.2</v>
      </c>
      <c r="J1838">
        <v>0.38</v>
      </c>
      <c r="K1838">
        <v>0.56000000000000005</v>
      </c>
      <c r="L1838">
        <v>0.85</v>
      </c>
      <c r="M1838">
        <v>0.53</v>
      </c>
      <c r="N1838">
        <v>0.97</v>
      </c>
      <c r="O1838">
        <v>0.8</v>
      </c>
      <c r="P1838">
        <v>0.95</v>
      </c>
      <c r="Q1838">
        <v>0.73</v>
      </c>
      <c r="R1838" s="2">
        <v>0.88</v>
      </c>
      <c r="S1838" t="str">
        <f>IF(Table1[[#This Row],[Years_Experience]]&lt;=5,"Early Career",
IF(Table1[[#This Row],[Years_Experience]]&lt;=15,"Mid Career","Senior Level"))</f>
        <v>Senior Level</v>
      </c>
      <c r="T1838" t="str">
        <f>IF(Table1[[#This Row],[AI_Exposure_Index]]&gt;=0.7,"High Exposure", IF(Table1[[#This Row],[AI_Exposure_Index]]&gt;=0.3,"Medium Exposure","Low Exposure"))</f>
        <v>Medium Exposure</v>
      </c>
    </row>
    <row r="1839" spans="1:20" x14ac:dyDescent="0.25">
      <c r="A1839" t="s">
        <v>42</v>
      </c>
      <c r="B1839">
        <v>73532</v>
      </c>
      <c r="C1839" s="1">
        <v>24</v>
      </c>
      <c r="D1839" t="s">
        <v>19</v>
      </c>
      <c r="E1839" s="7">
        <v>0.73</v>
      </c>
      <c r="F1839" s="2">
        <v>0.25</v>
      </c>
      <c r="G1839" s="7">
        <v>0.65</v>
      </c>
      <c r="H1839" s="9" t="s">
        <v>27</v>
      </c>
      <c r="I1839">
        <v>0.08</v>
      </c>
      <c r="J1839">
        <v>0.41</v>
      </c>
      <c r="K1839">
        <v>0.82</v>
      </c>
      <c r="L1839">
        <v>0.81</v>
      </c>
      <c r="M1839">
        <v>0.14000000000000001</v>
      </c>
      <c r="N1839">
        <v>0.49</v>
      </c>
      <c r="O1839">
        <v>0.48</v>
      </c>
      <c r="P1839">
        <v>0.32</v>
      </c>
      <c r="Q1839">
        <v>0.92</v>
      </c>
      <c r="R1839" s="2">
        <v>0.65</v>
      </c>
      <c r="S1839" t="str">
        <f>IF(Table1[[#This Row],[Years_Experience]]&lt;=5,"Early Career",
IF(Table1[[#This Row],[Years_Experience]]&lt;=15,"Mid Career","Senior Level"))</f>
        <v>Senior Level</v>
      </c>
      <c r="T1839" t="str">
        <f>IF(Table1[[#This Row],[AI_Exposure_Index]]&gt;=0.7,"High Exposure", IF(Table1[[#This Row],[AI_Exposure_Index]]&gt;=0.3,"Medium Exposure","Low Exposure"))</f>
        <v>Low Exposure</v>
      </c>
    </row>
    <row r="1840" spans="1:20" x14ac:dyDescent="0.25">
      <c r="A1840" t="s">
        <v>43</v>
      </c>
      <c r="B1840">
        <v>132708</v>
      </c>
      <c r="C1840" s="1">
        <v>28</v>
      </c>
      <c r="D1840" t="s">
        <v>25</v>
      </c>
      <c r="E1840" s="7">
        <v>0.89</v>
      </c>
      <c r="F1840" s="2">
        <v>7.0000000000000007E-2</v>
      </c>
      <c r="G1840" s="7">
        <v>0.26</v>
      </c>
      <c r="H1840" s="9" t="s">
        <v>23</v>
      </c>
      <c r="I1840">
        <v>0.42</v>
      </c>
      <c r="J1840">
        <v>0.26</v>
      </c>
      <c r="K1840">
        <v>1</v>
      </c>
      <c r="L1840">
        <v>0.87</v>
      </c>
      <c r="M1840">
        <v>0.55000000000000004</v>
      </c>
      <c r="N1840">
        <v>0.56000000000000005</v>
      </c>
      <c r="O1840">
        <v>0.01</v>
      </c>
      <c r="P1840">
        <v>0.98</v>
      </c>
      <c r="Q1840">
        <v>0.81</v>
      </c>
      <c r="R1840" s="2">
        <v>0.04</v>
      </c>
      <c r="S1840" t="str">
        <f>IF(Table1[[#This Row],[Years_Experience]]&lt;=5,"Early Career",
IF(Table1[[#This Row],[Years_Experience]]&lt;=15,"Mid Career","Senior Level"))</f>
        <v>Senior Level</v>
      </c>
      <c r="T1840" t="str">
        <f>IF(Table1[[#This Row],[AI_Exposure_Index]]&gt;=0.7,"High Exposure", IF(Table1[[#This Row],[AI_Exposure_Index]]&gt;=0.3,"Medium Exposure","Low Exposure"))</f>
        <v>Low Exposure</v>
      </c>
    </row>
    <row r="1841" spans="1:20" x14ac:dyDescent="0.25">
      <c r="A1841" t="s">
        <v>43</v>
      </c>
      <c r="B1841">
        <v>144846</v>
      </c>
      <c r="C1841" s="1">
        <v>21</v>
      </c>
      <c r="D1841" t="s">
        <v>22</v>
      </c>
      <c r="E1841" s="7">
        <v>1.03</v>
      </c>
      <c r="F1841" s="2">
        <v>0.35</v>
      </c>
      <c r="G1841" s="7">
        <v>0.2</v>
      </c>
      <c r="H1841" s="9" t="s">
        <v>23</v>
      </c>
      <c r="I1841">
        <v>0.61</v>
      </c>
      <c r="J1841">
        <v>0.73</v>
      </c>
      <c r="K1841">
        <v>0.66</v>
      </c>
      <c r="L1841">
        <v>7.0000000000000007E-2</v>
      </c>
      <c r="M1841">
        <v>0.46</v>
      </c>
      <c r="N1841">
        <v>0.66</v>
      </c>
      <c r="O1841">
        <v>0.3</v>
      </c>
      <c r="P1841">
        <v>0.31</v>
      </c>
      <c r="Q1841">
        <v>0.12</v>
      </c>
      <c r="R1841" s="2">
        <v>0.42</v>
      </c>
      <c r="S1841" t="str">
        <f>IF(Table1[[#This Row],[Years_Experience]]&lt;=5,"Early Career",
IF(Table1[[#This Row],[Years_Experience]]&lt;=15,"Mid Career","Senior Level"))</f>
        <v>Senior Level</v>
      </c>
      <c r="T1841" t="str">
        <f>IF(Table1[[#This Row],[AI_Exposure_Index]]&gt;=0.7,"High Exposure", IF(Table1[[#This Row],[AI_Exposure_Index]]&gt;=0.3,"Medium Exposure","Low Exposure"))</f>
        <v>Medium Exposure</v>
      </c>
    </row>
    <row r="1842" spans="1:20" x14ac:dyDescent="0.25">
      <c r="A1842" t="s">
        <v>43</v>
      </c>
      <c r="B1842">
        <v>90254</v>
      </c>
      <c r="C1842" s="1">
        <v>8</v>
      </c>
      <c r="D1842" t="s">
        <v>38</v>
      </c>
      <c r="E1842" s="7">
        <v>1.03</v>
      </c>
      <c r="F1842" s="2">
        <v>0.28999999999999998</v>
      </c>
      <c r="G1842" s="7">
        <v>0.24</v>
      </c>
      <c r="H1842" s="9" t="s">
        <v>23</v>
      </c>
      <c r="I1842">
        <v>0.01</v>
      </c>
      <c r="J1842">
        <v>0.9</v>
      </c>
      <c r="K1842">
        <v>0.39</v>
      </c>
      <c r="L1842">
        <v>0.87</v>
      </c>
      <c r="M1842">
        <v>0.04</v>
      </c>
      <c r="N1842">
        <v>0.15</v>
      </c>
      <c r="O1842">
        <v>0.32</v>
      </c>
      <c r="P1842">
        <v>0.35</v>
      </c>
      <c r="Q1842">
        <v>0.85</v>
      </c>
      <c r="R1842" s="2">
        <v>0.01</v>
      </c>
      <c r="S1842" t="str">
        <f>IF(Table1[[#This Row],[Years_Experience]]&lt;=5,"Early Career",
IF(Table1[[#This Row],[Years_Experience]]&lt;=15,"Mid Career","Senior Level"))</f>
        <v>Mid Career</v>
      </c>
      <c r="T1842" t="str">
        <f>IF(Table1[[#This Row],[AI_Exposure_Index]]&gt;=0.7,"High Exposure", IF(Table1[[#This Row],[AI_Exposure_Index]]&gt;=0.3,"Medium Exposure","Low Exposure"))</f>
        <v>Low Exposure</v>
      </c>
    </row>
    <row r="1843" spans="1:20" x14ac:dyDescent="0.25">
      <c r="A1843" t="s">
        <v>43</v>
      </c>
      <c r="B1843">
        <v>51219</v>
      </c>
      <c r="C1843" s="1">
        <v>14</v>
      </c>
      <c r="D1843" t="s">
        <v>38</v>
      </c>
      <c r="E1843" s="7">
        <v>0.79</v>
      </c>
      <c r="F1843" s="2">
        <v>0.84</v>
      </c>
      <c r="G1843" s="7">
        <v>0.26</v>
      </c>
      <c r="H1843" s="9" t="s">
        <v>23</v>
      </c>
      <c r="I1843">
        <v>0.48</v>
      </c>
      <c r="J1843">
        <v>0.18</v>
      </c>
      <c r="K1843">
        <v>0.8</v>
      </c>
      <c r="L1843">
        <v>0.38</v>
      </c>
      <c r="M1843">
        <v>0.71</v>
      </c>
      <c r="N1843">
        <v>0.84</v>
      </c>
      <c r="O1843">
        <v>0.96</v>
      </c>
      <c r="P1843">
        <v>0.09</v>
      </c>
      <c r="Q1843">
        <v>0.01</v>
      </c>
      <c r="R1843" s="2">
        <v>0.55000000000000004</v>
      </c>
      <c r="S1843" t="str">
        <f>IF(Table1[[#This Row],[Years_Experience]]&lt;=5,"Early Career",
IF(Table1[[#This Row],[Years_Experience]]&lt;=15,"Mid Career","Senior Level"))</f>
        <v>Mid Career</v>
      </c>
      <c r="T1843" t="str">
        <f>IF(Table1[[#This Row],[AI_Exposure_Index]]&gt;=0.7,"High Exposure", IF(Table1[[#This Row],[AI_Exposure_Index]]&gt;=0.3,"Medium Exposure","Low Exposure"))</f>
        <v>High Exposure</v>
      </c>
    </row>
    <row r="1844" spans="1:20" x14ac:dyDescent="0.25">
      <c r="A1844" t="s">
        <v>37</v>
      </c>
      <c r="B1844">
        <v>114899</v>
      </c>
      <c r="C1844" s="1">
        <v>19</v>
      </c>
      <c r="D1844" t="s">
        <v>19</v>
      </c>
      <c r="E1844" s="7">
        <v>0.56999999999999995</v>
      </c>
      <c r="F1844" s="2">
        <v>0.47</v>
      </c>
      <c r="G1844" s="7">
        <v>0.5</v>
      </c>
      <c r="H1844" s="9" t="s">
        <v>27</v>
      </c>
      <c r="I1844">
        <v>0.12</v>
      </c>
      <c r="J1844">
        <v>0.84</v>
      </c>
      <c r="K1844">
        <v>0.76</v>
      </c>
      <c r="L1844">
        <v>7.0000000000000007E-2</v>
      </c>
      <c r="M1844">
        <v>0.84</v>
      </c>
      <c r="N1844">
        <v>0.32</v>
      </c>
      <c r="O1844">
        <v>0.35</v>
      </c>
      <c r="P1844">
        <v>0.18</v>
      </c>
      <c r="Q1844">
        <v>0.84</v>
      </c>
      <c r="R1844" s="2">
        <v>0.4</v>
      </c>
      <c r="S1844" t="str">
        <f>IF(Table1[[#This Row],[Years_Experience]]&lt;=5,"Early Career",
IF(Table1[[#This Row],[Years_Experience]]&lt;=15,"Mid Career","Senior Level"))</f>
        <v>Senior Level</v>
      </c>
      <c r="T1844" t="str">
        <f>IF(Table1[[#This Row],[AI_Exposure_Index]]&gt;=0.7,"High Exposure", IF(Table1[[#This Row],[AI_Exposure_Index]]&gt;=0.3,"Medium Exposure","Low Exposure"))</f>
        <v>Medium Exposure</v>
      </c>
    </row>
    <row r="1845" spans="1:20" x14ac:dyDescent="0.25">
      <c r="A1845" t="s">
        <v>39</v>
      </c>
      <c r="B1845">
        <v>63275</v>
      </c>
      <c r="C1845" s="1">
        <v>20</v>
      </c>
      <c r="D1845" t="s">
        <v>22</v>
      </c>
      <c r="E1845" s="7">
        <v>0.76</v>
      </c>
      <c r="F1845" s="2">
        <v>0.97</v>
      </c>
      <c r="G1845" s="7">
        <v>0.93</v>
      </c>
      <c r="H1845" s="9" t="s">
        <v>20</v>
      </c>
      <c r="I1845">
        <v>0.3</v>
      </c>
      <c r="J1845">
        <v>0.83</v>
      </c>
      <c r="K1845">
        <v>0.66</v>
      </c>
      <c r="L1845">
        <v>0.86</v>
      </c>
      <c r="M1845">
        <v>0.98</v>
      </c>
      <c r="N1845">
        <v>0.87</v>
      </c>
      <c r="O1845">
        <v>0.4</v>
      </c>
      <c r="P1845">
        <v>0.81</v>
      </c>
      <c r="Q1845">
        <v>0.71</v>
      </c>
      <c r="R1845" s="2">
        <v>0.06</v>
      </c>
      <c r="S1845" t="str">
        <f>IF(Table1[[#This Row],[Years_Experience]]&lt;=5,"Early Career",
IF(Table1[[#This Row],[Years_Experience]]&lt;=15,"Mid Career","Senior Level"))</f>
        <v>Senior Level</v>
      </c>
      <c r="T1845" t="str">
        <f>IF(Table1[[#This Row],[AI_Exposure_Index]]&gt;=0.7,"High Exposure", IF(Table1[[#This Row],[AI_Exposure_Index]]&gt;=0.3,"Medium Exposure","Low Exposure"))</f>
        <v>High Exposure</v>
      </c>
    </row>
    <row r="1846" spans="1:20" x14ac:dyDescent="0.25">
      <c r="A1846" t="s">
        <v>37</v>
      </c>
      <c r="B1846">
        <v>79662</v>
      </c>
      <c r="C1846" s="1">
        <v>18</v>
      </c>
      <c r="D1846" t="s">
        <v>25</v>
      </c>
      <c r="E1846" s="7">
        <v>0.63</v>
      </c>
      <c r="F1846" s="2">
        <v>0.47</v>
      </c>
      <c r="G1846" s="7">
        <v>0.47</v>
      </c>
      <c r="H1846" s="9" t="s">
        <v>27</v>
      </c>
      <c r="I1846">
        <v>0.6</v>
      </c>
      <c r="J1846">
        <v>0.56999999999999995</v>
      </c>
      <c r="K1846">
        <v>0.56999999999999995</v>
      </c>
      <c r="L1846">
        <v>0.26</v>
      </c>
      <c r="M1846">
        <v>0.63</v>
      </c>
      <c r="N1846">
        <v>0.91</v>
      </c>
      <c r="O1846">
        <v>0.39</v>
      </c>
      <c r="P1846">
        <v>0.63</v>
      </c>
      <c r="Q1846">
        <v>0.24</v>
      </c>
      <c r="R1846" s="2">
        <v>0.05</v>
      </c>
      <c r="S1846" t="str">
        <f>IF(Table1[[#This Row],[Years_Experience]]&lt;=5,"Early Career",
IF(Table1[[#This Row],[Years_Experience]]&lt;=15,"Mid Career","Senior Level"))</f>
        <v>Senior Level</v>
      </c>
      <c r="T1846" t="str">
        <f>IF(Table1[[#This Row],[AI_Exposure_Index]]&gt;=0.7,"High Exposure", IF(Table1[[#This Row],[AI_Exposure_Index]]&gt;=0.3,"Medium Exposure","Low Exposure"))</f>
        <v>Medium Exposure</v>
      </c>
    </row>
    <row r="1847" spans="1:20" x14ac:dyDescent="0.25">
      <c r="A1847" t="s">
        <v>40</v>
      </c>
      <c r="B1847">
        <v>62158</v>
      </c>
      <c r="C1847" s="1">
        <v>20</v>
      </c>
      <c r="D1847" t="s">
        <v>25</v>
      </c>
      <c r="E1847" s="7">
        <v>1.22</v>
      </c>
      <c r="F1847" s="2">
        <v>0.05</v>
      </c>
      <c r="G1847" s="7">
        <v>0.22</v>
      </c>
      <c r="H1847" s="9" t="s">
        <v>23</v>
      </c>
      <c r="I1847">
        <v>0.37</v>
      </c>
      <c r="J1847">
        <v>0.41</v>
      </c>
      <c r="K1847">
        <v>0.92</v>
      </c>
      <c r="L1847">
        <v>0.01</v>
      </c>
      <c r="M1847">
        <v>0.56000000000000005</v>
      </c>
      <c r="N1847">
        <v>0.92</v>
      </c>
      <c r="O1847">
        <v>0.91</v>
      </c>
      <c r="P1847">
        <v>0.57999999999999996</v>
      </c>
      <c r="Q1847">
        <v>0.38</v>
      </c>
      <c r="R1847" s="2">
        <v>0.1</v>
      </c>
      <c r="S1847" t="str">
        <f>IF(Table1[[#This Row],[Years_Experience]]&lt;=5,"Early Career",
IF(Table1[[#This Row],[Years_Experience]]&lt;=15,"Mid Career","Senior Level"))</f>
        <v>Senior Level</v>
      </c>
      <c r="T1847" t="str">
        <f>IF(Table1[[#This Row],[AI_Exposure_Index]]&gt;=0.7,"High Exposure", IF(Table1[[#This Row],[AI_Exposure_Index]]&gt;=0.3,"Medium Exposure","Low Exposure"))</f>
        <v>Low Exposure</v>
      </c>
    </row>
    <row r="1848" spans="1:20" x14ac:dyDescent="0.25">
      <c r="A1848" t="s">
        <v>21</v>
      </c>
      <c r="B1848">
        <v>103484</v>
      </c>
      <c r="C1848" s="1">
        <v>0</v>
      </c>
      <c r="D1848" t="s">
        <v>19</v>
      </c>
      <c r="E1848" s="7">
        <v>0.52</v>
      </c>
      <c r="F1848" s="2">
        <v>0.68</v>
      </c>
      <c r="G1848" s="7">
        <v>0.27</v>
      </c>
      <c r="H1848" s="9" t="s">
        <v>23</v>
      </c>
      <c r="I1848">
        <v>0.59</v>
      </c>
      <c r="J1848">
        <v>0.05</v>
      </c>
      <c r="K1848">
        <v>0.24</v>
      </c>
      <c r="L1848">
        <v>0.59</v>
      </c>
      <c r="M1848">
        <v>0.04</v>
      </c>
      <c r="N1848">
        <v>0.78</v>
      </c>
      <c r="O1848">
        <v>0.92</v>
      </c>
      <c r="P1848">
        <v>0.96</v>
      </c>
      <c r="Q1848">
        <v>0.73</v>
      </c>
      <c r="R1848" s="2">
        <v>0.86</v>
      </c>
      <c r="S1848" t="str">
        <f>IF(Table1[[#This Row],[Years_Experience]]&lt;=5,"Early Career",
IF(Table1[[#This Row],[Years_Experience]]&lt;=15,"Mid Career","Senior Level"))</f>
        <v>Early Career</v>
      </c>
      <c r="T1848" t="str">
        <f>IF(Table1[[#This Row],[AI_Exposure_Index]]&gt;=0.7,"High Exposure", IF(Table1[[#This Row],[AI_Exposure_Index]]&gt;=0.3,"Medium Exposure","Low Exposure"))</f>
        <v>Medium Exposure</v>
      </c>
    </row>
    <row r="1849" spans="1:20" x14ac:dyDescent="0.25">
      <c r="A1849" t="s">
        <v>40</v>
      </c>
      <c r="B1849">
        <v>116810</v>
      </c>
      <c r="C1849" s="1">
        <v>4</v>
      </c>
      <c r="D1849" t="s">
        <v>19</v>
      </c>
      <c r="E1849" s="7">
        <v>1.21</v>
      </c>
      <c r="F1849" s="2">
        <v>0.46</v>
      </c>
      <c r="G1849" s="7">
        <v>0.11</v>
      </c>
      <c r="H1849" s="9" t="s">
        <v>23</v>
      </c>
      <c r="I1849">
        <v>0.11</v>
      </c>
      <c r="J1849">
        <v>0.76</v>
      </c>
      <c r="K1849">
        <v>0.96</v>
      </c>
      <c r="L1849">
        <v>0.57999999999999996</v>
      </c>
      <c r="M1849">
        <v>0.48</v>
      </c>
      <c r="N1849">
        <v>0.53</v>
      </c>
      <c r="O1849">
        <v>0.48</v>
      </c>
      <c r="P1849">
        <v>0.44</v>
      </c>
      <c r="Q1849">
        <v>0.95</v>
      </c>
      <c r="R1849" s="2">
        <v>0.48</v>
      </c>
      <c r="S1849" t="str">
        <f>IF(Table1[[#This Row],[Years_Experience]]&lt;=5,"Early Career",
IF(Table1[[#This Row],[Years_Experience]]&lt;=15,"Mid Career","Senior Level"))</f>
        <v>Early Career</v>
      </c>
      <c r="T1849" t="str">
        <f>IF(Table1[[#This Row],[AI_Exposure_Index]]&gt;=0.7,"High Exposure", IF(Table1[[#This Row],[AI_Exposure_Index]]&gt;=0.3,"Medium Exposure","Low Exposure"))</f>
        <v>Medium Exposure</v>
      </c>
    </row>
    <row r="1850" spans="1:20" x14ac:dyDescent="0.25">
      <c r="A1850" t="s">
        <v>18</v>
      </c>
      <c r="B1850">
        <v>104035</v>
      </c>
      <c r="C1850" s="1">
        <v>19</v>
      </c>
      <c r="D1850" t="s">
        <v>38</v>
      </c>
      <c r="E1850" s="7">
        <v>0.89</v>
      </c>
      <c r="F1850" s="2">
        <v>0.77</v>
      </c>
      <c r="G1850" s="7">
        <v>0.88</v>
      </c>
      <c r="H1850" s="9" t="s">
        <v>20</v>
      </c>
      <c r="I1850">
        <v>0.57999999999999996</v>
      </c>
      <c r="J1850">
        <v>0.71</v>
      </c>
      <c r="K1850">
        <v>0.06</v>
      </c>
      <c r="L1850">
        <v>0.03</v>
      </c>
      <c r="M1850">
        <v>0.38</v>
      </c>
      <c r="N1850">
        <v>0.69</v>
      </c>
      <c r="O1850">
        <v>0.22</v>
      </c>
      <c r="P1850">
        <v>0.43</v>
      </c>
      <c r="Q1850">
        <v>0.98</v>
      </c>
      <c r="R1850" s="2">
        <v>0.21</v>
      </c>
      <c r="S1850" t="str">
        <f>IF(Table1[[#This Row],[Years_Experience]]&lt;=5,"Early Career",
IF(Table1[[#This Row],[Years_Experience]]&lt;=15,"Mid Career","Senior Level"))</f>
        <v>Senior Level</v>
      </c>
      <c r="T1850" t="str">
        <f>IF(Table1[[#This Row],[AI_Exposure_Index]]&gt;=0.7,"High Exposure", IF(Table1[[#This Row],[AI_Exposure_Index]]&gt;=0.3,"Medium Exposure","Low Exposure"))</f>
        <v>High Exposure</v>
      </c>
    </row>
    <row r="1851" spans="1:20" x14ac:dyDescent="0.25">
      <c r="A1851" t="s">
        <v>28</v>
      </c>
      <c r="B1851">
        <v>83917</v>
      </c>
      <c r="C1851" s="1">
        <v>17</v>
      </c>
      <c r="D1851" t="s">
        <v>19</v>
      </c>
      <c r="E1851" s="7">
        <v>1.39</v>
      </c>
      <c r="F1851" s="2">
        <v>0.83</v>
      </c>
      <c r="G1851" s="7">
        <v>0.67</v>
      </c>
      <c r="H1851" s="9" t="s">
        <v>27</v>
      </c>
      <c r="I1851">
        <v>0.51</v>
      </c>
      <c r="J1851">
        <v>0.68</v>
      </c>
      <c r="K1851">
        <v>0.62</v>
      </c>
      <c r="L1851">
        <v>0.31</v>
      </c>
      <c r="M1851">
        <v>0.28000000000000003</v>
      </c>
      <c r="N1851">
        <v>0.34</v>
      </c>
      <c r="O1851">
        <v>0.22</v>
      </c>
      <c r="P1851">
        <v>0.76</v>
      </c>
      <c r="Q1851">
        <v>0.96</v>
      </c>
      <c r="R1851" s="2">
        <v>0.87</v>
      </c>
      <c r="S1851" t="str">
        <f>IF(Table1[[#This Row],[Years_Experience]]&lt;=5,"Early Career",
IF(Table1[[#This Row],[Years_Experience]]&lt;=15,"Mid Career","Senior Level"))</f>
        <v>Senior Level</v>
      </c>
      <c r="T1851" t="str">
        <f>IF(Table1[[#This Row],[AI_Exposure_Index]]&gt;=0.7,"High Exposure", IF(Table1[[#This Row],[AI_Exposure_Index]]&gt;=0.3,"Medium Exposure","Low Exposure"))</f>
        <v>High Exposure</v>
      </c>
    </row>
    <row r="1852" spans="1:20" x14ac:dyDescent="0.25">
      <c r="A1852" t="s">
        <v>34</v>
      </c>
      <c r="B1852">
        <v>91752</v>
      </c>
      <c r="C1852" s="1">
        <v>29</v>
      </c>
      <c r="D1852" t="s">
        <v>22</v>
      </c>
      <c r="E1852" s="7">
        <v>1.26</v>
      </c>
      <c r="F1852" s="2">
        <v>0.05</v>
      </c>
      <c r="G1852" s="7">
        <v>0.46</v>
      </c>
      <c r="H1852" s="9" t="s">
        <v>27</v>
      </c>
      <c r="I1852">
        <v>0.82</v>
      </c>
      <c r="J1852">
        <v>0.78</v>
      </c>
      <c r="K1852">
        <v>0.63</v>
      </c>
      <c r="L1852">
        <v>0.26</v>
      </c>
      <c r="M1852">
        <v>0.1</v>
      </c>
      <c r="N1852">
        <v>0.25</v>
      </c>
      <c r="O1852">
        <v>0.51</v>
      </c>
      <c r="P1852">
        <v>0.98</v>
      </c>
      <c r="Q1852">
        <v>0.06</v>
      </c>
      <c r="R1852" s="2">
        <v>0.2</v>
      </c>
      <c r="S1852" t="str">
        <f>IF(Table1[[#This Row],[Years_Experience]]&lt;=5,"Early Career",
IF(Table1[[#This Row],[Years_Experience]]&lt;=15,"Mid Career","Senior Level"))</f>
        <v>Senior Level</v>
      </c>
      <c r="T1852" t="str">
        <f>IF(Table1[[#This Row],[AI_Exposure_Index]]&gt;=0.7,"High Exposure", IF(Table1[[#This Row],[AI_Exposure_Index]]&gt;=0.3,"Medium Exposure","Low Exposure"))</f>
        <v>Low Exposure</v>
      </c>
    </row>
    <row r="1853" spans="1:20" x14ac:dyDescent="0.25">
      <c r="A1853" t="s">
        <v>39</v>
      </c>
      <c r="B1853">
        <v>120866</v>
      </c>
      <c r="C1853" s="1">
        <v>3</v>
      </c>
      <c r="D1853" t="s">
        <v>38</v>
      </c>
      <c r="E1853" s="7">
        <v>1.36</v>
      </c>
      <c r="F1853" s="2">
        <v>0.3</v>
      </c>
      <c r="G1853" s="7">
        <v>0.73</v>
      </c>
      <c r="H1853" s="9" t="s">
        <v>20</v>
      </c>
      <c r="I1853">
        <v>0.96</v>
      </c>
      <c r="J1853">
        <v>0.91</v>
      </c>
      <c r="K1853">
        <v>0.89</v>
      </c>
      <c r="L1853">
        <v>0.17</v>
      </c>
      <c r="M1853">
        <v>0.33</v>
      </c>
      <c r="N1853">
        <v>0.8</v>
      </c>
      <c r="O1853">
        <v>0.81</v>
      </c>
      <c r="P1853">
        <v>0.71</v>
      </c>
      <c r="Q1853">
        <v>0.45</v>
      </c>
      <c r="R1853" s="2">
        <v>0.31</v>
      </c>
      <c r="S1853" t="str">
        <f>IF(Table1[[#This Row],[Years_Experience]]&lt;=5,"Early Career",
IF(Table1[[#This Row],[Years_Experience]]&lt;=15,"Mid Career","Senior Level"))</f>
        <v>Early Career</v>
      </c>
      <c r="T1853" t="str">
        <f>IF(Table1[[#This Row],[AI_Exposure_Index]]&gt;=0.7,"High Exposure", IF(Table1[[#This Row],[AI_Exposure_Index]]&gt;=0.3,"Medium Exposure","Low Exposure"))</f>
        <v>Medium Exposure</v>
      </c>
    </row>
    <row r="1854" spans="1:20" x14ac:dyDescent="0.25">
      <c r="A1854" t="s">
        <v>18</v>
      </c>
      <c r="B1854">
        <v>56974</v>
      </c>
      <c r="C1854" s="1">
        <v>6</v>
      </c>
      <c r="D1854" t="s">
        <v>25</v>
      </c>
      <c r="E1854" s="7">
        <v>0.54</v>
      </c>
      <c r="F1854" s="2">
        <v>0.14000000000000001</v>
      </c>
      <c r="G1854" s="7">
        <v>0.7</v>
      </c>
      <c r="H1854" s="9" t="s">
        <v>27</v>
      </c>
      <c r="I1854">
        <v>0.78</v>
      </c>
      <c r="J1854">
        <v>0.06</v>
      </c>
      <c r="K1854">
        <v>0.54</v>
      </c>
      <c r="L1854">
        <v>0.37</v>
      </c>
      <c r="M1854">
        <v>0.15</v>
      </c>
      <c r="N1854">
        <v>0.74</v>
      </c>
      <c r="O1854">
        <v>0.06</v>
      </c>
      <c r="P1854">
        <v>0.32</v>
      </c>
      <c r="Q1854">
        <v>0.56000000000000005</v>
      </c>
      <c r="R1854" s="2">
        <v>0.4</v>
      </c>
      <c r="S1854" t="str">
        <f>IF(Table1[[#This Row],[Years_Experience]]&lt;=5,"Early Career",
IF(Table1[[#This Row],[Years_Experience]]&lt;=15,"Mid Career","Senior Level"))</f>
        <v>Mid Career</v>
      </c>
      <c r="T1854" t="str">
        <f>IF(Table1[[#This Row],[AI_Exposure_Index]]&gt;=0.7,"High Exposure", IF(Table1[[#This Row],[AI_Exposure_Index]]&gt;=0.3,"Medium Exposure","Low Exposure"))</f>
        <v>Low Exposure</v>
      </c>
    </row>
    <row r="1855" spans="1:20" x14ac:dyDescent="0.25">
      <c r="A1855" t="s">
        <v>28</v>
      </c>
      <c r="B1855">
        <v>130672</v>
      </c>
      <c r="C1855" s="1">
        <v>16</v>
      </c>
      <c r="D1855" t="s">
        <v>38</v>
      </c>
      <c r="E1855" s="7">
        <v>1.43</v>
      </c>
      <c r="F1855" s="2">
        <v>0.93</v>
      </c>
      <c r="G1855" s="7">
        <v>0.47</v>
      </c>
      <c r="H1855" s="9" t="s">
        <v>27</v>
      </c>
      <c r="I1855">
        <v>0.39</v>
      </c>
      <c r="J1855">
        <v>0.31</v>
      </c>
      <c r="K1855">
        <v>0.86</v>
      </c>
      <c r="L1855">
        <v>0.56999999999999995</v>
      </c>
      <c r="M1855">
        <v>0.09</v>
      </c>
      <c r="N1855">
        <v>0.85</v>
      </c>
      <c r="O1855">
        <v>0.53</v>
      </c>
      <c r="P1855">
        <v>0.42</v>
      </c>
      <c r="Q1855">
        <v>0.34</v>
      </c>
      <c r="R1855" s="2">
        <v>0.1</v>
      </c>
      <c r="S1855" t="str">
        <f>IF(Table1[[#This Row],[Years_Experience]]&lt;=5,"Early Career",
IF(Table1[[#This Row],[Years_Experience]]&lt;=15,"Mid Career","Senior Level"))</f>
        <v>Senior Level</v>
      </c>
      <c r="T1855" t="str">
        <f>IF(Table1[[#This Row],[AI_Exposure_Index]]&gt;=0.7,"High Exposure", IF(Table1[[#This Row],[AI_Exposure_Index]]&gt;=0.3,"Medium Exposure","Low Exposure"))</f>
        <v>High Exposure</v>
      </c>
    </row>
    <row r="1856" spans="1:20" x14ac:dyDescent="0.25">
      <c r="A1856" t="s">
        <v>29</v>
      </c>
      <c r="B1856">
        <v>58327</v>
      </c>
      <c r="C1856" s="1">
        <v>13</v>
      </c>
      <c r="D1856" t="s">
        <v>19</v>
      </c>
      <c r="E1856" s="7">
        <v>0.63</v>
      </c>
      <c r="F1856" s="2">
        <v>0.74</v>
      </c>
      <c r="G1856" s="7">
        <v>0.18</v>
      </c>
      <c r="H1856" s="9" t="s">
        <v>23</v>
      </c>
      <c r="I1856">
        <v>0.56000000000000005</v>
      </c>
      <c r="J1856">
        <v>0.17</v>
      </c>
      <c r="K1856">
        <v>0.43</v>
      </c>
      <c r="L1856">
        <v>0.65</v>
      </c>
      <c r="M1856">
        <v>0.28000000000000003</v>
      </c>
      <c r="N1856">
        <v>0.33</v>
      </c>
      <c r="O1856">
        <v>0.12</v>
      </c>
      <c r="P1856">
        <v>0.41</v>
      </c>
      <c r="Q1856">
        <v>0.57999999999999996</v>
      </c>
      <c r="R1856" s="2">
        <v>0.12</v>
      </c>
      <c r="S1856" t="str">
        <f>IF(Table1[[#This Row],[Years_Experience]]&lt;=5,"Early Career",
IF(Table1[[#This Row],[Years_Experience]]&lt;=15,"Mid Career","Senior Level"))</f>
        <v>Mid Career</v>
      </c>
      <c r="T1856" t="str">
        <f>IF(Table1[[#This Row],[AI_Exposure_Index]]&gt;=0.7,"High Exposure", IF(Table1[[#This Row],[AI_Exposure_Index]]&gt;=0.3,"Medium Exposure","Low Exposure"))</f>
        <v>High Exposure</v>
      </c>
    </row>
    <row r="1857" spans="1:20" x14ac:dyDescent="0.25">
      <c r="A1857" t="s">
        <v>40</v>
      </c>
      <c r="B1857">
        <v>63258</v>
      </c>
      <c r="C1857" s="1">
        <v>22</v>
      </c>
      <c r="D1857" t="s">
        <v>22</v>
      </c>
      <c r="E1857" s="7">
        <v>1.18</v>
      </c>
      <c r="F1857" s="2">
        <v>0.4</v>
      </c>
      <c r="G1857" s="7">
        <v>0.13</v>
      </c>
      <c r="H1857" s="9" t="s">
        <v>23</v>
      </c>
      <c r="I1857">
        <v>0.56999999999999995</v>
      </c>
      <c r="J1857">
        <v>0.61</v>
      </c>
      <c r="K1857">
        <v>0.69</v>
      </c>
      <c r="L1857">
        <v>0.76</v>
      </c>
      <c r="M1857">
        <v>0.14000000000000001</v>
      </c>
      <c r="N1857">
        <v>0.97</v>
      </c>
      <c r="O1857">
        <v>0.84</v>
      </c>
      <c r="P1857">
        <v>0.56000000000000005</v>
      </c>
      <c r="Q1857">
        <v>0.89</v>
      </c>
      <c r="R1857" s="2">
        <v>0.38</v>
      </c>
      <c r="S1857" t="str">
        <f>IF(Table1[[#This Row],[Years_Experience]]&lt;=5,"Early Career",
IF(Table1[[#This Row],[Years_Experience]]&lt;=15,"Mid Career","Senior Level"))</f>
        <v>Senior Level</v>
      </c>
      <c r="T1857" t="str">
        <f>IF(Table1[[#This Row],[AI_Exposure_Index]]&gt;=0.7,"High Exposure", IF(Table1[[#This Row],[AI_Exposure_Index]]&gt;=0.3,"Medium Exposure","Low Exposure"))</f>
        <v>Medium Exposure</v>
      </c>
    </row>
    <row r="1858" spans="1:20" x14ac:dyDescent="0.25">
      <c r="A1858" t="s">
        <v>35</v>
      </c>
      <c r="B1858">
        <v>95777</v>
      </c>
      <c r="C1858" s="1">
        <v>27</v>
      </c>
      <c r="D1858" t="s">
        <v>22</v>
      </c>
      <c r="E1858" s="7">
        <v>1.44</v>
      </c>
      <c r="F1858" s="2">
        <v>0.73</v>
      </c>
      <c r="G1858" s="7">
        <v>0.36</v>
      </c>
      <c r="H1858" s="9" t="s">
        <v>27</v>
      </c>
      <c r="I1858">
        <v>0.64</v>
      </c>
      <c r="J1858">
        <v>0.81</v>
      </c>
      <c r="K1858">
        <v>0.91</v>
      </c>
      <c r="L1858">
        <v>0.28000000000000003</v>
      </c>
      <c r="M1858">
        <v>0.13</v>
      </c>
      <c r="N1858">
        <v>0.25</v>
      </c>
      <c r="O1858">
        <v>0.57999999999999996</v>
      </c>
      <c r="P1858">
        <v>0.92</v>
      </c>
      <c r="Q1858">
        <v>0.57999999999999996</v>
      </c>
      <c r="R1858" s="2">
        <v>0.92</v>
      </c>
      <c r="S1858" t="str">
        <f>IF(Table1[[#This Row],[Years_Experience]]&lt;=5,"Early Career",
IF(Table1[[#This Row],[Years_Experience]]&lt;=15,"Mid Career","Senior Level"))</f>
        <v>Senior Level</v>
      </c>
      <c r="T1858" t="str">
        <f>IF(Table1[[#This Row],[AI_Exposure_Index]]&gt;=0.7,"High Exposure", IF(Table1[[#This Row],[AI_Exposure_Index]]&gt;=0.3,"Medium Exposure","Low Exposure"))</f>
        <v>High Exposure</v>
      </c>
    </row>
    <row r="1859" spans="1:20" x14ac:dyDescent="0.25">
      <c r="A1859" t="s">
        <v>34</v>
      </c>
      <c r="B1859">
        <v>105127</v>
      </c>
      <c r="C1859" s="1">
        <v>14</v>
      </c>
      <c r="D1859" t="s">
        <v>38</v>
      </c>
      <c r="E1859" s="7">
        <v>0.52</v>
      </c>
      <c r="F1859" s="2">
        <v>0.6</v>
      </c>
      <c r="G1859" s="7">
        <v>0.43</v>
      </c>
      <c r="H1859" s="9" t="s">
        <v>27</v>
      </c>
      <c r="I1859">
        <v>0.06</v>
      </c>
      <c r="J1859">
        <v>0.32</v>
      </c>
      <c r="K1859">
        <v>0.06</v>
      </c>
      <c r="L1859">
        <v>0.17</v>
      </c>
      <c r="M1859">
        <v>0.41</v>
      </c>
      <c r="N1859">
        <v>0.51</v>
      </c>
      <c r="O1859">
        <v>0.22</v>
      </c>
      <c r="P1859">
        <v>0.73</v>
      </c>
      <c r="Q1859">
        <v>0.59</v>
      </c>
      <c r="R1859" s="2">
        <v>0.69</v>
      </c>
      <c r="S1859" t="str">
        <f>IF(Table1[[#This Row],[Years_Experience]]&lt;=5,"Early Career",
IF(Table1[[#This Row],[Years_Experience]]&lt;=15,"Mid Career","Senior Level"))</f>
        <v>Mid Career</v>
      </c>
      <c r="T1859" t="str">
        <f>IF(Table1[[#This Row],[AI_Exposure_Index]]&gt;=0.7,"High Exposure", IF(Table1[[#This Row],[AI_Exposure_Index]]&gt;=0.3,"Medium Exposure","Low Exposure"))</f>
        <v>Medium Exposure</v>
      </c>
    </row>
    <row r="1860" spans="1:20" x14ac:dyDescent="0.25">
      <c r="A1860" t="s">
        <v>31</v>
      </c>
      <c r="B1860">
        <v>64846</v>
      </c>
      <c r="C1860" s="1">
        <v>17</v>
      </c>
      <c r="D1860" t="s">
        <v>38</v>
      </c>
      <c r="E1860" s="7">
        <v>1.44</v>
      </c>
      <c r="F1860" s="2">
        <v>0.73</v>
      </c>
      <c r="G1860" s="7">
        <v>0.11</v>
      </c>
      <c r="H1860" s="9" t="s">
        <v>23</v>
      </c>
      <c r="I1860">
        <v>0.27</v>
      </c>
      <c r="J1860">
        <v>0.09</v>
      </c>
      <c r="K1860">
        <v>0.59</v>
      </c>
      <c r="L1860">
        <v>0.4</v>
      </c>
      <c r="M1860">
        <v>0.5</v>
      </c>
      <c r="N1860">
        <v>0.17</v>
      </c>
      <c r="O1860">
        <v>0.65</v>
      </c>
      <c r="P1860">
        <v>0.62</v>
      </c>
      <c r="Q1860">
        <v>0.26</v>
      </c>
      <c r="R1860" s="2">
        <v>0.47</v>
      </c>
      <c r="S1860" t="str">
        <f>IF(Table1[[#This Row],[Years_Experience]]&lt;=5,"Early Career",
IF(Table1[[#This Row],[Years_Experience]]&lt;=15,"Mid Career","Senior Level"))</f>
        <v>Senior Level</v>
      </c>
      <c r="T1860" t="str">
        <f>IF(Table1[[#This Row],[AI_Exposure_Index]]&gt;=0.7,"High Exposure", IF(Table1[[#This Row],[AI_Exposure_Index]]&gt;=0.3,"Medium Exposure","Low Exposure"))</f>
        <v>High Exposure</v>
      </c>
    </row>
    <row r="1861" spans="1:20" x14ac:dyDescent="0.25">
      <c r="A1861" t="s">
        <v>35</v>
      </c>
      <c r="B1861">
        <v>89397</v>
      </c>
      <c r="C1861" s="1">
        <v>11</v>
      </c>
      <c r="D1861" t="s">
        <v>38</v>
      </c>
      <c r="E1861" s="7">
        <v>0.73</v>
      </c>
      <c r="F1861" s="2">
        <v>0.77</v>
      </c>
      <c r="G1861" s="7">
        <v>0.65</v>
      </c>
      <c r="H1861" s="9" t="s">
        <v>27</v>
      </c>
      <c r="I1861">
        <v>7.0000000000000007E-2</v>
      </c>
      <c r="J1861">
        <v>0.41</v>
      </c>
      <c r="K1861">
        <v>0.08</v>
      </c>
      <c r="L1861">
        <v>0.92</v>
      </c>
      <c r="M1861">
        <v>0.04</v>
      </c>
      <c r="N1861">
        <v>0.15</v>
      </c>
      <c r="O1861">
        <v>0.92</v>
      </c>
      <c r="P1861">
        <v>0.57999999999999996</v>
      </c>
      <c r="Q1861">
        <v>0.8</v>
      </c>
      <c r="R1861" s="2">
        <v>0.02</v>
      </c>
      <c r="S1861" t="str">
        <f>IF(Table1[[#This Row],[Years_Experience]]&lt;=5,"Early Career",
IF(Table1[[#This Row],[Years_Experience]]&lt;=15,"Mid Career","Senior Level"))</f>
        <v>Mid Career</v>
      </c>
      <c r="T1861" t="str">
        <f>IF(Table1[[#This Row],[AI_Exposure_Index]]&gt;=0.7,"High Exposure", IF(Table1[[#This Row],[AI_Exposure_Index]]&gt;=0.3,"Medium Exposure","Low Exposure"))</f>
        <v>High Exposure</v>
      </c>
    </row>
    <row r="1862" spans="1:20" x14ac:dyDescent="0.25">
      <c r="A1862" t="s">
        <v>31</v>
      </c>
      <c r="B1862">
        <v>148915</v>
      </c>
      <c r="C1862" s="1">
        <v>21</v>
      </c>
      <c r="D1862" t="s">
        <v>38</v>
      </c>
      <c r="E1862" s="7">
        <v>1.08</v>
      </c>
      <c r="F1862" s="2">
        <v>0.98</v>
      </c>
      <c r="G1862" s="7">
        <v>0.26</v>
      </c>
      <c r="H1862" s="9" t="s">
        <v>23</v>
      </c>
      <c r="I1862">
        <v>0.96</v>
      </c>
      <c r="J1862">
        <v>0.69</v>
      </c>
      <c r="K1862">
        <v>0.33</v>
      </c>
      <c r="L1862">
        <v>0.31</v>
      </c>
      <c r="M1862">
        <v>7.0000000000000007E-2</v>
      </c>
      <c r="N1862">
        <v>0.43</v>
      </c>
      <c r="O1862">
        <v>0.92</v>
      </c>
      <c r="P1862">
        <v>0.48</v>
      </c>
      <c r="Q1862">
        <v>0.91</v>
      </c>
      <c r="R1862" s="2">
        <v>0.82</v>
      </c>
      <c r="S1862" t="str">
        <f>IF(Table1[[#This Row],[Years_Experience]]&lt;=5,"Early Career",
IF(Table1[[#This Row],[Years_Experience]]&lt;=15,"Mid Career","Senior Level"))</f>
        <v>Senior Level</v>
      </c>
      <c r="T1862" t="str">
        <f>IF(Table1[[#This Row],[AI_Exposure_Index]]&gt;=0.7,"High Exposure", IF(Table1[[#This Row],[AI_Exposure_Index]]&gt;=0.3,"Medium Exposure","Low Exposure"))</f>
        <v>High Exposure</v>
      </c>
    </row>
    <row r="1863" spans="1:20" x14ac:dyDescent="0.25">
      <c r="A1863" t="s">
        <v>21</v>
      </c>
      <c r="B1863">
        <v>140554</v>
      </c>
      <c r="C1863" s="1">
        <v>16</v>
      </c>
      <c r="D1863" t="s">
        <v>25</v>
      </c>
      <c r="E1863" s="7">
        <v>1.21</v>
      </c>
      <c r="F1863" s="2">
        <v>0.95</v>
      </c>
      <c r="G1863" s="7">
        <v>0.27</v>
      </c>
      <c r="H1863" s="9" t="s">
        <v>23</v>
      </c>
      <c r="I1863">
        <v>0.75</v>
      </c>
      <c r="J1863">
        <v>0.7</v>
      </c>
      <c r="K1863">
        <v>0.72</v>
      </c>
      <c r="L1863">
        <v>0.72</v>
      </c>
      <c r="M1863">
        <v>0.38</v>
      </c>
      <c r="N1863">
        <v>0.42</v>
      </c>
      <c r="O1863">
        <v>0.28999999999999998</v>
      </c>
      <c r="P1863">
        <v>0.15</v>
      </c>
      <c r="Q1863">
        <v>0.46</v>
      </c>
      <c r="R1863" s="2">
        <v>0.9</v>
      </c>
      <c r="S1863" t="str">
        <f>IF(Table1[[#This Row],[Years_Experience]]&lt;=5,"Early Career",
IF(Table1[[#This Row],[Years_Experience]]&lt;=15,"Mid Career","Senior Level"))</f>
        <v>Senior Level</v>
      </c>
      <c r="T1863" t="str">
        <f>IF(Table1[[#This Row],[AI_Exposure_Index]]&gt;=0.7,"High Exposure", IF(Table1[[#This Row],[AI_Exposure_Index]]&gt;=0.3,"Medium Exposure","Low Exposure"))</f>
        <v>High Exposure</v>
      </c>
    </row>
    <row r="1864" spans="1:20" x14ac:dyDescent="0.25">
      <c r="A1864" t="s">
        <v>28</v>
      </c>
      <c r="B1864">
        <v>114153</v>
      </c>
      <c r="C1864" s="1">
        <v>28</v>
      </c>
      <c r="D1864" t="s">
        <v>22</v>
      </c>
      <c r="E1864" s="7">
        <v>1.31</v>
      </c>
      <c r="F1864" s="2">
        <v>0.06</v>
      </c>
      <c r="G1864" s="7">
        <v>0.67</v>
      </c>
      <c r="H1864" s="9" t="s">
        <v>27</v>
      </c>
      <c r="I1864">
        <v>0.83</v>
      </c>
      <c r="J1864">
        <v>0.73</v>
      </c>
      <c r="K1864">
        <v>0.15</v>
      </c>
      <c r="L1864">
        <v>0.35</v>
      </c>
      <c r="M1864">
        <v>0.56999999999999995</v>
      </c>
      <c r="N1864">
        <v>0.08</v>
      </c>
      <c r="O1864">
        <v>0.11</v>
      </c>
      <c r="P1864">
        <v>0.93</v>
      </c>
      <c r="Q1864">
        <v>0.7</v>
      </c>
      <c r="R1864" s="2">
        <v>0.28000000000000003</v>
      </c>
      <c r="S1864" t="str">
        <f>IF(Table1[[#This Row],[Years_Experience]]&lt;=5,"Early Career",
IF(Table1[[#This Row],[Years_Experience]]&lt;=15,"Mid Career","Senior Level"))</f>
        <v>Senior Level</v>
      </c>
      <c r="T1864" t="str">
        <f>IF(Table1[[#This Row],[AI_Exposure_Index]]&gt;=0.7,"High Exposure", IF(Table1[[#This Row],[AI_Exposure_Index]]&gt;=0.3,"Medium Exposure","Low Exposure"))</f>
        <v>Low Exposure</v>
      </c>
    </row>
    <row r="1865" spans="1:20" x14ac:dyDescent="0.25">
      <c r="A1865" t="s">
        <v>37</v>
      </c>
      <c r="B1865">
        <v>137526</v>
      </c>
      <c r="C1865" s="1">
        <v>27</v>
      </c>
      <c r="D1865" t="s">
        <v>22</v>
      </c>
      <c r="E1865" s="7">
        <v>0.83</v>
      </c>
      <c r="F1865" s="2">
        <v>0.8</v>
      </c>
      <c r="G1865" s="7">
        <v>0.44</v>
      </c>
      <c r="H1865" s="9" t="s">
        <v>27</v>
      </c>
      <c r="I1865">
        <v>0.34</v>
      </c>
      <c r="J1865">
        <v>0.5</v>
      </c>
      <c r="K1865">
        <v>0.7</v>
      </c>
      <c r="L1865">
        <v>0.77</v>
      </c>
      <c r="M1865">
        <v>0.39</v>
      </c>
      <c r="N1865">
        <v>0.66</v>
      </c>
      <c r="O1865">
        <v>0.72</v>
      </c>
      <c r="P1865">
        <v>0.3</v>
      </c>
      <c r="Q1865">
        <v>0.1</v>
      </c>
      <c r="R1865" s="2">
        <v>0.89</v>
      </c>
      <c r="S1865" t="str">
        <f>IF(Table1[[#This Row],[Years_Experience]]&lt;=5,"Early Career",
IF(Table1[[#This Row],[Years_Experience]]&lt;=15,"Mid Career","Senior Level"))</f>
        <v>Senior Level</v>
      </c>
      <c r="T1865" t="str">
        <f>IF(Table1[[#This Row],[AI_Exposure_Index]]&gt;=0.7,"High Exposure", IF(Table1[[#This Row],[AI_Exposure_Index]]&gt;=0.3,"Medium Exposure","Low Exposure"))</f>
        <v>High Exposure</v>
      </c>
    </row>
    <row r="1866" spans="1:20" x14ac:dyDescent="0.25">
      <c r="A1866" t="s">
        <v>43</v>
      </c>
      <c r="B1866">
        <v>126482</v>
      </c>
      <c r="C1866" s="1">
        <v>14</v>
      </c>
      <c r="D1866" t="s">
        <v>22</v>
      </c>
      <c r="E1866" s="7">
        <v>0.56000000000000005</v>
      </c>
      <c r="F1866" s="2">
        <v>0.65</v>
      </c>
      <c r="G1866" s="7">
        <v>0.25</v>
      </c>
      <c r="H1866" s="9" t="s">
        <v>23</v>
      </c>
      <c r="I1866">
        <v>0.56999999999999995</v>
      </c>
      <c r="J1866">
        <v>0.85</v>
      </c>
      <c r="K1866">
        <v>0.97</v>
      </c>
      <c r="L1866">
        <v>0.96</v>
      </c>
      <c r="M1866">
        <v>0.86</v>
      </c>
      <c r="N1866">
        <v>0.01</v>
      </c>
      <c r="O1866">
        <v>0.89</v>
      </c>
      <c r="P1866">
        <v>0.08</v>
      </c>
      <c r="Q1866">
        <v>0.85</v>
      </c>
      <c r="R1866" s="2">
        <v>0.28000000000000003</v>
      </c>
      <c r="S1866" t="str">
        <f>IF(Table1[[#This Row],[Years_Experience]]&lt;=5,"Early Career",
IF(Table1[[#This Row],[Years_Experience]]&lt;=15,"Mid Career","Senior Level"))</f>
        <v>Mid Career</v>
      </c>
      <c r="T1866" t="str">
        <f>IF(Table1[[#This Row],[AI_Exposure_Index]]&gt;=0.7,"High Exposure", IF(Table1[[#This Row],[AI_Exposure_Index]]&gt;=0.3,"Medium Exposure","Low Exposure"))</f>
        <v>Medium Exposure</v>
      </c>
    </row>
    <row r="1867" spans="1:20" x14ac:dyDescent="0.25">
      <c r="A1867" t="s">
        <v>34</v>
      </c>
      <c r="B1867">
        <v>124274</v>
      </c>
      <c r="C1867" s="1">
        <v>26</v>
      </c>
      <c r="D1867" t="s">
        <v>25</v>
      </c>
      <c r="E1867" s="7">
        <v>0.63</v>
      </c>
      <c r="F1867" s="2">
        <v>0.49</v>
      </c>
      <c r="G1867" s="7">
        <v>0.67</v>
      </c>
      <c r="H1867" s="9" t="s">
        <v>27</v>
      </c>
      <c r="I1867">
        <v>0.32</v>
      </c>
      <c r="J1867">
        <v>0.19</v>
      </c>
      <c r="K1867">
        <v>0.48</v>
      </c>
      <c r="L1867">
        <v>0.04</v>
      </c>
      <c r="M1867">
        <v>0.25</v>
      </c>
      <c r="N1867">
        <v>7.0000000000000007E-2</v>
      </c>
      <c r="O1867">
        <v>0.13</v>
      </c>
      <c r="P1867">
        <v>0.11</v>
      </c>
      <c r="Q1867">
        <v>0.87</v>
      </c>
      <c r="R1867" s="2">
        <v>0.93</v>
      </c>
      <c r="S1867" t="str">
        <f>IF(Table1[[#This Row],[Years_Experience]]&lt;=5,"Early Career",
IF(Table1[[#This Row],[Years_Experience]]&lt;=15,"Mid Career","Senior Level"))</f>
        <v>Senior Level</v>
      </c>
      <c r="T1867" t="str">
        <f>IF(Table1[[#This Row],[AI_Exposure_Index]]&gt;=0.7,"High Exposure", IF(Table1[[#This Row],[AI_Exposure_Index]]&gt;=0.3,"Medium Exposure","Low Exposure"))</f>
        <v>Medium Exposure</v>
      </c>
    </row>
    <row r="1868" spans="1:20" x14ac:dyDescent="0.25">
      <c r="A1868" t="s">
        <v>32</v>
      </c>
      <c r="B1868">
        <v>48638</v>
      </c>
      <c r="C1868" s="1">
        <v>22</v>
      </c>
      <c r="D1868" t="s">
        <v>22</v>
      </c>
      <c r="E1868" s="7">
        <v>1.2</v>
      </c>
      <c r="F1868" s="2">
        <v>0.63</v>
      </c>
      <c r="G1868" s="7">
        <v>0.46</v>
      </c>
      <c r="H1868" s="9" t="s">
        <v>27</v>
      </c>
      <c r="I1868">
        <v>0.37</v>
      </c>
      <c r="J1868">
        <v>0.68</v>
      </c>
      <c r="K1868">
        <v>0.38</v>
      </c>
      <c r="L1868">
        <v>0.57999999999999996</v>
      </c>
      <c r="M1868">
        <v>0.52</v>
      </c>
      <c r="N1868">
        <v>0.52</v>
      </c>
      <c r="O1868">
        <v>0.83</v>
      </c>
      <c r="P1868">
        <v>0.7</v>
      </c>
      <c r="Q1868">
        <v>0.96</v>
      </c>
      <c r="R1868" s="2">
        <v>0.79</v>
      </c>
      <c r="S1868" t="str">
        <f>IF(Table1[[#This Row],[Years_Experience]]&lt;=5,"Early Career",
IF(Table1[[#This Row],[Years_Experience]]&lt;=15,"Mid Career","Senior Level"))</f>
        <v>Senior Level</v>
      </c>
      <c r="T1868" t="str">
        <f>IF(Table1[[#This Row],[AI_Exposure_Index]]&gt;=0.7,"High Exposure", IF(Table1[[#This Row],[AI_Exposure_Index]]&gt;=0.3,"Medium Exposure","Low Exposure"))</f>
        <v>Medium Exposure</v>
      </c>
    </row>
    <row r="1869" spans="1:20" x14ac:dyDescent="0.25">
      <c r="A1869" t="s">
        <v>26</v>
      </c>
      <c r="B1869">
        <v>73162</v>
      </c>
      <c r="C1869" s="1">
        <v>6</v>
      </c>
      <c r="D1869" t="s">
        <v>25</v>
      </c>
      <c r="E1869" s="7">
        <v>1.17</v>
      </c>
      <c r="F1869" s="2">
        <v>0.74</v>
      </c>
      <c r="G1869" s="7">
        <v>0.56000000000000005</v>
      </c>
      <c r="H1869" s="9" t="s">
        <v>27</v>
      </c>
      <c r="I1869">
        <v>0.48</v>
      </c>
      <c r="J1869">
        <v>0.06</v>
      </c>
      <c r="K1869">
        <v>0.95</v>
      </c>
      <c r="L1869">
        <v>0.85</v>
      </c>
      <c r="M1869">
        <v>0.49</v>
      </c>
      <c r="N1869">
        <v>0.16</v>
      </c>
      <c r="O1869">
        <v>0.82</v>
      </c>
      <c r="P1869">
        <v>0.43</v>
      </c>
      <c r="Q1869">
        <v>0.39</v>
      </c>
      <c r="R1869" s="2">
        <v>0.67</v>
      </c>
      <c r="S1869" t="str">
        <f>IF(Table1[[#This Row],[Years_Experience]]&lt;=5,"Early Career",
IF(Table1[[#This Row],[Years_Experience]]&lt;=15,"Mid Career","Senior Level"))</f>
        <v>Mid Career</v>
      </c>
      <c r="T1869" t="str">
        <f>IF(Table1[[#This Row],[AI_Exposure_Index]]&gt;=0.7,"High Exposure", IF(Table1[[#This Row],[AI_Exposure_Index]]&gt;=0.3,"Medium Exposure","Low Exposure"))</f>
        <v>High Exposure</v>
      </c>
    </row>
    <row r="1870" spans="1:20" x14ac:dyDescent="0.25">
      <c r="A1870" t="s">
        <v>31</v>
      </c>
      <c r="B1870">
        <v>66105</v>
      </c>
      <c r="C1870" s="1">
        <v>28</v>
      </c>
      <c r="D1870" t="s">
        <v>25</v>
      </c>
      <c r="E1870" s="7">
        <v>1.27</v>
      </c>
      <c r="F1870" s="2">
        <v>0.06</v>
      </c>
      <c r="G1870" s="7">
        <v>0.23</v>
      </c>
      <c r="H1870" s="9" t="s">
        <v>23</v>
      </c>
      <c r="I1870">
        <v>0.59</v>
      </c>
      <c r="J1870">
        <v>0.34</v>
      </c>
      <c r="K1870">
        <v>0.16</v>
      </c>
      <c r="L1870">
        <v>0.1</v>
      </c>
      <c r="M1870">
        <v>0</v>
      </c>
      <c r="N1870">
        <v>0.21</v>
      </c>
      <c r="O1870">
        <v>0.41</v>
      </c>
      <c r="P1870">
        <v>0.24</v>
      </c>
      <c r="Q1870">
        <v>0.31</v>
      </c>
      <c r="R1870" s="2">
        <v>0.39</v>
      </c>
      <c r="S1870" t="str">
        <f>IF(Table1[[#This Row],[Years_Experience]]&lt;=5,"Early Career",
IF(Table1[[#This Row],[Years_Experience]]&lt;=15,"Mid Career","Senior Level"))</f>
        <v>Senior Level</v>
      </c>
      <c r="T1870" t="str">
        <f>IF(Table1[[#This Row],[AI_Exposure_Index]]&gt;=0.7,"High Exposure", IF(Table1[[#This Row],[AI_Exposure_Index]]&gt;=0.3,"Medium Exposure","Low Exposure"))</f>
        <v>Low Exposure</v>
      </c>
    </row>
    <row r="1871" spans="1:20" x14ac:dyDescent="0.25">
      <c r="A1871" t="s">
        <v>29</v>
      </c>
      <c r="B1871">
        <v>48246</v>
      </c>
      <c r="C1871" s="1">
        <v>10</v>
      </c>
      <c r="D1871" t="s">
        <v>25</v>
      </c>
      <c r="E1871" s="7">
        <v>0.99</v>
      </c>
      <c r="F1871" s="2">
        <v>0.72</v>
      </c>
      <c r="G1871" s="7">
        <v>0.05</v>
      </c>
      <c r="H1871" s="9" t="s">
        <v>23</v>
      </c>
      <c r="I1871">
        <v>0.23</v>
      </c>
      <c r="J1871">
        <v>0.71</v>
      </c>
      <c r="K1871">
        <v>0.3</v>
      </c>
      <c r="L1871">
        <v>0.92</v>
      </c>
      <c r="M1871">
        <v>0.71</v>
      </c>
      <c r="N1871">
        <v>0.28999999999999998</v>
      </c>
      <c r="O1871">
        <v>0.52</v>
      </c>
      <c r="P1871">
        <v>0.67</v>
      </c>
      <c r="Q1871">
        <v>0.19</v>
      </c>
      <c r="R1871" s="2">
        <v>0.25</v>
      </c>
      <c r="S1871" t="str">
        <f>IF(Table1[[#This Row],[Years_Experience]]&lt;=5,"Early Career",
IF(Table1[[#This Row],[Years_Experience]]&lt;=15,"Mid Career","Senior Level"))</f>
        <v>Mid Career</v>
      </c>
      <c r="T1871" t="str">
        <f>IF(Table1[[#This Row],[AI_Exposure_Index]]&gt;=0.7,"High Exposure", IF(Table1[[#This Row],[AI_Exposure_Index]]&gt;=0.3,"Medium Exposure","Low Exposure"))</f>
        <v>High Exposure</v>
      </c>
    </row>
    <row r="1872" spans="1:20" x14ac:dyDescent="0.25">
      <c r="A1872" t="s">
        <v>18</v>
      </c>
      <c r="B1872">
        <v>86470</v>
      </c>
      <c r="C1872" s="1">
        <v>11</v>
      </c>
      <c r="D1872" t="s">
        <v>19</v>
      </c>
      <c r="E1872" s="7">
        <v>0.84</v>
      </c>
      <c r="F1872" s="2">
        <v>0.92</v>
      </c>
      <c r="G1872" s="7">
        <v>0.8</v>
      </c>
      <c r="H1872" s="9" t="s">
        <v>20</v>
      </c>
      <c r="I1872">
        <v>0.19</v>
      </c>
      <c r="J1872">
        <v>0.59</v>
      </c>
      <c r="K1872">
        <v>0.74</v>
      </c>
      <c r="L1872">
        <v>0.44</v>
      </c>
      <c r="M1872">
        <v>0.75</v>
      </c>
      <c r="N1872">
        <v>0.3</v>
      </c>
      <c r="O1872">
        <v>0.71</v>
      </c>
      <c r="P1872">
        <v>0.26</v>
      </c>
      <c r="Q1872">
        <v>0.78</v>
      </c>
      <c r="R1872" s="2">
        <v>0.83</v>
      </c>
      <c r="S1872" t="str">
        <f>IF(Table1[[#This Row],[Years_Experience]]&lt;=5,"Early Career",
IF(Table1[[#This Row],[Years_Experience]]&lt;=15,"Mid Career","Senior Level"))</f>
        <v>Mid Career</v>
      </c>
      <c r="T1872" t="str">
        <f>IF(Table1[[#This Row],[AI_Exposure_Index]]&gt;=0.7,"High Exposure", IF(Table1[[#This Row],[AI_Exposure_Index]]&gt;=0.3,"Medium Exposure","Low Exposure"))</f>
        <v>High Exposure</v>
      </c>
    </row>
    <row r="1873" spans="1:20" x14ac:dyDescent="0.25">
      <c r="A1873" t="s">
        <v>44</v>
      </c>
      <c r="B1873">
        <v>136054</v>
      </c>
      <c r="C1873" s="1">
        <v>12</v>
      </c>
      <c r="D1873" t="s">
        <v>38</v>
      </c>
      <c r="E1873" s="7">
        <v>1.19</v>
      </c>
      <c r="F1873" s="2">
        <v>0.22</v>
      </c>
      <c r="G1873" s="7">
        <v>0.52</v>
      </c>
      <c r="H1873" s="9" t="s">
        <v>27</v>
      </c>
      <c r="I1873">
        <v>0.99</v>
      </c>
      <c r="J1873">
        <v>0.36</v>
      </c>
      <c r="K1873">
        <v>0.77</v>
      </c>
      <c r="L1873">
        <v>0.37</v>
      </c>
      <c r="M1873">
        <v>0.4</v>
      </c>
      <c r="N1873">
        <v>0.11</v>
      </c>
      <c r="O1873">
        <v>0.24</v>
      </c>
      <c r="P1873">
        <v>0.16</v>
      </c>
      <c r="Q1873">
        <v>0.16</v>
      </c>
      <c r="R1873" s="2">
        <v>0.01</v>
      </c>
      <c r="S1873" t="str">
        <f>IF(Table1[[#This Row],[Years_Experience]]&lt;=5,"Early Career",
IF(Table1[[#This Row],[Years_Experience]]&lt;=15,"Mid Career","Senior Level"))</f>
        <v>Mid Career</v>
      </c>
      <c r="T1873" t="str">
        <f>IF(Table1[[#This Row],[AI_Exposure_Index]]&gt;=0.7,"High Exposure", IF(Table1[[#This Row],[AI_Exposure_Index]]&gt;=0.3,"Medium Exposure","Low Exposure"))</f>
        <v>Low Exposure</v>
      </c>
    </row>
    <row r="1874" spans="1:20" x14ac:dyDescent="0.25">
      <c r="A1874" t="s">
        <v>39</v>
      </c>
      <c r="B1874">
        <v>109721</v>
      </c>
      <c r="C1874" s="1">
        <v>27</v>
      </c>
      <c r="D1874" t="s">
        <v>22</v>
      </c>
      <c r="E1874" s="7">
        <v>1.3</v>
      </c>
      <c r="F1874" s="2">
        <v>0.47</v>
      </c>
      <c r="G1874" s="7">
        <v>0.85</v>
      </c>
      <c r="H1874" s="9" t="s">
        <v>20</v>
      </c>
      <c r="I1874">
        <v>0.83</v>
      </c>
      <c r="J1874">
        <v>0.5</v>
      </c>
      <c r="K1874">
        <v>0.09</v>
      </c>
      <c r="L1874">
        <v>0.62</v>
      </c>
      <c r="M1874">
        <v>0.68</v>
      </c>
      <c r="N1874">
        <v>0.63</v>
      </c>
      <c r="O1874">
        <v>0.8</v>
      </c>
      <c r="P1874">
        <v>0.73</v>
      </c>
      <c r="Q1874">
        <v>0.43</v>
      </c>
      <c r="R1874" s="2">
        <v>0.82</v>
      </c>
      <c r="S1874" t="str">
        <f>IF(Table1[[#This Row],[Years_Experience]]&lt;=5,"Early Career",
IF(Table1[[#This Row],[Years_Experience]]&lt;=15,"Mid Career","Senior Level"))</f>
        <v>Senior Level</v>
      </c>
      <c r="T1874" t="str">
        <f>IF(Table1[[#This Row],[AI_Exposure_Index]]&gt;=0.7,"High Exposure", IF(Table1[[#This Row],[AI_Exposure_Index]]&gt;=0.3,"Medium Exposure","Low Exposure"))</f>
        <v>Medium Exposure</v>
      </c>
    </row>
    <row r="1875" spans="1:20" x14ac:dyDescent="0.25">
      <c r="A1875" t="s">
        <v>26</v>
      </c>
      <c r="B1875">
        <v>90475</v>
      </c>
      <c r="C1875" s="1">
        <v>2</v>
      </c>
      <c r="D1875" t="s">
        <v>19</v>
      </c>
      <c r="E1875" s="7">
        <v>1.04</v>
      </c>
      <c r="F1875" s="2">
        <v>0.12</v>
      </c>
      <c r="G1875" s="7">
        <v>0.59</v>
      </c>
      <c r="H1875" s="9" t="s">
        <v>27</v>
      </c>
      <c r="I1875">
        <v>0.55000000000000004</v>
      </c>
      <c r="J1875">
        <v>0.95</v>
      </c>
      <c r="K1875">
        <v>0.1</v>
      </c>
      <c r="L1875">
        <v>0.72</v>
      </c>
      <c r="M1875">
        <v>0.82</v>
      </c>
      <c r="N1875">
        <v>0.7</v>
      </c>
      <c r="O1875">
        <v>0.39</v>
      </c>
      <c r="P1875">
        <v>0.39</v>
      </c>
      <c r="Q1875">
        <v>0.59</v>
      </c>
      <c r="R1875" s="2">
        <v>0.4</v>
      </c>
      <c r="S1875" t="str">
        <f>IF(Table1[[#This Row],[Years_Experience]]&lt;=5,"Early Career",
IF(Table1[[#This Row],[Years_Experience]]&lt;=15,"Mid Career","Senior Level"))</f>
        <v>Early Career</v>
      </c>
      <c r="T1875" t="str">
        <f>IF(Table1[[#This Row],[AI_Exposure_Index]]&gt;=0.7,"High Exposure", IF(Table1[[#This Row],[AI_Exposure_Index]]&gt;=0.3,"Medium Exposure","Low Exposure"))</f>
        <v>Low Exposure</v>
      </c>
    </row>
    <row r="1876" spans="1:20" x14ac:dyDescent="0.25">
      <c r="A1876" t="s">
        <v>41</v>
      </c>
      <c r="B1876">
        <v>48422</v>
      </c>
      <c r="C1876" s="1">
        <v>24</v>
      </c>
      <c r="D1876" t="s">
        <v>19</v>
      </c>
      <c r="E1876" s="7">
        <v>1.1399999999999999</v>
      </c>
      <c r="F1876" s="2">
        <v>0.11</v>
      </c>
      <c r="G1876" s="7">
        <v>0.73</v>
      </c>
      <c r="H1876" s="9" t="s">
        <v>20</v>
      </c>
      <c r="I1876">
        <v>0.54</v>
      </c>
      <c r="J1876">
        <v>0.72</v>
      </c>
      <c r="K1876">
        <v>0.17</v>
      </c>
      <c r="L1876">
        <v>0.7</v>
      </c>
      <c r="M1876">
        <v>0.14000000000000001</v>
      </c>
      <c r="N1876">
        <v>0.62</v>
      </c>
      <c r="O1876">
        <v>0.51</v>
      </c>
      <c r="P1876">
        <v>0.3</v>
      </c>
      <c r="Q1876">
        <v>0.11</v>
      </c>
      <c r="R1876" s="2">
        <v>0.74</v>
      </c>
      <c r="S1876" t="str">
        <f>IF(Table1[[#This Row],[Years_Experience]]&lt;=5,"Early Career",
IF(Table1[[#This Row],[Years_Experience]]&lt;=15,"Mid Career","Senior Level"))</f>
        <v>Senior Level</v>
      </c>
      <c r="T1876" t="str">
        <f>IF(Table1[[#This Row],[AI_Exposure_Index]]&gt;=0.7,"High Exposure", IF(Table1[[#This Row],[AI_Exposure_Index]]&gt;=0.3,"Medium Exposure","Low Exposure"))</f>
        <v>Low Exposure</v>
      </c>
    </row>
    <row r="1877" spans="1:20" x14ac:dyDescent="0.25">
      <c r="A1877" t="s">
        <v>36</v>
      </c>
      <c r="B1877">
        <v>74380</v>
      </c>
      <c r="C1877" s="1">
        <v>15</v>
      </c>
      <c r="D1877" t="s">
        <v>19</v>
      </c>
      <c r="E1877" s="7">
        <v>0.71</v>
      </c>
      <c r="F1877" s="2">
        <v>0.33</v>
      </c>
      <c r="G1877" s="7">
        <v>0.41</v>
      </c>
      <c r="H1877" s="9" t="s">
        <v>27</v>
      </c>
      <c r="I1877">
        <v>0.43</v>
      </c>
      <c r="J1877">
        <v>0.18</v>
      </c>
      <c r="K1877">
        <v>0.96</v>
      </c>
      <c r="L1877">
        <v>0.11</v>
      </c>
      <c r="M1877">
        <v>0.99</v>
      </c>
      <c r="N1877">
        <v>0.84</v>
      </c>
      <c r="O1877">
        <v>0.42</v>
      </c>
      <c r="P1877">
        <v>0.74</v>
      </c>
      <c r="Q1877">
        <v>0.67</v>
      </c>
      <c r="R1877" s="2">
        <v>0.21</v>
      </c>
      <c r="S1877" t="str">
        <f>IF(Table1[[#This Row],[Years_Experience]]&lt;=5,"Early Career",
IF(Table1[[#This Row],[Years_Experience]]&lt;=15,"Mid Career","Senior Level"))</f>
        <v>Mid Career</v>
      </c>
      <c r="T1877" t="str">
        <f>IF(Table1[[#This Row],[AI_Exposure_Index]]&gt;=0.7,"High Exposure", IF(Table1[[#This Row],[AI_Exposure_Index]]&gt;=0.3,"Medium Exposure","Low Exposure"))</f>
        <v>Medium Exposure</v>
      </c>
    </row>
    <row r="1878" spans="1:20" x14ac:dyDescent="0.25">
      <c r="A1878" t="s">
        <v>42</v>
      </c>
      <c r="B1878">
        <v>114999</v>
      </c>
      <c r="C1878" s="1">
        <v>10</v>
      </c>
      <c r="D1878" t="s">
        <v>38</v>
      </c>
      <c r="E1878" s="7">
        <v>1.1399999999999999</v>
      </c>
      <c r="F1878" s="2">
        <v>0.56999999999999995</v>
      </c>
      <c r="G1878" s="7">
        <v>0.68</v>
      </c>
      <c r="H1878" s="9" t="s">
        <v>27</v>
      </c>
      <c r="I1878">
        <v>0.39</v>
      </c>
      <c r="J1878">
        <v>0.3</v>
      </c>
      <c r="K1878">
        <v>0.04</v>
      </c>
      <c r="L1878">
        <v>0.15</v>
      </c>
      <c r="M1878">
        <v>0.11</v>
      </c>
      <c r="N1878">
        <v>0.34</v>
      </c>
      <c r="O1878">
        <v>0.61</v>
      </c>
      <c r="P1878">
        <v>0.05</v>
      </c>
      <c r="Q1878">
        <v>0.73</v>
      </c>
      <c r="R1878" s="2">
        <v>0.4</v>
      </c>
      <c r="S1878" t="str">
        <f>IF(Table1[[#This Row],[Years_Experience]]&lt;=5,"Early Career",
IF(Table1[[#This Row],[Years_Experience]]&lt;=15,"Mid Career","Senior Level"))</f>
        <v>Mid Career</v>
      </c>
      <c r="T1878" t="str">
        <f>IF(Table1[[#This Row],[AI_Exposure_Index]]&gt;=0.7,"High Exposure", IF(Table1[[#This Row],[AI_Exposure_Index]]&gt;=0.3,"Medium Exposure","Low Exposure"))</f>
        <v>Medium Exposure</v>
      </c>
    </row>
    <row r="1879" spans="1:20" x14ac:dyDescent="0.25">
      <c r="A1879" t="s">
        <v>24</v>
      </c>
      <c r="B1879">
        <v>45224</v>
      </c>
      <c r="C1879" s="1">
        <v>6</v>
      </c>
      <c r="D1879" t="s">
        <v>25</v>
      </c>
      <c r="E1879" s="7">
        <v>1.27</v>
      </c>
      <c r="F1879" s="2">
        <v>0.56999999999999995</v>
      </c>
      <c r="G1879" s="7">
        <v>0.92</v>
      </c>
      <c r="H1879" s="9" t="s">
        <v>20</v>
      </c>
      <c r="I1879">
        <v>0.89</v>
      </c>
      <c r="J1879">
        <v>0.52</v>
      </c>
      <c r="K1879">
        <v>0.4</v>
      </c>
      <c r="L1879">
        <v>0.56000000000000005</v>
      </c>
      <c r="M1879">
        <v>0.4</v>
      </c>
      <c r="N1879">
        <v>0.24</v>
      </c>
      <c r="O1879">
        <v>0.32</v>
      </c>
      <c r="P1879">
        <v>0.23</v>
      </c>
      <c r="Q1879">
        <v>0.27</v>
      </c>
      <c r="R1879" s="2">
        <v>0.09</v>
      </c>
      <c r="S1879" t="str">
        <f>IF(Table1[[#This Row],[Years_Experience]]&lt;=5,"Early Career",
IF(Table1[[#This Row],[Years_Experience]]&lt;=15,"Mid Career","Senior Level"))</f>
        <v>Mid Career</v>
      </c>
      <c r="T1879" t="str">
        <f>IF(Table1[[#This Row],[AI_Exposure_Index]]&gt;=0.7,"High Exposure", IF(Table1[[#This Row],[AI_Exposure_Index]]&gt;=0.3,"Medium Exposure","Low Exposure"))</f>
        <v>Medium Exposure</v>
      </c>
    </row>
    <row r="1880" spans="1:20" x14ac:dyDescent="0.25">
      <c r="A1880" t="s">
        <v>24</v>
      </c>
      <c r="B1880">
        <v>73302</v>
      </c>
      <c r="C1880" s="1">
        <v>10</v>
      </c>
      <c r="D1880" t="s">
        <v>25</v>
      </c>
      <c r="E1880" s="7">
        <v>0.95</v>
      </c>
      <c r="F1880" s="2">
        <v>0.24</v>
      </c>
      <c r="G1880" s="7">
        <v>0.9</v>
      </c>
      <c r="H1880" s="9" t="s">
        <v>20</v>
      </c>
      <c r="I1880">
        <v>0.45</v>
      </c>
      <c r="J1880">
        <v>0.95</v>
      </c>
      <c r="K1880">
        <v>0.15</v>
      </c>
      <c r="L1880">
        <v>0.85</v>
      </c>
      <c r="M1880">
        <v>0.25</v>
      </c>
      <c r="N1880">
        <v>0.93</v>
      </c>
      <c r="O1880">
        <v>0.23</v>
      </c>
      <c r="P1880">
        <v>0.75</v>
      </c>
      <c r="Q1880">
        <v>0.06</v>
      </c>
      <c r="R1880" s="2">
        <v>0.63</v>
      </c>
      <c r="S1880" t="str">
        <f>IF(Table1[[#This Row],[Years_Experience]]&lt;=5,"Early Career",
IF(Table1[[#This Row],[Years_Experience]]&lt;=15,"Mid Career","Senior Level"))</f>
        <v>Mid Career</v>
      </c>
      <c r="T1880" t="str">
        <f>IF(Table1[[#This Row],[AI_Exposure_Index]]&gt;=0.7,"High Exposure", IF(Table1[[#This Row],[AI_Exposure_Index]]&gt;=0.3,"Medium Exposure","Low Exposure"))</f>
        <v>Low Exposure</v>
      </c>
    </row>
    <row r="1881" spans="1:20" x14ac:dyDescent="0.25">
      <c r="A1881" t="s">
        <v>24</v>
      </c>
      <c r="B1881">
        <v>97743</v>
      </c>
      <c r="C1881" s="1">
        <v>7</v>
      </c>
      <c r="D1881" t="s">
        <v>38</v>
      </c>
      <c r="E1881" s="7">
        <v>1.1399999999999999</v>
      </c>
      <c r="F1881" s="2">
        <v>0.67</v>
      </c>
      <c r="G1881" s="7">
        <v>0.93</v>
      </c>
      <c r="H1881" s="9" t="s">
        <v>20</v>
      </c>
      <c r="I1881">
        <v>0.63</v>
      </c>
      <c r="J1881">
        <v>0.41</v>
      </c>
      <c r="K1881">
        <v>0.19</v>
      </c>
      <c r="L1881">
        <v>0.66</v>
      </c>
      <c r="M1881">
        <v>0.12</v>
      </c>
      <c r="N1881">
        <v>0.83</v>
      </c>
      <c r="O1881">
        <v>0.25</v>
      </c>
      <c r="P1881">
        <v>0.52</v>
      </c>
      <c r="Q1881">
        <v>0.6</v>
      </c>
      <c r="R1881" s="2">
        <v>0.36</v>
      </c>
      <c r="S1881" t="str">
        <f>IF(Table1[[#This Row],[Years_Experience]]&lt;=5,"Early Career",
IF(Table1[[#This Row],[Years_Experience]]&lt;=15,"Mid Career","Senior Level"))</f>
        <v>Mid Career</v>
      </c>
      <c r="T1881" t="str">
        <f>IF(Table1[[#This Row],[AI_Exposure_Index]]&gt;=0.7,"High Exposure", IF(Table1[[#This Row],[AI_Exposure_Index]]&gt;=0.3,"Medium Exposure","Low Exposure"))</f>
        <v>Medium Exposure</v>
      </c>
    </row>
    <row r="1882" spans="1:20" x14ac:dyDescent="0.25">
      <c r="A1882" t="s">
        <v>36</v>
      </c>
      <c r="B1882">
        <v>136974</v>
      </c>
      <c r="C1882" s="1">
        <v>26</v>
      </c>
      <c r="D1882" t="s">
        <v>19</v>
      </c>
      <c r="E1882" s="7">
        <v>0.53</v>
      </c>
      <c r="F1882" s="2">
        <v>0.25</v>
      </c>
      <c r="G1882" s="7">
        <v>0.68</v>
      </c>
      <c r="H1882" s="9" t="s">
        <v>27</v>
      </c>
      <c r="I1882">
        <v>0.32</v>
      </c>
      <c r="J1882">
        <v>0.71</v>
      </c>
      <c r="K1882">
        <v>0.51</v>
      </c>
      <c r="L1882">
        <v>0.67</v>
      </c>
      <c r="M1882">
        <v>0.11</v>
      </c>
      <c r="N1882">
        <v>0.52</v>
      </c>
      <c r="O1882">
        <v>0.39</v>
      </c>
      <c r="P1882">
        <v>0.45</v>
      </c>
      <c r="Q1882">
        <v>0.97</v>
      </c>
      <c r="R1882" s="2">
        <v>0.14000000000000001</v>
      </c>
      <c r="S1882" t="str">
        <f>IF(Table1[[#This Row],[Years_Experience]]&lt;=5,"Early Career",
IF(Table1[[#This Row],[Years_Experience]]&lt;=15,"Mid Career","Senior Level"))</f>
        <v>Senior Level</v>
      </c>
      <c r="T1882" t="str">
        <f>IF(Table1[[#This Row],[AI_Exposure_Index]]&gt;=0.7,"High Exposure", IF(Table1[[#This Row],[AI_Exposure_Index]]&gt;=0.3,"Medium Exposure","Low Exposure"))</f>
        <v>Low Exposure</v>
      </c>
    </row>
    <row r="1883" spans="1:20" x14ac:dyDescent="0.25">
      <c r="A1883" t="s">
        <v>37</v>
      </c>
      <c r="B1883">
        <v>31987</v>
      </c>
      <c r="C1883" s="1">
        <v>7</v>
      </c>
      <c r="D1883" t="s">
        <v>25</v>
      </c>
      <c r="E1883" s="7">
        <v>0.79</v>
      </c>
      <c r="F1883" s="2">
        <v>0.33</v>
      </c>
      <c r="G1883" s="7">
        <v>0.41</v>
      </c>
      <c r="H1883" s="9" t="s">
        <v>27</v>
      </c>
      <c r="I1883">
        <v>0.35</v>
      </c>
      <c r="J1883">
        <v>0.36</v>
      </c>
      <c r="K1883">
        <v>0.27</v>
      </c>
      <c r="L1883">
        <v>0.67</v>
      </c>
      <c r="M1883">
        <v>0.05</v>
      </c>
      <c r="N1883">
        <v>0.33</v>
      </c>
      <c r="O1883">
        <v>0.28000000000000003</v>
      </c>
      <c r="P1883">
        <v>0.75</v>
      </c>
      <c r="Q1883">
        <v>0.15</v>
      </c>
      <c r="R1883" s="2">
        <v>0.94</v>
      </c>
      <c r="S1883" t="str">
        <f>IF(Table1[[#This Row],[Years_Experience]]&lt;=5,"Early Career",
IF(Table1[[#This Row],[Years_Experience]]&lt;=15,"Mid Career","Senior Level"))</f>
        <v>Mid Career</v>
      </c>
      <c r="T1883" t="str">
        <f>IF(Table1[[#This Row],[AI_Exposure_Index]]&gt;=0.7,"High Exposure", IF(Table1[[#This Row],[AI_Exposure_Index]]&gt;=0.3,"Medium Exposure","Low Exposure"))</f>
        <v>Medium Exposure</v>
      </c>
    </row>
    <row r="1884" spans="1:20" x14ac:dyDescent="0.25">
      <c r="A1884" t="s">
        <v>44</v>
      </c>
      <c r="B1884">
        <v>102587</v>
      </c>
      <c r="C1884" s="1">
        <v>17</v>
      </c>
      <c r="D1884" t="s">
        <v>38</v>
      </c>
      <c r="E1884" s="7">
        <v>0.7</v>
      </c>
      <c r="F1884" s="2">
        <v>0.37</v>
      </c>
      <c r="G1884" s="7">
        <v>0.41</v>
      </c>
      <c r="H1884" s="9" t="s">
        <v>27</v>
      </c>
      <c r="I1884">
        <v>0.76</v>
      </c>
      <c r="J1884">
        <v>0.48</v>
      </c>
      <c r="K1884">
        <v>0.16</v>
      </c>
      <c r="L1884">
        <v>0.05</v>
      </c>
      <c r="M1884">
        <v>0.23</v>
      </c>
      <c r="N1884">
        <v>0.95</v>
      </c>
      <c r="O1884">
        <v>0.85</v>
      </c>
      <c r="P1884">
        <v>0.44</v>
      </c>
      <c r="Q1884">
        <v>0.48</v>
      </c>
      <c r="R1884" s="2">
        <v>0.9</v>
      </c>
      <c r="S1884" t="str">
        <f>IF(Table1[[#This Row],[Years_Experience]]&lt;=5,"Early Career",
IF(Table1[[#This Row],[Years_Experience]]&lt;=15,"Mid Career","Senior Level"))</f>
        <v>Senior Level</v>
      </c>
      <c r="T1884" t="str">
        <f>IF(Table1[[#This Row],[AI_Exposure_Index]]&gt;=0.7,"High Exposure", IF(Table1[[#This Row],[AI_Exposure_Index]]&gt;=0.3,"Medium Exposure","Low Exposure"))</f>
        <v>Medium Exposure</v>
      </c>
    </row>
    <row r="1885" spans="1:20" x14ac:dyDescent="0.25">
      <c r="A1885" t="s">
        <v>40</v>
      </c>
      <c r="B1885">
        <v>56932</v>
      </c>
      <c r="C1885" s="1">
        <v>11</v>
      </c>
      <c r="D1885" t="s">
        <v>38</v>
      </c>
      <c r="E1885" s="7">
        <v>0.63</v>
      </c>
      <c r="F1885" s="2">
        <v>0.38</v>
      </c>
      <c r="G1885" s="7">
        <v>0.25</v>
      </c>
      <c r="H1885" s="9" t="s">
        <v>23</v>
      </c>
      <c r="I1885">
        <v>0.94</v>
      </c>
      <c r="J1885">
        <v>0.39</v>
      </c>
      <c r="K1885">
        <v>0.73</v>
      </c>
      <c r="L1885">
        <v>0.41</v>
      </c>
      <c r="M1885">
        <v>0.5</v>
      </c>
      <c r="N1885">
        <v>0.84</v>
      </c>
      <c r="O1885">
        <v>0.08</v>
      </c>
      <c r="P1885">
        <v>0.53</v>
      </c>
      <c r="Q1885">
        <v>0.21</v>
      </c>
      <c r="R1885" s="2">
        <v>0.34</v>
      </c>
      <c r="S1885" t="str">
        <f>IF(Table1[[#This Row],[Years_Experience]]&lt;=5,"Early Career",
IF(Table1[[#This Row],[Years_Experience]]&lt;=15,"Mid Career","Senior Level"))</f>
        <v>Mid Career</v>
      </c>
      <c r="T1885" t="str">
        <f>IF(Table1[[#This Row],[AI_Exposure_Index]]&gt;=0.7,"High Exposure", IF(Table1[[#This Row],[AI_Exposure_Index]]&gt;=0.3,"Medium Exposure","Low Exposure"))</f>
        <v>Medium Exposure</v>
      </c>
    </row>
    <row r="1886" spans="1:20" x14ac:dyDescent="0.25">
      <c r="A1886" t="s">
        <v>31</v>
      </c>
      <c r="B1886">
        <v>114371</v>
      </c>
      <c r="C1886" s="1">
        <v>3</v>
      </c>
      <c r="D1886" t="s">
        <v>22</v>
      </c>
      <c r="E1886" s="7">
        <v>1.0900000000000001</v>
      </c>
      <c r="F1886" s="2">
        <v>0.03</v>
      </c>
      <c r="G1886" s="7">
        <v>0.12</v>
      </c>
      <c r="H1886" s="9" t="s">
        <v>23</v>
      </c>
      <c r="I1886">
        <v>0.67</v>
      </c>
      <c r="J1886">
        <v>0.14000000000000001</v>
      </c>
      <c r="K1886">
        <v>0.74</v>
      </c>
      <c r="L1886">
        <v>0.65</v>
      </c>
      <c r="M1886">
        <v>0.97</v>
      </c>
      <c r="N1886">
        <v>0.91</v>
      </c>
      <c r="O1886">
        <v>0.28000000000000003</v>
      </c>
      <c r="P1886">
        <v>0.03</v>
      </c>
      <c r="Q1886">
        <v>0.66</v>
      </c>
      <c r="R1886" s="2">
        <v>0.6</v>
      </c>
      <c r="S1886" t="str">
        <f>IF(Table1[[#This Row],[Years_Experience]]&lt;=5,"Early Career",
IF(Table1[[#This Row],[Years_Experience]]&lt;=15,"Mid Career","Senior Level"))</f>
        <v>Early Career</v>
      </c>
      <c r="T1886" t="str">
        <f>IF(Table1[[#This Row],[AI_Exposure_Index]]&gt;=0.7,"High Exposure", IF(Table1[[#This Row],[AI_Exposure_Index]]&gt;=0.3,"Medium Exposure","Low Exposure"))</f>
        <v>Low Exposure</v>
      </c>
    </row>
    <row r="1887" spans="1:20" x14ac:dyDescent="0.25">
      <c r="A1887" t="s">
        <v>43</v>
      </c>
      <c r="B1887">
        <v>133027</v>
      </c>
      <c r="C1887" s="1">
        <v>2</v>
      </c>
      <c r="D1887" t="s">
        <v>19</v>
      </c>
      <c r="E1887" s="7">
        <v>1.08</v>
      </c>
      <c r="F1887" s="2">
        <v>0.12</v>
      </c>
      <c r="G1887" s="7">
        <v>0.28000000000000003</v>
      </c>
      <c r="H1887" s="9" t="s">
        <v>23</v>
      </c>
      <c r="I1887">
        <v>0.91</v>
      </c>
      <c r="J1887">
        <v>0.15</v>
      </c>
      <c r="K1887">
        <v>0.38</v>
      </c>
      <c r="L1887">
        <v>0.04</v>
      </c>
      <c r="M1887">
        <v>0.47</v>
      </c>
      <c r="N1887">
        <v>0.75</v>
      </c>
      <c r="O1887">
        <v>0.79</v>
      </c>
      <c r="P1887">
        <v>0.5</v>
      </c>
      <c r="Q1887">
        <v>0.1</v>
      </c>
      <c r="R1887" s="2">
        <v>0.38</v>
      </c>
      <c r="S1887" t="str">
        <f>IF(Table1[[#This Row],[Years_Experience]]&lt;=5,"Early Career",
IF(Table1[[#This Row],[Years_Experience]]&lt;=15,"Mid Career","Senior Level"))</f>
        <v>Early Career</v>
      </c>
      <c r="T1887" t="str">
        <f>IF(Table1[[#This Row],[AI_Exposure_Index]]&gt;=0.7,"High Exposure", IF(Table1[[#This Row],[AI_Exposure_Index]]&gt;=0.3,"Medium Exposure","Low Exposure"))</f>
        <v>Low Exposure</v>
      </c>
    </row>
    <row r="1888" spans="1:20" x14ac:dyDescent="0.25">
      <c r="A1888" t="s">
        <v>21</v>
      </c>
      <c r="B1888">
        <v>45353</v>
      </c>
      <c r="C1888" s="1">
        <v>0</v>
      </c>
      <c r="D1888" t="s">
        <v>22</v>
      </c>
      <c r="E1888" s="7">
        <v>1.29</v>
      </c>
      <c r="F1888" s="2">
        <v>0.66</v>
      </c>
      <c r="G1888" s="7">
        <v>0.22</v>
      </c>
      <c r="H1888" s="9" t="s">
        <v>23</v>
      </c>
      <c r="I1888">
        <v>0.79</v>
      </c>
      <c r="J1888">
        <v>0.57999999999999996</v>
      </c>
      <c r="K1888">
        <v>0.86</v>
      </c>
      <c r="L1888">
        <v>0.55000000000000004</v>
      </c>
      <c r="M1888">
        <v>0.23</v>
      </c>
      <c r="N1888">
        <v>0.54</v>
      </c>
      <c r="O1888">
        <v>0.71</v>
      </c>
      <c r="P1888">
        <v>0.65</v>
      </c>
      <c r="Q1888">
        <v>0.24</v>
      </c>
      <c r="R1888" s="2">
        <v>0.04</v>
      </c>
      <c r="S1888" t="str">
        <f>IF(Table1[[#This Row],[Years_Experience]]&lt;=5,"Early Career",
IF(Table1[[#This Row],[Years_Experience]]&lt;=15,"Mid Career","Senior Level"))</f>
        <v>Early Career</v>
      </c>
      <c r="T1888" t="str">
        <f>IF(Table1[[#This Row],[AI_Exposure_Index]]&gt;=0.7,"High Exposure", IF(Table1[[#This Row],[AI_Exposure_Index]]&gt;=0.3,"Medium Exposure","Low Exposure"))</f>
        <v>Medium Exposure</v>
      </c>
    </row>
    <row r="1889" spans="1:20" x14ac:dyDescent="0.25">
      <c r="A1889" t="s">
        <v>24</v>
      </c>
      <c r="B1889">
        <v>67970</v>
      </c>
      <c r="C1889" s="1">
        <v>19</v>
      </c>
      <c r="D1889" t="s">
        <v>22</v>
      </c>
      <c r="E1889" s="7">
        <v>0.68</v>
      </c>
      <c r="F1889" s="2">
        <v>0.98</v>
      </c>
      <c r="G1889" s="7">
        <v>0.82</v>
      </c>
      <c r="H1889" s="9" t="s">
        <v>20</v>
      </c>
      <c r="I1889">
        <v>0.64</v>
      </c>
      <c r="J1889">
        <v>0.88</v>
      </c>
      <c r="K1889">
        <v>0.76</v>
      </c>
      <c r="L1889">
        <v>0.91</v>
      </c>
      <c r="M1889">
        <v>0.6</v>
      </c>
      <c r="N1889">
        <v>0.87</v>
      </c>
      <c r="O1889">
        <v>0.26</v>
      </c>
      <c r="P1889">
        <v>0.43</v>
      </c>
      <c r="Q1889">
        <v>0.84</v>
      </c>
      <c r="R1889" s="2">
        <v>0.33</v>
      </c>
      <c r="S1889" t="str">
        <f>IF(Table1[[#This Row],[Years_Experience]]&lt;=5,"Early Career",
IF(Table1[[#This Row],[Years_Experience]]&lt;=15,"Mid Career","Senior Level"))</f>
        <v>Senior Level</v>
      </c>
      <c r="T1889" t="str">
        <f>IF(Table1[[#This Row],[AI_Exposure_Index]]&gt;=0.7,"High Exposure", IF(Table1[[#This Row],[AI_Exposure_Index]]&gt;=0.3,"Medium Exposure","Low Exposure"))</f>
        <v>High Exposure</v>
      </c>
    </row>
    <row r="1890" spans="1:20" x14ac:dyDescent="0.25">
      <c r="A1890" t="s">
        <v>36</v>
      </c>
      <c r="B1890">
        <v>57154</v>
      </c>
      <c r="C1890" s="1">
        <v>15</v>
      </c>
      <c r="D1890" t="s">
        <v>22</v>
      </c>
      <c r="E1890" s="7">
        <v>0.86</v>
      </c>
      <c r="F1890" s="2">
        <v>0.36</v>
      </c>
      <c r="G1890" s="7">
        <v>0.42</v>
      </c>
      <c r="H1890" s="9" t="s">
        <v>27</v>
      </c>
      <c r="I1890">
        <v>0.55000000000000004</v>
      </c>
      <c r="J1890">
        <v>0.13</v>
      </c>
      <c r="K1890">
        <v>0.04</v>
      </c>
      <c r="L1890">
        <v>0.9</v>
      </c>
      <c r="M1890">
        <v>0.93</v>
      </c>
      <c r="N1890">
        <v>0.08</v>
      </c>
      <c r="O1890">
        <v>0.55000000000000004</v>
      </c>
      <c r="P1890">
        <v>0.54</v>
      </c>
      <c r="Q1890">
        <v>0.37</v>
      </c>
      <c r="R1890" s="2">
        <v>0.56999999999999995</v>
      </c>
      <c r="S1890" t="str">
        <f>IF(Table1[[#This Row],[Years_Experience]]&lt;=5,"Early Career",
IF(Table1[[#This Row],[Years_Experience]]&lt;=15,"Mid Career","Senior Level"))</f>
        <v>Mid Career</v>
      </c>
      <c r="T1890" t="str">
        <f>IF(Table1[[#This Row],[AI_Exposure_Index]]&gt;=0.7,"High Exposure", IF(Table1[[#This Row],[AI_Exposure_Index]]&gt;=0.3,"Medium Exposure","Low Exposure"))</f>
        <v>Medium Exposure</v>
      </c>
    </row>
    <row r="1891" spans="1:20" x14ac:dyDescent="0.25">
      <c r="A1891" t="s">
        <v>44</v>
      </c>
      <c r="B1891">
        <v>115793</v>
      </c>
      <c r="C1891" s="1">
        <v>25</v>
      </c>
      <c r="D1891" t="s">
        <v>38</v>
      </c>
      <c r="E1891" s="7">
        <v>1.26</v>
      </c>
      <c r="F1891" s="2">
        <v>0.49</v>
      </c>
      <c r="G1891" s="7">
        <v>0.51</v>
      </c>
      <c r="H1891" s="9" t="s">
        <v>27</v>
      </c>
      <c r="I1891">
        <v>0.32</v>
      </c>
      <c r="J1891">
        <v>0.57999999999999996</v>
      </c>
      <c r="K1891">
        <v>0.64</v>
      </c>
      <c r="L1891">
        <v>0.66</v>
      </c>
      <c r="M1891">
        <v>0.62</v>
      </c>
      <c r="N1891">
        <v>0.66</v>
      </c>
      <c r="O1891">
        <v>0.31</v>
      </c>
      <c r="P1891">
        <v>0.45</v>
      </c>
      <c r="Q1891">
        <v>0.67</v>
      </c>
      <c r="R1891" s="2">
        <v>0.75</v>
      </c>
      <c r="S1891" t="str">
        <f>IF(Table1[[#This Row],[Years_Experience]]&lt;=5,"Early Career",
IF(Table1[[#This Row],[Years_Experience]]&lt;=15,"Mid Career","Senior Level"))</f>
        <v>Senior Level</v>
      </c>
      <c r="T1891" t="str">
        <f>IF(Table1[[#This Row],[AI_Exposure_Index]]&gt;=0.7,"High Exposure", IF(Table1[[#This Row],[AI_Exposure_Index]]&gt;=0.3,"Medium Exposure","Low Exposure"))</f>
        <v>Medium Exposure</v>
      </c>
    </row>
    <row r="1892" spans="1:20" x14ac:dyDescent="0.25">
      <c r="A1892" t="s">
        <v>41</v>
      </c>
      <c r="B1892">
        <v>43174</v>
      </c>
      <c r="C1892" s="1">
        <v>1</v>
      </c>
      <c r="D1892" t="s">
        <v>22</v>
      </c>
      <c r="E1892" s="7">
        <v>0.99</v>
      </c>
      <c r="F1892" s="2">
        <v>0.22</v>
      </c>
      <c r="G1892" s="7">
        <v>0.81</v>
      </c>
      <c r="H1892" s="9" t="s">
        <v>20</v>
      </c>
      <c r="I1892">
        <v>0.92</v>
      </c>
      <c r="J1892">
        <v>0.36</v>
      </c>
      <c r="K1892">
        <v>0.94</v>
      </c>
      <c r="L1892">
        <v>0.46</v>
      </c>
      <c r="M1892">
        <v>0.96</v>
      </c>
      <c r="N1892">
        <v>0.74</v>
      </c>
      <c r="O1892">
        <v>0.83</v>
      </c>
      <c r="P1892">
        <v>0.1</v>
      </c>
      <c r="Q1892">
        <v>0.59</v>
      </c>
      <c r="R1892" s="2">
        <v>0.14000000000000001</v>
      </c>
      <c r="S1892" t="str">
        <f>IF(Table1[[#This Row],[Years_Experience]]&lt;=5,"Early Career",
IF(Table1[[#This Row],[Years_Experience]]&lt;=15,"Mid Career","Senior Level"))</f>
        <v>Early Career</v>
      </c>
      <c r="T1892" t="str">
        <f>IF(Table1[[#This Row],[AI_Exposure_Index]]&gt;=0.7,"High Exposure", IF(Table1[[#This Row],[AI_Exposure_Index]]&gt;=0.3,"Medium Exposure","Low Exposure"))</f>
        <v>Low Exposure</v>
      </c>
    </row>
    <row r="1893" spans="1:20" x14ac:dyDescent="0.25">
      <c r="A1893" t="s">
        <v>28</v>
      </c>
      <c r="B1893">
        <v>88323</v>
      </c>
      <c r="C1893" s="1">
        <v>19</v>
      </c>
      <c r="D1893" t="s">
        <v>25</v>
      </c>
      <c r="E1893" s="7">
        <v>1.23</v>
      </c>
      <c r="F1893" s="2">
        <v>0.62</v>
      </c>
      <c r="G1893" s="7">
        <v>0.32</v>
      </c>
      <c r="H1893" s="9" t="s">
        <v>27</v>
      </c>
      <c r="I1893">
        <v>0.53</v>
      </c>
      <c r="J1893">
        <v>0.56999999999999995</v>
      </c>
      <c r="K1893">
        <v>0.08</v>
      </c>
      <c r="L1893">
        <v>0.5</v>
      </c>
      <c r="M1893">
        <v>0.71</v>
      </c>
      <c r="N1893">
        <v>0.05</v>
      </c>
      <c r="O1893">
        <v>0.76</v>
      </c>
      <c r="P1893">
        <v>0.57999999999999996</v>
      </c>
      <c r="Q1893">
        <v>0.83</v>
      </c>
      <c r="R1893" s="2">
        <v>0.22</v>
      </c>
      <c r="S1893" t="str">
        <f>IF(Table1[[#This Row],[Years_Experience]]&lt;=5,"Early Career",
IF(Table1[[#This Row],[Years_Experience]]&lt;=15,"Mid Career","Senior Level"))</f>
        <v>Senior Level</v>
      </c>
      <c r="T1893" t="str">
        <f>IF(Table1[[#This Row],[AI_Exposure_Index]]&gt;=0.7,"High Exposure", IF(Table1[[#This Row],[AI_Exposure_Index]]&gt;=0.3,"Medium Exposure","Low Exposure"))</f>
        <v>Medium Exposure</v>
      </c>
    </row>
    <row r="1894" spans="1:20" x14ac:dyDescent="0.25">
      <c r="A1894" t="s">
        <v>36</v>
      </c>
      <c r="B1894">
        <v>123335</v>
      </c>
      <c r="C1894" s="1">
        <v>22</v>
      </c>
      <c r="D1894" t="s">
        <v>22</v>
      </c>
      <c r="E1894" s="7">
        <v>0.86</v>
      </c>
      <c r="F1894" s="2">
        <v>0.26</v>
      </c>
      <c r="G1894" s="7">
        <v>0.5</v>
      </c>
      <c r="H1894" s="9" t="s">
        <v>27</v>
      </c>
      <c r="I1894">
        <v>0.79</v>
      </c>
      <c r="J1894">
        <v>0.17</v>
      </c>
      <c r="K1894">
        <v>0.11</v>
      </c>
      <c r="L1894">
        <v>0.15</v>
      </c>
      <c r="M1894">
        <v>0.22</v>
      </c>
      <c r="N1894">
        <v>0.06</v>
      </c>
      <c r="O1894">
        <v>0.93</v>
      </c>
      <c r="P1894">
        <v>0.32</v>
      </c>
      <c r="Q1894">
        <v>0.18</v>
      </c>
      <c r="R1894" s="2">
        <v>0.64</v>
      </c>
      <c r="S1894" t="str">
        <f>IF(Table1[[#This Row],[Years_Experience]]&lt;=5,"Early Career",
IF(Table1[[#This Row],[Years_Experience]]&lt;=15,"Mid Career","Senior Level"))</f>
        <v>Senior Level</v>
      </c>
      <c r="T1894" t="str">
        <f>IF(Table1[[#This Row],[AI_Exposure_Index]]&gt;=0.7,"High Exposure", IF(Table1[[#This Row],[AI_Exposure_Index]]&gt;=0.3,"Medium Exposure","Low Exposure"))</f>
        <v>Low Exposure</v>
      </c>
    </row>
    <row r="1895" spans="1:20" x14ac:dyDescent="0.25">
      <c r="A1895" t="s">
        <v>40</v>
      </c>
      <c r="B1895">
        <v>67877</v>
      </c>
      <c r="C1895" s="1">
        <v>22</v>
      </c>
      <c r="D1895" t="s">
        <v>22</v>
      </c>
      <c r="E1895" s="7">
        <v>1.01</v>
      </c>
      <c r="F1895" s="2">
        <v>0.36</v>
      </c>
      <c r="G1895" s="7">
        <v>0.17</v>
      </c>
      <c r="H1895" s="9" t="s">
        <v>23</v>
      </c>
      <c r="I1895">
        <v>0.6</v>
      </c>
      <c r="J1895">
        <v>0.96</v>
      </c>
      <c r="K1895">
        <v>0.89</v>
      </c>
      <c r="L1895">
        <v>0.11</v>
      </c>
      <c r="M1895">
        <v>0.27</v>
      </c>
      <c r="N1895">
        <v>0.83</v>
      </c>
      <c r="O1895">
        <v>0.82</v>
      </c>
      <c r="P1895">
        <v>0.28000000000000003</v>
      </c>
      <c r="Q1895">
        <v>0.73</v>
      </c>
      <c r="R1895" s="2">
        <v>0.67</v>
      </c>
      <c r="S1895" t="str">
        <f>IF(Table1[[#This Row],[Years_Experience]]&lt;=5,"Early Career",
IF(Table1[[#This Row],[Years_Experience]]&lt;=15,"Mid Career","Senior Level"))</f>
        <v>Senior Level</v>
      </c>
      <c r="T1895" t="str">
        <f>IF(Table1[[#This Row],[AI_Exposure_Index]]&gt;=0.7,"High Exposure", IF(Table1[[#This Row],[AI_Exposure_Index]]&gt;=0.3,"Medium Exposure","Low Exposure"))</f>
        <v>Medium Exposure</v>
      </c>
    </row>
    <row r="1896" spans="1:20" x14ac:dyDescent="0.25">
      <c r="A1896" t="s">
        <v>43</v>
      </c>
      <c r="B1896">
        <v>86779</v>
      </c>
      <c r="C1896" s="1">
        <v>14</v>
      </c>
      <c r="D1896" t="s">
        <v>22</v>
      </c>
      <c r="E1896" s="7">
        <v>1.39</v>
      </c>
      <c r="F1896" s="2">
        <v>0.2</v>
      </c>
      <c r="G1896" s="7">
        <v>0.22</v>
      </c>
      <c r="H1896" s="9" t="s">
        <v>23</v>
      </c>
      <c r="I1896">
        <v>0.17</v>
      </c>
      <c r="J1896">
        <v>0.7</v>
      </c>
      <c r="K1896">
        <v>0.74</v>
      </c>
      <c r="L1896">
        <v>0.89</v>
      </c>
      <c r="M1896">
        <v>0.22</v>
      </c>
      <c r="N1896">
        <v>0.99</v>
      </c>
      <c r="O1896">
        <v>0.15</v>
      </c>
      <c r="P1896">
        <v>0.6</v>
      </c>
      <c r="Q1896">
        <v>0.66</v>
      </c>
      <c r="R1896" s="2">
        <v>0.42</v>
      </c>
      <c r="S1896" t="str">
        <f>IF(Table1[[#This Row],[Years_Experience]]&lt;=5,"Early Career",
IF(Table1[[#This Row],[Years_Experience]]&lt;=15,"Mid Career","Senior Level"))</f>
        <v>Mid Career</v>
      </c>
      <c r="T1896" t="str">
        <f>IF(Table1[[#This Row],[AI_Exposure_Index]]&gt;=0.7,"High Exposure", IF(Table1[[#This Row],[AI_Exposure_Index]]&gt;=0.3,"Medium Exposure","Low Exposure"))</f>
        <v>Low Exposure</v>
      </c>
    </row>
    <row r="1897" spans="1:20" x14ac:dyDescent="0.25">
      <c r="A1897" t="s">
        <v>24</v>
      </c>
      <c r="B1897">
        <v>34650</v>
      </c>
      <c r="C1897" s="1">
        <v>3</v>
      </c>
      <c r="D1897" t="s">
        <v>22</v>
      </c>
      <c r="E1897" s="7">
        <v>0.54</v>
      </c>
      <c r="F1897" s="2">
        <v>0.03</v>
      </c>
      <c r="G1897" s="7">
        <v>0.81</v>
      </c>
      <c r="H1897" s="9" t="s">
        <v>20</v>
      </c>
      <c r="I1897">
        <v>0.66</v>
      </c>
      <c r="J1897">
        <v>0.39</v>
      </c>
      <c r="K1897">
        <v>1</v>
      </c>
      <c r="L1897">
        <v>0.2</v>
      </c>
      <c r="M1897">
        <v>0.01</v>
      </c>
      <c r="N1897">
        <v>0.19</v>
      </c>
      <c r="O1897">
        <v>0.89</v>
      </c>
      <c r="P1897">
        <v>0.15</v>
      </c>
      <c r="Q1897">
        <v>0.48</v>
      </c>
      <c r="R1897" s="2">
        <v>0.42</v>
      </c>
      <c r="S1897" t="str">
        <f>IF(Table1[[#This Row],[Years_Experience]]&lt;=5,"Early Career",
IF(Table1[[#This Row],[Years_Experience]]&lt;=15,"Mid Career","Senior Level"))</f>
        <v>Early Career</v>
      </c>
      <c r="T1897" t="str">
        <f>IF(Table1[[#This Row],[AI_Exposure_Index]]&gt;=0.7,"High Exposure", IF(Table1[[#This Row],[AI_Exposure_Index]]&gt;=0.3,"Medium Exposure","Low Exposure"))</f>
        <v>Low Exposure</v>
      </c>
    </row>
    <row r="1898" spans="1:20" x14ac:dyDescent="0.25">
      <c r="A1898" t="s">
        <v>35</v>
      </c>
      <c r="B1898">
        <v>93884</v>
      </c>
      <c r="C1898" s="1">
        <v>3</v>
      </c>
      <c r="D1898" t="s">
        <v>22</v>
      </c>
      <c r="E1898" s="7">
        <v>1.1599999999999999</v>
      </c>
      <c r="F1898" s="2">
        <v>0.05</v>
      </c>
      <c r="G1898" s="7">
        <v>0.44</v>
      </c>
      <c r="H1898" s="9" t="s">
        <v>27</v>
      </c>
      <c r="I1898">
        <v>0.93</v>
      </c>
      <c r="J1898">
        <v>0.85</v>
      </c>
      <c r="K1898">
        <v>0.4</v>
      </c>
      <c r="L1898">
        <v>0.99</v>
      </c>
      <c r="M1898">
        <v>0.05</v>
      </c>
      <c r="N1898">
        <v>0.79</v>
      </c>
      <c r="O1898">
        <v>0.43</v>
      </c>
      <c r="P1898">
        <v>0.43</v>
      </c>
      <c r="Q1898">
        <v>0.17</v>
      </c>
      <c r="R1898" s="2">
        <v>0.51</v>
      </c>
      <c r="S1898" t="str">
        <f>IF(Table1[[#This Row],[Years_Experience]]&lt;=5,"Early Career",
IF(Table1[[#This Row],[Years_Experience]]&lt;=15,"Mid Career","Senior Level"))</f>
        <v>Early Career</v>
      </c>
      <c r="T1898" t="str">
        <f>IF(Table1[[#This Row],[AI_Exposure_Index]]&gt;=0.7,"High Exposure", IF(Table1[[#This Row],[AI_Exposure_Index]]&gt;=0.3,"Medium Exposure","Low Exposure"))</f>
        <v>Low Exposure</v>
      </c>
    </row>
    <row r="1899" spans="1:20" x14ac:dyDescent="0.25">
      <c r="A1899" t="s">
        <v>35</v>
      </c>
      <c r="B1899">
        <v>37317</v>
      </c>
      <c r="C1899" s="1">
        <v>0</v>
      </c>
      <c r="D1899" t="s">
        <v>25</v>
      </c>
      <c r="E1899" s="7">
        <v>0.74</v>
      </c>
      <c r="F1899" s="2">
        <v>0.62</v>
      </c>
      <c r="G1899" s="7">
        <v>0.59</v>
      </c>
      <c r="H1899" s="9" t="s">
        <v>27</v>
      </c>
      <c r="I1899">
        <v>0.61</v>
      </c>
      <c r="J1899">
        <v>0.75</v>
      </c>
      <c r="K1899">
        <v>0.75</v>
      </c>
      <c r="L1899">
        <v>0.2</v>
      </c>
      <c r="M1899">
        <v>0</v>
      </c>
      <c r="N1899">
        <v>0.37</v>
      </c>
      <c r="O1899">
        <v>0.92</v>
      </c>
      <c r="P1899">
        <v>0.57999999999999996</v>
      </c>
      <c r="Q1899">
        <v>0.73</v>
      </c>
      <c r="R1899" s="2">
        <v>0.88</v>
      </c>
      <c r="S1899" t="str">
        <f>IF(Table1[[#This Row],[Years_Experience]]&lt;=5,"Early Career",
IF(Table1[[#This Row],[Years_Experience]]&lt;=15,"Mid Career","Senior Level"))</f>
        <v>Early Career</v>
      </c>
      <c r="T1899" t="str">
        <f>IF(Table1[[#This Row],[AI_Exposure_Index]]&gt;=0.7,"High Exposure", IF(Table1[[#This Row],[AI_Exposure_Index]]&gt;=0.3,"Medium Exposure","Low Exposure"))</f>
        <v>Medium Exposure</v>
      </c>
    </row>
    <row r="1900" spans="1:20" x14ac:dyDescent="0.25">
      <c r="A1900" t="s">
        <v>42</v>
      </c>
      <c r="B1900">
        <v>123947</v>
      </c>
      <c r="C1900" s="1">
        <v>12</v>
      </c>
      <c r="D1900" t="s">
        <v>19</v>
      </c>
      <c r="E1900" s="7">
        <v>1.1200000000000001</v>
      </c>
      <c r="F1900" s="2">
        <v>0.67</v>
      </c>
      <c r="G1900" s="7">
        <v>0.67</v>
      </c>
      <c r="H1900" s="9" t="s">
        <v>27</v>
      </c>
      <c r="I1900">
        <v>0.52</v>
      </c>
      <c r="J1900">
        <v>0.47</v>
      </c>
      <c r="K1900">
        <v>0.21</v>
      </c>
      <c r="L1900">
        <v>0.76</v>
      </c>
      <c r="M1900">
        <v>0.14000000000000001</v>
      </c>
      <c r="N1900">
        <v>0.49</v>
      </c>
      <c r="O1900">
        <v>0.42</v>
      </c>
      <c r="P1900">
        <v>0.66</v>
      </c>
      <c r="Q1900">
        <v>0.92</v>
      </c>
      <c r="R1900" s="2">
        <v>0.95</v>
      </c>
      <c r="S1900" t="str">
        <f>IF(Table1[[#This Row],[Years_Experience]]&lt;=5,"Early Career",
IF(Table1[[#This Row],[Years_Experience]]&lt;=15,"Mid Career","Senior Level"))</f>
        <v>Mid Career</v>
      </c>
      <c r="T1900" t="str">
        <f>IF(Table1[[#This Row],[AI_Exposure_Index]]&gt;=0.7,"High Exposure", IF(Table1[[#This Row],[AI_Exposure_Index]]&gt;=0.3,"Medium Exposure","Low Exposure"))</f>
        <v>Medium Exposure</v>
      </c>
    </row>
    <row r="1901" spans="1:20" x14ac:dyDescent="0.25">
      <c r="A1901" t="s">
        <v>31</v>
      </c>
      <c r="B1901">
        <v>88524</v>
      </c>
      <c r="C1901" s="1">
        <v>9</v>
      </c>
      <c r="D1901" t="s">
        <v>25</v>
      </c>
      <c r="E1901" s="7">
        <v>1.31</v>
      </c>
      <c r="F1901" s="2">
        <v>0.26</v>
      </c>
      <c r="G1901" s="7">
        <v>0.18</v>
      </c>
      <c r="H1901" s="9" t="s">
        <v>23</v>
      </c>
      <c r="I1901">
        <v>0.45</v>
      </c>
      <c r="J1901">
        <v>0.71</v>
      </c>
      <c r="K1901">
        <v>0.6</v>
      </c>
      <c r="L1901">
        <v>0.97</v>
      </c>
      <c r="M1901">
        <v>0.57999999999999996</v>
      </c>
      <c r="N1901">
        <v>0.47</v>
      </c>
      <c r="O1901">
        <v>0.54</v>
      </c>
      <c r="P1901">
        <v>0.81</v>
      </c>
      <c r="Q1901">
        <v>0.61</v>
      </c>
      <c r="R1901" s="2">
        <v>0.65</v>
      </c>
      <c r="S1901" t="str">
        <f>IF(Table1[[#This Row],[Years_Experience]]&lt;=5,"Early Career",
IF(Table1[[#This Row],[Years_Experience]]&lt;=15,"Mid Career","Senior Level"))</f>
        <v>Mid Career</v>
      </c>
      <c r="T1901" t="str">
        <f>IF(Table1[[#This Row],[AI_Exposure_Index]]&gt;=0.7,"High Exposure", IF(Table1[[#This Row],[AI_Exposure_Index]]&gt;=0.3,"Medium Exposure","Low Exposure"))</f>
        <v>Low Exposure</v>
      </c>
    </row>
    <row r="1902" spans="1:20" x14ac:dyDescent="0.25">
      <c r="A1902" t="s">
        <v>43</v>
      </c>
      <c r="B1902">
        <v>44316</v>
      </c>
      <c r="C1902" s="1">
        <v>28</v>
      </c>
      <c r="D1902" t="s">
        <v>19</v>
      </c>
      <c r="E1902" s="7">
        <v>0.88</v>
      </c>
      <c r="F1902" s="2">
        <v>0.62</v>
      </c>
      <c r="G1902" s="7">
        <v>0.22</v>
      </c>
      <c r="H1902" s="9" t="s">
        <v>23</v>
      </c>
      <c r="I1902">
        <v>0.66</v>
      </c>
      <c r="J1902">
        <v>0.01</v>
      </c>
      <c r="K1902">
        <v>0.47</v>
      </c>
      <c r="L1902">
        <v>0.74</v>
      </c>
      <c r="M1902">
        <v>0.5</v>
      </c>
      <c r="N1902">
        <v>0.78</v>
      </c>
      <c r="O1902">
        <v>0.45</v>
      </c>
      <c r="P1902">
        <v>0.98</v>
      </c>
      <c r="Q1902">
        <v>0.28999999999999998</v>
      </c>
      <c r="R1902" s="2">
        <v>0.09</v>
      </c>
      <c r="S1902" t="str">
        <f>IF(Table1[[#This Row],[Years_Experience]]&lt;=5,"Early Career",
IF(Table1[[#This Row],[Years_Experience]]&lt;=15,"Mid Career","Senior Level"))</f>
        <v>Senior Level</v>
      </c>
      <c r="T1902" t="str">
        <f>IF(Table1[[#This Row],[AI_Exposure_Index]]&gt;=0.7,"High Exposure", IF(Table1[[#This Row],[AI_Exposure_Index]]&gt;=0.3,"Medium Exposure","Low Exposure"))</f>
        <v>Medium Exposure</v>
      </c>
    </row>
    <row r="1903" spans="1:20" x14ac:dyDescent="0.25">
      <c r="A1903" t="s">
        <v>39</v>
      </c>
      <c r="B1903">
        <v>112142</v>
      </c>
      <c r="C1903" s="1">
        <v>7</v>
      </c>
      <c r="D1903" t="s">
        <v>22</v>
      </c>
      <c r="E1903" s="7">
        <v>0.85</v>
      </c>
      <c r="F1903" s="2">
        <v>0.54</v>
      </c>
      <c r="G1903" s="7">
        <v>0.76</v>
      </c>
      <c r="H1903" s="9" t="s">
        <v>20</v>
      </c>
      <c r="I1903">
        <v>0.67</v>
      </c>
      <c r="J1903">
        <v>0.38</v>
      </c>
      <c r="K1903">
        <v>0.63</v>
      </c>
      <c r="L1903">
        <v>0.78</v>
      </c>
      <c r="M1903">
        <v>0.76</v>
      </c>
      <c r="N1903">
        <v>0.38</v>
      </c>
      <c r="O1903">
        <v>0.56999999999999995</v>
      </c>
      <c r="P1903">
        <v>0.45</v>
      </c>
      <c r="Q1903">
        <v>0.87</v>
      </c>
      <c r="R1903" s="2">
        <v>0.88</v>
      </c>
      <c r="S1903" t="str">
        <f>IF(Table1[[#This Row],[Years_Experience]]&lt;=5,"Early Career",
IF(Table1[[#This Row],[Years_Experience]]&lt;=15,"Mid Career","Senior Level"))</f>
        <v>Mid Career</v>
      </c>
      <c r="T1903" t="str">
        <f>IF(Table1[[#This Row],[AI_Exposure_Index]]&gt;=0.7,"High Exposure", IF(Table1[[#This Row],[AI_Exposure_Index]]&gt;=0.3,"Medium Exposure","Low Exposure"))</f>
        <v>Medium Exposure</v>
      </c>
    </row>
    <row r="1904" spans="1:20" x14ac:dyDescent="0.25">
      <c r="A1904" t="s">
        <v>33</v>
      </c>
      <c r="B1904">
        <v>124939</v>
      </c>
      <c r="C1904" s="1">
        <v>22</v>
      </c>
      <c r="D1904" t="s">
        <v>25</v>
      </c>
      <c r="E1904" s="7">
        <v>0.67</v>
      </c>
      <c r="F1904" s="2">
        <v>0.09</v>
      </c>
      <c r="G1904" s="7">
        <v>0.79</v>
      </c>
      <c r="H1904" s="9" t="s">
        <v>20</v>
      </c>
      <c r="I1904">
        <v>0.56000000000000005</v>
      </c>
      <c r="J1904">
        <v>0.66</v>
      </c>
      <c r="K1904">
        <v>0.33</v>
      </c>
      <c r="L1904">
        <v>0.67</v>
      </c>
      <c r="M1904">
        <v>0.94</v>
      </c>
      <c r="N1904">
        <v>0.65</v>
      </c>
      <c r="O1904">
        <v>0.16</v>
      </c>
      <c r="P1904">
        <v>0.57999999999999996</v>
      </c>
      <c r="Q1904">
        <v>0.54</v>
      </c>
      <c r="R1904" s="2">
        <v>0.87</v>
      </c>
      <c r="S1904" t="str">
        <f>IF(Table1[[#This Row],[Years_Experience]]&lt;=5,"Early Career",
IF(Table1[[#This Row],[Years_Experience]]&lt;=15,"Mid Career","Senior Level"))</f>
        <v>Senior Level</v>
      </c>
      <c r="T1904" t="str">
        <f>IF(Table1[[#This Row],[AI_Exposure_Index]]&gt;=0.7,"High Exposure", IF(Table1[[#This Row],[AI_Exposure_Index]]&gt;=0.3,"Medium Exposure","Low Exposure"))</f>
        <v>Low Exposure</v>
      </c>
    </row>
    <row r="1905" spans="1:20" x14ac:dyDescent="0.25">
      <c r="A1905" t="s">
        <v>33</v>
      </c>
      <c r="B1905">
        <v>125756</v>
      </c>
      <c r="C1905" s="1">
        <v>16</v>
      </c>
      <c r="D1905" t="s">
        <v>25</v>
      </c>
      <c r="E1905" s="7">
        <v>0.77</v>
      </c>
      <c r="F1905" s="2">
        <v>0.85</v>
      </c>
      <c r="G1905" s="7">
        <v>0.91</v>
      </c>
      <c r="H1905" s="9" t="s">
        <v>20</v>
      </c>
      <c r="I1905">
        <v>0.43</v>
      </c>
      <c r="J1905">
        <v>0.6</v>
      </c>
      <c r="K1905">
        <v>0.79</v>
      </c>
      <c r="L1905">
        <v>0.04</v>
      </c>
      <c r="M1905">
        <v>0.82</v>
      </c>
      <c r="N1905">
        <v>0.14000000000000001</v>
      </c>
      <c r="O1905">
        <v>0.36</v>
      </c>
      <c r="P1905">
        <v>0.47</v>
      </c>
      <c r="Q1905">
        <v>0.9</v>
      </c>
      <c r="R1905" s="2">
        <v>0.02</v>
      </c>
      <c r="S1905" t="str">
        <f>IF(Table1[[#This Row],[Years_Experience]]&lt;=5,"Early Career",
IF(Table1[[#This Row],[Years_Experience]]&lt;=15,"Mid Career","Senior Level"))</f>
        <v>Senior Level</v>
      </c>
      <c r="T1905" t="str">
        <f>IF(Table1[[#This Row],[AI_Exposure_Index]]&gt;=0.7,"High Exposure", IF(Table1[[#This Row],[AI_Exposure_Index]]&gt;=0.3,"Medium Exposure","Low Exposure"))</f>
        <v>High Exposure</v>
      </c>
    </row>
    <row r="1906" spans="1:20" x14ac:dyDescent="0.25">
      <c r="A1906" t="s">
        <v>39</v>
      </c>
      <c r="B1906">
        <v>53255</v>
      </c>
      <c r="C1906" s="1">
        <v>21</v>
      </c>
      <c r="D1906" t="s">
        <v>38</v>
      </c>
      <c r="E1906" s="7">
        <v>0.79</v>
      </c>
      <c r="F1906" s="2">
        <v>0.32</v>
      </c>
      <c r="G1906" s="7">
        <v>0.82</v>
      </c>
      <c r="H1906" s="9" t="s">
        <v>20</v>
      </c>
      <c r="I1906">
        <v>0.19</v>
      </c>
      <c r="J1906">
        <v>0.47</v>
      </c>
      <c r="K1906">
        <v>0.77</v>
      </c>
      <c r="L1906">
        <v>0.85</v>
      </c>
      <c r="M1906">
        <v>0.39</v>
      </c>
      <c r="N1906">
        <v>0.62</v>
      </c>
      <c r="O1906">
        <v>0</v>
      </c>
      <c r="P1906">
        <v>0.55000000000000004</v>
      </c>
      <c r="Q1906">
        <v>0.98</v>
      </c>
      <c r="R1906" s="2">
        <v>0.31</v>
      </c>
      <c r="S1906" t="str">
        <f>IF(Table1[[#This Row],[Years_Experience]]&lt;=5,"Early Career",
IF(Table1[[#This Row],[Years_Experience]]&lt;=15,"Mid Career","Senior Level"))</f>
        <v>Senior Level</v>
      </c>
      <c r="T1906" t="str">
        <f>IF(Table1[[#This Row],[AI_Exposure_Index]]&gt;=0.7,"High Exposure", IF(Table1[[#This Row],[AI_Exposure_Index]]&gt;=0.3,"Medium Exposure","Low Exposure"))</f>
        <v>Medium Exposure</v>
      </c>
    </row>
    <row r="1907" spans="1:20" x14ac:dyDescent="0.25">
      <c r="A1907" t="s">
        <v>39</v>
      </c>
      <c r="B1907">
        <v>111808</v>
      </c>
      <c r="C1907" s="1">
        <v>4</v>
      </c>
      <c r="D1907" t="s">
        <v>25</v>
      </c>
      <c r="E1907" s="7">
        <v>1.08</v>
      </c>
      <c r="F1907" s="2">
        <v>0.62</v>
      </c>
      <c r="G1907" s="7">
        <v>0.75</v>
      </c>
      <c r="H1907" s="9" t="s">
        <v>20</v>
      </c>
      <c r="I1907">
        <v>0.8</v>
      </c>
      <c r="J1907">
        <v>0.04</v>
      </c>
      <c r="K1907">
        <v>0.81</v>
      </c>
      <c r="L1907">
        <v>0.03</v>
      </c>
      <c r="M1907">
        <v>0.66</v>
      </c>
      <c r="N1907">
        <v>0.08</v>
      </c>
      <c r="O1907">
        <v>0.25</v>
      </c>
      <c r="P1907">
        <v>0.72</v>
      </c>
      <c r="Q1907">
        <v>0.28000000000000003</v>
      </c>
      <c r="R1907" s="2">
        <v>0.51</v>
      </c>
      <c r="S1907" t="str">
        <f>IF(Table1[[#This Row],[Years_Experience]]&lt;=5,"Early Career",
IF(Table1[[#This Row],[Years_Experience]]&lt;=15,"Mid Career","Senior Level"))</f>
        <v>Early Career</v>
      </c>
      <c r="T1907" t="str">
        <f>IF(Table1[[#This Row],[AI_Exposure_Index]]&gt;=0.7,"High Exposure", IF(Table1[[#This Row],[AI_Exposure_Index]]&gt;=0.3,"Medium Exposure","Low Exposure"))</f>
        <v>Medium Exposure</v>
      </c>
    </row>
    <row r="1908" spans="1:20" x14ac:dyDescent="0.25">
      <c r="A1908" t="s">
        <v>28</v>
      </c>
      <c r="B1908">
        <v>142102</v>
      </c>
      <c r="C1908" s="1">
        <v>14</v>
      </c>
      <c r="D1908" t="s">
        <v>22</v>
      </c>
      <c r="E1908" s="7">
        <v>1.31</v>
      </c>
      <c r="F1908" s="2">
        <v>0.05</v>
      </c>
      <c r="G1908" s="7">
        <v>0.33</v>
      </c>
      <c r="H1908" s="9" t="s">
        <v>27</v>
      </c>
      <c r="I1908">
        <v>0.13</v>
      </c>
      <c r="J1908">
        <v>0.12</v>
      </c>
      <c r="K1908">
        <v>0.99</v>
      </c>
      <c r="L1908">
        <v>0.18</v>
      </c>
      <c r="M1908">
        <v>0.9</v>
      </c>
      <c r="N1908">
        <v>0.99</v>
      </c>
      <c r="O1908">
        <v>0.38</v>
      </c>
      <c r="P1908">
        <v>0.63</v>
      </c>
      <c r="Q1908">
        <v>0.78</v>
      </c>
      <c r="R1908" s="2">
        <v>0.39</v>
      </c>
      <c r="S1908" t="str">
        <f>IF(Table1[[#This Row],[Years_Experience]]&lt;=5,"Early Career",
IF(Table1[[#This Row],[Years_Experience]]&lt;=15,"Mid Career","Senior Level"))</f>
        <v>Mid Career</v>
      </c>
      <c r="T1908" t="str">
        <f>IF(Table1[[#This Row],[AI_Exposure_Index]]&gt;=0.7,"High Exposure", IF(Table1[[#This Row],[AI_Exposure_Index]]&gt;=0.3,"Medium Exposure","Low Exposure"))</f>
        <v>Low Exposure</v>
      </c>
    </row>
    <row r="1909" spans="1:20" x14ac:dyDescent="0.25">
      <c r="A1909" t="s">
        <v>43</v>
      </c>
      <c r="B1909">
        <v>72690</v>
      </c>
      <c r="C1909" s="1">
        <v>5</v>
      </c>
      <c r="D1909" t="s">
        <v>25</v>
      </c>
      <c r="E1909" s="7">
        <v>1.27</v>
      </c>
      <c r="F1909" s="2">
        <v>0.43</v>
      </c>
      <c r="G1909" s="7">
        <v>0.25</v>
      </c>
      <c r="H1909" s="9" t="s">
        <v>23</v>
      </c>
      <c r="I1909">
        <v>0.23</v>
      </c>
      <c r="J1909">
        <v>0.17</v>
      </c>
      <c r="K1909">
        <v>0.92</v>
      </c>
      <c r="L1909">
        <v>0.04</v>
      </c>
      <c r="M1909">
        <v>0.73</v>
      </c>
      <c r="N1909">
        <v>0.05</v>
      </c>
      <c r="O1909">
        <v>0.84</v>
      </c>
      <c r="P1909">
        <v>0.91</v>
      </c>
      <c r="Q1909">
        <v>0.3</v>
      </c>
      <c r="R1909" s="2">
        <v>7.0000000000000007E-2</v>
      </c>
      <c r="S1909" t="str">
        <f>IF(Table1[[#This Row],[Years_Experience]]&lt;=5,"Early Career",
IF(Table1[[#This Row],[Years_Experience]]&lt;=15,"Mid Career","Senior Level"))</f>
        <v>Early Career</v>
      </c>
      <c r="T1909" t="str">
        <f>IF(Table1[[#This Row],[AI_Exposure_Index]]&gt;=0.7,"High Exposure", IF(Table1[[#This Row],[AI_Exposure_Index]]&gt;=0.3,"Medium Exposure","Low Exposure"))</f>
        <v>Medium Exposure</v>
      </c>
    </row>
    <row r="1910" spans="1:20" x14ac:dyDescent="0.25">
      <c r="A1910" t="s">
        <v>33</v>
      </c>
      <c r="B1910">
        <v>39304</v>
      </c>
      <c r="C1910" s="1">
        <v>25</v>
      </c>
      <c r="D1910" t="s">
        <v>25</v>
      </c>
      <c r="E1910" s="7">
        <v>0.92</v>
      </c>
      <c r="F1910" s="2">
        <v>0.3</v>
      </c>
      <c r="G1910" s="7">
        <v>0.87</v>
      </c>
      <c r="H1910" s="9" t="s">
        <v>20</v>
      </c>
      <c r="I1910">
        <v>0.21</v>
      </c>
      <c r="J1910">
        <v>0.36</v>
      </c>
      <c r="K1910">
        <v>0.78</v>
      </c>
      <c r="L1910">
        <v>0.64</v>
      </c>
      <c r="M1910">
        <v>0.33</v>
      </c>
      <c r="N1910">
        <v>0.66</v>
      </c>
      <c r="O1910">
        <v>0.77</v>
      </c>
      <c r="P1910">
        <v>0.59</v>
      </c>
      <c r="Q1910">
        <v>0.24</v>
      </c>
      <c r="R1910" s="2">
        <v>0</v>
      </c>
      <c r="S1910" t="str">
        <f>IF(Table1[[#This Row],[Years_Experience]]&lt;=5,"Early Career",
IF(Table1[[#This Row],[Years_Experience]]&lt;=15,"Mid Career","Senior Level"))</f>
        <v>Senior Level</v>
      </c>
      <c r="T1910" t="str">
        <f>IF(Table1[[#This Row],[AI_Exposure_Index]]&gt;=0.7,"High Exposure", IF(Table1[[#This Row],[AI_Exposure_Index]]&gt;=0.3,"Medium Exposure","Low Exposure"))</f>
        <v>Medium Exposure</v>
      </c>
    </row>
    <row r="1911" spans="1:20" x14ac:dyDescent="0.25">
      <c r="A1911" t="s">
        <v>32</v>
      </c>
      <c r="B1911">
        <v>129581</v>
      </c>
      <c r="C1911" s="1">
        <v>3</v>
      </c>
      <c r="D1911" t="s">
        <v>22</v>
      </c>
      <c r="E1911" s="7">
        <v>1.2</v>
      </c>
      <c r="F1911" s="2">
        <v>0.82</v>
      </c>
      <c r="G1911" s="7">
        <v>0.33</v>
      </c>
      <c r="H1911" s="9" t="s">
        <v>27</v>
      </c>
      <c r="I1911">
        <v>0.59</v>
      </c>
      <c r="J1911">
        <v>0.82</v>
      </c>
      <c r="K1911">
        <v>0.39</v>
      </c>
      <c r="L1911">
        <v>0.2</v>
      </c>
      <c r="M1911">
        <v>0.59</v>
      </c>
      <c r="N1911">
        <v>0.83</v>
      </c>
      <c r="O1911">
        <v>0.05</v>
      </c>
      <c r="P1911">
        <v>0.6</v>
      </c>
      <c r="Q1911">
        <v>0.64</v>
      </c>
      <c r="R1911" s="2">
        <v>0.6</v>
      </c>
      <c r="S1911" t="str">
        <f>IF(Table1[[#This Row],[Years_Experience]]&lt;=5,"Early Career",
IF(Table1[[#This Row],[Years_Experience]]&lt;=15,"Mid Career","Senior Level"))</f>
        <v>Early Career</v>
      </c>
      <c r="T1911" t="str">
        <f>IF(Table1[[#This Row],[AI_Exposure_Index]]&gt;=0.7,"High Exposure", IF(Table1[[#This Row],[AI_Exposure_Index]]&gt;=0.3,"Medium Exposure","Low Exposure"))</f>
        <v>High Exposure</v>
      </c>
    </row>
    <row r="1912" spans="1:20" x14ac:dyDescent="0.25">
      <c r="A1912" t="s">
        <v>26</v>
      </c>
      <c r="B1912">
        <v>69819</v>
      </c>
      <c r="C1912" s="1">
        <v>4</v>
      </c>
      <c r="D1912" t="s">
        <v>19</v>
      </c>
      <c r="E1912" s="7">
        <v>0.63</v>
      </c>
      <c r="F1912" s="2">
        <v>0.63</v>
      </c>
      <c r="G1912" s="7">
        <v>0.39</v>
      </c>
      <c r="H1912" s="9" t="s">
        <v>27</v>
      </c>
      <c r="I1912">
        <v>0.62</v>
      </c>
      <c r="J1912">
        <v>0.02</v>
      </c>
      <c r="K1912">
        <v>0.63</v>
      </c>
      <c r="L1912">
        <v>0.67</v>
      </c>
      <c r="M1912">
        <v>0.24</v>
      </c>
      <c r="N1912">
        <v>0.6</v>
      </c>
      <c r="O1912">
        <v>0.53</v>
      </c>
      <c r="P1912">
        <v>0.26</v>
      </c>
      <c r="Q1912">
        <v>0.46</v>
      </c>
      <c r="R1912" s="2">
        <v>0.91</v>
      </c>
      <c r="S1912" t="str">
        <f>IF(Table1[[#This Row],[Years_Experience]]&lt;=5,"Early Career",
IF(Table1[[#This Row],[Years_Experience]]&lt;=15,"Mid Career","Senior Level"))</f>
        <v>Early Career</v>
      </c>
      <c r="T1912" t="str">
        <f>IF(Table1[[#This Row],[AI_Exposure_Index]]&gt;=0.7,"High Exposure", IF(Table1[[#This Row],[AI_Exposure_Index]]&gt;=0.3,"Medium Exposure","Low Exposure"))</f>
        <v>Medium Exposure</v>
      </c>
    </row>
    <row r="1913" spans="1:20" x14ac:dyDescent="0.25">
      <c r="A1913" t="s">
        <v>41</v>
      </c>
      <c r="B1913">
        <v>141925</v>
      </c>
      <c r="C1913" s="1">
        <v>23</v>
      </c>
      <c r="D1913" t="s">
        <v>38</v>
      </c>
      <c r="E1913" s="7">
        <v>1.38</v>
      </c>
      <c r="F1913" s="2">
        <v>0.41</v>
      </c>
      <c r="G1913" s="7">
        <v>0.81</v>
      </c>
      <c r="H1913" s="9" t="s">
        <v>20</v>
      </c>
      <c r="I1913">
        <v>0.87</v>
      </c>
      <c r="J1913">
        <v>0.13</v>
      </c>
      <c r="K1913">
        <v>0.64</v>
      </c>
      <c r="L1913">
        <v>0.68</v>
      </c>
      <c r="M1913">
        <v>0.66</v>
      </c>
      <c r="N1913">
        <v>0.45</v>
      </c>
      <c r="O1913">
        <v>0.68</v>
      </c>
      <c r="P1913">
        <v>0.24</v>
      </c>
      <c r="Q1913">
        <v>0.6</v>
      </c>
      <c r="R1913" s="2">
        <v>0.55000000000000004</v>
      </c>
      <c r="S1913" t="str">
        <f>IF(Table1[[#This Row],[Years_Experience]]&lt;=5,"Early Career",
IF(Table1[[#This Row],[Years_Experience]]&lt;=15,"Mid Career","Senior Level"))</f>
        <v>Senior Level</v>
      </c>
      <c r="T1913" t="str">
        <f>IF(Table1[[#This Row],[AI_Exposure_Index]]&gt;=0.7,"High Exposure", IF(Table1[[#This Row],[AI_Exposure_Index]]&gt;=0.3,"Medium Exposure","Low Exposure"))</f>
        <v>Medium Exposure</v>
      </c>
    </row>
    <row r="1914" spans="1:20" x14ac:dyDescent="0.25">
      <c r="A1914" t="s">
        <v>21</v>
      </c>
      <c r="B1914">
        <v>75805</v>
      </c>
      <c r="C1914" s="1">
        <v>19</v>
      </c>
      <c r="D1914" t="s">
        <v>38</v>
      </c>
      <c r="E1914" s="7">
        <v>0.57999999999999996</v>
      </c>
      <c r="F1914" s="2">
        <v>0.78</v>
      </c>
      <c r="G1914" s="7">
        <v>0.09</v>
      </c>
      <c r="H1914" s="9" t="s">
        <v>23</v>
      </c>
      <c r="I1914">
        <v>0.47</v>
      </c>
      <c r="J1914">
        <v>0.89</v>
      </c>
      <c r="K1914">
        <v>0.57999999999999996</v>
      </c>
      <c r="L1914">
        <v>0.84</v>
      </c>
      <c r="M1914">
        <v>0.52</v>
      </c>
      <c r="N1914">
        <v>0.79</v>
      </c>
      <c r="O1914">
        <v>0.33</v>
      </c>
      <c r="P1914">
        <v>0.82</v>
      </c>
      <c r="Q1914">
        <v>0.4</v>
      </c>
      <c r="R1914" s="2">
        <v>0.56000000000000005</v>
      </c>
      <c r="S1914" t="str">
        <f>IF(Table1[[#This Row],[Years_Experience]]&lt;=5,"Early Career",
IF(Table1[[#This Row],[Years_Experience]]&lt;=15,"Mid Career","Senior Level"))</f>
        <v>Senior Level</v>
      </c>
      <c r="T1914" t="str">
        <f>IF(Table1[[#This Row],[AI_Exposure_Index]]&gt;=0.7,"High Exposure", IF(Table1[[#This Row],[AI_Exposure_Index]]&gt;=0.3,"Medium Exposure","Low Exposure"))</f>
        <v>High Exposure</v>
      </c>
    </row>
    <row r="1915" spans="1:20" x14ac:dyDescent="0.25">
      <c r="A1915" t="s">
        <v>24</v>
      </c>
      <c r="B1915">
        <v>67326</v>
      </c>
      <c r="C1915" s="1">
        <v>15</v>
      </c>
      <c r="D1915" t="s">
        <v>25</v>
      </c>
      <c r="E1915" s="7">
        <v>1.2</v>
      </c>
      <c r="F1915" s="2">
        <v>0.92</v>
      </c>
      <c r="G1915" s="7">
        <v>0.91</v>
      </c>
      <c r="H1915" s="9" t="s">
        <v>20</v>
      </c>
      <c r="I1915">
        <v>0.21</v>
      </c>
      <c r="J1915">
        <v>7.0000000000000007E-2</v>
      </c>
      <c r="K1915">
        <v>0.34</v>
      </c>
      <c r="L1915">
        <v>0.52</v>
      </c>
      <c r="M1915">
        <v>0.8</v>
      </c>
      <c r="N1915">
        <v>0.4</v>
      </c>
      <c r="O1915">
        <v>0.27</v>
      </c>
      <c r="P1915">
        <v>0.37</v>
      </c>
      <c r="Q1915">
        <v>0.7</v>
      </c>
      <c r="R1915" s="2">
        <v>0.34</v>
      </c>
      <c r="S1915" t="str">
        <f>IF(Table1[[#This Row],[Years_Experience]]&lt;=5,"Early Career",
IF(Table1[[#This Row],[Years_Experience]]&lt;=15,"Mid Career","Senior Level"))</f>
        <v>Mid Career</v>
      </c>
      <c r="T1915" t="str">
        <f>IF(Table1[[#This Row],[AI_Exposure_Index]]&gt;=0.7,"High Exposure", IF(Table1[[#This Row],[AI_Exposure_Index]]&gt;=0.3,"Medium Exposure","Low Exposure"))</f>
        <v>High Exposure</v>
      </c>
    </row>
    <row r="1916" spans="1:20" x14ac:dyDescent="0.25">
      <c r="A1916" t="s">
        <v>32</v>
      </c>
      <c r="B1916">
        <v>69224</v>
      </c>
      <c r="C1916" s="1">
        <v>18</v>
      </c>
      <c r="D1916" t="s">
        <v>38</v>
      </c>
      <c r="E1916" s="7">
        <v>1.25</v>
      </c>
      <c r="F1916" s="2">
        <v>0.17</v>
      </c>
      <c r="G1916" s="7">
        <v>0.54</v>
      </c>
      <c r="H1916" s="9" t="s">
        <v>27</v>
      </c>
      <c r="I1916">
        <v>0.23</v>
      </c>
      <c r="J1916">
        <v>0.75</v>
      </c>
      <c r="K1916">
        <v>0.45</v>
      </c>
      <c r="L1916">
        <v>0.68</v>
      </c>
      <c r="M1916">
        <v>0.66</v>
      </c>
      <c r="N1916">
        <v>0.11</v>
      </c>
      <c r="O1916">
        <v>0.84</v>
      </c>
      <c r="P1916">
        <v>0.68</v>
      </c>
      <c r="Q1916">
        <v>0.78</v>
      </c>
      <c r="R1916" s="2">
        <v>0.45</v>
      </c>
      <c r="S1916" t="str">
        <f>IF(Table1[[#This Row],[Years_Experience]]&lt;=5,"Early Career",
IF(Table1[[#This Row],[Years_Experience]]&lt;=15,"Mid Career","Senior Level"))</f>
        <v>Senior Level</v>
      </c>
      <c r="T1916" t="str">
        <f>IF(Table1[[#This Row],[AI_Exposure_Index]]&gt;=0.7,"High Exposure", IF(Table1[[#This Row],[AI_Exposure_Index]]&gt;=0.3,"Medium Exposure","Low Exposure"))</f>
        <v>Low Exposure</v>
      </c>
    </row>
    <row r="1917" spans="1:20" x14ac:dyDescent="0.25">
      <c r="A1917" t="s">
        <v>36</v>
      </c>
      <c r="B1917">
        <v>132567</v>
      </c>
      <c r="C1917" s="1">
        <v>4</v>
      </c>
      <c r="D1917" t="s">
        <v>38</v>
      </c>
      <c r="E1917" s="7">
        <v>1.2</v>
      </c>
      <c r="F1917" s="2">
        <v>0</v>
      </c>
      <c r="G1917" s="7">
        <v>0.52</v>
      </c>
      <c r="H1917" s="9" t="s">
        <v>27</v>
      </c>
      <c r="I1917">
        <v>0.21</v>
      </c>
      <c r="J1917">
        <v>0.23</v>
      </c>
      <c r="K1917">
        <v>0.81</v>
      </c>
      <c r="L1917">
        <v>0.5</v>
      </c>
      <c r="M1917">
        <v>0.7</v>
      </c>
      <c r="N1917">
        <v>0.45</v>
      </c>
      <c r="O1917">
        <v>0.24</v>
      </c>
      <c r="P1917">
        <v>0.97</v>
      </c>
      <c r="Q1917">
        <v>0.56999999999999995</v>
      </c>
      <c r="R1917" s="2">
        <v>0.13</v>
      </c>
      <c r="S1917" t="str">
        <f>IF(Table1[[#This Row],[Years_Experience]]&lt;=5,"Early Career",
IF(Table1[[#This Row],[Years_Experience]]&lt;=15,"Mid Career","Senior Level"))</f>
        <v>Early Career</v>
      </c>
      <c r="T1917" t="str">
        <f>IF(Table1[[#This Row],[AI_Exposure_Index]]&gt;=0.7,"High Exposure", IF(Table1[[#This Row],[AI_Exposure_Index]]&gt;=0.3,"Medium Exposure","Low Exposure"))</f>
        <v>Low Exposure</v>
      </c>
    </row>
    <row r="1918" spans="1:20" x14ac:dyDescent="0.25">
      <c r="A1918" t="s">
        <v>31</v>
      </c>
      <c r="B1918">
        <v>129417</v>
      </c>
      <c r="C1918" s="1">
        <v>23</v>
      </c>
      <c r="D1918" t="s">
        <v>19</v>
      </c>
      <c r="E1918" s="7">
        <v>0.71</v>
      </c>
      <c r="F1918" s="2">
        <v>0.33</v>
      </c>
      <c r="G1918" s="7">
        <v>0.28000000000000003</v>
      </c>
      <c r="H1918" s="9" t="s">
        <v>23</v>
      </c>
      <c r="I1918">
        <v>0.88</v>
      </c>
      <c r="J1918">
        <v>0.2</v>
      </c>
      <c r="K1918">
        <v>0.35</v>
      </c>
      <c r="L1918">
        <v>0.76</v>
      </c>
      <c r="M1918">
        <v>0.21</v>
      </c>
      <c r="N1918">
        <v>0.59</v>
      </c>
      <c r="O1918">
        <v>0.7</v>
      </c>
      <c r="P1918">
        <v>0.65</v>
      </c>
      <c r="Q1918">
        <v>0.71</v>
      </c>
      <c r="R1918" s="2">
        <v>0.71</v>
      </c>
      <c r="S1918" t="str">
        <f>IF(Table1[[#This Row],[Years_Experience]]&lt;=5,"Early Career",
IF(Table1[[#This Row],[Years_Experience]]&lt;=15,"Mid Career","Senior Level"))</f>
        <v>Senior Level</v>
      </c>
      <c r="T1918" t="str">
        <f>IF(Table1[[#This Row],[AI_Exposure_Index]]&gt;=0.7,"High Exposure", IF(Table1[[#This Row],[AI_Exposure_Index]]&gt;=0.3,"Medium Exposure","Low Exposure"))</f>
        <v>Medium Exposure</v>
      </c>
    </row>
    <row r="1919" spans="1:20" x14ac:dyDescent="0.25">
      <c r="A1919" t="s">
        <v>30</v>
      </c>
      <c r="B1919">
        <v>129652</v>
      </c>
      <c r="C1919" s="1">
        <v>28</v>
      </c>
      <c r="D1919" t="s">
        <v>25</v>
      </c>
      <c r="E1919" s="7">
        <v>1.38</v>
      </c>
      <c r="F1919" s="2">
        <v>0.35</v>
      </c>
      <c r="G1919" s="7">
        <v>0.31</v>
      </c>
      <c r="H1919" s="9" t="s">
        <v>27</v>
      </c>
      <c r="I1919">
        <v>0.28999999999999998</v>
      </c>
      <c r="J1919">
        <v>0.05</v>
      </c>
      <c r="K1919">
        <v>0.65</v>
      </c>
      <c r="L1919">
        <v>0.1</v>
      </c>
      <c r="M1919">
        <v>0.85</v>
      </c>
      <c r="N1919">
        <v>0.65</v>
      </c>
      <c r="O1919">
        <v>0.03</v>
      </c>
      <c r="P1919">
        <v>0.71</v>
      </c>
      <c r="Q1919">
        <v>0.86</v>
      </c>
      <c r="R1919" s="2">
        <v>0.66</v>
      </c>
      <c r="S1919" t="str">
        <f>IF(Table1[[#This Row],[Years_Experience]]&lt;=5,"Early Career",
IF(Table1[[#This Row],[Years_Experience]]&lt;=15,"Mid Career","Senior Level"))</f>
        <v>Senior Level</v>
      </c>
      <c r="T1919" t="str">
        <f>IF(Table1[[#This Row],[AI_Exposure_Index]]&gt;=0.7,"High Exposure", IF(Table1[[#This Row],[AI_Exposure_Index]]&gt;=0.3,"Medium Exposure","Low Exposure"))</f>
        <v>Medium Exposure</v>
      </c>
    </row>
    <row r="1920" spans="1:20" x14ac:dyDescent="0.25">
      <c r="A1920" t="s">
        <v>26</v>
      </c>
      <c r="B1920">
        <v>58498</v>
      </c>
      <c r="C1920" s="1">
        <v>10</v>
      </c>
      <c r="D1920" t="s">
        <v>38</v>
      </c>
      <c r="E1920" s="7">
        <v>1.23</v>
      </c>
      <c r="F1920" s="2">
        <v>0.86</v>
      </c>
      <c r="G1920" s="7">
        <v>0.45</v>
      </c>
      <c r="H1920" s="9" t="s">
        <v>27</v>
      </c>
      <c r="I1920">
        <v>0.33</v>
      </c>
      <c r="J1920">
        <v>0.48</v>
      </c>
      <c r="K1920">
        <v>0.87</v>
      </c>
      <c r="L1920">
        <v>0.25</v>
      </c>
      <c r="M1920">
        <v>0.1</v>
      </c>
      <c r="N1920">
        <v>0.86</v>
      </c>
      <c r="O1920">
        <v>0.03</v>
      </c>
      <c r="P1920">
        <v>0.91</v>
      </c>
      <c r="Q1920">
        <v>0.31</v>
      </c>
      <c r="R1920" s="2">
        <v>0.51</v>
      </c>
      <c r="S1920" t="str">
        <f>IF(Table1[[#This Row],[Years_Experience]]&lt;=5,"Early Career",
IF(Table1[[#This Row],[Years_Experience]]&lt;=15,"Mid Career","Senior Level"))</f>
        <v>Mid Career</v>
      </c>
      <c r="T1920" t="str">
        <f>IF(Table1[[#This Row],[AI_Exposure_Index]]&gt;=0.7,"High Exposure", IF(Table1[[#This Row],[AI_Exposure_Index]]&gt;=0.3,"Medium Exposure","Low Exposure"))</f>
        <v>High Exposure</v>
      </c>
    </row>
    <row r="1921" spans="1:20" x14ac:dyDescent="0.25">
      <c r="A1921" t="s">
        <v>41</v>
      </c>
      <c r="B1921">
        <v>37816</v>
      </c>
      <c r="C1921" s="1">
        <v>17</v>
      </c>
      <c r="D1921" t="s">
        <v>19</v>
      </c>
      <c r="E1921" s="7">
        <v>1.25</v>
      </c>
      <c r="F1921" s="2">
        <v>0.9</v>
      </c>
      <c r="G1921" s="7">
        <v>0.93</v>
      </c>
      <c r="H1921" s="9" t="s">
        <v>20</v>
      </c>
      <c r="I1921">
        <v>0.68</v>
      </c>
      <c r="J1921">
        <v>0.18</v>
      </c>
      <c r="K1921">
        <v>0.31</v>
      </c>
      <c r="L1921">
        <v>0.49</v>
      </c>
      <c r="M1921">
        <v>0.61</v>
      </c>
      <c r="N1921">
        <v>0.93</v>
      </c>
      <c r="O1921">
        <v>0.38</v>
      </c>
      <c r="P1921">
        <v>0.7</v>
      </c>
      <c r="Q1921">
        <v>0.96</v>
      </c>
      <c r="R1921" s="2">
        <v>0.15</v>
      </c>
      <c r="S1921" t="str">
        <f>IF(Table1[[#This Row],[Years_Experience]]&lt;=5,"Early Career",
IF(Table1[[#This Row],[Years_Experience]]&lt;=15,"Mid Career","Senior Level"))</f>
        <v>Senior Level</v>
      </c>
      <c r="T1921" t="str">
        <f>IF(Table1[[#This Row],[AI_Exposure_Index]]&gt;=0.7,"High Exposure", IF(Table1[[#This Row],[AI_Exposure_Index]]&gt;=0.3,"Medium Exposure","Low Exposure"))</f>
        <v>High Exposure</v>
      </c>
    </row>
    <row r="1922" spans="1:20" x14ac:dyDescent="0.25">
      <c r="A1922" t="s">
        <v>35</v>
      </c>
      <c r="B1922">
        <v>65074</v>
      </c>
      <c r="C1922" s="1">
        <v>22</v>
      </c>
      <c r="D1922" t="s">
        <v>38</v>
      </c>
      <c r="E1922" s="7">
        <v>1.23</v>
      </c>
      <c r="F1922" s="2">
        <v>0.42</v>
      </c>
      <c r="G1922" s="7">
        <v>0.42</v>
      </c>
      <c r="H1922" s="9" t="s">
        <v>27</v>
      </c>
      <c r="I1922">
        <v>0.33</v>
      </c>
      <c r="J1922">
        <v>0.03</v>
      </c>
      <c r="K1922">
        <v>0.97</v>
      </c>
      <c r="L1922">
        <v>0.81</v>
      </c>
      <c r="M1922">
        <v>0.09</v>
      </c>
      <c r="N1922">
        <v>1</v>
      </c>
      <c r="O1922">
        <v>0.61</v>
      </c>
      <c r="P1922">
        <v>0.85</v>
      </c>
      <c r="Q1922">
        <v>7.0000000000000007E-2</v>
      </c>
      <c r="R1922" s="2">
        <v>0.39</v>
      </c>
      <c r="S1922" t="str">
        <f>IF(Table1[[#This Row],[Years_Experience]]&lt;=5,"Early Career",
IF(Table1[[#This Row],[Years_Experience]]&lt;=15,"Mid Career","Senior Level"))</f>
        <v>Senior Level</v>
      </c>
      <c r="T1922" t="str">
        <f>IF(Table1[[#This Row],[AI_Exposure_Index]]&gt;=0.7,"High Exposure", IF(Table1[[#This Row],[AI_Exposure_Index]]&gt;=0.3,"Medium Exposure","Low Exposure"))</f>
        <v>Medium Exposure</v>
      </c>
    </row>
    <row r="1923" spans="1:20" x14ac:dyDescent="0.25">
      <c r="A1923" t="s">
        <v>30</v>
      </c>
      <c r="B1923">
        <v>46775</v>
      </c>
      <c r="C1923" s="1">
        <v>29</v>
      </c>
      <c r="D1923" t="s">
        <v>22</v>
      </c>
      <c r="E1923" s="7">
        <v>0.99</v>
      </c>
      <c r="F1923" s="2">
        <v>0.11</v>
      </c>
      <c r="G1923" s="7">
        <v>0.48</v>
      </c>
      <c r="H1923" s="9" t="s">
        <v>27</v>
      </c>
      <c r="I1923">
        <v>0.22</v>
      </c>
      <c r="J1923">
        <v>0.3</v>
      </c>
      <c r="K1923">
        <v>0.97</v>
      </c>
      <c r="L1923">
        <v>0.28999999999999998</v>
      </c>
      <c r="M1923">
        <v>0.21</v>
      </c>
      <c r="N1923">
        <v>0.54</v>
      </c>
      <c r="O1923">
        <v>0.67</v>
      </c>
      <c r="P1923">
        <v>0.73</v>
      </c>
      <c r="Q1923">
        <v>0.75</v>
      </c>
      <c r="R1923" s="2">
        <v>0.04</v>
      </c>
      <c r="S1923" t="str">
        <f>IF(Table1[[#This Row],[Years_Experience]]&lt;=5,"Early Career",
IF(Table1[[#This Row],[Years_Experience]]&lt;=15,"Mid Career","Senior Level"))</f>
        <v>Senior Level</v>
      </c>
      <c r="T1923" t="str">
        <f>IF(Table1[[#This Row],[AI_Exposure_Index]]&gt;=0.7,"High Exposure", IF(Table1[[#This Row],[AI_Exposure_Index]]&gt;=0.3,"Medium Exposure","Low Exposure"))</f>
        <v>Low Exposure</v>
      </c>
    </row>
    <row r="1924" spans="1:20" x14ac:dyDescent="0.25">
      <c r="A1924" t="s">
        <v>26</v>
      </c>
      <c r="B1924">
        <v>127095</v>
      </c>
      <c r="C1924" s="1">
        <v>14</v>
      </c>
      <c r="D1924" t="s">
        <v>25</v>
      </c>
      <c r="E1924" s="7">
        <v>1.4</v>
      </c>
      <c r="F1924" s="2">
        <v>0.77</v>
      </c>
      <c r="G1924" s="7">
        <v>0.54</v>
      </c>
      <c r="H1924" s="9" t="s">
        <v>27</v>
      </c>
      <c r="I1924">
        <v>0.05</v>
      </c>
      <c r="J1924">
        <v>0.4</v>
      </c>
      <c r="K1924">
        <v>7.0000000000000007E-2</v>
      </c>
      <c r="L1924">
        <v>0.75</v>
      </c>
      <c r="M1924">
        <v>0.06</v>
      </c>
      <c r="N1924">
        <v>0.19</v>
      </c>
      <c r="O1924">
        <v>0.42</v>
      </c>
      <c r="P1924">
        <v>0.46</v>
      </c>
      <c r="Q1924">
        <v>0.41</v>
      </c>
      <c r="R1924" s="2">
        <v>0.46</v>
      </c>
      <c r="S1924" t="str">
        <f>IF(Table1[[#This Row],[Years_Experience]]&lt;=5,"Early Career",
IF(Table1[[#This Row],[Years_Experience]]&lt;=15,"Mid Career","Senior Level"))</f>
        <v>Mid Career</v>
      </c>
      <c r="T1924" t="str">
        <f>IF(Table1[[#This Row],[AI_Exposure_Index]]&gt;=0.7,"High Exposure", IF(Table1[[#This Row],[AI_Exposure_Index]]&gt;=0.3,"Medium Exposure","Low Exposure"))</f>
        <v>High Exposure</v>
      </c>
    </row>
    <row r="1925" spans="1:20" x14ac:dyDescent="0.25">
      <c r="A1925" t="s">
        <v>29</v>
      </c>
      <c r="B1925">
        <v>85124</v>
      </c>
      <c r="C1925" s="1">
        <v>18</v>
      </c>
      <c r="D1925" t="s">
        <v>19</v>
      </c>
      <c r="E1925" s="7">
        <v>1.05</v>
      </c>
      <c r="F1925" s="2">
        <v>0.37</v>
      </c>
      <c r="G1925" s="7">
        <v>0.13</v>
      </c>
      <c r="H1925" s="9" t="s">
        <v>23</v>
      </c>
      <c r="I1925">
        <v>0.35</v>
      </c>
      <c r="J1925">
        <v>0.61</v>
      </c>
      <c r="K1925">
        <v>0.49</v>
      </c>
      <c r="L1925">
        <v>0.72</v>
      </c>
      <c r="M1925">
        <v>0.56000000000000005</v>
      </c>
      <c r="N1925">
        <v>0.8</v>
      </c>
      <c r="O1925">
        <v>0.44</v>
      </c>
      <c r="P1925">
        <v>0.49</v>
      </c>
      <c r="Q1925">
        <v>0.67</v>
      </c>
      <c r="R1925" s="2">
        <v>0.22</v>
      </c>
      <c r="S1925" t="str">
        <f>IF(Table1[[#This Row],[Years_Experience]]&lt;=5,"Early Career",
IF(Table1[[#This Row],[Years_Experience]]&lt;=15,"Mid Career","Senior Level"))</f>
        <v>Senior Level</v>
      </c>
      <c r="T1925" t="str">
        <f>IF(Table1[[#This Row],[AI_Exposure_Index]]&gt;=0.7,"High Exposure", IF(Table1[[#This Row],[AI_Exposure_Index]]&gt;=0.3,"Medium Exposure","Low Exposure"))</f>
        <v>Medium Exposure</v>
      </c>
    </row>
    <row r="1926" spans="1:20" x14ac:dyDescent="0.25">
      <c r="A1926" t="s">
        <v>43</v>
      </c>
      <c r="B1926">
        <v>48224</v>
      </c>
      <c r="C1926" s="1">
        <v>22</v>
      </c>
      <c r="D1926" t="s">
        <v>38</v>
      </c>
      <c r="E1926" s="7">
        <v>0.53</v>
      </c>
      <c r="F1926" s="2">
        <v>0.62</v>
      </c>
      <c r="G1926" s="7">
        <v>0.16</v>
      </c>
      <c r="H1926" s="9" t="s">
        <v>23</v>
      </c>
      <c r="I1926">
        <v>0.6</v>
      </c>
      <c r="J1926">
        <v>0.97</v>
      </c>
      <c r="K1926">
        <v>0.88</v>
      </c>
      <c r="L1926">
        <v>0.28000000000000003</v>
      </c>
      <c r="M1926">
        <v>0.51</v>
      </c>
      <c r="N1926">
        <v>0.06</v>
      </c>
      <c r="O1926">
        <v>0.24</v>
      </c>
      <c r="P1926">
        <v>0.77</v>
      </c>
      <c r="Q1926">
        <v>0.12</v>
      </c>
      <c r="R1926" s="2">
        <v>0.26</v>
      </c>
      <c r="S1926" t="str">
        <f>IF(Table1[[#This Row],[Years_Experience]]&lt;=5,"Early Career",
IF(Table1[[#This Row],[Years_Experience]]&lt;=15,"Mid Career","Senior Level"))</f>
        <v>Senior Level</v>
      </c>
      <c r="T1926" t="str">
        <f>IF(Table1[[#This Row],[AI_Exposure_Index]]&gt;=0.7,"High Exposure", IF(Table1[[#This Row],[AI_Exposure_Index]]&gt;=0.3,"Medium Exposure","Low Exposure"))</f>
        <v>Medium Exposure</v>
      </c>
    </row>
    <row r="1927" spans="1:20" x14ac:dyDescent="0.25">
      <c r="A1927" t="s">
        <v>42</v>
      </c>
      <c r="B1927">
        <v>80421</v>
      </c>
      <c r="C1927" s="1">
        <v>9</v>
      </c>
      <c r="D1927" t="s">
        <v>25</v>
      </c>
      <c r="E1927" s="7">
        <v>1.28</v>
      </c>
      <c r="F1927" s="2">
        <v>0.82</v>
      </c>
      <c r="G1927" s="7">
        <v>0.65</v>
      </c>
      <c r="H1927" s="9" t="s">
        <v>27</v>
      </c>
      <c r="I1927">
        <v>0.75</v>
      </c>
      <c r="J1927">
        <v>0.12</v>
      </c>
      <c r="K1927">
        <v>0.52</v>
      </c>
      <c r="L1927">
        <v>0.44</v>
      </c>
      <c r="M1927">
        <v>0.31</v>
      </c>
      <c r="N1927">
        <v>0.83</v>
      </c>
      <c r="O1927">
        <v>0.46</v>
      </c>
      <c r="P1927">
        <v>0.06</v>
      </c>
      <c r="Q1927">
        <v>0.27</v>
      </c>
      <c r="R1927" s="2">
        <v>0.23</v>
      </c>
      <c r="S1927" t="str">
        <f>IF(Table1[[#This Row],[Years_Experience]]&lt;=5,"Early Career",
IF(Table1[[#This Row],[Years_Experience]]&lt;=15,"Mid Career","Senior Level"))</f>
        <v>Mid Career</v>
      </c>
      <c r="T1927" t="str">
        <f>IF(Table1[[#This Row],[AI_Exposure_Index]]&gt;=0.7,"High Exposure", IF(Table1[[#This Row],[AI_Exposure_Index]]&gt;=0.3,"Medium Exposure","Low Exposure"))</f>
        <v>High Exposure</v>
      </c>
    </row>
    <row r="1928" spans="1:20" x14ac:dyDescent="0.25">
      <c r="A1928" t="s">
        <v>44</v>
      </c>
      <c r="B1928">
        <v>149028</v>
      </c>
      <c r="C1928" s="1">
        <v>19</v>
      </c>
      <c r="D1928" t="s">
        <v>22</v>
      </c>
      <c r="E1928" s="7">
        <v>1.06</v>
      </c>
      <c r="F1928" s="2">
        <v>0.65</v>
      </c>
      <c r="G1928" s="7">
        <v>0.5</v>
      </c>
      <c r="H1928" s="9" t="s">
        <v>27</v>
      </c>
      <c r="I1928">
        <v>0.65</v>
      </c>
      <c r="J1928">
        <v>0.75</v>
      </c>
      <c r="K1928">
        <v>0.55000000000000004</v>
      </c>
      <c r="L1928">
        <v>0.94</v>
      </c>
      <c r="M1928">
        <v>0.98</v>
      </c>
      <c r="N1928">
        <v>1</v>
      </c>
      <c r="O1928">
        <v>0.67</v>
      </c>
      <c r="P1928">
        <v>0.93</v>
      </c>
      <c r="Q1928">
        <v>0.4</v>
      </c>
      <c r="R1928" s="2">
        <v>0.86</v>
      </c>
      <c r="S1928" t="str">
        <f>IF(Table1[[#This Row],[Years_Experience]]&lt;=5,"Early Career",
IF(Table1[[#This Row],[Years_Experience]]&lt;=15,"Mid Career","Senior Level"))</f>
        <v>Senior Level</v>
      </c>
      <c r="T1928" t="str">
        <f>IF(Table1[[#This Row],[AI_Exposure_Index]]&gt;=0.7,"High Exposure", IF(Table1[[#This Row],[AI_Exposure_Index]]&gt;=0.3,"Medium Exposure","Low Exposure"))</f>
        <v>Medium Exposure</v>
      </c>
    </row>
    <row r="1929" spans="1:20" x14ac:dyDescent="0.25">
      <c r="A1929" t="s">
        <v>41</v>
      </c>
      <c r="B1929">
        <v>137919</v>
      </c>
      <c r="C1929" s="1">
        <v>29</v>
      </c>
      <c r="D1929" t="s">
        <v>25</v>
      </c>
      <c r="E1929" s="7">
        <v>1.33</v>
      </c>
      <c r="F1929" s="2">
        <v>0.9</v>
      </c>
      <c r="G1929" s="7">
        <v>0.8</v>
      </c>
      <c r="H1929" s="9" t="s">
        <v>20</v>
      </c>
      <c r="I1929">
        <v>0.16</v>
      </c>
      <c r="J1929">
        <v>0.33</v>
      </c>
      <c r="K1929">
        <v>0.77</v>
      </c>
      <c r="L1929">
        <v>0.23</v>
      </c>
      <c r="M1929">
        <v>0.48</v>
      </c>
      <c r="N1929">
        <v>0.56999999999999995</v>
      </c>
      <c r="O1929">
        <v>0.6</v>
      </c>
      <c r="P1929">
        <v>0.94</v>
      </c>
      <c r="Q1929">
        <v>0.66</v>
      </c>
      <c r="R1929" s="2">
        <v>0.79</v>
      </c>
      <c r="S1929" t="str">
        <f>IF(Table1[[#This Row],[Years_Experience]]&lt;=5,"Early Career",
IF(Table1[[#This Row],[Years_Experience]]&lt;=15,"Mid Career","Senior Level"))</f>
        <v>Senior Level</v>
      </c>
      <c r="T1929" t="str">
        <f>IF(Table1[[#This Row],[AI_Exposure_Index]]&gt;=0.7,"High Exposure", IF(Table1[[#This Row],[AI_Exposure_Index]]&gt;=0.3,"Medium Exposure","Low Exposure"))</f>
        <v>High Exposure</v>
      </c>
    </row>
    <row r="1930" spans="1:20" x14ac:dyDescent="0.25">
      <c r="A1930" t="s">
        <v>37</v>
      </c>
      <c r="B1930">
        <v>129391</v>
      </c>
      <c r="C1930" s="1">
        <v>13</v>
      </c>
      <c r="D1930" t="s">
        <v>19</v>
      </c>
      <c r="E1930" s="7">
        <v>0.6</v>
      </c>
      <c r="F1930" s="2">
        <v>0.5</v>
      </c>
      <c r="G1930" s="7">
        <v>0.4</v>
      </c>
      <c r="H1930" s="9" t="s">
        <v>27</v>
      </c>
      <c r="I1930">
        <v>0.35</v>
      </c>
      <c r="J1930">
        <v>0.64</v>
      </c>
      <c r="K1930">
        <v>0.25</v>
      </c>
      <c r="L1930">
        <v>0.23</v>
      </c>
      <c r="M1930">
        <v>0.28999999999999998</v>
      </c>
      <c r="N1930">
        <v>0.59</v>
      </c>
      <c r="O1930">
        <v>0.49</v>
      </c>
      <c r="P1930">
        <v>0.84</v>
      </c>
      <c r="Q1930">
        <v>0.7</v>
      </c>
      <c r="R1930" s="2">
        <v>0.67</v>
      </c>
      <c r="S1930" t="str">
        <f>IF(Table1[[#This Row],[Years_Experience]]&lt;=5,"Early Career",
IF(Table1[[#This Row],[Years_Experience]]&lt;=15,"Mid Career","Senior Level"))</f>
        <v>Mid Career</v>
      </c>
      <c r="T1930" t="str">
        <f>IF(Table1[[#This Row],[AI_Exposure_Index]]&gt;=0.7,"High Exposure", IF(Table1[[#This Row],[AI_Exposure_Index]]&gt;=0.3,"Medium Exposure","Low Exposure"))</f>
        <v>Medium Exposure</v>
      </c>
    </row>
    <row r="1931" spans="1:20" x14ac:dyDescent="0.25">
      <c r="A1931" t="s">
        <v>44</v>
      </c>
      <c r="B1931">
        <v>105125</v>
      </c>
      <c r="C1931" s="1">
        <v>29</v>
      </c>
      <c r="D1931" t="s">
        <v>19</v>
      </c>
      <c r="E1931" s="7">
        <v>1.01</v>
      </c>
      <c r="F1931" s="2">
        <v>0.06</v>
      </c>
      <c r="G1931" s="7">
        <v>0.33</v>
      </c>
      <c r="H1931" s="9" t="s">
        <v>27</v>
      </c>
      <c r="I1931">
        <v>0.36</v>
      </c>
      <c r="J1931">
        <v>0.03</v>
      </c>
      <c r="K1931">
        <v>0.18</v>
      </c>
      <c r="L1931">
        <v>0.11</v>
      </c>
      <c r="M1931">
        <v>0.8</v>
      </c>
      <c r="N1931">
        <v>0.35</v>
      </c>
      <c r="O1931">
        <v>0.08</v>
      </c>
      <c r="P1931">
        <v>0.27</v>
      </c>
      <c r="Q1931">
        <v>0.68</v>
      </c>
      <c r="R1931" s="2">
        <v>0.75</v>
      </c>
      <c r="S1931" t="str">
        <f>IF(Table1[[#This Row],[Years_Experience]]&lt;=5,"Early Career",
IF(Table1[[#This Row],[Years_Experience]]&lt;=15,"Mid Career","Senior Level"))</f>
        <v>Senior Level</v>
      </c>
      <c r="T1931" t="str">
        <f>IF(Table1[[#This Row],[AI_Exposure_Index]]&gt;=0.7,"High Exposure", IF(Table1[[#This Row],[AI_Exposure_Index]]&gt;=0.3,"Medium Exposure","Low Exposure"))</f>
        <v>Low Exposure</v>
      </c>
    </row>
    <row r="1932" spans="1:20" x14ac:dyDescent="0.25">
      <c r="A1932" t="s">
        <v>34</v>
      </c>
      <c r="B1932">
        <v>127071</v>
      </c>
      <c r="C1932" s="1">
        <v>20</v>
      </c>
      <c r="D1932" t="s">
        <v>19</v>
      </c>
      <c r="E1932" s="7">
        <v>0.81</v>
      </c>
      <c r="F1932" s="2">
        <v>0.66</v>
      </c>
      <c r="G1932" s="7">
        <v>0.41</v>
      </c>
      <c r="H1932" s="9" t="s">
        <v>27</v>
      </c>
      <c r="I1932">
        <v>0.81</v>
      </c>
      <c r="J1932">
        <v>0.98</v>
      </c>
      <c r="K1932">
        <v>0.77</v>
      </c>
      <c r="L1932">
        <v>0.52</v>
      </c>
      <c r="M1932">
        <v>0.44</v>
      </c>
      <c r="N1932">
        <v>0.54</v>
      </c>
      <c r="O1932">
        <v>0.46</v>
      </c>
      <c r="P1932">
        <v>0.5</v>
      </c>
      <c r="Q1932">
        <v>0.2</v>
      </c>
      <c r="R1932" s="2">
        <v>0.9</v>
      </c>
      <c r="S1932" t="str">
        <f>IF(Table1[[#This Row],[Years_Experience]]&lt;=5,"Early Career",
IF(Table1[[#This Row],[Years_Experience]]&lt;=15,"Mid Career","Senior Level"))</f>
        <v>Senior Level</v>
      </c>
      <c r="T1932" t="str">
        <f>IF(Table1[[#This Row],[AI_Exposure_Index]]&gt;=0.7,"High Exposure", IF(Table1[[#This Row],[AI_Exposure_Index]]&gt;=0.3,"Medium Exposure","Low Exposure"))</f>
        <v>Medium Exposure</v>
      </c>
    </row>
    <row r="1933" spans="1:20" x14ac:dyDescent="0.25">
      <c r="A1933" t="s">
        <v>29</v>
      </c>
      <c r="B1933">
        <v>109036</v>
      </c>
      <c r="C1933" s="1">
        <v>1</v>
      </c>
      <c r="D1933" t="s">
        <v>19</v>
      </c>
      <c r="E1933" s="7">
        <v>1.45</v>
      </c>
      <c r="F1933" s="2">
        <v>0.68</v>
      </c>
      <c r="G1933" s="7">
        <v>0.12</v>
      </c>
      <c r="H1933" s="9" t="s">
        <v>23</v>
      </c>
      <c r="I1933">
        <v>0.08</v>
      </c>
      <c r="J1933">
        <v>0.83</v>
      </c>
      <c r="K1933">
        <v>1</v>
      </c>
      <c r="L1933">
        <v>0.57999999999999996</v>
      </c>
      <c r="M1933">
        <v>0.06</v>
      </c>
      <c r="N1933">
        <v>0.78</v>
      </c>
      <c r="O1933">
        <v>7.0000000000000007E-2</v>
      </c>
      <c r="P1933">
        <v>0.54</v>
      </c>
      <c r="Q1933">
        <v>0.28000000000000003</v>
      </c>
      <c r="R1933" s="2">
        <v>0.92</v>
      </c>
      <c r="S1933" t="str">
        <f>IF(Table1[[#This Row],[Years_Experience]]&lt;=5,"Early Career",
IF(Table1[[#This Row],[Years_Experience]]&lt;=15,"Mid Career","Senior Level"))</f>
        <v>Early Career</v>
      </c>
      <c r="T1933" t="str">
        <f>IF(Table1[[#This Row],[AI_Exposure_Index]]&gt;=0.7,"High Exposure", IF(Table1[[#This Row],[AI_Exposure_Index]]&gt;=0.3,"Medium Exposure","Low Exposure"))</f>
        <v>Medium Exposure</v>
      </c>
    </row>
    <row r="1934" spans="1:20" x14ac:dyDescent="0.25">
      <c r="A1934" t="s">
        <v>18</v>
      </c>
      <c r="B1934">
        <v>59000</v>
      </c>
      <c r="C1934" s="1">
        <v>5</v>
      </c>
      <c r="D1934" t="s">
        <v>38</v>
      </c>
      <c r="E1934" s="7">
        <v>0.8</v>
      </c>
      <c r="F1934" s="2">
        <v>0.9</v>
      </c>
      <c r="G1934" s="7">
        <v>0.8</v>
      </c>
      <c r="H1934" s="9" t="s">
        <v>20</v>
      </c>
      <c r="I1934">
        <v>0.95</v>
      </c>
      <c r="J1934">
        <v>0.2</v>
      </c>
      <c r="K1934">
        <v>0.57999999999999996</v>
      </c>
      <c r="L1934">
        <v>0.39</v>
      </c>
      <c r="M1934">
        <v>0.77</v>
      </c>
      <c r="N1934">
        <v>0.13</v>
      </c>
      <c r="O1934">
        <v>0.44</v>
      </c>
      <c r="P1934">
        <v>0.7</v>
      </c>
      <c r="Q1934">
        <v>0.41</v>
      </c>
      <c r="R1934" s="2">
        <v>0.06</v>
      </c>
      <c r="S1934" t="str">
        <f>IF(Table1[[#This Row],[Years_Experience]]&lt;=5,"Early Career",
IF(Table1[[#This Row],[Years_Experience]]&lt;=15,"Mid Career","Senior Level"))</f>
        <v>Early Career</v>
      </c>
      <c r="T1934" t="str">
        <f>IF(Table1[[#This Row],[AI_Exposure_Index]]&gt;=0.7,"High Exposure", IF(Table1[[#This Row],[AI_Exposure_Index]]&gt;=0.3,"Medium Exposure","Low Exposure"))</f>
        <v>High Exposure</v>
      </c>
    </row>
    <row r="1935" spans="1:20" x14ac:dyDescent="0.25">
      <c r="A1935" t="s">
        <v>41</v>
      </c>
      <c r="B1935">
        <v>45529</v>
      </c>
      <c r="C1935" s="1">
        <v>22</v>
      </c>
      <c r="D1935" t="s">
        <v>25</v>
      </c>
      <c r="E1935" s="7">
        <v>0.51</v>
      </c>
      <c r="F1935" s="2">
        <v>0.5</v>
      </c>
      <c r="G1935" s="7">
        <v>0.85</v>
      </c>
      <c r="H1935" s="9" t="s">
        <v>20</v>
      </c>
      <c r="I1935">
        <v>0.92</v>
      </c>
      <c r="J1935">
        <v>0.11</v>
      </c>
      <c r="K1935">
        <v>0.59</v>
      </c>
      <c r="L1935">
        <v>0.73</v>
      </c>
      <c r="M1935">
        <v>7.0000000000000007E-2</v>
      </c>
      <c r="N1935">
        <v>0.02</v>
      </c>
      <c r="O1935">
        <v>0.46</v>
      </c>
      <c r="P1935">
        <v>0.79</v>
      </c>
      <c r="Q1935">
        <v>0.16</v>
      </c>
      <c r="R1935" s="2">
        <v>0.84</v>
      </c>
      <c r="S1935" t="str">
        <f>IF(Table1[[#This Row],[Years_Experience]]&lt;=5,"Early Career",
IF(Table1[[#This Row],[Years_Experience]]&lt;=15,"Mid Career","Senior Level"))</f>
        <v>Senior Level</v>
      </c>
      <c r="T1935" t="str">
        <f>IF(Table1[[#This Row],[AI_Exposure_Index]]&gt;=0.7,"High Exposure", IF(Table1[[#This Row],[AI_Exposure_Index]]&gt;=0.3,"Medium Exposure","Low Exposure"))</f>
        <v>Medium Exposure</v>
      </c>
    </row>
    <row r="1936" spans="1:20" x14ac:dyDescent="0.25">
      <c r="A1936" t="s">
        <v>18</v>
      </c>
      <c r="B1936">
        <v>124845</v>
      </c>
      <c r="C1936" s="1">
        <v>15</v>
      </c>
      <c r="D1936" t="s">
        <v>22</v>
      </c>
      <c r="E1936" s="7">
        <v>1.02</v>
      </c>
      <c r="F1936" s="2">
        <v>0.33</v>
      </c>
      <c r="G1936" s="7">
        <v>0.94</v>
      </c>
      <c r="H1936" s="9" t="s">
        <v>20</v>
      </c>
      <c r="I1936">
        <v>0.22</v>
      </c>
      <c r="J1936">
        <v>0.5</v>
      </c>
      <c r="K1936">
        <v>0.62</v>
      </c>
      <c r="L1936">
        <v>0.14000000000000001</v>
      </c>
      <c r="M1936">
        <v>0.04</v>
      </c>
      <c r="N1936">
        <v>0.01</v>
      </c>
      <c r="O1936">
        <v>0.32</v>
      </c>
      <c r="P1936">
        <v>7.0000000000000007E-2</v>
      </c>
      <c r="Q1936">
        <v>0.8</v>
      </c>
      <c r="R1936" s="2">
        <v>1</v>
      </c>
      <c r="S1936" t="str">
        <f>IF(Table1[[#This Row],[Years_Experience]]&lt;=5,"Early Career",
IF(Table1[[#This Row],[Years_Experience]]&lt;=15,"Mid Career","Senior Level"))</f>
        <v>Mid Career</v>
      </c>
      <c r="T1936" t="str">
        <f>IF(Table1[[#This Row],[AI_Exposure_Index]]&gt;=0.7,"High Exposure", IF(Table1[[#This Row],[AI_Exposure_Index]]&gt;=0.3,"Medium Exposure","Low Exposure"))</f>
        <v>Medium Exposure</v>
      </c>
    </row>
    <row r="1937" spans="1:20" x14ac:dyDescent="0.25">
      <c r="A1937" t="s">
        <v>18</v>
      </c>
      <c r="B1937">
        <v>135312</v>
      </c>
      <c r="C1937" s="1">
        <v>28</v>
      </c>
      <c r="D1937" t="s">
        <v>25</v>
      </c>
      <c r="E1937" s="7">
        <v>0.53</v>
      </c>
      <c r="F1937" s="2">
        <v>0.43</v>
      </c>
      <c r="G1937" s="7">
        <v>0.73</v>
      </c>
      <c r="H1937" s="9" t="s">
        <v>20</v>
      </c>
      <c r="I1937">
        <v>0.32</v>
      </c>
      <c r="J1937">
        <v>0.39</v>
      </c>
      <c r="K1937">
        <v>0.94</v>
      </c>
      <c r="L1937">
        <v>0.4</v>
      </c>
      <c r="M1937">
        <v>0.5</v>
      </c>
      <c r="N1937">
        <v>0.25</v>
      </c>
      <c r="O1937">
        <v>0</v>
      </c>
      <c r="P1937">
        <v>0.9</v>
      </c>
      <c r="Q1937">
        <v>0.08</v>
      </c>
      <c r="R1937" s="2">
        <v>0.96</v>
      </c>
      <c r="S1937" t="str">
        <f>IF(Table1[[#This Row],[Years_Experience]]&lt;=5,"Early Career",
IF(Table1[[#This Row],[Years_Experience]]&lt;=15,"Mid Career","Senior Level"))</f>
        <v>Senior Level</v>
      </c>
      <c r="T1937" t="str">
        <f>IF(Table1[[#This Row],[AI_Exposure_Index]]&gt;=0.7,"High Exposure", IF(Table1[[#This Row],[AI_Exposure_Index]]&gt;=0.3,"Medium Exposure","Low Exposure"))</f>
        <v>Medium Exposure</v>
      </c>
    </row>
    <row r="1938" spans="1:20" x14ac:dyDescent="0.25">
      <c r="A1938" t="s">
        <v>43</v>
      </c>
      <c r="B1938">
        <v>95478</v>
      </c>
      <c r="C1938" s="1">
        <v>22</v>
      </c>
      <c r="D1938" t="s">
        <v>25</v>
      </c>
      <c r="E1938" s="7">
        <v>1.5</v>
      </c>
      <c r="F1938" s="2">
        <v>0.6</v>
      </c>
      <c r="G1938" s="7">
        <v>0.08</v>
      </c>
      <c r="H1938" s="9" t="s">
        <v>23</v>
      </c>
      <c r="I1938">
        <v>0.42</v>
      </c>
      <c r="J1938">
        <v>0.78</v>
      </c>
      <c r="K1938">
        <v>0.03</v>
      </c>
      <c r="L1938">
        <v>0.69</v>
      </c>
      <c r="M1938">
        <v>0.08</v>
      </c>
      <c r="N1938">
        <v>0.24</v>
      </c>
      <c r="O1938">
        <v>0.16</v>
      </c>
      <c r="P1938">
        <v>0.91</v>
      </c>
      <c r="Q1938">
        <v>0.18</v>
      </c>
      <c r="R1938" s="2">
        <v>0.04</v>
      </c>
      <c r="S1938" t="str">
        <f>IF(Table1[[#This Row],[Years_Experience]]&lt;=5,"Early Career",
IF(Table1[[#This Row],[Years_Experience]]&lt;=15,"Mid Career","Senior Level"))</f>
        <v>Senior Level</v>
      </c>
      <c r="T1938" t="str">
        <f>IF(Table1[[#This Row],[AI_Exposure_Index]]&gt;=0.7,"High Exposure", IF(Table1[[#This Row],[AI_Exposure_Index]]&gt;=0.3,"Medium Exposure","Low Exposure"))</f>
        <v>Medium Exposure</v>
      </c>
    </row>
    <row r="1939" spans="1:20" x14ac:dyDescent="0.25">
      <c r="A1939" t="s">
        <v>37</v>
      </c>
      <c r="B1939">
        <v>71702</v>
      </c>
      <c r="C1939" s="1">
        <v>8</v>
      </c>
      <c r="D1939" t="s">
        <v>38</v>
      </c>
      <c r="E1939" s="7">
        <v>0.91</v>
      </c>
      <c r="F1939" s="2">
        <v>0.35</v>
      </c>
      <c r="G1939" s="7">
        <v>0.35</v>
      </c>
      <c r="H1939" s="9" t="s">
        <v>27</v>
      </c>
      <c r="I1939">
        <v>0.75</v>
      </c>
      <c r="J1939">
        <v>0.6</v>
      </c>
      <c r="K1939">
        <v>0.36</v>
      </c>
      <c r="L1939">
        <v>0.17</v>
      </c>
      <c r="M1939">
        <v>0.59</v>
      </c>
      <c r="N1939">
        <v>0.78</v>
      </c>
      <c r="O1939">
        <v>0.31</v>
      </c>
      <c r="P1939">
        <v>0.03</v>
      </c>
      <c r="Q1939">
        <v>0.21</v>
      </c>
      <c r="R1939" s="2">
        <v>0.68</v>
      </c>
      <c r="S1939" t="str">
        <f>IF(Table1[[#This Row],[Years_Experience]]&lt;=5,"Early Career",
IF(Table1[[#This Row],[Years_Experience]]&lt;=15,"Mid Career","Senior Level"))</f>
        <v>Mid Career</v>
      </c>
      <c r="T1939" t="str">
        <f>IF(Table1[[#This Row],[AI_Exposure_Index]]&gt;=0.7,"High Exposure", IF(Table1[[#This Row],[AI_Exposure_Index]]&gt;=0.3,"Medium Exposure","Low Exposure"))</f>
        <v>Medium Exposure</v>
      </c>
    </row>
    <row r="1940" spans="1:20" x14ac:dyDescent="0.25">
      <c r="A1940" t="s">
        <v>39</v>
      </c>
      <c r="B1940">
        <v>123068</v>
      </c>
      <c r="C1940" s="1">
        <v>25</v>
      </c>
      <c r="D1940" t="s">
        <v>19</v>
      </c>
      <c r="E1940" s="7">
        <v>0.81</v>
      </c>
      <c r="F1940" s="2">
        <v>0.01</v>
      </c>
      <c r="G1940" s="7">
        <v>0.72</v>
      </c>
      <c r="H1940" s="9" t="s">
        <v>20</v>
      </c>
      <c r="I1940">
        <v>0.32</v>
      </c>
      <c r="J1940">
        <v>0.41</v>
      </c>
      <c r="K1940">
        <v>0.92</v>
      </c>
      <c r="L1940">
        <v>0.08</v>
      </c>
      <c r="M1940">
        <v>0.78</v>
      </c>
      <c r="N1940">
        <v>0.4</v>
      </c>
      <c r="O1940">
        <v>0.81</v>
      </c>
      <c r="P1940">
        <v>0.51</v>
      </c>
      <c r="Q1940">
        <v>0.04</v>
      </c>
      <c r="R1940" s="2">
        <v>0.95</v>
      </c>
      <c r="S1940" t="str">
        <f>IF(Table1[[#This Row],[Years_Experience]]&lt;=5,"Early Career",
IF(Table1[[#This Row],[Years_Experience]]&lt;=15,"Mid Career","Senior Level"))</f>
        <v>Senior Level</v>
      </c>
      <c r="T1940" t="str">
        <f>IF(Table1[[#This Row],[AI_Exposure_Index]]&gt;=0.7,"High Exposure", IF(Table1[[#This Row],[AI_Exposure_Index]]&gt;=0.3,"Medium Exposure","Low Exposure"))</f>
        <v>Low Exposure</v>
      </c>
    </row>
    <row r="1941" spans="1:20" x14ac:dyDescent="0.25">
      <c r="A1941" t="s">
        <v>24</v>
      </c>
      <c r="B1941">
        <v>33911</v>
      </c>
      <c r="C1941" s="1">
        <v>13</v>
      </c>
      <c r="D1941" t="s">
        <v>38</v>
      </c>
      <c r="E1941" s="7">
        <v>1.38</v>
      </c>
      <c r="F1941" s="2">
        <v>0.6</v>
      </c>
      <c r="G1941" s="7">
        <v>0.72</v>
      </c>
      <c r="H1941" s="9" t="s">
        <v>20</v>
      </c>
      <c r="I1941">
        <v>0.55000000000000004</v>
      </c>
      <c r="J1941">
        <v>0.82</v>
      </c>
      <c r="K1941">
        <v>0.99</v>
      </c>
      <c r="L1941">
        <v>0.72</v>
      </c>
      <c r="M1941">
        <v>0.28000000000000003</v>
      </c>
      <c r="N1941">
        <v>0.7</v>
      </c>
      <c r="O1941">
        <v>0.71</v>
      </c>
      <c r="P1941">
        <v>0.7</v>
      </c>
      <c r="Q1941">
        <v>0.85</v>
      </c>
      <c r="R1941" s="2">
        <v>0.09</v>
      </c>
      <c r="S1941" t="str">
        <f>IF(Table1[[#This Row],[Years_Experience]]&lt;=5,"Early Career",
IF(Table1[[#This Row],[Years_Experience]]&lt;=15,"Mid Career","Senior Level"))</f>
        <v>Mid Career</v>
      </c>
      <c r="T1941" t="str">
        <f>IF(Table1[[#This Row],[AI_Exposure_Index]]&gt;=0.7,"High Exposure", IF(Table1[[#This Row],[AI_Exposure_Index]]&gt;=0.3,"Medium Exposure","Low Exposure"))</f>
        <v>Medium Exposure</v>
      </c>
    </row>
    <row r="1942" spans="1:20" x14ac:dyDescent="0.25">
      <c r="A1942" t="s">
        <v>35</v>
      </c>
      <c r="B1942">
        <v>121964</v>
      </c>
      <c r="C1942" s="1">
        <v>14</v>
      </c>
      <c r="D1942" t="s">
        <v>22</v>
      </c>
      <c r="E1942" s="7">
        <v>1.45</v>
      </c>
      <c r="F1942" s="2">
        <v>0.64</v>
      </c>
      <c r="G1942" s="7">
        <v>0.49</v>
      </c>
      <c r="H1942" s="9" t="s">
        <v>27</v>
      </c>
      <c r="I1942">
        <v>0.96</v>
      </c>
      <c r="J1942">
        <v>0.94</v>
      </c>
      <c r="K1942">
        <v>0.9</v>
      </c>
      <c r="L1942">
        <v>0.91</v>
      </c>
      <c r="M1942">
        <v>0.9</v>
      </c>
      <c r="N1942">
        <v>0.82</v>
      </c>
      <c r="O1942">
        <v>0.69</v>
      </c>
      <c r="P1942">
        <v>0.02</v>
      </c>
      <c r="Q1942">
        <v>0.13</v>
      </c>
      <c r="R1942" s="2">
        <v>0.13</v>
      </c>
      <c r="S1942" t="str">
        <f>IF(Table1[[#This Row],[Years_Experience]]&lt;=5,"Early Career",
IF(Table1[[#This Row],[Years_Experience]]&lt;=15,"Mid Career","Senior Level"))</f>
        <v>Mid Career</v>
      </c>
      <c r="T1942" t="str">
        <f>IF(Table1[[#This Row],[AI_Exposure_Index]]&gt;=0.7,"High Exposure", IF(Table1[[#This Row],[AI_Exposure_Index]]&gt;=0.3,"Medium Exposure","Low Exposure"))</f>
        <v>Medium Exposure</v>
      </c>
    </row>
    <row r="1943" spans="1:20" x14ac:dyDescent="0.25">
      <c r="A1943" t="s">
        <v>36</v>
      </c>
      <c r="B1943">
        <v>78229</v>
      </c>
      <c r="C1943" s="1">
        <v>16</v>
      </c>
      <c r="D1943" t="s">
        <v>19</v>
      </c>
      <c r="E1943" s="7">
        <v>1.42</v>
      </c>
      <c r="F1943" s="2">
        <v>0.12</v>
      </c>
      <c r="G1943" s="7">
        <v>0.56999999999999995</v>
      </c>
      <c r="H1943" s="9" t="s">
        <v>27</v>
      </c>
      <c r="I1943">
        <v>0.31</v>
      </c>
      <c r="J1943">
        <v>0.79</v>
      </c>
      <c r="K1943">
        <v>0.49</v>
      </c>
      <c r="L1943">
        <v>0.14000000000000001</v>
      </c>
      <c r="M1943">
        <v>0.88</v>
      </c>
      <c r="N1943">
        <v>0.34</v>
      </c>
      <c r="O1943">
        <v>0.7</v>
      </c>
      <c r="P1943">
        <v>0.28999999999999998</v>
      </c>
      <c r="Q1943">
        <v>0.5</v>
      </c>
      <c r="R1943" s="2">
        <v>0.82</v>
      </c>
      <c r="S1943" t="str">
        <f>IF(Table1[[#This Row],[Years_Experience]]&lt;=5,"Early Career",
IF(Table1[[#This Row],[Years_Experience]]&lt;=15,"Mid Career","Senior Level"))</f>
        <v>Senior Level</v>
      </c>
      <c r="T1943" t="str">
        <f>IF(Table1[[#This Row],[AI_Exposure_Index]]&gt;=0.7,"High Exposure", IF(Table1[[#This Row],[AI_Exposure_Index]]&gt;=0.3,"Medium Exposure","Low Exposure"))</f>
        <v>Low Exposure</v>
      </c>
    </row>
    <row r="1944" spans="1:20" x14ac:dyDescent="0.25">
      <c r="A1944" t="s">
        <v>24</v>
      </c>
      <c r="B1944">
        <v>66704</v>
      </c>
      <c r="C1944" s="1">
        <v>18</v>
      </c>
      <c r="D1944" t="s">
        <v>22</v>
      </c>
      <c r="E1944" s="7">
        <v>0.56999999999999995</v>
      </c>
      <c r="F1944" s="2">
        <v>0.98</v>
      </c>
      <c r="G1944" s="7">
        <v>0.83</v>
      </c>
      <c r="H1944" s="9" t="s">
        <v>20</v>
      </c>
      <c r="I1944">
        <v>0.92</v>
      </c>
      <c r="J1944">
        <v>0.95</v>
      </c>
      <c r="K1944">
        <v>0.23</v>
      </c>
      <c r="L1944">
        <v>0.14000000000000001</v>
      </c>
      <c r="M1944">
        <v>0.72</v>
      </c>
      <c r="N1944">
        <v>0.04</v>
      </c>
      <c r="O1944">
        <v>0.49</v>
      </c>
      <c r="P1944">
        <v>0.8</v>
      </c>
      <c r="Q1944">
        <v>0.56000000000000005</v>
      </c>
      <c r="R1944" s="2">
        <v>0.19</v>
      </c>
      <c r="S1944" t="str">
        <f>IF(Table1[[#This Row],[Years_Experience]]&lt;=5,"Early Career",
IF(Table1[[#This Row],[Years_Experience]]&lt;=15,"Mid Career","Senior Level"))</f>
        <v>Senior Level</v>
      </c>
      <c r="T1944" t="str">
        <f>IF(Table1[[#This Row],[AI_Exposure_Index]]&gt;=0.7,"High Exposure", IF(Table1[[#This Row],[AI_Exposure_Index]]&gt;=0.3,"Medium Exposure","Low Exposure"))</f>
        <v>High Exposure</v>
      </c>
    </row>
    <row r="1945" spans="1:20" x14ac:dyDescent="0.25">
      <c r="A1945" t="s">
        <v>39</v>
      </c>
      <c r="B1945">
        <v>91295</v>
      </c>
      <c r="C1945" s="1">
        <v>20</v>
      </c>
      <c r="D1945" t="s">
        <v>38</v>
      </c>
      <c r="E1945" s="7">
        <v>1.1200000000000001</v>
      </c>
      <c r="F1945" s="2">
        <v>0.92</v>
      </c>
      <c r="G1945" s="7">
        <v>0.88</v>
      </c>
      <c r="H1945" s="9" t="s">
        <v>20</v>
      </c>
      <c r="I1945">
        <v>0.34</v>
      </c>
      <c r="J1945">
        <v>0.19</v>
      </c>
      <c r="K1945">
        <v>0.26</v>
      </c>
      <c r="L1945">
        <v>0.53</v>
      </c>
      <c r="M1945">
        <v>0.28000000000000003</v>
      </c>
      <c r="N1945">
        <v>0.54</v>
      </c>
      <c r="O1945">
        <v>0.71</v>
      </c>
      <c r="P1945">
        <v>0.73</v>
      </c>
      <c r="Q1945">
        <v>0.16</v>
      </c>
      <c r="R1945" s="2">
        <v>0.75</v>
      </c>
      <c r="S1945" t="str">
        <f>IF(Table1[[#This Row],[Years_Experience]]&lt;=5,"Early Career",
IF(Table1[[#This Row],[Years_Experience]]&lt;=15,"Mid Career","Senior Level"))</f>
        <v>Senior Level</v>
      </c>
      <c r="T1945" t="str">
        <f>IF(Table1[[#This Row],[AI_Exposure_Index]]&gt;=0.7,"High Exposure", IF(Table1[[#This Row],[AI_Exposure_Index]]&gt;=0.3,"Medium Exposure","Low Exposure"))</f>
        <v>High Exposure</v>
      </c>
    </row>
    <row r="1946" spans="1:20" x14ac:dyDescent="0.25">
      <c r="A1946" t="s">
        <v>33</v>
      </c>
      <c r="B1946">
        <v>114532</v>
      </c>
      <c r="C1946" s="1">
        <v>0</v>
      </c>
      <c r="D1946" t="s">
        <v>38</v>
      </c>
      <c r="E1946" s="7">
        <v>0.56000000000000005</v>
      </c>
      <c r="F1946" s="2">
        <v>0.01</v>
      </c>
      <c r="G1946" s="7">
        <v>0.86</v>
      </c>
      <c r="H1946" s="9" t="s">
        <v>20</v>
      </c>
      <c r="I1946">
        <v>0.38</v>
      </c>
      <c r="J1946">
        <v>0.15</v>
      </c>
      <c r="K1946">
        <v>0.04</v>
      </c>
      <c r="L1946">
        <v>0.16</v>
      </c>
      <c r="M1946">
        <v>0.96</v>
      </c>
      <c r="N1946">
        <v>0.73</v>
      </c>
      <c r="O1946">
        <v>0.53</v>
      </c>
      <c r="P1946">
        <v>0.94</v>
      </c>
      <c r="Q1946">
        <v>0.62</v>
      </c>
      <c r="R1946" s="2">
        <v>0.73</v>
      </c>
      <c r="S1946" t="str">
        <f>IF(Table1[[#This Row],[Years_Experience]]&lt;=5,"Early Career",
IF(Table1[[#This Row],[Years_Experience]]&lt;=15,"Mid Career","Senior Level"))</f>
        <v>Early Career</v>
      </c>
      <c r="T1946" t="str">
        <f>IF(Table1[[#This Row],[AI_Exposure_Index]]&gt;=0.7,"High Exposure", IF(Table1[[#This Row],[AI_Exposure_Index]]&gt;=0.3,"Medium Exposure","Low Exposure"))</f>
        <v>Low Exposure</v>
      </c>
    </row>
    <row r="1947" spans="1:20" x14ac:dyDescent="0.25">
      <c r="A1947" t="s">
        <v>21</v>
      </c>
      <c r="B1947">
        <v>129211</v>
      </c>
      <c r="C1947" s="1">
        <v>27</v>
      </c>
      <c r="D1947" t="s">
        <v>19</v>
      </c>
      <c r="E1947" s="7">
        <v>0.9</v>
      </c>
      <c r="F1947" s="2">
        <v>0.14000000000000001</v>
      </c>
      <c r="G1947" s="7">
        <v>0.06</v>
      </c>
      <c r="H1947" s="9" t="s">
        <v>23</v>
      </c>
      <c r="I1947">
        <v>0.22</v>
      </c>
      <c r="J1947">
        <v>7.0000000000000007E-2</v>
      </c>
      <c r="K1947">
        <v>0.39</v>
      </c>
      <c r="L1947">
        <v>0.84</v>
      </c>
      <c r="M1947">
        <v>0.38</v>
      </c>
      <c r="N1947">
        <v>0.83</v>
      </c>
      <c r="O1947">
        <v>0.66</v>
      </c>
      <c r="P1947">
        <v>0.51</v>
      </c>
      <c r="Q1947">
        <v>0.24</v>
      </c>
      <c r="R1947" s="2">
        <v>0.92</v>
      </c>
      <c r="S1947" t="str">
        <f>IF(Table1[[#This Row],[Years_Experience]]&lt;=5,"Early Career",
IF(Table1[[#This Row],[Years_Experience]]&lt;=15,"Mid Career","Senior Level"))</f>
        <v>Senior Level</v>
      </c>
      <c r="T1947" t="str">
        <f>IF(Table1[[#This Row],[AI_Exposure_Index]]&gt;=0.7,"High Exposure", IF(Table1[[#This Row],[AI_Exposure_Index]]&gt;=0.3,"Medium Exposure","Low Exposure"))</f>
        <v>Low Exposure</v>
      </c>
    </row>
    <row r="1948" spans="1:20" x14ac:dyDescent="0.25">
      <c r="A1948" t="s">
        <v>43</v>
      </c>
      <c r="B1948">
        <v>36826</v>
      </c>
      <c r="C1948" s="1">
        <v>12</v>
      </c>
      <c r="D1948" t="s">
        <v>22</v>
      </c>
      <c r="E1948" s="7">
        <v>1.1200000000000001</v>
      </c>
      <c r="F1948" s="2">
        <v>0.69</v>
      </c>
      <c r="G1948" s="7">
        <v>0.16</v>
      </c>
      <c r="H1948" s="9" t="s">
        <v>23</v>
      </c>
      <c r="I1948">
        <v>0.24</v>
      </c>
      <c r="J1948">
        <v>0.43</v>
      </c>
      <c r="K1948">
        <v>0.87</v>
      </c>
      <c r="L1948">
        <v>0.84</v>
      </c>
      <c r="M1948">
        <v>0.94</v>
      </c>
      <c r="N1948">
        <v>0.31</v>
      </c>
      <c r="O1948">
        <v>0.39</v>
      </c>
      <c r="P1948">
        <v>0.02</v>
      </c>
      <c r="Q1948">
        <v>0.94</v>
      </c>
      <c r="R1948" s="2">
        <v>0.33</v>
      </c>
      <c r="S1948" t="str">
        <f>IF(Table1[[#This Row],[Years_Experience]]&lt;=5,"Early Career",
IF(Table1[[#This Row],[Years_Experience]]&lt;=15,"Mid Career","Senior Level"))</f>
        <v>Mid Career</v>
      </c>
      <c r="T1948" t="str">
        <f>IF(Table1[[#This Row],[AI_Exposure_Index]]&gt;=0.7,"High Exposure", IF(Table1[[#This Row],[AI_Exposure_Index]]&gt;=0.3,"Medium Exposure","Low Exposure"))</f>
        <v>Medium Exposure</v>
      </c>
    </row>
    <row r="1949" spans="1:20" x14ac:dyDescent="0.25">
      <c r="A1949" t="s">
        <v>43</v>
      </c>
      <c r="B1949">
        <v>113899</v>
      </c>
      <c r="C1949" s="1">
        <v>28</v>
      </c>
      <c r="D1949" t="s">
        <v>19</v>
      </c>
      <c r="E1949" s="7">
        <v>1.03</v>
      </c>
      <c r="F1949" s="2">
        <v>0.91</v>
      </c>
      <c r="G1949" s="7">
        <v>0.19</v>
      </c>
      <c r="H1949" s="9" t="s">
        <v>23</v>
      </c>
      <c r="I1949">
        <v>0.18</v>
      </c>
      <c r="J1949">
        <v>0.5</v>
      </c>
      <c r="K1949">
        <v>0.92</v>
      </c>
      <c r="L1949">
        <v>0.56000000000000005</v>
      </c>
      <c r="M1949">
        <v>0.26</v>
      </c>
      <c r="N1949">
        <v>0.03</v>
      </c>
      <c r="O1949">
        <v>0.34</v>
      </c>
      <c r="P1949">
        <v>0.56999999999999995</v>
      </c>
      <c r="Q1949">
        <v>0.04</v>
      </c>
      <c r="R1949" s="2">
        <v>0.61</v>
      </c>
      <c r="S1949" t="str">
        <f>IF(Table1[[#This Row],[Years_Experience]]&lt;=5,"Early Career",
IF(Table1[[#This Row],[Years_Experience]]&lt;=15,"Mid Career","Senior Level"))</f>
        <v>Senior Level</v>
      </c>
      <c r="T1949" t="str">
        <f>IF(Table1[[#This Row],[AI_Exposure_Index]]&gt;=0.7,"High Exposure", IF(Table1[[#This Row],[AI_Exposure_Index]]&gt;=0.3,"Medium Exposure","Low Exposure"))</f>
        <v>High Exposure</v>
      </c>
    </row>
    <row r="1950" spans="1:20" x14ac:dyDescent="0.25">
      <c r="A1950" t="s">
        <v>42</v>
      </c>
      <c r="B1950">
        <v>59407</v>
      </c>
      <c r="C1950" s="1">
        <v>0</v>
      </c>
      <c r="D1950" t="s">
        <v>38</v>
      </c>
      <c r="E1950" s="7">
        <v>0.53</v>
      </c>
      <c r="F1950" s="2">
        <v>0.78</v>
      </c>
      <c r="G1950" s="7">
        <v>0.61</v>
      </c>
      <c r="H1950" s="9" t="s">
        <v>27</v>
      </c>
      <c r="I1950">
        <v>0.52</v>
      </c>
      <c r="J1950">
        <v>0.37</v>
      </c>
      <c r="K1950">
        <v>0.97</v>
      </c>
      <c r="L1950">
        <v>0.16</v>
      </c>
      <c r="M1950">
        <v>0.54</v>
      </c>
      <c r="N1950">
        <v>0.32</v>
      </c>
      <c r="O1950">
        <v>0.53</v>
      </c>
      <c r="P1950">
        <v>0.55000000000000004</v>
      </c>
      <c r="Q1950">
        <v>0.09</v>
      </c>
      <c r="R1950" s="2">
        <v>0.66</v>
      </c>
      <c r="S1950" t="str">
        <f>IF(Table1[[#This Row],[Years_Experience]]&lt;=5,"Early Career",
IF(Table1[[#This Row],[Years_Experience]]&lt;=15,"Mid Career","Senior Level"))</f>
        <v>Early Career</v>
      </c>
      <c r="T1950" t="str">
        <f>IF(Table1[[#This Row],[AI_Exposure_Index]]&gt;=0.7,"High Exposure", IF(Table1[[#This Row],[AI_Exposure_Index]]&gt;=0.3,"Medium Exposure","Low Exposure"))</f>
        <v>High Exposure</v>
      </c>
    </row>
    <row r="1951" spans="1:20" x14ac:dyDescent="0.25">
      <c r="A1951" t="s">
        <v>40</v>
      </c>
      <c r="B1951">
        <v>120389</v>
      </c>
      <c r="C1951" s="1">
        <v>28</v>
      </c>
      <c r="D1951" t="s">
        <v>19</v>
      </c>
      <c r="E1951" s="7">
        <v>0.59</v>
      </c>
      <c r="F1951" s="2">
        <v>0.77</v>
      </c>
      <c r="G1951" s="7">
        <v>0.12</v>
      </c>
      <c r="H1951" s="9" t="s">
        <v>23</v>
      </c>
      <c r="I1951">
        <v>0.65</v>
      </c>
      <c r="J1951">
        <v>0.14000000000000001</v>
      </c>
      <c r="K1951">
        <v>0.68</v>
      </c>
      <c r="L1951">
        <v>0.06</v>
      </c>
      <c r="M1951">
        <v>0.33</v>
      </c>
      <c r="N1951">
        <v>0.85</v>
      </c>
      <c r="O1951">
        <v>0.77</v>
      </c>
      <c r="P1951">
        <v>0.64</v>
      </c>
      <c r="Q1951">
        <v>0.87</v>
      </c>
      <c r="R1951" s="2">
        <v>0.71</v>
      </c>
      <c r="S1951" t="str">
        <f>IF(Table1[[#This Row],[Years_Experience]]&lt;=5,"Early Career",
IF(Table1[[#This Row],[Years_Experience]]&lt;=15,"Mid Career","Senior Level"))</f>
        <v>Senior Level</v>
      </c>
      <c r="T1951" t="str">
        <f>IF(Table1[[#This Row],[AI_Exposure_Index]]&gt;=0.7,"High Exposure", IF(Table1[[#This Row],[AI_Exposure_Index]]&gt;=0.3,"Medium Exposure","Low Exposure"))</f>
        <v>High Exposure</v>
      </c>
    </row>
    <row r="1952" spans="1:20" x14ac:dyDescent="0.25">
      <c r="A1952" t="s">
        <v>31</v>
      </c>
      <c r="B1952">
        <v>145796</v>
      </c>
      <c r="C1952" s="1">
        <v>23</v>
      </c>
      <c r="D1952" t="s">
        <v>22</v>
      </c>
      <c r="E1952" s="7">
        <v>1.19</v>
      </c>
      <c r="F1952" s="2">
        <v>0.98</v>
      </c>
      <c r="G1952" s="7">
        <v>0.2</v>
      </c>
      <c r="H1952" s="9" t="s">
        <v>23</v>
      </c>
      <c r="I1952">
        <v>0.41</v>
      </c>
      <c r="J1952">
        <v>0.9</v>
      </c>
      <c r="K1952">
        <v>0.3</v>
      </c>
      <c r="L1952">
        <v>0.01</v>
      </c>
      <c r="M1952">
        <v>0.2</v>
      </c>
      <c r="N1952">
        <v>0.11</v>
      </c>
      <c r="O1952">
        <v>0.32</v>
      </c>
      <c r="P1952">
        <v>0.83</v>
      </c>
      <c r="Q1952">
        <v>0.65</v>
      </c>
      <c r="R1952" s="2">
        <v>0.17</v>
      </c>
      <c r="S1952" t="str">
        <f>IF(Table1[[#This Row],[Years_Experience]]&lt;=5,"Early Career",
IF(Table1[[#This Row],[Years_Experience]]&lt;=15,"Mid Career","Senior Level"))</f>
        <v>Senior Level</v>
      </c>
      <c r="T1952" t="str">
        <f>IF(Table1[[#This Row],[AI_Exposure_Index]]&gt;=0.7,"High Exposure", IF(Table1[[#This Row],[AI_Exposure_Index]]&gt;=0.3,"Medium Exposure","Low Exposure"))</f>
        <v>High Exposure</v>
      </c>
    </row>
    <row r="1953" spans="1:20" x14ac:dyDescent="0.25">
      <c r="A1953" t="s">
        <v>28</v>
      </c>
      <c r="B1953">
        <v>44433</v>
      </c>
      <c r="C1953" s="1">
        <v>0</v>
      </c>
      <c r="D1953" t="s">
        <v>25</v>
      </c>
      <c r="E1953" s="7">
        <v>1.01</v>
      </c>
      <c r="F1953" s="2">
        <v>0.5</v>
      </c>
      <c r="G1953" s="7">
        <v>0.44</v>
      </c>
      <c r="H1953" s="9" t="s">
        <v>27</v>
      </c>
      <c r="I1953">
        <v>0.86</v>
      </c>
      <c r="J1953">
        <v>0.32</v>
      </c>
      <c r="K1953">
        <v>0.09</v>
      </c>
      <c r="L1953">
        <v>0.3</v>
      </c>
      <c r="M1953">
        <v>0.72</v>
      </c>
      <c r="N1953">
        <v>0.66</v>
      </c>
      <c r="O1953">
        <v>0.19</v>
      </c>
      <c r="P1953">
        <v>0.11</v>
      </c>
      <c r="Q1953">
        <v>0.66</v>
      </c>
      <c r="R1953" s="2">
        <v>0.68</v>
      </c>
      <c r="S1953" t="str">
        <f>IF(Table1[[#This Row],[Years_Experience]]&lt;=5,"Early Career",
IF(Table1[[#This Row],[Years_Experience]]&lt;=15,"Mid Career","Senior Level"))</f>
        <v>Early Career</v>
      </c>
      <c r="T1953" t="str">
        <f>IF(Table1[[#This Row],[AI_Exposure_Index]]&gt;=0.7,"High Exposure", IF(Table1[[#This Row],[AI_Exposure_Index]]&gt;=0.3,"Medium Exposure","Low Exposure"))</f>
        <v>Medium Exposure</v>
      </c>
    </row>
    <row r="1954" spans="1:20" x14ac:dyDescent="0.25">
      <c r="A1954" t="s">
        <v>24</v>
      </c>
      <c r="B1954">
        <v>120913</v>
      </c>
      <c r="C1954" s="1">
        <v>26</v>
      </c>
      <c r="D1954" t="s">
        <v>25</v>
      </c>
      <c r="E1954" s="7">
        <v>1.17</v>
      </c>
      <c r="F1954" s="2">
        <v>0.97</v>
      </c>
      <c r="G1954" s="7">
        <v>0.93</v>
      </c>
      <c r="H1954" s="9" t="s">
        <v>20</v>
      </c>
      <c r="I1954">
        <v>0.13</v>
      </c>
      <c r="J1954">
        <v>0.98</v>
      </c>
      <c r="K1954">
        <v>0.03</v>
      </c>
      <c r="L1954">
        <v>0.53</v>
      </c>
      <c r="M1954">
        <v>0.28999999999999998</v>
      </c>
      <c r="N1954">
        <v>0.81</v>
      </c>
      <c r="O1954">
        <v>0.22</v>
      </c>
      <c r="P1954">
        <v>0.01</v>
      </c>
      <c r="Q1954">
        <v>0.41</v>
      </c>
      <c r="R1954" s="2">
        <v>0.06</v>
      </c>
      <c r="S1954" t="str">
        <f>IF(Table1[[#This Row],[Years_Experience]]&lt;=5,"Early Career",
IF(Table1[[#This Row],[Years_Experience]]&lt;=15,"Mid Career","Senior Level"))</f>
        <v>Senior Level</v>
      </c>
      <c r="T1954" t="str">
        <f>IF(Table1[[#This Row],[AI_Exposure_Index]]&gt;=0.7,"High Exposure", IF(Table1[[#This Row],[AI_Exposure_Index]]&gt;=0.3,"Medium Exposure","Low Exposure"))</f>
        <v>High Exposure</v>
      </c>
    </row>
    <row r="1955" spans="1:20" x14ac:dyDescent="0.25">
      <c r="A1955" t="s">
        <v>34</v>
      </c>
      <c r="B1955">
        <v>128747</v>
      </c>
      <c r="C1955" s="1">
        <v>21</v>
      </c>
      <c r="D1955" t="s">
        <v>38</v>
      </c>
      <c r="E1955" s="7">
        <v>0.79</v>
      </c>
      <c r="F1955" s="2">
        <v>0.64</v>
      </c>
      <c r="G1955" s="7">
        <v>0.4</v>
      </c>
      <c r="H1955" s="9" t="s">
        <v>27</v>
      </c>
      <c r="I1955">
        <v>0.16</v>
      </c>
      <c r="J1955">
        <v>0.14000000000000001</v>
      </c>
      <c r="K1955">
        <v>0.53</v>
      </c>
      <c r="L1955">
        <v>0.68</v>
      </c>
      <c r="M1955">
        <v>0.45</v>
      </c>
      <c r="N1955">
        <v>0.12</v>
      </c>
      <c r="O1955">
        <v>0.65</v>
      </c>
      <c r="P1955">
        <v>0.56000000000000005</v>
      </c>
      <c r="Q1955">
        <v>0.38</v>
      </c>
      <c r="R1955" s="2">
        <v>0.33</v>
      </c>
      <c r="S1955" t="str">
        <f>IF(Table1[[#This Row],[Years_Experience]]&lt;=5,"Early Career",
IF(Table1[[#This Row],[Years_Experience]]&lt;=15,"Mid Career","Senior Level"))</f>
        <v>Senior Level</v>
      </c>
      <c r="T1955" t="str">
        <f>IF(Table1[[#This Row],[AI_Exposure_Index]]&gt;=0.7,"High Exposure", IF(Table1[[#This Row],[AI_Exposure_Index]]&gt;=0.3,"Medium Exposure","Low Exposure"))</f>
        <v>Medium Exposure</v>
      </c>
    </row>
    <row r="1956" spans="1:20" x14ac:dyDescent="0.25">
      <c r="A1956" t="s">
        <v>30</v>
      </c>
      <c r="B1956">
        <v>102593</v>
      </c>
      <c r="C1956" s="1">
        <v>22</v>
      </c>
      <c r="D1956" t="s">
        <v>19</v>
      </c>
      <c r="E1956" s="7">
        <v>0.84</v>
      </c>
      <c r="F1956" s="2">
        <v>0.15</v>
      </c>
      <c r="G1956" s="7">
        <v>0.32</v>
      </c>
      <c r="H1956" s="9" t="s">
        <v>27</v>
      </c>
      <c r="I1956">
        <v>0.44</v>
      </c>
      <c r="J1956">
        <v>0.6</v>
      </c>
      <c r="K1956">
        <v>0.94</v>
      </c>
      <c r="L1956">
        <v>0.63</v>
      </c>
      <c r="M1956">
        <v>0.62</v>
      </c>
      <c r="N1956">
        <v>0.37</v>
      </c>
      <c r="O1956">
        <v>0.13</v>
      </c>
      <c r="P1956">
        <v>0.45</v>
      </c>
      <c r="Q1956">
        <v>0.6</v>
      </c>
      <c r="R1956" s="2">
        <v>0.72</v>
      </c>
      <c r="S1956" t="str">
        <f>IF(Table1[[#This Row],[Years_Experience]]&lt;=5,"Early Career",
IF(Table1[[#This Row],[Years_Experience]]&lt;=15,"Mid Career","Senior Level"))</f>
        <v>Senior Level</v>
      </c>
      <c r="T1956" t="str">
        <f>IF(Table1[[#This Row],[AI_Exposure_Index]]&gt;=0.7,"High Exposure", IF(Table1[[#This Row],[AI_Exposure_Index]]&gt;=0.3,"Medium Exposure","Low Exposure"))</f>
        <v>Low Exposure</v>
      </c>
    </row>
    <row r="1957" spans="1:20" x14ac:dyDescent="0.25">
      <c r="A1957" t="s">
        <v>31</v>
      </c>
      <c r="B1957">
        <v>57706</v>
      </c>
      <c r="C1957" s="1">
        <v>12</v>
      </c>
      <c r="D1957" t="s">
        <v>19</v>
      </c>
      <c r="E1957" s="7">
        <v>0.74</v>
      </c>
      <c r="F1957" s="2">
        <v>0.26</v>
      </c>
      <c r="G1957" s="7">
        <v>0.19</v>
      </c>
      <c r="H1957" s="9" t="s">
        <v>23</v>
      </c>
      <c r="I1957">
        <v>0.56999999999999995</v>
      </c>
      <c r="J1957">
        <v>0.22</v>
      </c>
      <c r="K1957">
        <v>0.59</v>
      </c>
      <c r="L1957">
        <v>0.35</v>
      </c>
      <c r="M1957">
        <v>0.64</v>
      </c>
      <c r="N1957">
        <v>0.28999999999999998</v>
      </c>
      <c r="O1957">
        <v>0.59</v>
      </c>
      <c r="P1957">
        <v>0.77</v>
      </c>
      <c r="Q1957">
        <v>0.98</v>
      </c>
      <c r="R1957" s="2">
        <v>0.91</v>
      </c>
      <c r="S1957" t="str">
        <f>IF(Table1[[#This Row],[Years_Experience]]&lt;=5,"Early Career",
IF(Table1[[#This Row],[Years_Experience]]&lt;=15,"Mid Career","Senior Level"))</f>
        <v>Mid Career</v>
      </c>
      <c r="T1957" t="str">
        <f>IF(Table1[[#This Row],[AI_Exposure_Index]]&gt;=0.7,"High Exposure", IF(Table1[[#This Row],[AI_Exposure_Index]]&gt;=0.3,"Medium Exposure","Low Exposure"))</f>
        <v>Low Exposure</v>
      </c>
    </row>
    <row r="1958" spans="1:20" x14ac:dyDescent="0.25">
      <c r="A1958" t="s">
        <v>18</v>
      </c>
      <c r="B1958">
        <v>53665</v>
      </c>
      <c r="C1958" s="1">
        <v>21</v>
      </c>
      <c r="D1958" t="s">
        <v>25</v>
      </c>
      <c r="E1958" s="7">
        <v>0.84</v>
      </c>
      <c r="F1958" s="2">
        <v>0.43</v>
      </c>
      <c r="G1958" s="7">
        <v>0.75</v>
      </c>
      <c r="H1958" s="9" t="s">
        <v>20</v>
      </c>
      <c r="I1958">
        <v>0.6</v>
      </c>
      <c r="J1958">
        <v>0.95</v>
      </c>
      <c r="K1958">
        <v>0.36</v>
      </c>
      <c r="L1958">
        <v>0.88</v>
      </c>
      <c r="M1958">
        <v>0.15</v>
      </c>
      <c r="N1958">
        <v>0.94</v>
      </c>
      <c r="O1958">
        <v>0.35</v>
      </c>
      <c r="P1958">
        <v>0.38</v>
      </c>
      <c r="Q1958">
        <v>0.46</v>
      </c>
      <c r="R1958" s="2">
        <v>0.72</v>
      </c>
      <c r="S1958" t="str">
        <f>IF(Table1[[#This Row],[Years_Experience]]&lt;=5,"Early Career",
IF(Table1[[#This Row],[Years_Experience]]&lt;=15,"Mid Career","Senior Level"))</f>
        <v>Senior Level</v>
      </c>
      <c r="T1958" t="str">
        <f>IF(Table1[[#This Row],[AI_Exposure_Index]]&gt;=0.7,"High Exposure", IF(Table1[[#This Row],[AI_Exposure_Index]]&gt;=0.3,"Medium Exposure","Low Exposure"))</f>
        <v>Medium Exposure</v>
      </c>
    </row>
    <row r="1959" spans="1:20" x14ac:dyDescent="0.25">
      <c r="A1959" t="s">
        <v>32</v>
      </c>
      <c r="B1959">
        <v>109133</v>
      </c>
      <c r="C1959" s="1">
        <v>24</v>
      </c>
      <c r="D1959" t="s">
        <v>22</v>
      </c>
      <c r="E1959" s="7">
        <v>1.02</v>
      </c>
      <c r="F1959" s="2">
        <v>0.48</v>
      </c>
      <c r="G1959" s="7">
        <v>0.31</v>
      </c>
      <c r="H1959" s="9" t="s">
        <v>27</v>
      </c>
      <c r="I1959">
        <v>0.3</v>
      </c>
      <c r="J1959">
        <v>0.35</v>
      </c>
      <c r="K1959">
        <v>0.56000000000000005</v>
      </c>
      <c r="L1959">
        <v>0.56000000000000005</v>
      </c>
      <c r="M1959">
        <v>0.71</v>
      </c>
      <c r="N1959">
        <v>0.72</v>
      </c>
      <c r="O1959">
        <v>0.24</v>
      </c>
      <c r="P1959">
        <v>0.77</v>
      </c>
      <c r="Q1959">
        <v>0.02</v>
      </c>
      <c r="R1959" s="2">
        <v>0.72</v>
      </c>
      <c r="S1959" t="str">
        <f>IF(Table1[[#This Row],[Years_Experience]]&lt;=5,"Early Career",
IF(Table1[[#This Row],[Years_Experience]]&lt;=15,"Mid Career","Senior Level"))</f>
        <v>Senior Level</v>
      </c>
      <c r="T1959" t="str">
        <f>IF(Table1[[#This Row],[AI_Exposure_Index]]&gt;=0.7,"High Exposure", IF(Table1[[#This Row],[AI_Exposure_Index]]&gt;=0.3,"Medium Exposure","Low Exposure"))</f>
        <v>Medium Exposure</v>
      </c>
    </row>
    <row r="1960" spans="1:20" x14ac:dyDescent="0.25">
      <c r="A1960" t="s">
        <v>36</v>
      </c>
      <c r="B1960">
        <v>74329</v>
      </c>
      <c r="C1960" s="1">
        <v>5</v>
      </c>
      <c r="D1960" t="s">
        <v>19</v>
      </c>
      <c r="E1960" s="7">
        <v>1.03</v>
      </c>
      <c r="F1960" s="2">
        <v>0.73</v>
      </c>
      <c r="G1960" s="7">
        <v>0.47</v>
      </c>
      <c r="H1960" s="9" t="s">
        <v>27</v>
      </c>
      <c r="I1960">
        <v>0.69</v>
      </c>
      <c r="J1960">
        <v>0.04</v>
      </c>
      <c r="K1960">
        <v>0.22</v>
      </c>
      <c r="L1960">
        <v>0.62</v>
      </c>
      <c r="M1960">
        <v>0.85</v>
      </c>
      <c r="N1960">
        <v>0.38</v>
      </c>
      <c r="O1960">
        <v>0.26</v>
      </c>
      <c r="P1960">
        <v>0.52</v>
      </c>
      <c r="Q1960">
        <v>0.62</v>
      </c>
      <c r="R1960" s="2">
        <v>0.42</v>
      </c>
      <c r="S1960" t="str">
        <f>IF(Table1[[#This Row],[Years_Experience]]&lt;=5,"Early Career",
IF(Table1[[#This Row],[Years_Experience]]&lt;=15,"Mid Career","Senior Level"))</f>
        <v>Early Career</v>
      </c>
      <c r="T1960" t="str">
        <f>IF(Table1[[#This Row],[AI_Exposure_Index]]&gt;=0.7,"High Exposure", IF(Table1[[#This Row],[AI_Exposure_Index]]&gt;=0.3,"Medium Exposure","Low Exposure"))</f>
        <v>High Exposure</v>
      </c>
    </row>
    <row r="1961" spans="1:20" x14ac:dyDescent="0.25">
      <c r="A1961" t="s">
        <v>44</v>
      </c>
      <c r="B1961">
        <v>37279</v>
      </c>
      <c r="C1961" s="1">
        <v>9</v>
      </c>
      <c r="D1961" t="s">
        <v>25</v>
      </c>
      <c r="E1961" s="7">
        <v>0.54</v>
      </c>
      <c r="F1961" s="2">
        <v>0.52</v>
      </c>
      <c r="G1961" s="7">
        <v>0.39</v>
      </c>
      <c r="H1961" s="9" t="s">
        <v>27</v>
      </c>
      <c r="I1961">
        <v>0.45</v>
      </c>
      <c r="J1961">
        <v>0.7</v>
      </c>
      <c r="K1961">
        <v>0.22</v>
      </c>
      <c r="L1961">
        <v>0.98</v>
      </c>
      <c r="M1961">
        <v>0.32</v>
      </c>
      <c r="N1961">
        <v>0.53</v>
      </c>
      <c r="O1961">
        <v>0.02</v>
      </c>
      <c r="P1961">
        <v>0.88</v>
      </c>
      <c r="Q1961">
        <v>0.79</v>
      </c>
      <c r="R1961" s="2">
        <v>0.2</v>
      </c>
      <c r="S1961" t="str">
        <f>IF(Table1[[#This Row],[Years_Experience]]&lt;=5,"Early Career",
IF(Table1[[#This Row],[Years_Experience]]&lt;=15,"Mid Career","Senior Level"))</f>
        <v>Mid Career</v>
      </c>
      <c r="T1961" t="str">
        <f>IF(Table1[[#This Row],[AI_Exposure_Index]]&gt;=0.7,"High Exposure", IF(Table1[[#This Row],[AI_Exposure_Index]]&gt;=0.3,"Medium Exposure","Low Exposure"))</f>
        <v>Medium Exposure</v>
      </c>
    </row>
    <row r="1962" spans="1:20" x14ac:dyDescent="0.25">
      <c r="A1962" t="s">
        <v>42</v>
      </c>
      <c r="B1962">
        <v>69323</v>
      </c>
      <c r="C1962" s="1">
        <v>9</v>
      </c>
      <c r="D1962" t="s">
        <v>25</v>
      </c>
      <c r="E1962" s="7">
        <v>1.19</v>
      </c>
      <c r="F1962" s="2">
        <v>0.32</v>
      </c>
      <c r="G1962" s="7">
        <v>0.63</v>
      </c>
      <c r="H1962" s="9" t="s">
        <v>27</v>
      </c>
      <c r="I1962">
        <v>0.74</v>
      </c>
      <c r="J1962">
        <v>0.92</v>
      </c>
      <c r="K1962">
        <v>0.86</v>
      </c>
      <c r="L1962">
        <v>0.99</v>
      </c>
      <c r="M1962">
        <v>0.18</v>
      </c>
      <c r="N1962">
        <v>0.3</v>
      </c>
      <c r="O1962">
        <v>0.64</v>
      </c>
      <c r="P1962">
        <v>0.73</v>
      </c>
      <c r="Q1962">
        <v>0.53</v>
      </c>
      <c r="R1962" s="2">
        <v>7.0000000000000007E-2</v>
      </c>
      <c r="S1962" t="str">
        <f>IF(Table1[[#This Row],[Years_Experience]]&lt;=5,"Early Career",
IF(Table1[[#This Row],[Years_Experience]]&lt;=15,"Mid Career","Senior Level"))</f>
        <v>Mid Career</v>
      </c>
      <c r="T1962" t="str">
        <f>IF(Table1[[#This Row],[AI_Exposure_Index]]&gt;=0.7,"High Exposure", IF(Table1[[#This Row],[AI_Exposure_Index]]&gt;=0.3,"Medium Exposure","Low Exposure"))</f>
        <v>Medium Exposure</v>
      </c>
    </row>
    <row r="1963" spans="1:20" x14ac:dyDescent="0.25">
      <c r="A1963" t="s">
        <v>37</v>
      </c>
      <c r="B1963">
        <v>81454</v>
      </c>
      <c r="C1963" s="1">
        <v>18</v>
      </c>
      <c r="D1963" t="s">
        <v>25</v>
      </c>
      <c r="E1963" s="7">
        <v>0.91</v>
      </c>
      <c r="F1963" s="2">
        <v>0.96</v>
      </c>
      <c r="G1963" s="7">
        <v>0.39</v>
      </c>
      <c r="H1963" s="9" t="s">
        <v>27</v>
      </c>
      <c r="I1963">
        <v>0.02</v>
      </c>
      <c r="J1963">
        <v>0.24</v>
      </c>
      <c r="K1963">
        <v>0.7</v>
      </c>
      <c r="L1963">
        <v>0.91</v>
      </c>
      <c r="M1963">
        <v>0.09</v>
      </c>
      <c r="N1963">
        <v>0.55000000000000004</v>
      </c>
      <c r="O1963">
        <v>0.7</v>
      </c>
      <c r="P1963">
        <v>0.28000000000000003</v>
      </c>
      <c r="Q1963">
        <v>0.56999999999999995</v>
      </c>
      <c r="R1963" s="2">
        <v>0.72</v>
      </c>
      <c r="S1963" t="str">
        <f>IF(Table1[[#This Row],[Years_Experience]]&lt;=5,"Early Career",
IF(Table1[[#This Row],[Years_Experience]]&lt;=15,"Mid Career","Senior Level"))</f>
        <v>Senior Level</v>
      </c>
      <c r="T1963" t="str">
        <f>IF(Table1[[#This Row],[AI_Exposure_Index]]&gt;=0.7,"High Exposure", IF(Table1[[#This Row],[AI_Exposure_Index]]&gt;=0.3,"Medium Exposure","Low Exposure"))</f>
        <v>High Exposure</v>
      </c>
    </row>
    <row r="1964" spans="1:20" x14ac:dyDescent="0.25">
      <c r="A1964" t="s">
        <v>24</v>
      </c>
      <c r="B1964">
        <v>80366</v>
      </c>
      <c r="C1964" s="1">
        <v>15</v>
      </c>
      <c r="D1964" t="s">
        <v>19</v>
      </c>
      <c r="E1964" s="7">
        <v>1.25</v>
      </c>
      <c r="F1964" s="2">
        <v>0.45</v>
      </c>
      <c r="G1964" s="7">
        <v>0.78</v>
      </c>
      <c r="H1964" s="9" t="s">
        <v>20</v>
      </c>
      <c r="I1964">
        <v>0.21</v>
      </c>
      <c r="J1964">
        <v>0.19</v>
      </c>
      <c r="K1964">
        <v>0.36</v>
      </c>
      <c r="L1964">
        <v>0.04</v>
      </c>
      <c r="M1964">
        <v>0.28000000000000003</v>
      </c>
      <c r="N1964">
        <v>0.65</v>
      </c>
      <c r="O1964">
        <v>0.65</v>
      </c>
      <c r="P1964">
        <v>7.0000000000000007E-2</v>
      </c>
      <c r="Q1964">
        <v>0.28999999999999998</v>
      </c>
      <c r="R1964" s="2">
        <v>0.56999999999999995</v>
      </c>
      <c r="S1964" t="str">
        <f>IF(Table1[[#This Row],[Years_Experience]]&lt;=5,"Early Career",
IF(Table1[[#This Row],[Years_Experience]]&lt;=15,"Mid Career","Senior Level"))</f>
        <v>Mid Career</v>
      </c>
      <c r="T1964" t="str">
        <f>IF(Table1[[#This Row],[AI_Exposure_Index]]&gt;=0.7,"High Exposure", IF(Table1[[#This Row],[AI_Exposure_Index]]&gt;=0.3,"Medium Exposure","Low Exposure"))</f>
        <v>Medium Exposure</v>
      </c>
    </row>
    <row r="1965" spans="1:20" x14ac:dyDescent="0.25">
      <c r="A1965" t="s">
        <v>26</v>
      </c>
      <c r="B1965">
        <v>71476</v>
      </c>
      <c r="C1965" s="1">
        <v>0</v>
      </c>
      <c r="D1965" t="s">
        <v>22</v>
      </c>
      <c r="E1965" s="7">
        <v>1.21</v>
      </c>
      <c r="F1965" s="2">
        <v>0.42</v>
      </c>
      <c r="G1965" s="7">
        <v>0.3</v>
      </c>
      <c r="H1965" s="9" t="s">
        <v>23</v>
      </c>
      <c r="I1965">
        <v>0.28000000000000003</v>
      </c>
      <c r="J1965">
        <v>0.14000000000000001</v>
      </c>
      <c r="K1965">
        <v>0.13</v>
      </c>
      <c r="L1965">
        <v>0.96</v>
      </c>
      <c r="M1965">
        <v>0.38</v>
      </c>
      <c r="N1965">
        <v>0.53</v>
      </c>
      <c r="O1965">
        <v>0.73</v>
      </c>
      <c r="P1965">
        <v>0.05</v>
      </c>
      <c r="Q1965">
        <v>0.24</v>
      </c>
      <c r="R1965" s="2">
        <v>0.83</v>
      </c>
      <c r="S1965" t="str">
        <f>IF(Table1[[#This Row],[Years_Experience]]&lt;=5,"Early Career",
IF(Table1[[#This Row],[Years_Experience]]&lt;=15,"Mid Career","Senior Level"))</f>
        <v>Early Career</v>
      </c>
      <c r="T1965" t="str">
        <f>IF(Table1[[#This Row],[AI_Exposure_Index]]&gt;=0.7,"High Exposure", IF(Table1[[#This Row],[AI_Exposure_Index]]&gt;=0.3,"Medium Exposure","Low Exposure"))</f>
        <v>Medium Exposure</v>
      </c>
    </row>
    <row r="1966" spans="1:20" x14ac:dyDescent="0.25">
      <c r="A1966" t="s">
        <v>30</v>
      </c>
      <c r="B1966">
        <v>122850</v>
      </c>
      <c r="C1966" s="1">
        <v>11</v>
      </c>
      <c r="D1966" t="s">
        <v>25</v>
      </c>
      <c r="E1966" s="7">
        <v>0.87</v>
      </c>
      <c r="F1966" s="2">
        <v>0.37</v>
      </c>
      <c r="G1966" s="7">
        <v>0.6</v>
      </c>
      <c r="H1966" s="9" t="s">
        <v>27</v>
      </c>
      <c r="I1966">
        <v>0.3</v>
      </c>
      <c r="J1966">
        <v>0.12</v>
      </c>
      <c r="K1966">
        <v>0.26</v>
      </c>
      <c r="L1966">
        <v>0.39</v>
      </c>
      <c r="M1966">
        <v>0.05</v>
      </c>
      <c r="N1966">
        <v>0.48</v>
      </c>
      <c r="O1966">
        <v>0.74</v>
      </c>
      <c r="P1966">
        <v>0.51</v>
      </c>
      <c r="Q1966">
        <v>7.0000000000000007E-2</v>
      </c>
      <c r="R1966" s="2">
        <v>0.44</v>
      </c>
      <c r="S1966" t="str">
        <f>IF(Table1[[#This Row],[Years_Experience]]&lt;=5,"Early Career",
IF(Table1[[#This Row],[Years_Experience]]&lt;=15,"Mid Career","Senior Level"))</f>
        <v>Mid Career</v>
      </c>
      <c r="T1966" t="str">
        <f>IF(Table1[[#This Row],[AI_Exposure_Index]]&gt;=0.7,"High Exposure", IF(Table1[[#This Row],[AI_Exposure_Index]]&gt;=0.3,"Medium Exposure","Low Exposure"))</f>
        <v>Medium Exposure</v>
      </c>
    </row>
    <row r="1967" spans="1:20" x14ac:dyDescent="0.25">
      <c r="A1967" t="s">
        <v>26</v>
      </c>
      <c r="B1967">
        <v>80608</v>
      </c>
      <c r="C1967" s="1">
        <v>17</v>
      </c>
      <c r="D1967" t="s">
        <v>25</v>
      </c>
      <c r="E1967" s="7">
        <v>0.56000000000000005</v>
      </c>
      <c r="F1967" s="2">
        <v>0.06</v>
      </c>
      <c r="G1967" s="7">
        <v>0.45</v>
      </c>
      <c r="H1967" s="9" t="s">
        <v>27</v>
      </c>
      <c r="I1967">
        <v>0.19</v>
      </c>
      <c r="J1967">
        <v>0.93</v>
      </c>
      <c r="K1967">
        <v>0.57999999999999996</v>
      </c>
      <c r="L1967">
        <v>0.28999999999999998</v>
      </c>
      <c r="M1967">
        <v>0.7</v>
      </c>
      <c r="N1967">
        <v>0.37</v>
      </c>
      <c r="O1967">
        <v>0.13</v>
      </c>
      <c r="P1967">
        <v>0.24</v>
      </c>
      <c r="Q1967">
        <v>0.64</v>
      </c>
      <c r="R1967" s="2">
        <v>0.05</v>
      </c>
      <c r="S1967" t="str">
        <f>IF(Table1[[#This Row],[Years_Experience]]&lt;=5,"Early Career",
IF(Table1[[#This Row],[Years_Experience]]&lt;=15,"Mid Career","Senior Level"))</f>
        <v>Senior Level</v>
      </c>
      <c r="T1967" t="str">
        <f>IF(Table1[[#This Row],[AI_Exposure_Index]]&gt;=0.7,"High Exposure", IF(Table1[[#This Row],[AI_Exposure_Index]]&gt;=0.3,"Medium Exposure","Low Exposure"))</f>
        <v>Low Exposure</v>
      </c>
    </row>
    <row r="1968" spans="1:20" x14ac:dyDescent="0.25">
      <c r="A1968" t="s">
        <v>29</v>
      </c>
      <c r="B1968">
        <v>92188</v>
      </c>
      <c r="C1968" s="1">
        <v>24</v>
      </c>
      <c r="D1968" t="s">
        <v>19</v>
      </c>
      <c r="E1968" s="7">
        <v>1.08</v>
      </c>
      <c r="F1968" s="2">
        <v>0.25</v>
      </c>
      <c r="G1968" s="7">
        <v>0.22</v>
      </c>
      <c r="H1968" s="9" t="s">
        <v>23</v>
      </c>
      <c r="I1968">
        <v>0.31</v>
      </c>
      <c r="J1968">
        <v>0.69</v>
      </c>
      <c r="K1968">
        <v>0.34</v>
      </c>
      <c r="L1968">
        <v>0.63</v>
      </c>
      <c r="M1968">
        <v>0.63</v>
      </c>
      <c r="N1968">
        <v>0.28000000000000003</v>
      </c>
      <c r="O1968">
        <v>0.64</v>
      </c>
      <c r="P1968">
        <v>0.38</v>
      </c>
      <c r="Q1968">
        <v>0.34</v>
      </c>
      <c r="R1968" s="2">
        <v>0.28999999999999998</v>
      </c>
      <c r="S1968" t="str">
        <f>IF(Table1[[#This Row],[Years_Experience]]&lt;=5,"Early Career",
IF(Table1[[#This Row],[Years_Experience]]&lt;=15,"Mid Career","Senior Level"))</f>
        <v>Senior Level</v>
      </c>
      <c r="T1968" t="str">
        <f>IF(Table1[[#This Row],[AI_Exposure_Index]]&gt;=0.7,"High Exposure", IF(Table1[[#This Row],[AI_Exposure_Index]]&gt;=0.3,"Medium Exposure","Low Exposure"))</f>
        <v>Low Exposure</v>
      </c>
    </row>
    <row r="1969" spans="1:20" x14ac:dyDescent="0.25">
      <c r="A1969" t="s">
        <v>44</v>
      </c>
      <c r="B1969">
        <v>43606</v>
      </c>
      <c r="C1969" s="1">
        <v>29</v>
      </c>
      <c r="D1969" t="s">
        <v>25</v>
      </c>
      <c r="E1969" s="7">
        <v>0.89</v>
      </c>
      <c r="F1969" s="2">
        <v>0.93</v>
      </c>
      <c r="G1969" s="7">
        <v>0.32</v>
      </c>
      <c r="H1969" s="9" t="s">
        <v>27</v>
      </c>
      <c r="I1969">
        <v>0.71</v>
      </c>
      <c r="J1969">
        <v>0.28999999999999998</v>
      </c>
      <c r="K1969">
        <v>0.25</v>
      </c>
      <c r="L1969">
        <v>0.32</v>
      </c>
      <c r="M1969">
        <v>0.72</v>
      </c>
      <c r="N1969">
        <v>0.82</v>
      </c>
      <c r="O1969">
        <v>0.59</v>
      </c>
      <c r="P1969">
        <v>0.32</v>
      </c>
      <c r="Q1969">
        <v>0.31</v>
      </c>
      <c r="R1969" s="2">
        <v>0.12</v>
      </c>
      <c r="S1969" t="str">
        <f>IF(Table1[[#This Row],[Years_Experience]]&lt;=5,"Early Career",
IF(Table1[[#This Row],[Years_Experience]]&lt;=15,"Mid Career","Senior Level"))</f>
        <v>Senior Level</v>
      </c>
      <c r="T1969" t="str">
        <f>IF(Table1[[#This Row],[AI_Exposure_Index]]&gt;=0.7,"High Exposure", IF(Table1[[#This Row],[AI_Exposure_Index]]&gt;=0.3,"Medium Exposure","Low Exposure"))</f>
        <v>High Exposure</v>
      </c>
    </row>
    <row r="1970" spans="1:20" x14ac:dyDescent="0.25">
      <c r="A1970" t="s">
        <v>31</v>
      </c>
      <c r="B1970">
        <v>83568</v>
      </c>
      <c r="C1970" s="1">
        <v>29</v>
      </c>
      <c r="D1970" t="s">
        <v>22</v>
      </c>
      <c r="E1970" s="7">
        <v>0.53</v>
      </c>
      <c r="F1970" s="2">
        <v>0.64</v>
      </c>
      <c r="G1970" s="7">
        <v>0.22</v>
      </c>
      <c r="H1970" s="9" t="s">
        <v>23</v>
      </c>
      <c r="I1970">
        <v>0.45</v>
      </c>
      <c r="J1970">
        <v>0.97</v>
      </c>
      <c r="K1970">
        <v>0.82</v>
      </c>
      <c r="L1970">
        <v>0.17</v>
      </c>
      <c r="M1970">
        <v>0.72</v>
      </c>
      <c r="N1970">
        <v>0.49</v>
      </c>
      <c r="O1970">
        <v>0.19</v>
      </c>
      <c r="P1970">
        <v>0.7</v>
      </c>
      <c r="Q1970">
        <v>0.55000000000000004</v>
      </c>
      <c r="R1970" s="2">
        <v>0.03</v>
      </c>
      <c r="S1970" t="str">
        <f>IF(Table1[[#This Row],[Years_Experience]]&lt;=5,"Early Career",
IF(Table1[[#This Row],[Years_Experience]]&lt;=15,"Mid Career","Senior Level"))</f>
        <v>Senior Level</v>
      </c>
      <c r="T1970" t="str">
        <f>IF(Table1[[#This Row],[AI_Exposure_Index]]&gt;=0.7,"High Exposure", IF(Table1[[#This Row],[AI_Exposure_Index]]&gt;=0.3,"Medium Exposure","Low Exposure"))</f>
        <v>Medium Exposure</v>
      </c>
    </row>
    <row r="1971" spans="1:20" x14ac:dyDescent="0.25">
      <c r="A1971" t="s">
        <v>34</v>
      </c>
      <c r="B1971">
        <v>81638</v>
      </c>
      <c r="C1971" s="1">
        <v>21</v>
      </c>
      <c r="D1971" t="s">
        <v>25</v>
      </c>
      <c r="E1971" s="7">
        <v>0.64</v>
      </c>
      <c r="F1971" s="2">
        <v>0.63</v>
      </c>
      <c r="G1971" s="7">
        <v>0.44</v>
      </c>
      <c r="H1971" s="9" t="s">
        <v>27</v>
      </c>
      <c r="I1971">
        <v>0.59</v>
      </c>
      <c r="J1971">
        <v>0.14000000000000001</v>
      </c>
      <c r="K1971">
        <v>0.85</v>
      </c>
      <c r="L1971">
        <v>0.03</v>
      </c>
      <c r="M1971">
        <v>0.1</v>
      </c>
      <c r="N1971">
        <v>0.12</v>
      </c>
      <c r="O1971">
        <v>0.53</v>
      </c>
      <c r="P1971">
        <v>0.62</v>
      </c>
      <c r="Q1971">
        <v>0.4</v>
      </c>
      <c r="R1971" s="2">
        <v>0.28999999999999998</v>
      </c>
      <c r="S1971" t="str">
        <f>IF(Table1[[#This Row],[Years_Experience]]&lt;=5,"Early Career",
IF(Table1[[#This Row],[Years_Experience]]&lt;=15,"Mid Career","Senior Level"))</f>
        <v>Senior Level</v>
      </c>
      <c r="T1971" t="str">
        <f>IF(Table1[[#This Row],[AI_Exposure_Index]]&gt;=0.7,"High Exposure", IF(Table1[[#This Row],[AI_Exposure_Index]]&gt;=0.3,"Medium Exposure","Low Exposure"))</f>
        <v>Medium Exposure</v>
      </c>
    </row>
    <row r="1972" spans="1:20" x14ac:dyDescent="0.25">
      <c r="A1972" t="s">
        <v>39</v>
      </c>
      <c r="B1972">
        <v>123309</v>
      </c>
      <c r="C1972" s="1">
        <v>25</v>
      </c>
      <c r="D1972" t="s">
        <v>25</v>
      </c>
      <c r="E1972" s="7">
        <v>0.78</v>
      </c>
      <c r="F1972" s="2">
        <v>7.0000000000000007E-2</v>
      </c>
      <c r="G1972" s="7">
        <v>0.71</v>
      </c>
      <c r="H1972" s="9" t="s">
        <v>20</v>
      </c>
      <c r="I1972">
        <v>0.01</v>
      </c>
      <c r="J1972">
        <v>0.35</v>
      </c>
      <c r="K1972">
        <v>0.19</v>
      </c>
      <c r="L1972">
        <v>0.27</v>
      </c>
      <c r="M1972">
        <v>0.82</v>
      </c>
      <c r="N1972">
        <v>0.16</v>
      </c>
      <c r="O1972">
        <v>0.78</v>
      </c>
      <c r="P1972">
        <v>0.68</v>
      </c>
      <c r="Q1972">
        <v>0.33</v>
      </c>
      <c r="R1972" s="2">
        <v>0.55000000000000004</v>
      </c>
      <c r="S1972" t="str">
        <f>IF(Table1[[#This Row],[Years_Experience]]&lt;=5,"Early Career",
IF(Table1[[#This Row],[Years_Experience]]&lt;=15,"Mid Career","Senior Level"))</f>
        <v>Senior Level</v>
      </c>
      <c r="T1972" t="str">
        <f>IF(Table1[[#This Row],[AI_Exposure_Index]]&gt;=0.7,"High Exposure", IF(Table1[[#This Row],[AI_Exposure_Index]]&gt;=0.3,"Medium Exposure","Low Exposure"))</f>
        <v>Low Exposure</v>
      </c>
    </row>
    <row r="1973" spans="1:20" x14ac:dyDescent="0.25">
      <c r="A1973" t="s">
        <v>42</v>
      </c>
      <c r="B1973">
        <v>64873</v>
      </c>
      <c r="C1973" s="1">
        <v>24</v>
      </c>
      <c r="D1973" t="s">
        <v>19</v>
      </c>
      <c r="E1973" s="7">
        <v>1.41</v>
      </c>
      <c r="F1973" s="2">
        <v>0.13</v>
      </c>
      <c r="G1973" s="7">
        <v>0.53</v>
      </c>
      <c r="H1973" s="9" t="s">
        <v>27</v>
      </c>
      <c r="I1973">
        <v>0.88</v>
      </c>
      <c r="J1973">
        <v>0.82</v>
      </c>
      <c r="K1973">
        <v>0.08</v>
      </c>
      <c r="L1973">
        <v>0.21</v>
      </c>
      <c r="M1973">
        <v>0.15</v>
      </c>
      <c r="N1973">
        <v>0.83</v>
      </c>
      <c r="O1973">
        <v>0.86</v>
      </c>
      <c r="P1973">
        <v>0.53</v>
      </c>
      <c r="Q1973">
        <v>0.1</v>
      </c>
      <c r="R1973" s="2">
        <v>0.14000000000000001</v>
      </c>
      <c r="S1973" t="str">
        <f>IF(Table1[[#This Row],[Years_Experience]]&lt;=5,"Early Career",
IF(Table1[[#This Row],[Years_Experience]]&lt;=15,"Mid Career","Senior Level"))</f>
        <v>Senior Level</v>
      </c>
      <c r="T1973" t="str">
        <f>IF(Table1[[#This Row],[AI_Exposure_Index]]&gt;=0.7,"High Exposure", IF(Table1[[#This Row],[AI_Exposure_Index]]&gt;=0.3,"Medium Exposure","Low Exposure"))</f>
        <v>Low Exposure</v>
      </c>
    </row>
    <row r="1974" spans="1:20" x14ac:dyDescent="0.25">
      <c r="A1974" t="s">
        <v>31</v>
      </c>
      <c r="B1974">
        <v>78179</v>
      </c>
      <c r="C1974" s="1">
        <v>18</v>
      </c>
      <c r="D1974" t="s">
        <v>19</v>
      </c>
      <c r="E1974" s="7">
        <v>0.7</v>
      </c>
      <c r="F1974" s="2">
        <v>0.93</v>
      </c>
      <c r="G1974" s="7">
        <v>0.05</v>
      </c>
      <c r="H1974" s="9" t="s">
        <v>23</v>
      </c>
      <c r="I1974">
        <v>0.33</v>
      </c>
      <c r="J1974">
        <v>0.03</v>
      </c>
      <c r="K1974">
        <v>0.83</v>
      </c>
      <c r="L1974">
        <v>0.49</v>
      </c>
      <c r="M1974">
        <v>0.64</v>
      </c>
      <c r="N1974">
        <v>0.41</v>
      </c>
      <c r="O1974">
        <v>0.35</v>
      </c>
      <c r="P1974">
        <v>0.22</v>
      </c>
      <c r="Q1974">
        <v>0.77</v>
      </c>
      <c r="R1974" s="2">
        <v>0.7</v>
      </c>
      <c r="S1974" t="str">
        <f>IF(Table1[[#This Row],[Years_Experience]]&lt;=5,"Early Career",
IF(Table1[[#This Row],[Years_Experience]]&lt;=15,"Mid Career","Senior Level"))</f>
        <v>Senior Level</v>
      </c>
      <c r="T1974" t="str">
        <f>IF(Table1[[#This Row],[AI_Exposure_Index]]&gt;=0.7,"High Exposure", IF(Table1[[#This Row],[AI_Exposure_Index]]&gt;=0.3,"Medium Exposure","Low Exposure"))</f>
        <v>High Exposure</v>
      </c>
    </row>
    <row r="1975" spans="1:20" x14ac:dyDescent="0.25">
      <c r="A1975" t="s">
        <v>21</v>
      </c>
      <c r="B1975">
        <v>78139</v>
      </c>
      <c r="C1975" s="1">
        <v>11</v>
      </c>
      <c r="D1975" t="s">
        <v>38</v>
      </c>
      <c r="E1975" s="7">
        <v>0.5</v>
      </c>
      <c r="F1975" s="2">
        <v>0.32</v>
      </c>
      <c r="G1975" s="7">
        <v>7.0000000000000007E-2</v>
      </c>
      <c r="H1975" s="9" t="s">
        <v>23</v>
      </c>
      <c r="I1975">
        <v>0.62</v>
      </c>
      <c r="J1975">
        <v>0.51</v>
      </c>
      <c r="K1975">
        <v>0.43</v>
      </c>
      <c r="L1975">
        <v>0.83</v>
      </c>
      <c r="M1975">
        <v>0.5</v>
      </c>
      <c r="N1975">
        <v>0.38</v>
      </c>
      <c r="O1975">
        <v>0.16</v>
      </c>
      <c r="P1975">
        <v>0.82</v>
      </c>
      <c r="Q1975">
        <v>0.57999999999999996</v>
      </c>
      <c r="R1975" s="2">
        <v>0.09</v>
      </c>
      <c r="S1975" t="str">
        <f>IF(Table1[[#This Row],[Years_Experience]]&lt;=5,"Early Career",
IF(Table1[[#This Row],[Years_Experience]]&lt;=15,"Mid Career","Senior Level"))</f>
        <v>Mid Career</v>
      </c>
      <c r="T1975" t="str">
        <f>IF(Table1[[#This Row],[AI_Exposure_Index]]&gt;=0.7,"High Exposure", IF(Table1[[#This Row],[AI_Exposure_Index]]&gt;=0.3,"Medium Exposure","Low Exposure"))</f>
        <v>Medium Exposure</v>
      </c>
    </row>
    <row r="1976" spans="1:20" x14ac:dyDescent="0.25">
      <c r="A1976" t="s">
        <v>31</v>
      </c>
      <c r="B1976">
        <v>43445</v>
      </c>
      <c r="C1976" s="1">
        <v>11</v>
      </c>
      <c r="D1976" t="s">
        <v>38</v>
      </c>
      <c r="E1976" s="7">
        <v>1.31</v>
      </c>
      <c r="F1976" s="2">
        <v>0.43</v>
      </c>
      <c r="G1976" s="7">
        <v>0.28000000000000003</v>
      </c>
      <c r="H1976" s="9" t="s">
        <v>23</v>
      </c>
      <c r="I1976">
        <v>0.6</v>
      </c>
      <c r="J1976">
        <v>0.73</v>
      </c>
      <c r="K1976">
        <v>0.06</v>
      </c>
      <c r="L1976">
        <v>0.56000000000000005</v>
      </c>
      <c r="M1976">
        <v>0.76</v>
      </c>
      <c r="N1976">
        <v>0.5</v>
      </c>
      <c r="O1976">
        <v>0.59</v>
      </c>
      <c r="P1976">
        <v>0.9</v>
      </c>
      <c r="Q1976">
        <v>0.2</v>
      </c>
      <c r="R1976" s="2">
        <v>0.1</v>
      </c>
      <c r="S1976" t="str">
        <f>IF(Table1[[#This Row],[Years_Experience]]&lt;=5,"Early Career",
IF(Table1[[#This Row],[Years_Experience]]&lt;=15,"Mid Career","Senior Level"))</f>
        <v>Mid Career</v>
      </c>
      <c r="T1976" t="str">
        <f>IF(Table1[[#This Row],[AI_Exposure_Index]]&gt;=0.7,"High Exposure", IF(Table1[[#This Row],[AI_Exposure_Index]]&gt;=0.3,"Medium Exposure","Low Exposure"))</f>
        <v>Medium Exposure</v>
      </c>
    </row>
    <row r="1977" spans="1:20" x14ac:dyDescent="0.25">
      <c r="A1977" t="s">
        <v>42</v>
      </c>
      <c r="B1977">
        <v>31299</v>
      </c>
      <c r="C1977" s="1">
        <v>6</v>
      </c>
      <c r="D1977" t="s">
        <v>22</v>
      </c>
      <c r="E1977" s="7">
        <v>1.35</v>
      </c>
      <c r="F1977" s="2">
        <v>0.82</v>
      </c>
      <c r="G1977" s="7">
        <v>0.56000000000000005</v>
      </c>
      <c r="H1977" s="9" t="s">
        <v>27</v>
      </c>
      <c r="I1977">
        <v>0.83</v>
      </c>
      <c r="J1977">
        <v>0.7</v>
      </c>
      <c r="K1977">
        <v>0.09</v>
      </c>
      <c r="L1977">
        <v>0.76</v>
      </c>
      <c r="M1977">
        <v>0.18</v>
      </c>
      <c r="N1977">
        <v>0.24</v>
      </c>
      <c r="O1977">
        <v>0.39</v>
      </c>
      <c r="P1977">
        <v>0.31</v>
      </c>
      <c r="Q1977">
        <v>0.32</v>
      </c>
      <c r="R1977" s="2">
        <v>0.17</v>
      </c>
      <c r="S1977" t="str">
        <f>IF(Table1[[#This Row],[Years_Experience]]&lt;=5,"Early Career",
IF(Table1[[#This Row],[Years_Experience]]&lt;=15,"Mid Career","Senior Level"))</f>
        <v>Mid Career</v>
      </c>
      <c r="T1977" t="str">
        <f>IF(Table1[[#This Row],[AI_Exposure_Index]]&gt;=0.7,"High Exposure", IF(Table1[[#This Row],[AI_Exposure_Index]]&gt;=0.3,"Medium Exposure","Low Exposure"))</f>
        <v>High Exposure</v>
      </c>
    </row>
    <row r="1978" spans="1:20" x14ac:dyDescent="0.25">
      <c r="A1978" t="s">
        <v>36</v>
      </c>
      <c r="B1978">
        <v>104263</v>
      </c>
      <c r="C1978" s="1">
        <v>4</v>
      </c>
      <c r="D1978" t="s">
        <v>25</v>
      </c>
      <c r="E1978" s="7">
        <v>0.97</v>
      </c>
      <c r="F1978" s="2">
        <v>0.02</v>
      </c>
      <c r="G1978" s="7">
        <v>0.61</v>
      </c>
      <c r="H1978" s="9" t="s">
        <v>27</v>
      </c>
      <c r="I1978">
        <v>0.86</v>
      </c>
      <c r="J1978">
        <v>0.82</v>
      </c>
      <c r="K1978">
        <v>0.42</v>
      </c>
      <c r="L1978">
        <v>0.73</v>
      </c>
      <c r="M1978">
        <v>0.28999999999999998</v>
      </c>
      <c r="N1978">
        <v>0.06</v>
      </c>
      <c r="O1978">
        <v>0.68</v>
      </c>
      <c r="P1978">
        <v>0.65</v>
      </c>
      <c r="Q1978">
        <v>0.8</v>
      </c>
      <c r="R1978" s="2">
        <v>0.62</v>
      </c>
      <c r="S1978" t="str">
        <f>IF(Table1[[#This Row],[Years_Experience]]&lt;=5,"Early Career",
IF(Table1[[#This Row],[Years_Experience]]&lt;=15,"Mid Career","Senior Level"))</f>
        <v>Early Career</v>
      </c>
      <c r="T1978" t="str">
        <f>IF(Table1[[#This Row],[AI_Exposure_Index]]&gt;=0.7,"High Exposure", IF(Table1[[#This Row],[AI_Exposure_Index]]&gt;=0.3,"Medium Exposure","Low Exposure"))</f>
        <v>Low Exposure</v>
      </c>
    </row>
    <row r="1979" spans="1:20" x14ac:dyDescent="0.25">
      <c r="A1979" t="s">
        <v>31</v>
      </c>
      <c r="B1979">
        <v>33250</v>
      </c>
      <c r="C1979" s="1">
        <v>2</v>
      </c>
      <c r="D1979" t="s">
        <v>19</v>
      </c>
      <c r="E1979" s="7">
        <v>0.59</v>
      </c>
      <c r="F1979" s="2">
        <v>0.88</v>
      </c>
      <c r="G1979" s="7">
        <v>0.28000000000000003</v>
      </c>
      <c r="H1979" s="9" t="s">
        <v>23</v>
      </c>
      <c r="I1979">
        <v>0.93</v>
      </c>
      <c r="J1979">
        <v>0.73</v>
      </c>
      <c r="K1979">
        <v>0.9</v>
      </c>
      <c r="L1979">
        <v>0.77</v>
      </c>
      <c r="M1979">
        <v>0.53</v>
      </c>
      <c r="N1979">
        <v>0.6</v>
      </c>
      <c r="O1979">
        <v>0.63</v>
      </c>
      <c r="P1979">
        <v>0.13</v>
      </c>
      <c r="Q1979">
        <v>0.19</v>
      </c>
      <c r="R1979" s="2">
        <v>0.52</v>
      </c>
      <c r="S1979" t="str">
        <f>IF(Table1[[#This Row],[Years_Experience]]&lt;=5,"Early Career",
IF(Table1[[#This Row],[Years_Experience]]&lt;=15,"Mid Career","Senior Level"))</f>
        <v>Early Career</v>
      </c>
      <c r="T1979" t="str">
        <f>IF(Table1[[#This Row],[AI_Exposure_Index]]&gt;=0.7,"High Exposure", IF(Table1[[#This Row],[AI_Exposure_Index]]&gt;=0.3,"Medium Exposure","Low Exposure"))</f>
        <v>High Exposure</v>
      </c>
    </row>
    <row r="1980" spans="1:20" x14ac:dyDescent="0.25">
      <c r="A1980" t="s">
        <v>21</v>
      </c>
      <c r="B1980">
        <v>135050</v>
      </c>
      <c r="C1980" s="1">
        <v>21</v>
      </c>
      <c r="D1980" t="s">
        <v>19</v>
      </c>
      <c r="E1980" s="7">
        <v>1.01</v>
      </c>
      <c r="F1980" s="2">
        <v>0.96</v>
      </c>
      <c r="G1980" s="7">
        <v>0.15</v>
      </c>
      <c r="H1980" s="9" t="s">
        <v>23</v>
      </c>
      <c r="I1980">
        <v>0.16</v>
      </c>
      <c r="J1980">
        <v>0.42</v>
      </c>
      <c r="K1980">
        <v>0.3</v>
      </c>
      <c r="L1980">
        <v>0.09</v>
      </c>
      <c r="M1980">
        <v>0.97</v>
      </c>
      <c r="N1980">
        <v>0.26</v>
      </c>
      <c r="O1980">
        <v>0.69</v>
      </c>
      <c r="P1980">
        <v>0.09</v>
      </c>
      <c r="Q1980">
        <v>0.91</v>
      </c>
      <c r="R1980" s="2">
        <v>0.59</v>
      </c>
      <c r="S1980" t="str">
        <f>IF(Table1[[#This Row],[Years_Experience]]&lt;=5,"Early Career",
IF(Table1[[#This Row],[Years_Experience]]&lt;=15,"Mid Career","Senior Level"))</f>
        <v>Senior Level</v>
      </c>
      <c r="T1980" t="str">
        <f>IF(Table1[[#This Row],[AI_Exposure_Index]]&gt;=0.7,"High Exposure", IF(Table1[[#This Row],[AI_Exposure_Index]]&gt;=0.3,"Medium Exposure","Low Exposure"))</f>
        <v>High Exposure</v>
      </c>
    </row>
    <row r="1981" spans="1:20" x14ac:dyDescent="0.25">
      <c r="A1981" t="s">
        <v>32</v>
      </c>
      <c r="B1981">
        <v>80029</v>
      </c>
      <c r="C1981" s="1">
        <v>23</v>
      </c>
      <c r="D1981" t="s">
        <v>38</v>
      </c>
      <c r="E1981" s="7">
        <v>1.27</v>
      </c>
      <c r="F1981" s="2">
        <v>0.67</v>
      </c>
      <c r="G1981" s="7">
        <v>0.69</v>
      </c>
      <c r="H1981" s="9" t="s">
        <v>27</v>
      </c>
      <c r="I1981">
        <v>0.89</v>
      </c>
      <c r="J1981">
        <v>0.79</v>
      </c>
      <c r="K1981">
        <v>0.69</v>
      </c>
      <c r="L1981">
        <v>0.56999999999999995</v>
      </c>
      <c r="M1981">
        <v>0.12</v>
      </c>
      <c r="N1981">
        <v>0.17</v>
      </c>
      <c r="O1981">
        <v>0.82</v>
      </c>
      <c r="P1981">
        <v>0.8</v>
      </c>
      <c r="Q1981">
        <v>0.61</v>
      </c>
      <c r="R1981" s="2">
        <v>0.44</v>
      </c>
      <c r="S1981" t="str">
        <f>IF(Table1[[#This Row],[Years_Experience]]&lt;=5,"Early Career",
IF(Table1[[#This Row],[Years_Experience]]&lt;=15,"Mid Career","Senior Level"))</f>
        <v>Senior Level</v>
      </c>
      <c r="T1981" t="str">
        <f>IF(Table1[[#This Row],[AI_Exposure_Index]]&gt;=0.7,"High Exposure", IF(Table1[[#This Row],[AI_Exposure_Index]]&gt;=0.3,"Medium Exposure","Low Exposure"))</f>
        <v>Medium Exposure</v>
      </c>
    </row>
    <row r="1982" spans="1:20" x14ac:dyDescent="0.25">
      <c r="A1982" t="s">
        <v>18</v>
      </c>
      <c r="B1982">
        <v>34965</v>
      </c>
      <c r="C1982" s="1">
        <v>8</v>
      </c>
      <c r="D1982" t="s">
        <v>38</v>
      </c>
      <c r="E1982" s="7">
        <v>0.92</v>
      </c>
      <c r="F1982" s="2">
        <v>0.33</v>
      </c>
      <c r="G1982" s="7">
        <v>0.82</v>
      </c>
      <c r="H1982" s="9" t="s">
        <v>20</v>
      </c>
      <c r="I1982">
        <v>0.93</v>
      </c>
      <c r="J1982">
        <v>0.11</v>
      </c>
      <c r="K1982">
        <v>0.52</v>
      </c>
      <c r="L1982">
        <v>0.37</v>
      </c>
      <c r="M1982">
        <v>0.99</v>
      </c>
      <c r="N1982">
        <v>0.86</v>
      </c>
      <c r="O1982">
        <v>0.44</v>
      </c>
      <c r="P1982">
        <v>1</v>
      </c>
      <c r="Q1982">
        <v>0.51</v>
      </c>
      <c r="R1982" s="2">
        <v>0.17</v>
      </c>
      <c r="S1982" t="str">
        <f>IF(Table1[[#This Row],[Years_Experience]]&lt;=5,"Early Career",
IF(Table1[[#This Row],[Years_Experience]]&lt;=15,"Mid Career","Senior Level"))</f>
        <v>Mid Career</v>
      </c>
      <c r="T1982" t="str">
        <f>IF(Table1[[#This Row],[AI_Exposure_Index]]&gt;=0.7,"High Exposure", IF(Table1[[#This Row],[AI_Exposure_Index]]&gt;=0.3,"Medium Exposure","Low Exposure"))</f>
        <v>Medium Exposure</v>
      </c>
    </row>
    <row r="1983" spans="1:20" x14ac:dyDescent="0.25">
      <c r="A1983" t="s">
        <v>40</v>
      </c>
      <c r="B1983">
        <v>148225</v>
      </c>
      <c r="C1983" s="1">
        <v>11</v>
      </c>
      <c r="D1983" t="s">
        <v>25</v>
      </c>
      <c r="E1983" s="7">
        <v>1.1399999999999999</v>
      </c>
      <c r="F1983" s="2">
        <v>0.23</v>
      </c>
      <c r="G1983" s="7">
        <v>0.28000000000000003</v>
      </c>
      <c r="H1983" s="9" t="s">
        <v>23</v>
      </c>
      <c r="I1983">
        <v>0.79</v>
      </c>
      <c r="J1983">
        <v>0.27</v>
      </c>
      <c r="K1983">
        <v>0.3</v>
      </c>
      <c r="L1983">
        <v>7.0000000000000007E-2</v>
      </c>
      <c r="M1983">
        <v>0.28999999999999998</v>
      </c>
      <c r="N1983">
        <v>0.09</v>
      </c>
      <c r="O1983">
        <v>0.5</v>
      </c>
      <c r="P1983">
        <v>0.71</v>
      </c>
      <c r="Q1983">
        <v>0.75</v>
      </c>
      <c r="R1983" s="2">
        <v>0.06</v>
      </c>
      <c r="S1983" t="str">
        <f>IF(Table1[[#This Row],[Years_Experience]]&lt;=5,"Early Career",
IF(Table1[[#This Row],[Years_Experience]]&lt;=15,"Mid Career","Senior Level"))</f>
        <v>Mid Career</v>
      </c>
      <c r="T1983" t="str">
        <f>IF(Table1[[#This Row],[AI_Exposure_Index]]&gt;=0.7,"High Exposure", IF(Table1[[#This Row],[AI_Exposure_Index]]&gt;=0.3,"Medium Exposure","Low Exposure"))</f>
        <v>Low Exposure</v>
      </c>
    </row>
    <row r="1984" spans="1:20" x14ac:dyDescent="0.25">
      <c r="A1984" t="s">
        <v>34</v>
      </c>
      <c r="B1984">
        <v>118458</v>
      </c>
      <c r="C1984" s="1">
        <v>27</v>
      </c>
      <c r="D1984" t="s">
        <v>38</v>
      </c>
      <c r="E1984" s="7">
        <v>0.6</v>
      </c>
      <c r="F1984" s="2">
        <v>0.28999999999999998</v>
      </c>
      <c r="G1984" s="7">
        <v>0.44</v>
      </c>
      <c r="H1984" s="9" t="s">
        <v>27</v>
      </c>
      <c r="I1984">
        <v>0.3</v>
      </c>
      <c r="J1984">
        <v>0.63</v>
      </c>
      <c r="K1984">
        <v>0.88</v>
      </c>
      <c r="L1984">
        <v>0.45</v>
      </c>
      <c r="M1984">
        <v>0.75</v>
      </c>
      <c r="N1984">
        <v>0.15</v>
      </c>
      <c r="O1984">
        <v>0.89</v>
      </c>
      <c r="P1984">
        <v>0.15</v>
      </c>
      <c r="Q1984">
        <v>0.19</v>
      </c>
      <c r="R1984" s="2">
        <v>0.11</v>
      </c>
      <c r="S1984" t="str">
        <f>IF(Table1[[#This Row],[Years_Experience]]&lt;=5,"Early Career",
IF(Table1[[#This Row],[Years_Experience]]&lt;=15,"Mid Career","Senior Level"))</f>
        <v>Senior Level</v>
      </c>
      <c r="T1984" t="str">
        <f>IF(Table1[[#This Row],[AI_Exposure_Index]]&gt;=0.7,"High Exposure", IF(Table1[[#This Row],[AI_Exposure_Index]]&gt;=0.3,"Medium Exposure","Low Exposure"))</f>
        <v>Low Exposure</v>
      </c>
    </row>
    <row r="1985" spans="1:20" x14ac:dyDescent="0.25">
      <c r="A1985" t="s">
        <v>18</v>
      </c>
      <c r="B1985">
        <v>105763</v>
      </c>
      <c r="C1985" s="1">
        <v>6</v>
      </c>
      <c r="D1985" t="s">
        <v>22</v>
      </c>
      <c r="E1985" s="7">
        <v>1.49</v>
      </c>
      <c r="F1985" s="2">
        <v>0.55000000000000004</v>
      </c>
      <c r="G1985" s="7">
        <v>0.9</v>
      </c>
      <c r="H1985" s="9" t="s">
        <v>20</v>
      </c>
      <c r="I1985">
        <v>0.38</v>
      </c>
      <c r="J1985">
        <v>0.57999999999999996</v>
      </c>
      <c r="K1985">
        <v>0.62</v>
      </c>
      <c r="L1985">
        <v>0.82</v>
      </c>
      <c r="M1985">
        <v>0.74</v>
      </c>
      <c r="N1985">
        <v>0.56999999999999995</v>
      </c>
      <c r="O1985">
        <v>0.67</v>
      </c>
      <c r="P1985">
        <v>0.75</v>
      </c>
      <c r="Q1985">
        <v>0.13</v>
      </c>
      <c r="R1985" s="2">
        <v>0.2</v>
      </c>
      <c r="S1985" t="str">
        <f>IF(Table1[[#This Row],[Years_Experience]]&lt;=5,"Early Career",
IF(Table1[[#This Row],[Years_Experience]]&lt;=15,"Mid Career","Senior Level"))</f>
        <v>Mid Career</v>
      </c>
      <c r="T1985" t="str">
        <f>IF(Table1[[#This Row],[AI_Exposure_Index]]&gt;=0.7,"High Exposure", IF(Table1[[#This Row],[AI_Exposure_Index]]&gt;=0.3,"Medium Exposure","Low Exposure"))</f>
        <v>Medium Exposure</v>
      </c>
    </row>
    <row r="1986" spans="1:20" x14ac:dyDescent="0.25">
      <c r="A1986" t="s">
        <v>18</v>
      </c>
      <c r="B1986">
        <v>99458</v>
      </c>
      <c r="C1986" s="1">
        <v>16</v>
      </c>
      <c r="D1986" t="s">
        <v>38</v>
      </c>
      <c r="E1986" s="7">
        <v>0.91</v>
      </c>
      <c r="F1986" s="2">
        <v>0.85</v>
      </c>
      <c r="G1986" s="7">
        <v>0.94</v>
      </c>
      <c r="H1986" s="9" t="s">
        <v>20</v>
      </c>
      <c r="I1986">
        <v>0.22</v>
      </c>
      <c r="J1986">
        <v>0.42</v>
      </c>
      <c r="K1986">
        <v>0.38</v>
      </c>
      <c r="L1986">
        <v>0.93</v>
      </c>
      <c r="M1986">
        <v>0.28999999999999998</v>
      </c>
      <c r="N1986">
        <v>0.47</v>
      </c>
      <c r="O1986">
        <v>0.19</v>
      </c>
      <c r="P1986">
        <v>0.52</v>
      </c>
      <c r="Q1986">
        <v>0.86</v>
      </c>
      <c r="R1986" s="2">
        <v>0.3</v>
      </c>
      <c r="S1986" t="str">
        <f>IF(Table1[[#This Row],[Years_Experience]]&lt;=5,"Early Career",
IF(Table1[[#This Row],[Years_Experience]]&lt;=15,"Mid Career","Senior Level"))</f>
        <v>Senior Level</v>
      </c>
      <c r="T1986" t="str">
        <f>IF(Table1[[#This Row],[AI_Exposure_Index]]&gt;=0.7,"High Exposure", IF(Table1[[#This Row],[AI_Exposure_Index]]&gt;=0.3,"Medium Exposure","Low Exposure"))</f>
        <v>High Exposure</v>
      </c>
    </row>
    <row r="1987" spans="1:20" x14ac:dyDescent="0.25">
      <c r="A1987" t="s">
        <v>43</v>
      </c>
      <c r="B1987">
        <v>34516</v>
      </c>
      <c r="C1987" s="1">
        <v>11</v>
      </c>
      <c r="D1987" t="s">
        <v>38</v>
      </c>
      <c r="E1987" s="7">
        <v>0.56999999999999995</v>
      </c>
      <c r="F1987" s="2">
        <v>0.91</v>
      </c>
      <c r="G1987" s="7">
        <v>0.24</v>
      </c>
      <c r="H1987" s="9" t="s">
        <v>23</v>
      </c>
      <c r="I1987">
        <v>0.26</v>
      </c>
      <c r="J1987">
        <v>0.18</v>
      </c>
      <c r="K1987">
        <v>0.6</v>
      </c>
      <c r="L1987">
        <v>0.71</v>
      </c>
      <c r="M1987">
        <v>0.39</v>
      </c>
      <c r="N1987">
        <v>0.04</v>
      </c>
      <c r="O1987">
        <v>0.91</v>
      </c>
      <c r="P1987">
        <v>0.73</v>
      </c>
      <c r="Q1987">
        <v>0.27</v>
      </c>
      <c r="R1987" s="2">
        <v>0.5</v>
      </c>
      <c r="S1987" t="str">
        <f>IF(Table1[[#This Row],[Years_Experience]]&lt;=5,"Early Career",
IF(Table1[[#This Row],[Years_Experience]]&lt;=15,"Mid Career","Senior Level"))</f>
        <v>Mid Career</v>
      </c>
      <c r="T1987" t="str">
        <f>IF(Table1[[#This Row],[AI_Exposure_Index]]&gt;=0.7,"High Exposure", IF(Table1[[#This Row],[AI_Exposure_Index]]&gt;=0.3,"Medium Exposure","Low Exposure"))</f>
        <v>High Exposure</v>
      </c>
    </row>
    <row r="1988" spans="1:20" x14ac:dyDescent="0.25">
      <c r="A1988" t="s">
        <v>31</v>
      </c>
      <c r="B1988">
        <v>123606</v>
      </c>
      <c r="C1988" s="1">
        <v>9</v>
      </c>
      <c r="D1988" t="s">
        <v>19</v>
      </c>
      <c r="E1988" s="7">
        <v>1.02</v>
      </c>
      <c r="F1988" s="2">
        <v>0.34</v>
      </c>
      <c r="G1988" s="7">
        <v>0.18</v>
      </c>
      <c r="H1988" s="9" t="s">
        <v>23</v>
      </c>
      <c r="I1988">
        <v>0.21</v>
      </c>
      <c r="J1988">
        <v>0.78</v>
      </c>
      <c r="K1988">
        <v>0.3</v>
      </c>
      <c r="L1988">
        <v>0.57999999999999996</v>
      </c>
      <c r="M1988">
        <v>0.27</v>
      </c>
      <c r="N1988">
        <v>0.43</v>
      </c>
      <c r="O1988">
        <v>0.21</v>
      </c>
      <c r="P1988">
        <v>0.63</v>
      </c>
      <c r="Q1988">
        <v>0.43</v>
      </c>
      <c r="R1988" s="2">
        <v>0.02</v>
      </c>
      <c r="S1988" t="str">
        <f>IF(Table1[[#This Row],[Years_Experience]]&lt;=5,"Early Career",
IF(Table1[[#This Row],[Years_Experience]]&lt;=15,"Mid Career","Senior Level"))</f>
        <v>Mid Career</v>
      </c>
      <c r="T1988" t="str">
        <f>IF(Table1[[#This Row],[AI_Exposure_Index]]&gt;=0.7,"High Exposure", IF(Table1[[#This Row],[AI_Exposure_Index]]&gt;=0.3,"Medium Exposure","Low Exposure"))</f>
        <v>Medium Exposure</v>
      </c>
    </row>
    <row r="1989" spans="1:20" x14ac:dyDescent="0.25">
      <c r="A1989" t="s">
        <v>36</v>
      </c>
      <c r="B1989">
        <v>149359</v>
      </c>
      <c r="C1989" s="1">
        <v>0</v>
      </c>
      <c r="D1989" t="s">
        <v>22</v>
      </c>
      <c r="E1989" s="7">
        <v>0.68</v>
      </c>
      <c r="F1989" s="2">
        <v>0.47</v>
      </c>
      <c r="G1989" s="7">
        <v>0.53</v>
      </c>
      <c r="H1989" s="9" t="s">
        <v>27</v>
      </c>
      <c r="I1989">
        <v>0.41</v>
      </c>
      <c r="J1989">
        <v>0.65</v>
      </c>
      <c r="K1989">
        <v>0.95</v>
      </c>
      <c r="L1989">
        <v>0.53</v>
      </c>
      <c r="M1989">
        <v>0.79</v>
      </c>
      <c r="N1989">
        <v>0.75</v>
      </c>
      <c r="O1989">
        <v>0.92</v>
      </c>
      <c r="P1989">
        <v>0.21</v>
      </c>
      <c r="Q1989">
        <v>0.83</v>
      </c>
      <c r="R1989" s="2">
        <v>0.91</v>
      </c>
      <c r="S1989" t="str">
        <f>IF(Table1[[#This Row],[Years_Experience]]&lt;=5,"Early Career",
IF(Table1[[#This Row],[Years_Experience]]&lt;=15,"Mid Career","Senior Level"))</f>
        <v>Early Career</v>
      </c>
      <c r="T1989" t="str">
        <f>IF(Table1[[#This Row],[AI_Exposure_Index]]&gt;=0.7,"High Exposure", IF(Table1[[#This Row],[AI_Exposure_Index]]&gt;=0.3,"Medium Exposure","Low Exposure"))</f>
        <v>Medium Exposure</v>
      </c>
    </row>
    <row r="1990" spans="1:20" x14ac:dyDescent="0.25">
      <c r="A1990" t="s">
        <v>28</v>
      </c>
      <c r="B1990">
        <v>37509</v>
      </c>
      <c r="C1990" s="1">
        <v>28</v>
      </c>
      <c r="D1990" t="s">
        <v>38</v>
      </c>
      <c r="E1990" s="7">
        <v>1.45</v>
      </c>
      <c r="F1990" s="2">
        <v>0.31</v>
      </c>
      <c r="G1990" s="7">
        <v>0.55000000000000004</v>
      </c>
      <c r="H1990" s="9" t="s">
        <v>27</v>
      </c>
      <c r="I1990">
        <v>0.38</v>
      </c>
      <c r="J1990">
        <v>0.79</v>
      </c>
      <c r="K1990">
        <v>0.3</v>
      </c>
      <c r="L1990">
        <v>0.18</v>
      </c>
      <c r="M1990">
        <v>0.54</v>
      </c>
      <c r="N1990">
        <v>0.56999999999999995</v>
      </c>
      <c r="O1990">
        <v>0.83</v>
      </c>
      <c r="P1990">
        <v>0.46</v>
      </c>
      <c r="Q1990">
        <v>0.81</v>
      </c>
      <c r="R1990" s="2">
        <v>0.31</v>
      </c>
      <c r="S1990" t="str">
        <f>IF(Table1[[#This Row],[Years_Experience]]&lt;=5,"Early Career",
IF(Table1[[#This Row],[Years_Experience]]&lt;=15,"Mid Career","Senior Level"))</f>
        <v>Senior Level</v>
      </c>
      <c r="T1990" t="str">
        <f>IF(Table1[[#This Row],[AI_Exposure_Index]]&gt;=0.7,"High Exposure", IF(Table1[[#This Row],[AI_Exposure_Index]]&gt;=0.3,"Medium Exposure","Low Exposure"))</f>
        <v>Medium Exposure</v>
      </c>
    </row>
    <row r="1991" spans="1:20" x14ac:dyDescent="0.25">
      <c r="A1991" t="s">
        <v>36</v>
      </c>
      <c r="B1991">
        <v>117178</v>
      </c>
      <c r="C1991" s="1">
        <v>4</v>
      </c>
      <c r="D1991" t="s">
        <v>22</v>
      </c>
      <c r="E1991" s="7">
        <v>0.89</v>
      </c>
      <c r="F1991" s="2">
        <v>0.21</v>
      </c>
      <c r="G1991" s="7">
        <v>0.64</v>
      </c>
      <c r="H1991" s="9" t="s">
        <v>27</v>
      </c>
      <c r="I1991">
        <v>0.22</v>
      </c>
      <c r="J1991">
        <v>0.81</v>
      </c>
      <c r="K1991">
        <v>0.28000000000000003</v>
      </c>
      <c r="L1991">
        <v>0.03</v>
      </c>
      <c r="M1991">
        <v>0.11</v>
      </c>
      <c r="N1991">
        <v>0.75</v>
      </c>
      <c r="O1991">
        <v>0.26</v>
      </c>
      <c r="P1991">
        <v>0.65</v>
      </c>
      <c r="Q1991">
        <v>0.7</v>
      </c>
      <c r="R1991" s="2">
        <v>0.35</v>
      </c>
      <c r="S1991" t="str">
        <f>IF(Table1[[#This Row],[Years_Experience]]&lt;=5,"Early Career",
IF(Table1[[#This Row],[Years_Experience]]&lt;=15,"Mid Career","Senior Level"))</f>
        <v>Early Career</v>
      </c>
      <c r="T1991" t="str">
        <f>IF(Table1[[#This Row],[AI_Exposure_Index]]&gt;=0.7,"High Exposure", IF(Table1[[#This Row],[AI_Exposure_Index]]&gt;=0.3,"Medium Exposure","Low Exposure"))</f>
        <v>Low Exposure</v>
      </c>
    </row>
    <row r="1992" spans="1:20" x14ac:dyDescent="0.25">
      <c r="A1992" t="s">
        <v>44</v>
      </c>
      <c r="B1992">
        <v>49060</v>
      </c>
      <c r="C1992" s="1">
        <v>0</v>
      </c>
      <c r="D1992" t="s">
        <v>38</v>
      </c>
      <c r="E1992" s="7">
        <v>1.45</v>
      </c>
      <c r="F1992" s="2">
        <v>0.4</v>
      </c>
      <c r="G1992" s="7">
        <v>0.43</v>
      </c>
      <c r="H1992" s="9" t="s">
        <v>27</v>
      </c>
      <c r="I1992">
        <v>0.18</v>
      </c>
      <c r="J1992">
        <v>0.37</v>
      </c>
      <c r="K1992">
        <v>0.67</v>
      </c>
      <c r="L1992">
        <v>0.7</v>
      </c>
      <c r="M1992">
        <v>0.92</v>
      </c>
      <c r="N1992">
        <v>0.88</v>
      </c>
      <c r="O1992">
        <v>0.28999999999999998</v>
      </c>
      <c r="P1992">
        <v>0.46</v>
      </c>
      <c r="Q1992">
        <v>0.75</v>
      </c>
      <c r="R1992" s="2">
        <v>0.92</v>
      </c>
      <c r="S1992" t="str">
        <f>IF(Table1[[#This Row],[Years_Experience]]&lt;=5,"Early Career",
IF(Table1[[#This Row],[Years_Experience]]&lt;=15,"Mid Career","Senior Level"))</f>
        <v>Early Career</v>
      </c>
      <c r="T1992" t="str">
        <f>IF(Table1[[#This Row],[AI_Exposure_Index]]&gt;=0.7,"High Exposure", IF(Table1[[#This Row],[AI_Exposure_Index]]&gt;=0.3,"Medium Exposure","Low Exposure"))</f>
        <v>Medium Exposure</v>
      </c>
    </row>
    <row r="1993" spans="1:20" x14ac:dyDescent="0.25">
      <c r="A1993" t="s">
        <v>31</v>
      </c>
      <c r="B1993">
        <v>59235</v>
      </c>
      <c r="C1993" s="1">
        <v>11</v>
      </c>
      <c r="D1993" t="s">
        <v>25</v>
      </c>
      <c r="E1993" s="7">
        <v>1.4</v>
      </c>
      <c r="F1993" s="2">
        <v>0.44</v>
      </c>
      <c r="G1993" s="7">
        <v>0.14000000000000001</v>
      </c>
      <c r="H1993" s="9" t="s">
        <v>23</v>
      </c>
      <c r="I1993">
        <v>0.48</v>
      </c>
      <c r="J1993">
        <v>0.9</v>
      </c>
      <c r="K1993">
        <v>0.8</v>
      </c>
      <c r="L1993">
        <v>0.24</v>
      </c>
      <c r="M1993">
        <v>0.32</v>
      </c>
      <c r="N1993">
        <v>0.35</v>
      </c>
      <c r="O1993">
        <v>0.91</v>
      </c>
      <c r="P1993">
        <v>1</v>
      </c>
      <c r="Q1993">
        <v>0.77</v>
      </c>
      <c r="R1993" s="2">
        <v>0.48</v>
      </c>
      <c r="S1993" t="str">
        <f>IF(Table1[[#This Row],[Years_Experience]]&lt;=5,"Early Career",
IF(Table1[[#This Row],[Years_Experience]]&lt;=15,"Mid Career","Senior Level"))</f>
        <v>Mid Career</v>
      </c>
      <c r="T1993" t="str">
        <f>IF(Table1[[#This Row],[AI_Exposure_Index]]&gt;=0.7,"High Exposure", IF(Table1[[#This Row],[AI_Exposure_Index]]&gt;=0.3,"Medium Exposure","Low Exposure"))</f>
        <v>Medium Exposure</v>
      </c>
    </row>
    <row r="1994" spans="1:20" x14ac:dyDescent="0.25">
      <c r="A1994" t="s">
        <v>31</v>
      </c>
      <c r="B1994">
        <v>79216</v>
      </c>
      <c r="C1994" s="1">
        <v>21</v>
      </c>
      <c r="D1994" t="s">
        <v>38</v>
      </c>
      <c r="E1994" s="7">
        <v>0.89</v>
      </c>
      <c r="F1994" s="2">
        <v>0.7</v>
      </c>
      <c r="G1994" s="7">
        <v>0.21</v>
      </c>
      <c r="H1994" s="9" t="s">
        <v>23</v>
      </c>
      <c r="I1994">
        <v>0.61</v>
      </c>
      <c r="J1994">
        <v>0.48</v>
      </c>
      <c r="K1994">
        <v>0.94</v>
      </c>
      <c r="L1994">
        <v>0.02</v>
      </c>
      <c r="M1994">
        <v>0.71</v>
      </c>
      <c r="N1994">
        <v>0.41</v>
      </c>
      <c r="O1994">
        <v>0.71</v>
      </c>
      <c r="P1994">
        <v>0.68</v>
      </c>
      <c r="Q1994">
        <v>0.01</v>
      </c>
      <c r="R1994" s="2">
        <v>0.28999999999999998</v>
      </c>
      <c r="S1994" t="str">
        <f>IF(Table1[[#This Row],[Years_Experience]]&lt;=5,"Early Career",
IF(Table1[[#This Row],[Years_Experience]]&lt;=15,"Mid Career","Senior Level"))</f>
        <v>Senior Level</v>
      </c>
      <c r="T1994" t="str">
        <f>IF(Table1[[#This Row],[AI_Exposure_Index]]&gt;=0.7,"High Exposure", IF(Table1[[#This Row],[AI_Exposure_Index]]&gt;=0.3,"Medium Exposure","Low Exposure"))</f>
        <v>High Exposure</v>
      </c>
    </row>
    <row r="1995" spans="1:20" x14ac:dyDescent="0.25">
      <c r="A1995" t="s">
        <v>31</v>
      </c>
      <c r="B1995">
        <v>49789</v>
      </c>
      <c r="C1995" s="1">
        <v>20</v>
      </c>
      <c r="D1995" t="s">
        <v>19</v>
      </c>
      <c r="E1995" s="7">
        <v>1.23</v>
      </c>
      <c r="F1995" s="2">
        <v>0.17</v>
      </c>
      <c r="G1995" s="7">
        <v>0.11</v>
      </c>
      <c r="H1995" s="9" t="s">
        <v>23</v>
      </c>
      <c r="I1995">
        <v>0.47</v>
      </c>
      <c r="J1995">
        <v>0.25</v>
      </c>
      <c r="K1995">
        <v>0.57999999999999996</v>
      </c>
      <c r="L1995">
        <v>0.72</v>
      </c>
      <c r="M1995">
        <v>0.33</v>
      </c>
      <c r="N1995">
        <v>0.6</v>
      </c>
      <c r="O1995">
        <v>0.82</v>
      </c>
      <c r="P1995">
        <v>0.09</v>
      </c>
      <c r="Q1995">
        <v>0.71</v>
      </c>
      <c r="R1995" s="2">
        <v>0.32</v>
      </c>
      <c r="S1995" t="str">
        <f>IF(Table1[[#This Row],[Years_Experience]]&lt;=5,"Early Career",
IF(Table1[[#This Row],[Years_Experience]]&lt;=15,"Mid Career","Senior Level"))</f>
        <v>Senior Level</v>
      </c>
      <c r="T1995" t="str">
        <f>IF(Table1[[#This Row],[AI_Exposure_Index]]&gt;=0.7,"High Exposure", IF(Table1[[#This Row],[AI_Exposure_Index]]&gt;=0.3,"Medium Exposure","Low Exposure"))</f>
        <v>Low Exposure</v>
      </c>
    </row>
    <row r="1996" spans="1:20" x14ac:dyDescent="0.25">
      <c r="A1996" t="s">
        <v>39</v>
      </c>
      <c r="B1996">
        <v>107171</v>
      </c>
      <c r="C1996" s="1">
        <v>21</v>
      </c>
      <c r="D1996" t="s">
        <v>25</v>
      </c>
      <c r="E1996" s="7">
        <v>0.92</v>
      </c>
      <c r="F1996" s="2">
        <v>0.02</v>
      </c>
      <c r="G1996" s="7">
        <v>0.87</v>
      </c>
      <c r="H1996" s="9" t="s">
        <v>20</v>
      </c>
      <c r="I1996">
        <v>0.52</v>
      </c>
      <c r="J1996">
        <v>0.6</v>
      </c>
      <c r="K1996">
        <v>0.33</v>
      </c>
      <c r="L1996">
        <v>0.18</v>
      </c>
      <c r="M1996">
        <v>0.81</v>
      </c>
      <c r="N1996">
        <v>0.91</v>
      </c>
      <c r="O1996">
        <v>0.51</v>
      </c>
      <c r="P1996">
        <v>0.31</v>
      </c>
      <c r="Q1996">
        <v>0.51</v>
      </c>
      <c r="R1996" s="2">
        <v>0.88</v>
      </c>
      <c r="S1996" t="str">
        <f>IF(Table1[[#This Row],[Years_Experience]]&lt;=5,"Early Career",
IF(Table1[[#This Row],[Years_Experience]]&lt;=15,"Mid Career","Senior Level"))</f>
        <v>Senior Level</v>
      </c>
      <c r="T1996" t="str">
        <f>IF(Table1[[#This Row],[AI_Exposure_Index]]&gt;=0.7,"High Exposure", IF(Table1[[#This Row],[AI_Exposure_Index]]&gt;=0.3,"Medium Exposure","Low Exposure"))</f>
        <v>Low Exposure</v>
      </c>
    </row>
    <row r="1997" spans="1:20" x14ac:dyDescent="0.25">
      <c r="A1997" t="s">
        <v>31</v>
      </c>
      <c r="B1997">
        <v>30443</v>
      </c>
      <c r="C1997" s="1">
        <v>21</v>
      </c>
      <c r="D1997" t="s">
        <v>22</v>
      </c>
      <c r="E1997" s="7">
        <v>0.83</v>
      </c>
      <c r="F1997" s="2">
        <v>0.86</v>
      </c>
      <c r="G1997" s="7">
        <v>0.23</v>
      </c>
      <c r="H1997" s="9" t="s">
        <v>23</v>
      </c>
      <c r="I1997">
        <v>0.65</v>
      </c>
      <c r="J1997">
        <v>0.56999999999999995</v>
      </c>
      <c r="K1997">
        <v>0.53</v>
      </c>
      <c r="L1997">
        <v>0.55000000000000004</v>
      </c>
      <c r="M1997">
        <v>0.85</v>
      </c>
      <c r="N1997">
        <v>0.92</v>
      </c>
      <c r="O1997">
        <v>0.11</v>
      </c>
      <c r="P1997">
        <v>0.56999999999999995</v>
      </c>
      <c r="Q1997">
        <v>0.92</v>
      </c>
      <c r="R1997" s="2">
        <v>0.13</v>
      </c>
      <c r="S1997" t="str">
        <f>IF(Table1[[#This Row],[Years_Experience]]&lt;=5,"Early Career",
IF(Table1[[#This Row],[Years_Experience]]&lt;=15,"Mid Career","Senior Level"))</f>
        <v>Senior Level</v>
      </c>
      <c r="T1997" t="str">
        <f>IF(Table1[[#This Row],[AI_Exposure_Index]]&gt;=0.7,"High Exposure", IF(Table1[[#This Row],[AI_Exposure_Index]]&gt;=0.3,"Medium Exposure","Low Exposure"))</f>
        <v>High Exposure</v>
      </c>
    </row>
    <row r="1998" spans="1:20" x14ac:dyDescent="0.25">
      <c r="A1998" t="s">
        <v>30</v>
      </c>
      <c r="B1998">
        <v>105494</v>
      </c>
      <c r="C1998" s="1">
        <v>7</v>
      </c>
      <c r="D1998" t="s">
        <v>38</v>
      </c>
      <c r="E1998" s="7">
        <v>0.61</v>
      </c>
      <c r="F1998" s="2">
        <v>0.09</v>
      </c>
      <c r="G1998" s="7">
        <v>0.66</v>
      </c>
      <c r="H1998" s="9" t="s">
        <v>27</v>
      </c>
      <c r="I1998">
        <v>0.45</v>
      </c>
      <c r="J1998">
        <v>0.69</v>
      </c>
      <c r="K1998">
        <v>0.14000000000000001</v>
      </c>
      <c r="L1998">
        <v>0.02</v>
      </c>
      <c r="M1998">
        <v>0.89</v>
      </c>
      <c r="N1998">
        <v>0.56999999999999995</v>
      </c>
      <c r="O1998">
        <v>0.02</v>
      </c>
      <c r="P1998">
        <v>0.99</v>
      </c>
      <c r="Q1998">
        <v>0.49</v>
      </c>
      <c r="R1998" s="2">
        <v>0.48</v>
      </c>
      <c r="S1998" t="str">
        <f>IF(Table1[[#This Row],[Years_Experience]]&lt;=5,"Early Career",
IF(Table1[[#This Row],[Years_Experience]]&lt;=15,"Mid Career","Senior Level"))</f>
        <v>Mid Career</v>
      </c>
      <c r="T1998" t="str">
        <f>IF(Table1[[#This Row],[AI_Exposure_Index]]&gt;=0.7,"High Exposure", IF(Table1[[#This Row],[AI_Exposure_Index]]&gt;=0.3,"Medium Exposure","Low Exposure"))</f>
        <v>Low Exposure</v>
      </c>
    </row>
    <row r="1999" spans="1:20" x14ac:dyDescent="0.25">
      <c r="A1999" t="s">
        <v>34</v>
      </c>
      <c r="B1999">
        <v>45231</v>
      </c>
      <c r="C1999" s="1">
        <v>0</v>
      </c>
      <c r="D1999" t="s">
        <v>25</v>
      </c>
      <c r="E1999" s="7">
        <v>1.07</v>
      </c>
      <c r="F1999" s="2">
        <v>0.01</v>
      </c>
      <c r="G1999" s="7">
        <v>0.55000000000000004</v>
      </c>
      <c r="H1999" s="9" t="s">
        <v>27</v>
      </c>
      <c r="I1999">
        <v>0.3</v>
      </c>
      <c r="J1999">
        <v>0.73</v>
      </c>
      <c r="K1999">
        <v>0.38</v>
      </c>
      <c r="L1999">
        <v>0.72</v>
      </c>
      <c r="M1999">
        <v>0.14000000000000001</v>
      </c>
      <c r="N1999">
        <v>0.91</v>
      </c>
      <c r="O1999">
        <v>0.88</v>
      </c>
      <c r="P1999">
        <v>0.15</v>
      </c>
      <c r="Q1999">
        <v>0.94</v>
      </c>
      <c r="R1999" s="2">
        <v>0.56000000000000005</v>
      </c>
      <c r="S1999" t="str">
        <f>IF(Table1[[#This Row],[Years_Experience]]&lt;=5,"Early Career",
IF(Table1[[#This Row],[Years_Experience]]&lt;=15,"Mid Career","Senior Level"))</f>
        <v>Early Career</v>
      </c>
      <c r="T1999" t="str">
        <f>IF(Table1[[#This Row],[AI_Exposure_Index]]&gt;=0.7,"High Exposure", IF(Table1[[#This Row],[AI_Exposure_Index]]&gt;=0.3,"Medium Exposure","Low Exposure"))</f>
        <v>Low Exposure</v>
      </c>
    </row>
    <row r="2000" spans="1:20" x14ac:dyDescent="0.25">
      <c r="A2000" t="s">
        <v>41</v>
      </c>
      <c r="B2000">
        <v>116065</v>
      </c>
      <c r="C2000" s="1">
        <v>9</v>
      </c>
      <c r="D2000" t="s">
        <v>22</v>
      </c>
      <c r="E2000" s="7">
        <v>0.57999999999999996</v>
      </c>
      <c r="F2000" s="2">
        <v>0.84</v>
      </c>
      <c r="G2000" s="7">
        <v>0.74</v>
      </c>
      <c r="H2000" s="9" t="s">
        <v>20</v>
      </c>
      <c r="I2000">
        <v>0.28999999999999998</v>
      </c>
      <c r="J2000">
        <v>0.48</v>
      </c>
      <c r="K2000">
        <v>0.35</v>
      </c>
      <c r="L2000">
        <v>0.51</v>
      </c>
      <c r="M2000">
        <v>0.19</v>
      </c>
      <c r="N2000">
        <v>0.68</v>
      </c>
      <c r="O2000">
        <v>0.06</v>
      </c>
      <c r="P2000">
        <v>0.36</v>
      </c>
      <c r="Q2000">
        <v>0.18</v>
      </c>
      <c r="R2000" s="2">
        <v>0.73</v>
      </c>
      <c r="S2000" t="str">
        <f>IF(Table1[[#This Row],[Years_Experience]]&lt;=5,"Early Career",
IF(Table1[[#This Row],[Years_Experience]]&lt;=15,"Mid Career","Senior Level"))</f>
        <v>Mid Career</v>
      </c>
      <c r="T2000" t="str">
        <f>IF(Table1[[#This Row],[AI_Exposure_Index]]&gt;=0.7,"High Exposure", IF(Table1[[#This Row],[AI_Exposure_Index]]&gt;=0.3,"Medium Exposure","Low Exposure"))</f>
        <v>High Exposure</v>
      </c>
    </row>
    <row r="2001" spans="1:20" x14ac:dyDescent="0.25">
      <c r="A2001" t="s">
        <v>35</v>
      </c>
      <c r="B2001">
        <v>102436</v>
      </c>
      <c r="C2001" s="1">
        <v>19</v>
      </c>
      <c r="D2001" t="s">
        <v>22</v>
      </c>
      <c r="E2001" s="7">
        <v>1.29</v>
      </c>
      <c r="F2001" s="2">
        <v>0.08</v>
      </c>
      <c r="G2001" s="7">
        <v>0.66</v>
      </c>
      <c r="H2001" s="9" t="s">
        <v>27</v>
      </c>
      <c r="I2001">
        <v>0.97</v>
      </c>
      <c r="J2001">
        <v>0.57999999999999996</v>
      </c>
      <c r="K2001">
        <v>0.33</v>
      </c>
      <c r="L2001">
        <v>0.32</v>
      </c>
      <c r="M2001">
        <v>0.38</v>
      </c>
      <c r="N2001">
        <v>0.61</v>
      </c>
      <c r="O2001">
        <v>0.49</v>
      </c>
      <c r="P2001">
        <v>0.65</v>
      </c>
      <c r="Q2001">
        <v>0.04</v>
      </c>
      <c r="R2001" s="2">
        <v>0.11</v>
      </c>
      <c r="S2001" t="str">
        <f>IF(Table1[[#This Row],[Years_Experience]]&lt;=5,"Early Career",
IF(Table1[[#This Row],[Years_Experience]]&lt;=15,"Mid Career","Senior Level"))</f>
        <v>Senior Level</v>
      </c>
      <c r="T2001" t="str">
        <f>IF(Table1[[#This Row],[AI_Exposure_Index]]&gt;=0.7,"High Exposure", IF(Table1[[#This Row],[AI_Exposure_Index]]&gt;=0.3,"Medium Exposure","Low Exposure"))</f>
        <v>Low Exposure</v>
      </c>
    </row>
    <row r="2002" spans="1:20" x14ac:dyDescent="0.25">
      <c r="A2002" t="s">
        <v>32</v>
      </c>
      <c r="B2002">
        <v>62256</v>
      </c>
      <c r="C2002" s="1">
        <v>25</v>
      </c>
      <c r="D2002" t="s">
        <v>22</v>
      </c>
      <c r="E2002" s="7">
        <v>1.25</v>
      </c>
      <c r="F2002" s="2">
        <v>1</v>
      </c>
      <c r="G2002" s="7">
        <v>0.4</v>
      </c>
      <c r="H2002" s="9" t="s">
        <v>27</v>
      </c>
      <c r="I2002">
        <v>0.95</v>
      </c>
      <c r="J2002">
        <v>0.21</v>
      </c>
      <c r="K2002">
        <v>0.73</v>
      </c>
      <c r="L2002">
        <v>0.12</v>
      </c>
      <c r="M2002">
        <v>0.65</v>
      </c>
      <c r="N2002">
        <v>0.76</v>
      </c>
      <c r="O2002">
        <v>0.86</v>
      </c>
      <c r="P2002">
        <v>0.73</v>
      </c>
      <c r="Q2002">
        <v>0.92</v>
      </c>
      <c r="R2002" s="2">
        <v>0.52</v>
      </c>
      <c r="S2002" t="str">
        <f>IF(Table1[[#This Row],[Years_Experience]]&lt;=5,"Early Career",
IF(Table1[[#This Row],[Years_Experience]]&lt;=15,"Mid Career","Senior Level"))</f>
        <v>Senior Level</v>
      </c>
      <c r="T2002" t="str">
        <f>IF(Table1[[#This Row],[AI_Exposure_Index]]&gt;=0.7,"High Exposure", IF(Table1[[#This Row],[AI_Exposure_Index]]&gt;=0.3,"Medium Exposure","Low Exposure"))</f>
        <v>High Exposure</v>
      </c>
    </row>
    <row r="2003" spans="1:20" x14ac:dyDescent="0.25">
      <c r="A2003" t="s">
        <v>34</v>
      </c>
      <c r="B2003">
        <v>61917</v>
      </c>
      <c r="C2003" s="1">
        <v>10</v>
      </c>
      <c r="D2003" t="s">
        <v>19</v>
      </c>
      <c r="E2003" s="7">
        <v>0.78</v>
      </c>
      <c r="F2003" s="2">
        <v>0.8</v>
      </c>
      <c r="G2003" s="7">
        <v>0.41</v>
      </c>
      <c r="H2003" s="9" t="s">
        <v>27</v>
      </c>
      <c r="I2003">
        <v>0.83</v>
      </c>
      <c r="J2003">
        <v>0.15</v>
      </c>
      <c r="K2003">
        <v>0.62</v>
      </c>
      <c r="L2003">
        <v>0.96</v>
      </c>
      <c r="M2003">
        <v>0.84</v>
      </c>
      <c r="N2003">
        <v>0.06</v>
      </c>
      <c r="O2003">
        <v>0.32</v>
      </c>
      <c r="P2003">
        <v>0.14000000000000001</v>
      </c>
      <c r="Q2003">
        <v>0.95</v>
      </c>
      <c r="R2003" s="2">
        <v>0.99</v>
      </c>
      <c r="S2003" t="str">
        <f>IF(Table1[[#This Row],[Years_Experience]]&lt;=5,"Early Career",
IF(Table1[[#This Row],[Years_Experience]]&lt;=15,"Mid Career","Senior Level"))</f>
        <v>Mid Career</v>
      </c>
      <c r="T2003" t="str">
        <f>IF(Table1[[#This Row],[AI_Exposure_Index]]&gt;=0.7,"High Exposure", IF(Table1[[#This Row],[AI_Exposure_Index]]&gt;=0.3,"Medium Exposure","Low Exposure"))</f>
        <v>High Exposure</v>
      </c>
    </row>
    <row r="2004" spans="1:20" x14ac:dyDescent="0.25">
      <c r="A2004" t="s">
        <v>35</v>
      </c>
      <c r="B2004">
        <v>62948</v>
      </c>
      <c r="C2004" s="1">
        <v>6</v>
      </c>
      <c r="D2004" t="s">
        <v>22</v>
      </c>
      <c r="E2004" s="7">
        <v>1.34</v>
      </c>
      <c r="F2004" s="2">
        <v>0.67</v>
      </c>
      <c r="G2004" s="7">
        <v>0.39</v>
      </c>
      <c r="H2004" s="9" t="s">
        <v>27</v>
      </c>
      <c r="I2004">
        <v>0.19</v>
      </c>
      <c r="J2004">
        <v>0.01</v>
      </c>
      <c r="K2004">
        <v>0.41</v>
      </c>
      <c r="L2004">
        <v>0.9</v>
      </c>
      <c r="M2004">
        <v>0.9</v>
      </c>
      <c r="N2004">
        <v>0.13</v>
      </c>
      <c r="O2004">
        <v>0.2</v>
      </c>
      <c r="P2004">
        <v>0.41</v>
      </c>
      <c r="Q2004">
        <v>0.78</v>
      </c>
      <c r="R2004" s="2">
        <v>0.61</v>
      </c>
      <c r="S2004" t="str">
        <f>IF(Table1[[#This Row],[Years_Experience]]&lt;=5,"Early Career",
IF(Table1[[#This Row],[Years_Experience]]&lt;=15,"Mid Career","Senior Level"))</f>
        <v>Mid Career</v>
      </c>
      <c r="T2004" t="str">
        <f>IF(Table1[[#This Row],[AI_Exposure_Index]]&gt;=0.7,"High Exposure", IF(Table1[[#This Row],[AI_Exposure_Index]]&gt;=0.3,"Medium Exposure","Low Exposure"))</f>
        <v>Medium Exposure</v>
      </c>
    </row>
    <row r="2005" spans="1:20" x14ac:dyDescent="0.25">
      <c r="A2005" t="s">
        <v>35</v>
      </c>
      <c r="B2005">
        <v>138602</v>
      </c>
      <c r="C2005" s="1">
        <v>23</v>
      </c>
      <c r="D2005" t="s">
        <v>19</v>
      </c>
      <c r="E2005" s="7">
        <v>0.6</v>
      </c>
      <c r="F2005" s="2">
        <v>0.59</v>
      </c>
      <c r="G2005" s="7">
        <v>0.49</v>
      </c>
      <c r="H2005" s="9" t="s">
        <v>27</v>
      </c>
      <c r="I2005">
        <v>0.99</v>
      </c>
      <c r="J2005">
        <v>0.09</v>
      </c>
      <c r="K2005">
        <v>0.52</v>
      </c>
      <c r="L2005">
        <v>0.3</v>
      </c>
      <c r="M2005">
        <v>0.54</v>
      </c>
      <c r="N2005">
        <v>0.56999999999999995</v>
      </c>
      <c r="O2005">
        <v>0.57999999999999996</v>
      </c>
      <c r="P2005">
        <v>0.85</v>
      </c>
      <c r="Q2005">
        <v>0.39</v>
      </c>
      <c r="R2005" s="2">
        <v>0.52</v>
      </c>
      <c r="S2005" t="str">
        <f>IF(Table1[[#This Row],[Years_Experience]]&lt;=5,"Early Career",
IF(Table1[[#This Row],[Years_Experience]]&lt;=15,"Mid Career","Senior Level"))</f>
        <v>Senior Level</v>
      </c>
      <c r="T2005" t="str">
        <f>IF(Table1[[#This Row],[AI_Exposure_Index]]&gt;=0.7,"High Exposure", IF(Table1[[#This Row],[AI_Exposure_Index]]&gt;=0.3,"Medium Exposure","Low Exposure"))</f>
        <v>Medium Exposure</v>
      </c>
    </row>
    <row r="2006" spans="1:20" x14ac:dyDescent="0.25">
      <c r="A2006" t="s">
        <v>24</v>
      </c>
      <c r="B2006">
        <v>43322</v>
      </c>
      <c r="C2006" s="1">
        <v>3</v>
      </c>
      <c r="D2006" t="s">
        <v>22</v>
      </c>
      <c r="E2006" s="7">
        <v>0.76</v>
      </c>
      <c r="F2006" s="2">
        <v>0.79</v>
      </c>
      <c r="G2006" s="7">
        <v>0.9</v>
      </c>
      <c r="H2006" s="9" t="s">
        <v>20</v>
      </c>
      <c r="I2006">
        <v>0.27</v>
      </c>
      <c r="J2006">
        <v>0.01</v>
      </c>
      <c r="K2006">
        <v>0.15</v>
      </c>
      <c r="L2006">
        <v>0.99</v>
      </c>
      <c r="M2006">
        <v>0.32</v>
      </c>
      <c r="N2006">
        <v>0.11</v>
      </c>
      <c r="O2006">
        <v>0.12</v>
      </c>
      <c r="P2006">
        <v>0.31</v>
      </c>
      <c r="Q2006">
        <v>0.04</v>
      </c>
      <c r="R2006" s="2">
        <v>0.51</v>
      </c>
      <c r="S2006" t="str">
        <f>IF(Table1[[#This Row],[Years_Experience]]&lt;=5,"Early Career",
IF(Table1[[#This Row],[Years_Experience]]&lt;=15,"Mid Career","Senior Level"))</f>
        <v>Early Career</v>
      </c>
      <c r="T2006" t="str">
        <f>IF(Table1[[#This Row],[AI_Exposure_Index]]&gt;=0.7,"High Exposure", IF(Table1[[#This Row],[AI_Exposure_Index]]&gt;=0.3,"Medium Exposure","Low Exposure"))</f>
        <v>High Exposure</v>
      </c>
    </row>
    <row r="2007" spans="1:20" x14ac:dyDescent="0.25">
      <c r="A2007" t="s">
        <v>39</v>
      </c>
      <c r="B2007">
        <v>143044</v>
      </c>
      <c r="C2007" s="1">
        <v>14</v>
      </c>
      <c r="D2007" t="s">
        <v>25</v>
      </c>
      <c r="E2007" s="7">
        <v>0.64</v>
      </c>
      <c r="F2007" s="2">
        <v>0.52</v>
      </c>
      <c r="G2007" s="7">
        <v>0.81</v>
      </c>
      <c r="H2007" s="9" t="s">
        <v>20</v>
      </c>
      <c r="I2007">
        <v>0.6</v>
      </c>
      <c r="J2007">
        <v>0.06</v>
      </c>
      <c r="K2007">
        <v>0.4</v>
      </c>
      <c r="L2007">
        <v>0.3</v>
      </c>
      <c r="M2007">
        <v>0.24</v>
      </c>
      <c r="N2007">
        <v>0.6</v>
      </c>
      <c r="O2007">
        <v>0.59</v>
      </c>
      <c r="P2007">
        <v>0.63</v>
      </c>
      <c r="Q2007">
        <v>0.16</v>
      </c>
      <c r="R2007" s="2">
        <v>0.28999999999999998</v>
      </c>
      <c r="S2007" t="str">
        <f>IF(Table1[[#This Row],[Years_Experience]]&lt;=5,"Early Career",
IF(Table1[[#This Row],[Years_Experience]]&lt;=15,"Mid Career","Senior Level"))</f>
        <v>Mid Career</v>
      </c>
      <c r="T2007" t="str">
        <f>IF(Table1[[#This Row],[AI_Exposure_Index]]&gt;=0.7,"High Exposure", IF(Table1[[#This Row],[AI_Exposure_Index]]&gt;=0.3,"Medium Exposure","Low Exposure"))</f>
        <v>Medium Exposure</v>
      </c>
    </row>
    <row r="2008" spans="1:20" x14ac:dyDescent="0.25">
      <c r="A2008" t="s">
        <v>24</v>
      </c>
      <c r="B2008">
        <v>128875</v>
      </c>
      <c r="C2008" s="1">
        <v>7</v>
      </c>
      <c r="D2008" t="s">
        <v>38</v>
      </c>
      <c r="E2008" s="7">
        <v>0.96</v>
      </c>
      <c r="F2008" s="2">
        <v>0.54</v>
      </c>
      <c r="G2008" s="7">
        <v>0.78</v>
      </c>
      <c r="H2008" s="9" t="s">
        <v>20</v>
      </c>
      <c r="I2008">
        <v>0.79</v>
      </c>
      <c r="J2008">
        <v>0.09</v>
      </c>
      <c r="K2008">
        <v>0.97</v>
      </c>
      <c r="L2008">
        <v>0.12</v>
      </c>
      <c r="M2008">
        <v>0.77</v>
      </c>
      <c r="N2008">
        <v>0.37</v>
      </c>
      <c r="O2008">
        <v>0.87</v>
      </c>
      <c r="P2008">
        <v>7.0000000000000007E-2</v>
      </c>
      <c r="Q2008">
        <v>0.37</v>
      </c>
      <c r="R2008" s="2">
        <v>0.34</v>
      </c>
      <c r="S2008" t="str">
        <f>IF(Table1[[#This Row],[Years_Experience]]&lt;=5,"Early Career",
IF(Table1[[#This Row],[Years_Experience]]&lt;=15,"Mid Career","Senior Level"))</f>
        <v>Mid Career</v>
      </c>
      <c r="T2008" t="str">
        <f>IF(Table1[[#This Row],[AI_Exposure_Index]]&gt;=0.7,"High Exposure", IF(Table1[[#This Row],[AI_Exposure_Index]]&gt;=0.3,"Medium Exposure","Low Exposure"))</f>
        <v>Medium Exposure</v>
      </c>
    </row>
    <row r="2009" spans="1:20" x14ac:dyDescent="0.25">
      <c r="A2009" t="s">
        <v>29</v>
      </c>
      <c r="B2009">
        <v>130901</v>
      </c>
      <c r="C2009" s="1">
        <v>27</v>
      </c>
      <c r="D2009" t="s">
        <v>19</v>
      </c>
      <c r="E2009" s="7">
        <v>0.69</v>
      </c>
      <c r="F2009" s="2">
        <v>0.99</v>
      </c>
      <c r="G2009" s="7">
        <v>0.21</v>
      </c>
      <c r="H2009" s="9" t="s">
        <v>23</v>
      </c>
      <c r="I2009">
        <v>0.54</v>
      </c>
      <c r="J2009">
        <v>0.15</v>
      </c>
      <c r="K2009">
        <v>0.17</v>
      </c>
      <c r="L2009">
        <v>0.99</v>
      </c>
      <c r="M2009">
        <v>0.45</v>
      </c>
      <c r="N2009">
        <v>0.13</v>
      </c>
      <c r="O2009">
        <v>0.21</v>
      </c>
      <c r="P2009">
        <v>0.27</v>
      </c>
      <c r="Q2009">
        <v>0.51</v>
      </c>
      <c r="R2009" s="2">
        <v>0.34</v>
      </c>
      <c r="S2009" t="str">
        <f>IF(Table1[[#This Row],[Years_Experience]]&lt;=5,"Early Career",
IF(Table1[[#This Row],[Years_Experience]]&lt;=15,"Mid Career","Senior Level"))</f>
        <v>Senior Level</v>
      </c>
      <c r="T2009" t="str">
        <f>IF(Table1[[#This Row],[AI_Exposure_Index]]&gt;=0.7,"High Exposure", IF(Table1[[#This Row],[AI_Exposure_Index]]&gt;=0.3,"Medium Exposure","Low Exposure"))</f>
        <v>High Exposure</v>
      </c>
    </row>
    <row r="2010" spans="1:20" x14ac:dyDescent="0.25">
      <c r="A2010" t="s">
        <v>31</v>
      </c>
      <c r="B2010">
        <v>138298</v>
      </c>
      <c r="C2010" s="1">
        <v>2</v>
      </c>
      <c r="D2010" t="s">
        <v>19</v>
      </c>
      <c r="E2010" s="7">
        <v>0.83</v>
      </c>
      <c r="F2010" s="2">
        <v>0.17</v>
      </c>
      <c r="G2010" s="7">
        <v>7.0000000000000007E-2</v>
      </c>
      <c r="H2010" s="9" t="s">
        <v>23</v>
      </c>
      <c r="I2010">
        <v>0.89</v>
      </c>
      <c r="J2010">
        <v>0.2</v>
      </c>
      <c r="K2010">
        <v>0.76</v>
      </c>
      <c r="L2010">
        <v>0.35</v>
      </c>
      <c r="M2010">
        <v>0.47</v>
      </c>
      <c r="N2010">
        <v>0.28999999999999998</v>
      </c>
      <c r="O2010">
        <v>0.7</v>
      </c>
      <c r="P2010">
        <v>0.84</v>
      </c>
      <c r="Q2010">
        <v>0.28999999999999998</v>
      </c>
      <c r="R2010" s="2">
        <v>0.24</v>
      </c>
      <c r="S2010" t="str">
        <f>IF(Table1[[#This Row],[Years_Experience]]&lt;=5,"Early Career",
IF(Table1[[#This Row],[Years_Experience]]&lt;=15,"Mid Career","Senior Level"))</f>
        <v>Early Career</v>
      </c>
      <c r="T2010" t="str">
        <f>IF(Table1[[#This Row],[AI_Exposure_Index]]&gt;=0.7,"High Exposure", IF(Table1[[#This Row],[AI_Exposure_Index]]&gt;=0.3,"Medium Exposure","Low Exposure"))</f>
        <v>Low Exposure</v>
      </c>
    </row>
    <row r="2011" spans="1:20" x14ac:dyDescent="0.25">
      <c r="A2011" t="s">
        <v>24</v>
      </c>
      <c r="B2011">
        <v>86987</v>
      </c>
      <c r="C2011" s="1">
        <v>9</v>
      </c>
      <c r="D2011" t="s">
        <v>25</v>
      </c>
      <c r="E2011" s="7">
        <v>1.1399999999999999</v>
      </c>
      <c r="F2011" s="2">
        <v>0.2</v>
      </c>
      <c r="G2011" s="7">
        <v>0.72</v>
      </c>
      <c r="H2011" s="9" t="s">
        <v>20</v>
      </c>
      <c r="I2011">
        <v>0.62</v>
      </c>
      <c r="J2011">
        <v>0.51</v>
      </c>
      <c r="K2011">
        <v>0.11</v>
      </c>
      <c r="L2011">
        <v>0.65</v>
      </c>
      <c r="M2011">
        <v>0.45</v>
      </c>
      <c r="N2011">
        <v>0.22</v>
      </c>
      <c r="O2011">
        <v>0.35</v>
      </c>
      <c r="P2011">
        <v>0.49</v>
      </c>
      <c r="Q2011">
        <v>0.09</v>
      </c>
      <c r="R2011" s="2">
        <v>0.96</v>
      </c>
      <c r="S2011" t="str">
        <f>IF(Table1[[#This Row],[Years_Experience]]&lt;=5,"Early Career",
IF(Table1[[#This Row],[Years_Experience]]&lt;=15,"Mid Career","Senior Level"))</f>
        <v>Mid Career</v>
      </c>
      <c r="T2011" t="str">
        <f>IF(Table1[[#This Row],[AI_Exposure_Index]]&gt;=0.7,"High Exposure", IF(Table1[[#This Row],[AI_Exposure_Index]]&gt;=0.3,"Medium Exposure","Low Exposure"))</f>
        <v>Low Exposure</v>
      </c>
    </row>
    <row r="2012" spans="1:20" x14ac:dyDescent="0.25">
      <c r="A2012" t="s">
        <v>24</v>
      </c>
      <c r="B2012">
        <v>48445</v>
      </c>
      <c r="C2012" s="1">
        <v>26</v>
      </c>
      <c r="D2012" t="s">
        <v>25</v>
      </c>
      <c r="E2012" s="7">
        <v>1.32</v>
      </c>
      <c r="F2012" s="2">
        <v>0.1</v>
      </c>
      <c r="G2012" s="7">
        <v>0.78</v>
      </c>
      <c r="H2012" s="9" t="s">
        <v>20</v>
      </c>
      <c r="I2012">
        <v>0.6</v>
      </c>
      <c r="J2012">
        <v>0.28000000000000003</v>
      </c>
      <c r="K2012">
        <v>0.73</v>
      </c>
      <c r="L2012">
        <v>0.72</v>
      </c>
      <c r="M2012">
        <v>0.55000000000000004</v>
      </c>
      <c r="N2012">
        <v>0.24</v>
      </c>
      <c r="O2012">
        <v>0.25</v>
      </c>
      <c r="P2012">
        <v>0.38</v>
      </c>
      <c r="Q2012">
        <v>0.15</v>
      </c>
      <c r="R2012" s="2">
        <v>0.34</v>
      </c>
      <c r="S2012" t="str">
        <f>IF(Table1[[#This Row],[Years_Experience]]&lt;=5,"Early Career",
IF(Table1[[#This Row],[Years_Experience]]&lt;=15,"Mid Career","Senior Level"))</f>
        <v>Senior Level</v>
      </c>
      <c r="T2012" t="str">
        <f>IF(Table1[[#This Row],[AI_Exposure_Index]]&gt;=0.7,"High Exposure", IF(Table1[[#This Row],[AI_Exposure_Index]]&gt;=0.3,"Medium Exposure","Low Exposure"))</f>
        <v>Low Exposure</v>
      </c>
    </row>
    <row r="2013" spans="1:20" x14ac:dyDescent="0.25">
      <c r="A2013" t="s">
        <v>39</v>
      </c>
      <c r="B2013">
        <v>44407</v>
      </c>
      <c r="C2013" s="1">
        <v>0</v>
      </c>
      <c r="D2013" t="s">
        <v>22</v>
      </c>
      <c r="E2013" s="7">
        <v>0.9</v>
      </c>
      <c r="F2013" s="2">
        <v>0.81</v>
      </c>
      <c r="G2013" s="7">
        <v>0.89</v>
      </c>
      <c r="H2013" s="9" t="s">
        <v>20</v>
      </c>
      <c r="I2013">
        <v>0.1</v>
      </c>
      <c r="J2013">
        <v>0.88</v>
      </c>
      <c r="K2013">
        <v>0.28999999999999998</v>
      </c>
      <c r="L2013">
        <v>0.4</v>
      </c>
      <c r="M2013">
        <v>0.8</v>
      </c>
      <c r="N2013">
        <v>0.64</v>
      </c>
      <c r="O2013">
        <v>0.31</v>
      </c>
      <c r="P2013">
        <v>0.23</v>
      </c>
      <c r="Q2013">
        <v>0.96</v>
      </c>
      <c r="R2013" s="2">
        <v>0.09</v>
      </c>
      <c r="S2013" t="str">
        <f>IF(Table1[[#This Row],[Years_Experience]]&lt;=5,"Early Career",
IF(Table1[[#This Row],[Years_Experience]]&lt;=15,"Mid Career","Senior Level"))</f>
        <v>Early Career</v>
      </c>
      <c r="T2013" t="str">
        <f>IF(Table1[[#This Row],[AI_Exposure_Index]]&gt;=0.7,"High Exposure", IF(Table1[[#This Row],[AI_Exposure_Index]]&gt;=0.3,"Medium Exposure","Low Exposure"))</f>
        <v>High Exposure</v>
      </c>
    </row>
    <row r="2014" spans="1:20" x14ac:dyDescent="0.25">
      <c r="A2014" t="s">
        <v>24</v>
      </c>
      <c r="B2014">
        <v>36934</v>
      </c>
      <c r="C2014" s="1">
        <v>3</v>
      </c>
      <c r="D2014" t="s">
        <v>22</v>
      </c>
      <c r="E2014" s="7">
        <v>1.1100000000000001</v>
      </c>
      <c r="F2014" s="2">
        <v>0.67</v>
      </c>
      <c r="G2014" s="7">
        <v>0.88</v>
      </c>
      <c r="H2014" s="9" t="s">
        <v>20</v>
      </c>
      <c r="I2014">
        <v>0.73</v>
      </c>
      <c r="J2014">
        <v>0.86</v>
      </c>
      <c r="K2014">
        <v>0.92</v>
      </c>
      <c r="L2014">
        <v>0.78</v>
      </c>
      <c r="M2014">
        <v>0.23</v>
      </c>
      <c r="N2014">
        <v>0.46</v>
      </c>
      <c r="O2014">
        <v>0.64</v>
      </c>
      <c r="P2014">
        <v>0.54</v>
      </c>
      <c r="Q2014">
        <v>0.16</v>
      </c>
      <c r="R2014" s="2">
        <v>0.59</v>
      </c>
      <c r="S2014" t="str">
        <f>IF(Table1[[#This Row],[Years_Experience]]&lt;=5,"Early Career",
IF(Table1[[#This Row],[Years_Experience]]&lt;=15,"Mid Career","Senior Level"))</f>
        <v>Early Career</v>
      </c>
      <c r="T2014" t="str">
        <f>IF(Table1[[#This Row],[AI_Exposure_Index]]&gt;=0.7,"High Exposure", IF(Table1[[#This Row],[AI_Exposure_Index]]&gt;=0.3,"Medium Exposure","Low Exposure"))</f>
        <v>Medium Exposure</v>
      </c>
    </row>
    <row r="2015" spans="1:20" x14ac:dyDescent="0.25">
      <c r="A2015" t="s">
        <v>26</v>
      </c>
      <c r="B2015">
        <v>131053</v>
      </c>
      <c r="C2015" s="1">
        <v>0</v>
      </c>
      <c r="D2015" t="s">
        <v>19</v>
      </c>
      <c r="E2015" s="7">
        <v>1.17</v>
      </c>
      <c r="F2015" s="2">
        <v>0.42</v>
      </c>
      <c r="G2015" s="7">
        <v>0.55000000000000004</v>
      </c>
      <c r="H2015" s="9" t="s">
        <v>27</v>
      </c>
      <c r="I2015">
        <v>0.38</v>
      </c>
      <c r="J2015">
        <v>0.56999999999999995</v>
      </c>
      <c r="K2015">
        <v>0.21</v>
      </c>
      <c r="L2015">
        <v>0.55000000000000004</v>
      </c>
      <c r="M2015">
        <v>0.8</v>
      </c>
      <c r="N2015">
        <v>0.76</v>
      </c>
      <c r="O2015">
        <v>0.36</v>
      </c>
      <c r="P2015">
        <v>0.11</v>
      </c>
      <c r="Q2015">
        <v>0.8</v>
      </c>
      <c r="R2015" s="2">
        <v>0.27</v>
      </c>
      <c r="S2015" t="str">
        <f>IF(Table1[[#This Row],[Years_Experience]]&lt;=5,"Early Career",
IF(Table1[[#This Row],[Years_Experience]]&lt;=15,"Mid Career","Senior Level"))</f>
        <v>Early Career</v>
      </c>
      <c r="T2015" t="str">
        <f>IF(Table1[[#This Row],[AI_Exposure_Index]]&gt;=0.7,"High Exposure", IF(Table1[[#This Row],[AI_Exposure_Index]]&gt;=0.3,"Medium Exposure","Low Exposure"))</f>
        <v>Medium Exposure</v>
      </c>
    </row>
    <row r="2016" spans="1:20" x14ac:dyDescent="0.25">
      <c r="A2016" t="s">
        <v>37</v>
      </c>
      <c r="B2016">
        <v>48082</v>
      </c>
      <c r="C2016" s="1">
        <v>19</v>
      </c>
      <c r="D2016" t="s">
        <v>19</v>
      </c>
      <c r="E2016" s="7">
        <v>1.24</v>
      </c>
      <c r="F2016" s="2">
        <v>0.45</v>
      </c>
      <c r="G2016" s="7">
        <v>0.62</v>
      </c>
      <c r="H2016" s="9" t="s">
        <v>27</v>
      </c>
      <c r="I2016">
        <v>0.98</v>
      </c>
      <c r="J2016">
        <v>0.19</v>
      </c>
      <c r="K2016">
        <v>0.28999999999999998</v>
      </c>
      <c r="L2016">
        <v>0.61</v>
      </c>
      <c r="M2016">
        <v>0.81</v>
      </c>
      <c r="N2016">
        <v>0.23</v>
      </c>
      <c r="O2016">
        <v>0.41</v>
      </c>
      <c r="P2016">
        <v>0.41</v>
      </c>
      <c r="Q2016">
        <v>0.77</v>
      </c>
      <c r="R2016" s="2">
        <v>0.24</v>
      </c>
      <c r="S2016" t="str">
        <f>IF(Table1[[#This Row],[Years_Experience]]&lt;=5,"Early Career",
IF(Table1[[#This Row],[Years_Experience]]&lt;=15,"Mid Career","Senior Level"))</f>
        <v>Senior Level</v>
      </c>
      <c r="T2016" t="str">
        <f>IF(Table1[[#This Row],[AI_Exposure_Index]]&gt;=0.7,"High Exposure", IF(Table1[[#This Row],[AI_Exposure_Index]]&gt;=0.3,"Medium Exposure","Low Exposure"))</f>
        <v>Medium Exposure</v>
      </c>
    </row>
    <row r="2017" spans="1:20" x14ac:dyDescent="0.25">
      <c r="A2017" t="s">
        <v>29</v>
      </c>
      <c r="B2017">
        <v>66738</v>
      </c>
      <c r="C2017" s="1">
        <v>18</v>
      </c>
      <c r="D2017" t="s">
        <v>25</v>
      </c>
      <c r="E2017" s="7">
        <v>0.78</v>
      </c>
      <c r="F2017" s="2">
        <v>0.51</v>
      </c>
      <c r="G2017" s="7">
        <v>0.12</v>
      </c>
      <c r="H2017" s="9" t="s">
        <v>23</v>
      </c>
      <c r="I2017">
        <v>0.02</v>
      </c>
      <c r="J2017">
        <v>0.69</v>
      </c>
      <c r="K2017">
        <v>0.78</v>
      </c>
      <c r="L2017">
        <v>0.03</v>
      </c>
      <c r="M2017">
        <v>0.59</v>
      </c>
      <c r="N2017">
        <v>0.78</v>
      </c>
      <c r="O2017">
        <v>0.38</v>
      </c>
      <c r="P2017">
        <v>0.43</v>
      </c>
      <c r="Q2017">
        <v>0.36</v>
      </c>
      <c r="R2017" s="2">
        <v>0.32</v>
      </c>
      <c r="S2017" t="str">
        <f>IF(Table1[[#This Row],[Years_Experience]]&lt;=5,"Early Career",
IF(Table1[[#This Row],[Years_Experience]]&lt;=15,"Mid Career","Senior Level"))</f>
        <v>Senior Level</v>
      </c>
      <c r="T2017" t="str">
        <f>IF(Table1[[#This Row],[AI_Exposure_Index]]&gt;=0.7,"High Exposure", IF(Table1[[#This Row],[AI_Exposure_Index]]&gt;=0.3,"Medium Exposure","Low Exposure"))</f>
        <v>Medium Exposure</v>
      </c>
    </row>
    <row r="2018" spans="1:20" x14ac:dyDescent="0.25">
      <c r="A2018" t="s">
        <v>31</v>
      </c>
      <c r="B2018">
        <v>125946</v>
      </c>
      <c r="C2018" s="1">
        <v>8</v>
      </c>
      <c r="D2018" t="s">
        <v>25</v>
      </c>
      <c r="E2018" s="7">
        <v>0.94</v>
      </c>
      <c r="F2018" s="2">
        <v>0.17</v>
      </c>
      <c r="G2018" s="7">
        <v>0.28999999999999998</v>
      </c>
      <c r="H2018" s="9" t="s">
        <v>23</v>
      </c>
      <c r="I2018">
        <v>0.03</v>
      </c>
      <c r="J2018">
        <v>0.16</v>
      </c>
      <c r="K2018">
        <v>0.78</v>
      </c>
      <c r="L2018">
        <v>0.13</v>
      </c>
      <c r="M2018">
        <v>0.27</v>
      </c>
      <c r="N2018">
        <v>0.45</v>
      </c>
      <c r="O2018">
        <v>0.94</v>
      </c>
      <c r="P2018">
        <v>0.18</v>
      </c>
      <c r="Q2018">
        <v>0.92</v>
      </c>
      <c r="R2018" s="2">
        <v>0.72</v>
      </c>
      <c r="S2018" t="str">
        <f>IF(Table1[[#This Row],[Years_Experience]]&lt;=5,"Early Career",
IF(Table1[[#This Row],[Years_Experience]]&lt;=15,"Mid Career","Senior Level"))</f>
        <v>Mid Career</v>
      </c>
      <c r="T2018" t="str">
        <f>IF(Table1[[#This Row],[AI_Exposure_Index]]&gt;=0.7,"High Exposure", IF(Table1[[#This Row],[AI_Exposure_Index]]&gt;=0.3,"Medium Exposure","Low Exposure"))</f>
        <v>Low Exposure</v>
      </c>
    </row>
    <row r="2019" spans="1:20" x14ac:dyDescent="0.25">
      <c r="A2019" t="s">
        <v>26</v>
      </c>
      <c r="B2019">
        <v>40037</v>
      </c>
      <c r="C2019" s="1">
        <v>25</v>
      </c>
      <c r="D2019" t="s">
        <v>19</v>
      </c>
      <c r="E2019" s="7">
        <v>0.53</v>
      </c>
      <c r="F2019" s="2">
        <v>0.72</v>
      </c>
      <c r="G2019" s="7">
        <v>0.34</v>
      </c>
      <c r="H2019" s="9" t="s">
        <v>27</v>
      </c>
      <c r="I2019">
        <v>0.33</v>
      </c>
      <c r="J2019">
        <v>7.0000000000000007E-2</v>
      </c>
      <c r="K2019">
        <v>0.99</v>
      </c>
      <c r="L2019">
        <v>0.57999999999999996</v>
      </c>
      <c r="M2019">
        <v>0.49</v>
      </c>
      <c r="N2019">
        <v>0.79</v>
      </c>
      <c r="O2019">
        <v>0.98</v>
      </c>
      <c r="P2019">
        <v>0.96</v>
      </c>
      <c r="Q2019">
        <v>0.79</v>
      </c>
      <c r="R2019" s="2">
        <v>0.38</v>
      </c>
      <c r="S2019" t="str">
        <f>IF(Table1[[#This Row],[Years_Experience]]&lt;=5,"Early Career",
IF(Table1[[#This Row],[Years_Experience]]&lt;=15,"Mid Career","Senior Level"))</f>
        <v>Senior Level</v>
      </c>
      <c r="T2019" t="str">
        <f>IF(Table1[[#This Row],[AI_Exposure_Index]]&gt;=0.7,"High Exposure", IF(Table1[[#This Row],[AI_Exposure_Index]]&gt;=0.3,"Medium Exposure","Low Exposure"))</f>
        <v>High Exposure</v>
      </c>
    </row>
    <row r="2020" spans="1:20" x14ac:dyDescent="0.25">
      <c r="A2020" t="s">
        <v>41</v>
      </c>
      <c r="B2020">
        <v>77287</v>
      </c>
      <c r="C2020" s="1">
        <v>23</v>
      </c>
      <c r="D2020" t="s">
        <v>25</v>
      </c>
      <c r="E2020" s="7">
        <v>0.5</v>
      </c>
      <c r="F2020" s="2">
        <v>0.1</v>
      </c>
      <c r="G2020" s="7">
        <v>0.7</v>
      </c>
      <c r="H2020" s="9" t="s">
        <v>27</v>
      </c>
      <c r="I2020">
        <v>0.94</v>
      </c>
      <c r="J2020">
        <v>0.93</v>
      </c>
      <c r="K2020">
        <v>0.67</v>
      </c>
      <c r="L2020">
        <v>0.73</v>
      </c>
      <c r="M2020">
        <v>0.51</v>
      </c>
      <c r="N2020">
        <v>0.24</v>
      </c>
      <c r="O2020">
        <v>0.91</v>
      </c>
      <c r="P2020">
        <v>0.28000000000000003</v>
      </c>
      <c r="Q2020">
        <v>0.74</v>
      </c>
      <c r="R2020" s="2">
        <v>0.25</v>
      </c>
      <c r="S2020" t="str">
        <f>IF(Table1[[#This Row],[Years_Experience]]&lt;=5,"Early Career",
IF(Table1[[#This Row],[Years_Experience]]&lt;=15,"Mid Career","Senior Level"))</f>
        <v>Senior Level</v>
      </c>
      <c r="T2020" t="str">
        <f>IF(Table1[[#This Row],[AI_Exposure_Index]]&gt;=0.7,"High Exposure", IF(Table1[[#This Row],[AI_Exposure_Index]]&gt;=0.3,"Medium Exposure","Low Exposure"))</f>
        <v>Low Exposure</v>
      </c>
    </row>
    <row r="2021" spans="1:20" x14ac:dyDescent="0.25">
      <c r="A2021" t="s">
        <v>24</v>
      </c>
      <c r="B2021">
        <v>33063</v>
      </c>
      <c r="C2021" s="1">
        <v>1</v>
      </c>
      <c r="D2021" t="s">
        <v>19</v>
      </c>
      <c r="E2021" s="7">
        <v>1.1399999999999999</v>
      </c>
      <c r="F2021" s="2">
        <v>0.65</v>
      </c>
      <c r="G2021" s="7">
        <v>0.72</v>
      </c>
      <c r="H2021" s="9" t="s">
        <v>20</v>
      </c>
      <c r="I2021">
        <v>0.42</v>
      </c>
      <c r="J2021">
        <v>0.52</v>
      </c>
      <c r="K2021">
        <v>0.28999999999999998</v>
      </c>
      <c r="L2021">
        <v>0.88</v>
      </c>
      <c r="M2021">
        <v>0.84</v>
      </c>
      <c r="N2021">
        <v>0.49</v>
      </c>
      <c r="O2021">
        <v>0.34</v>
      </c>
      <c r="P2021">
        <v>0.8</v>
      </c>
      <c r="Q2021">
        <v>0.2</v>
      </c>
      <c r="R2021" s="2">
        <v>7.0000000000000007E-2</v>
      </c>
      <c r="S2021" t="str">
        <f>IF(Table1[[#This Row],[Years_Experience]]&lt;=5,"Early Career",
IF(Table1[[#This Row],[Years_Experience]]&lt;=15,"Mid Career","Senior Level"))</f>
        <v>Early Career</v>
      </c>
      <c r="T2021" t="str">
        <f>IF(Table1[[#This Row],[AI_Exposure_Index]]&gt;=0.7,"High Exposure", IF(Table1[[#This Row],[AI_Exposure_Index]]&gt;=0.3,"Medium Exposure","Low Exposure"))</f>
        <v>Medium Exposure</v>
      </c>
    </row>
    <row r="2022" spans="1:20" x14ac:dyDescent="0.25">
      <c r="A2022" t="s">
        <v>35</v>
      </c>
      <c r="B2022">
        <v>140263</v>
      </c>
      <c r="C2022" s="1">
        <v>12</v>
      </c>
      <c r="D2022" t="s">
        <v>25</v>
      </c>
      <c r="E2022" s="7">
        <v>0.99</v>
      </c>
      <c r="F2022" s="2">
        <v>0.04</v>
      </c>
      <c r="G2022" s="7">
        <v>0.4</v>
      </c>
      <c r="H2022" s="9" t="s">
        <v>27</v>
      </c>
      <c r="I2022">
        <v>0.69</v>
      </c>
      <c r="J2022">
        <v>0.65</v>
      </c>
      <c r="K2022">
        <v>0.54</v>
      </c>
      <c r="L2022">
        <v>0.35</v>
      </c>
      <c r="M2022">
        <v>0.85</v>
      </c>
      <c r="N2022">
        <v>0.71</v>
      </c>
      <c r="O2022">
        <v>0.27</v>
      </c>
      <c r="P2022">
        <v>0.5</v>
      </c>
      <c r="Q2022">
        <v>0.16</v>
      </c>
      <c r="R2022" s="2">
        <v>0.33</v>
      </c>
      <c r="S2022" t="str">
        <f>IF(Table1[[#This Row],[Years_Experience]]&lt;=5,"Early Career",
IF(Table1[[#This Row],[Years_Experience]]&lt;=15,"Mid Career","Senior Level"))</f>
        <v>Mid Career</v>
      </c>
      <c r="T2022" t="str">
        <f>IF(Table1[[#This Row],[AI_Exposure_Index]]&gt;=0.7,"High Exposure", IF(Table1[[#This Row],[AI_Exposure_Index]]&gt;=0.3,"Medium Exposure","Low Exposure"))</f>
        <v>Low Exposure</v>
      </c>
    </row>
    <row r="2023" spans="1:20" x14ac:dyDescent="0.25">
      <c r="A2023" t="s">
        <v>44</v>
      </c>
      <c r="B2023">
        <v>67932</v>
      </c>
      <c r="C2023" s="1">
        <v>9</v>
      </c>
      <c r="D2023" t="s">
        <v>19</v>
      </c>
      <c r="E2023" s="7">
        <v>1.2</v>
      </c>
      <c r="F2023" s="2">
        <v>0.22</v>
      </c>
      <c r="G2023" s="7">
        <v>0.4</v>
      </c>
      <c r="H2023" s="9" t="s">
        <v>27</v>
      </c>
      <c r="I2023">
        <v>0.94</v>
      </c>
      <c r="J2023">
        <v>0.31</v>
      </c>
      <c r="K2023">
        <v>0.35</v>
      </c>
      <c r="L2023">
        <v>0.59</v>
      </c>
      <c r="M2023">
        <v>0.59</v>
      </c>
      <c r="N2023">
        <v>0.57999999999999996</v>
      </c>
      <c r="O2023">
        <v>0.56999999999999995</v>
      </c>
      <c r="P2023">
        <v>0.31</v>
      </c>
      <c r="Q2023">
        <v>0.43</v>
      </c>
      <c r="R2023" s="2">
        <v>0.59</v>
      </c>
      <c r="S2023" t="str">
        <f>IF(Table1[[#This Row],[Years_Experience]]&lt;=5,"Early Career",
IF(Table1[[#This Row],[Years_Experience]]&lt;=15,"Mid Career","Senior Level"))</f>
        <v>Mid Career</v>
      </c>
      <c r="T2023" t="str">
        <f>IF(Table1[[#This Row],[AI_Exposure_Index]]&gt;=0.7,"High Exposure", IF(Table1[[#This Row],[AI_Exposure_Index]]&gt;=0.3,"Medium Exposure","Low Exposure"))</f>
        <v>Low Exposure</v>
      </c>
    </row>
    <row r="2024" spans="1:20" x14ac:dyDescent="0.25">
      <c r="A2024" t="s">
        <v>34</v>
      </c>
      <c r="B2024">
        <v>53519</v>
      </c>
      <c r="C2024" s="1">
        <v>24</v>
      </c>
      <c r="D2024" t="s">
        <v>38</v>
      </c>
      <c r="E2024" s="7">
        <v>1.2</v>
      </c>
      <c r="F2024" s="2">
        <v>0.25</v>
      </c>
      <c r="G2024" s="7">
        <v>0.67</v>
      </c>
      <c r="H2024" s="9" t="s">
        <v>27</v>
      </c>
      <c r="I2024">
        <v>0.76</v>
      </c>
      <c r="J2024">
        <v>0.08</v>
      </c>
      <c r="K2024">
        <v>0.47</v>
      </c>
      <c r="L2024">
        <v>0.44</v>
      </c>
      <c r="M2024">
        <v>0.34</v>
      </c>
      <c r="N2024">
        <v>0.49</v>
      </c>
      <c r="O2024">
        <v>0.44</v>
      </c>
      <c r="P2024">
        <v>0.01</v>
      </c>
      <c r="Q2024">
        <v>0.24</v>
      </c>
      <c r="R2024" s="2">
        <v>0.21</v>
      </c>
      <c r="S2024" t="str">
        <f>IF(Table1[[#This Row],[Years_Experience]]&lt;=5,"Early Career",
IF(Table1[[#This Row],[Years_Experience]]&lt;=15,"Mid Career","Senior Level"))</f>
        <v>Senior Level</v>
      </c>
      <c r="T2024" t="str">
        <f>IF(Table1[[#This Row],[AI_Exposure_Index]]&gt;=0.7,"High Exposure", IF(Table1[[#This Row],[AI_Exposure_Index]]&gt;=0.3,"Medium Exposure","Low Exposure"))</f>
        <v>Low Exposure</v>
      </c>
    </row>
    <row r="2025" spans="1:20" x14ac:dyDescent="0.25">
      <c r="A2025" t="s">
        <v>36</v>
      </c>
      <c r="B2025">
        <v>100363</v>
      </c>
      <c r="C2025" s="1">
        <v>11</v>
      </c>
      <c r="D2025" t="s">
        <v>38</v>
      </c>
      <c r="E2025" s="7">
        <v>0.56999999999999995</v>
      </c>
      <c r="F2025" s="2">
        <v>0.17</v>
      </c>
      <c r="G2025" s="7">
        <v>0.38</v>
      </c>
      <c r="H2025" s="9" t="s">
        <v>27</v>
      </c>
      <c r="I2025">
        <v>0.85</v>
      </c>
      <c r="J2025">
        <v>0.8</v>
      </c>
      <c r="K2025">
        <v>0.44</v>
      </c>
      <c r="L2025">
        <v>0.88</v>
      </c>
      <c r="M2025">
        <v>0.23</v>
      </c>
      <c r="N2025">
        <v>0.57999999999999996</v>
      </c>
      <c r="O2025">
        <v>0.14000000000000001</v>
      </c>
      <c r="P2025">
        <v>0.83</v>
      </c>
      <c r="Q2025">
        <v>0.13</v>
      </c>
      <c r="R2025" s="2">
        <v>0.03</v>
      </c>
      <c r="S2025" t="str">
        <f>IF(Table1[[#This Row],[Years_Experience]]&lt;=5,"Early Career",
IF(Table1[[#This Row],[Years_Experience]]&lt;=15,"Mid Career","Senior Level"))</f>
        <v>Mid Career</v>
      </c>
      <c r="T2025" t="str">
        <f>IF(Table1[[#This Row],[AI_Exposure_Index]]&gt;=0.7,"High Exposure", IF(Table1[[#This Row],[AI_Exposure_Index]]&gt;=0.3,"Medium Exposure","Low Exposure"))</f>
        <v>Low Exposure</v>
      </c>
    </row>
    <row r="2026" spans="1:20" x14ac:dyDescent="0.25">
      <c r="A2026" t="s">
        <v>43</v>
      </c>
      <c r="B2026">
        <v>58911</v>
      </c>
      <c r="C2026" s="1">
        <v>8</v>
      </c>
      <c r="D2026" t="s">
        <v>25</v>
      </c>
      <c r="E2026" s="7">
        <v>0.63</v>
      </c>
      <c r="F2026" s="2">
        <v>0.9</v>
      </c>
      <c r="G2026" s="7">
        <v>0.13</v>
      </c>
      <c r="H2026" s="9" t="s">
        <v>23</v>
      </c>
      <c r="I2026">
        <v>0.32</v>
      </c>
      <c r="J2026">
        <v>0.8</v>
      </c>
      <c r="K2026">
        <v>0.42</v>
      </c>
      <c r="L2026">
        <v>0.61</v>
      </c>
      <c r="M2026">
        <v>0.4</v>
      </c>
      <c r="N2026">
        <v>0.55000000000000004</v>
      </c>
      <c r="O2026">
        <v>0.06</v>
      </c>
      <c r="P2026">
        <v>0.37</v>
      </c>
      <c r="Q2026">
        <v>0.86</v>
      </c>
      <c r="R2026" s="2">
        <v>0.69</v>
      </c>
      <c r="S2026" t="str">
        <f>IF(Table1[[#This Row],[Years_Experience]]&lt;=5,"Early Career",
IF(Table1[[#This Row],[Years_Experience]]&lt;=15,"Mid Career","Senior Level"))</f>
        <v>Mid Career</v>
      </c>
      <c r="T2026" t="str">
        <f>IF(Table1[[#This Row],[AI_Exposure_Index]]&gt;=0.7,"High Exposure", IF(Table1[[#This Row],[AI_Exposure_Index]]&gt;=0.3,"Medium Exposure","Low Exposure"))</f>
        <v>High Exposure</v>
      </c>
    </row>
    <row r="2027" spans="1:20" x14ac:dyDescent="0.25">
      <c r="A2027" t="s">
        <v>32</v>
      </c>
      <c r="B2027">
        <v>105253</v>
      </c>
      <c r="C2027" s="1">
        <v>19</v>
      </c>
      <c r="D2027" t="s">
        <v>25</v>
      </c>
      <c r="E2027" s="7">
        <v>0.95</v>
      </c>
      <c r="F2027" s="2">
        <v>0.79</v>
      </c>
      <c r="G2027" s="7">
        <v>0.56999999999999995</v>
      </c>
      <c r="H2027" s="9" t="s">
        <v>27</v>
      </c>
      <c r="I2027">
        <v>0.78</v>
      </c>
      <c r="J2027">
        <v>0.27</v>
      </c>
      <c r="K2027">
        <v>0.06</v>
      </c>
      <c r="L2027">
        <v>0.41</v>
      </c>
      <c r="M2027">
        <v>0.14000000000000001</v>
      </c>
      <c r="N2027">
        <v>0.28000000000000003</v>
      </c>
      <c r="O2027">
        <v>0.95</v>
      </c>
      <c r="P2027">
        <v>0.85</v>
      </c>
      <c r="Q2027">
        <v>0.59</v>
      </c>
      <c r="R2027" s="2">
        <v>0.4</v>
      </c>
      <c r="S2027" t="str">
        <f>IF(Table1[[#This Row],[Years_Experience]]&lt;=5,"Early Career",
IF(Table1[[#This Row],[Years_Experience]]&lt;=15,"Mid Career","Senior Level"))</f>
        <v>Senior Level</v>
      </c>
      <c r="T2027" t="str">
        <f>IF(Table1[[#This Row],[AI_Exposure_Index]]&gt;=0.7,"High Exposure", IF(Table1[[#This Row],[AI_Exposure_Index]]&gt;=0.3,"Medium Exposure","Low Exposure"))</f>
        <v>High Exposure</v>
      </c>
    </row>
    <row r="2028" spans="1:20" x14ac:dyDescent="0.25">
      <c r="A2028" t="s">
        <v>36</v>
      </c>
      <c r="B2028">
        <v>105650</v>
      </c>
      <c r="C2028" s="1">
        <v>5</v>
      </c>
      <c r="D2028" t="s">
        <v>19</v>
      </c>
      <c r="E2028" s="7">
        <v>1.03</v>
      </c>
      <c r="F2028" s="2">
        <v>0.56999999999999995</v>
      </c>
      <c r="G2028" s="7">
        <v>0.61</v>
      </c>
      <c r="H2028" s="9" t="s">
        <v>27</v>
      </c>
      <c r="I2028">
        <v>0.93</v>
      </c>
      <c r="J2028">
        <v>0.33</v>
      </c>
      <c r="K2028">
        <v>0.21</v>
      </c>
      <c r="L2028">
        <v>0.4</v>
      </c>
      <c r="M2028">
        <v>0.44</v>
      </c>
      <c r="N2028">
        <v>0.04</v>
      </c>
      <c r="O2028">
        <v>0.86</v>
      </c>
      <c r="P2028">
        <v>1</v>
      </c>
      <c r="Q2028">
        <v>0.92</v>
      </c>
      <c r="R2028" s="2">
        <v>0.86</v>
      </c>
      <c r="S2028" t="str">
        <f>IF(Table1[[#This Row],[Years_Experience]]&lt;=5,"Early Career",
IF(Table1[[#This Row],[Years_Experience]]&lt;=15,"Mid Career","Senior Level"))</f>
        <v>Early Career</v>
      </c>
      <c r="T2028" t="str">
        <f>IF(Table1[[#This Row],[AI_Exposure_Index]]&gt;=0.7,"High Exposure", IF(Table1[[#This Row],[AI_Exposure_Index]]&gt;=0.3,"Medium Exposure","Low Exposure"))</f>
        <v>Medium Exposure</v>
      </c>
    </row>
    <row r="2029" spans="1:20" x14ac:dyDescent="0.25">
      <c r="A2029" t="s">
        <v>43</v>
      </c>
      <c r="B2029">
        <v>99037</v>
      </c>
      <c r="C2029" s="1">
        <v>25</v>
      </c>
      <c r="D2029" t="s">
        <v>38</v>
      </c>
      <c r="E2029" s="7">
        <v>1.19</v>
      </c>
      <c r="F2029" s="2">
        <v>0.91</v>
      </c>
      <c r="G2029" s="7">
        <v>0.09</v>
      </c>
      <c r="H2029" s="9" t="s">
        <v>23</v>
      </c>
      <c r="I2029">
        <v>0.16</v>
      </c>
      <c r="J2029">
        <v>0.05</v>
      </c>
      <c r="K2029">
        <v>0.41</v>
      </c>
      <c r="L2029">
        <v>0.81</v>
      </c>
      <c r="M2029">
        <v>0.49</v>
      </c>
      <c r="N2029">
        <v>0.37</v>
      </c>
      <c r="O2029">
        <v>0.11</v>
      </c>
      <c r="P2029">
        <v>0.05</v>
      </c>
      <c r="Q2029">
        <v>0.4</v>
      </c>
      <c r="R2029" s="2">
        <v>0.1</v>
      </c>
      <c r="S2029" t="str">
        <f>IF(Table1[[#This Row],[Years_Experience]]&lt;=5,"Early Career",
IF(Table1[[#This Row],[Years_Experience]]&lt;=15,"Mid Career","Senior Level"))</f>
        <v>Senior Level</v>
      </c>
      <c r="T2029" t="str">
        <f>IF(Table1[[#This Row],[AI_Exposure_Index]]&gt;=0.7,"High Exposure", IF(Table1[[#This Row],[AI_Exposure_Index]]&gt;=0.3,"Medium Exposure","Low Exposure"))</f>
        <v>High Exposure</v>
      </c>
    </row>
    <row r="2030" spans="1:20" x14ac:dyDescent="0.25">
      <c r="A2030" t="s">
        <v>24</v>
      </c>
      <c r="B2030">
        <v>38715</v>
      </c>
      <c r="C2030" s="1">
        <v>26</v>
      </c>
      <c r="D2030" t="s">
        <v>19</v>
      </c>
      <c r="E2030" s="7">
        <v>1</v>
      </c>
      <c r="F2030" s="2">
        <v>0.4</v>
      </c>
      <c r="G2030" s="7">
        <v>0.75</v>
      </c>
      <c r="H2030" s="9" t="s">
        <v>20</v>
      </c>
      <c r="I2030">
        <v>0.68</v>
      </c>
      <c r="J2030">
        <v>0.42</v>
      </c>
      <c r="K2030">
        <v>0.09</v>
      </c>
      <c r="L2030">
        <v>0.64</v>
      </c>
      <c r="M2030">
        <v>0.36</v>
      </c>
      <c r="N2030">
        <v>0.05</v>
      </c>
      <c r="O2030">
        <v>0.95</v>
      </c>
      <c r="P2030">
        <v>0.56999999999999995</v>
      </c>
      <c r="Q2030">
        <v>0.48</v>
      </c>
      <c r="R2030" s="2">
        <v>0.86</v>
      </c>
      <c r="S2030" t="str">
        <f>IF(Table1[[#This Row],[Years_Experience]]&lt;=5,"Early Career",
IF(Table1[[#This Row],[Years_Experience]]&lt;=15,"Mid Career","Senior Level"))</f>
        <v>Senior Level</v>
      </c>
      <c r="T2030" t="str">
        <f>IF(Table1[[#This Row],[AI_Exposure_Index]]&gt;=0.7,"High Exposure", IF(Table1[[#This Row],[AI_Exposure_Index]]&gt;=0.3,"Medium Exposure","Low Exposure"))</f>
        <v>Medium Exposure</v>
      </c>
    </row>
    <row r="2031" spans="1:20" x14ac:dyDescent="0.25">
      <c r="A2031" t="s">
        <v>29</v>
      </c>
      <c r="B2031">
        <v>44466</v>
      </c>
      <c r="C2031" s="1">
        <v>9</v>
      </c>
      <c r="D2031" t="s">
        <v>22</v>
      </c>
      <c r="E2031" s="7">
        <v>1.31</v>
      </c>
      <c r="F2031" s="2">
        <v>0.22</v>
      </c>
      <c r="G2031" s="7">
        <v>0.26</v>
      </c>
      <c r="H2031" s="9" t="s">
        <v>23</v>
      </c>
      <c r="I2031">
        <v>0.05</v>
      </c>
      <c r="J2031">
        <v>0.71</v>
      </c>
      <c r="K2031">
        <v>0.06</v>
      </c>
      <c r="L2031">
        <v>0.59</v>
      </c>
      <c r="M2031">
        <v>0.67</v>
      </c>
      <c r="N2031">
        <v>0.37</v>
      </c>
      <c r="O2031">
        <v>0.88</v>
      </c>
      <c r="P2031">
        <v>0.8</v>
      </c>
      <c r="Q2031">
        <v>0.93</v>
      </c>
      <c r="R2031" s="2">
        <v>0.31</v>
      </c>
      <c r="S2031" t="str">
        <f>IF(Table1[[#This Row],[Years_Experience]]&lt;=5,"Early Career",
IF(Table1[[#This Row],[Years_Experience]]&lt;=15,"Mid Career","Senior Level"))</f>
        <v>Mid Career</v>
      </c>
      <c r="T2031" t="str">
        <f>IF(Table1[[#This Row],[AI_Exposure_Index]]&gt;=0.7,"High Exposure", IF(Table1[[#This Row],[AI_Exposure_Index]]&gt;=0.3,"Medium Exposure","Low Exposure"))</f>
        <v>Low Exposure</v>
      </c>
    </row>
    <row r="2032" spans="1:20" x14ac:dyDescent="0.25">
      <c r="A2032" t="s">
        <v>33</v>
      </c>
      <c r="B2032">
        <v>85432</v>
      </c>
      <c r="C2032" s="1">
        <v>0</v>
      </c>
      <c r="D2032" t="s">
        <v>38</v>
      </c>
      <c r="E2032" s="7">
        <v>0.72</v>
      </c>
      <c r="F2032" s="2">
        <v>0.81</v>
      </c>
      <c r="G2032" s="7">
        <v>0.82</v>
      </c>
      <c r="H2032" s="9" t="s">
        <v>20</v>
      </c>
      <c r="I2032">
        <v>0.82</v>
      </c>
      <c r="J2032">
        <v>0.22</v>
      </c>
      <c r="K2032">
        <v>0.31</v>
      </c>
      <c r="L2032">
        <v>0.44</v>
      </c>
      <c r="M2032">
        <v>0.27</v>
      </c>
      <c r="N2032">
        <v>0.46</v>
      </c>
      <c r="O2032">
        <v>0.01</v>
      </c>
      <c r="P2032">
        <v>0.21</v>
      </c>
      <c r="Q2032">
        <v>0.83</v>
      </c>
      <c r="R2032" s="2">
        <v>0.41</v>
      </c>
      <c r="S2032" t="str">
        <f>IF(Table1[[#This Row],[Years_Experience]]&lt;=5,"Early Career",
IF(Table1[[#This Row],[Years_Experience]]&lt;=15,"Mid Career","Senior Level"))</f>
        <v>Early Career</v>
      </c>
      <c r="T2032" t="str">
        <f>IF(Table1[[#This Row],[AI_Exposure_Index]]&gt;=0.7,"High Exposure", IF(Table1[[#This Row],[AI_Exposure_Index]]&gt;=0.3,"Medium Exposure","Low Exposure"))</f>
        <v>High Exposure</v>
      </c>
    </row>
    <row r="2033" spans="1:20" x14ac:dyDescent="0.25">
      <c r="A2033" t="s">
        <v>43</v>
      </c>
      <c r="B2033">
        <v>127557</v>
      </c>
      <c r="C2033" s="1">
        <v>13</v>
      </c>
      <c r="D2033" t="s">
        <v>19</v>
      </c>
      <c r="E2033" s="7">
        <v>1.32</v>
      </c>
      <c r="F2033" s="2">
        <v>0.89</v>
      </c>
      <c r="G2033" s="7">
        <v>0.19</v>
      </c>
      <c r="H2033" s="9" t="s">
        <v>23</v>
      </c>
      <c r="I2033">
        <v>0.47</v>
      </c>
      <c r="J2033">
        <v>0.65</v>
      </c>
      <c r="K2033">
        <v>0.47</v>
      </c>
      <c r="L2033">
        <v>0.64</v>
      </c>
      <c r="M2033">
        <v>0.31</v>
      </c>
      <c r="N2033">
        <v>0.84</v>
      </c>
      <c r="O2033">
        <v>0.7</v>
      </c>
      <c r="P2033">
        <v>0.33</v>
      </c>
      <c r="Q2033">
        <v>0.83</v>
      </c>
      <c r="R2033" s="2">
        <v>0.49</v>
      </c>
      <c r="S2033" t="str">
        <f>IF(Table1[[#This Row],[Years_Experience]]&lt;=5,"Early Career",
IF(Table1[[#This Row],[Years_Experience]]&lt;=15,"Mid Career","Senior Level"))</f>
        <v>Mid Career</v>
      </c>
      <c r="T2033" t="str">
        <f>IF(Table1[[#This Row],[AI_Exposure_Index]]&gt;=0.7,"High Exposure", IF(Table1[[#This Row],[AI_Exposure_Index]]&gt;=0.3,"Medium Exposure","Low Exposure"))</f>
        <v>High Exposure</v>
      </c>
    </row>
    <row r="2034" spans="1:20" x14ac:dyDescent="0.25">
      <c r="A2034" t="s">
        <v>37</v>
      </c>
      <c r="B2034">
        <v>104227</v>
      </c>
      <c r="C2034" s="1">
        <v>10</v>
      </c>
      <c r="D2034" t="s">
        <v>25</v>
      </c>
      <c r="E2034" s="7">
        <v>1.2</v>
      </c>
      <c r="F2034" s="2">
        <v>0.08</v>
      </c>
      <c r="G2034" s="7">
        <v>0.65</v>
      </c>
      <c r="H2034" s="9" t="s">
        <v>27</v>
      </c>
      <c r="I2034">
        <v>0.81</v>
      </c>
      <c r="J2034">
        <v>0.66</v>
      </c>
      <c r="K2034">
        <v>0.14000000000000001</v>
      </c>
      <c r="L2034">
        <v>0.09</v>
      </c>
      <c r="M2034">
        <v>0.35</v>
      </c>
      <c r="N2034">
        <v>0.85</v>
      </c>
      <c r="O2034">
        <v>0.96</v>
      </c>
      <c r="P2034">
        <v>0.24</v>
      </c>
      <c r="Q2034">
        <v>0.76</v>
      </c>
      <c r="R2034" s="2">
        <v>0.56999999999999995</v>
      </c>
      <c r="S2034" t="str">
        <f>IF(Table1[[#This Row],[Years_Experience]]&lt;=5,"Early Career",
IF(Table1[[#This Row],[Years_Experience]]&lt;=15,"Mid Career","Senior Level"))</f>
        <v>Mid Career</v>
      </c>
      <c r="T2034" t="str">
        <f>IF(Table1[[#This Row],[AI_Exposure_Index]]&gt;=0.7,"High Exposure", IF(Table1[[#This Row],[AI_Exposure_Index]]&gt;=0.3,"Medium Exposure","Low Exposure"))</f>
        <v>Low Exposure</v>
      </c>
    </row>
    <row r="2035" spans="1:20" x14ac:dyDescent="0.25">
      <c r="A2035" t="s">
        <v>39</v>
      </c>
      <c r="B2035">
        <v>64585</v>
      </c>
      <c r="C2035" s="1">
        <v>21</v>
      </c>
      <c r="D2035" t="s">
        <v>38</v>
      </c>
      <c r="E2035" s="7">
        <v>1.31</v>
      </c>
      <c r="F2035" s="2">
        <v>0.54</v>
      </c>
      <c r="G2035" s="7">
        <v>0.77</v>
      </c>
      <c r="H2035" s="9" t="s">
        <v>20</v>
      </c>
      <c r="I2035">
        <v>0.9</v>
      </c>
      <c r="J2035">
        <v>0.24</v>
      </c>
      <c r="K2035">
        <v>0.08</v>
      </c>
      <c r="L2035">
        <v>0.16</v>
      </c>
      <c r="M2035">
        <v>0.84</v>
      </c>
      <c r="N2035">
        <v>0.42</v>
      </c>
      <c r="O2035">
        <v>0.8</v>
      </c>
      <c r="P2035">
        <v>0.53</v>
      </c>
      <c r="Q2035">
        <v>0.48</v>
      </c>
      <c r="R2035" s="2">
        <v>0.81</v>
      </c>
      <c r="S2035" t="str">
        <f>IF(Table1[[#This Row],[Years_Experience]]&lt;=5,"Early Career",
IF(Table1[[#This Row],[Years_Experience]]&lt;=15,"Mid Career","Senior Level"))</f>
        <v>Senior Level</v>
      </c>
      <c r="T2035" t="str">
        <f>IF(Table1[[#This Row],[AI_Exposure_Index]]&gt;=0.7,"High Exposure", IF(Table1[[#This Row],[AI_Exposure_Index]]&gt;=0.3,"Medium Exposure","Low Exposure"))</f>
        <v>Medium Exposure</v>
      </c>
    </row>
    <row r="2036" spans="1:20" x14ac:dyDescent="0.25">
      <c r="A2036" t="s">
        <v>34</v>
      </c>
      <c r="B2036">
        <v>140397</v>
      </c>
      <c r="C2036" s="1">
        <v>18</v>
      </c>
      <c r="D2036" t="s">
        <v>22</v>
      </c>
      <c r="E2036" s="7">
        <v>0.6</v>
      </c>
      <c r="F2036" s="2">
        <v>0.8</v>
      </c>
      <c r="G2036" s="7">
        <v>0.55000000000000004</v>
      </c>
      <c r="H2036" s="9" t="s">
        <v>27</v>
      </c>
      <c r="I2036">
        <v>0.7</v>
      </c>
      <c r="J2036">
        <v>0.9</v>
      </c>
      <c r="K2036">
        <v>0.22</v>
      </c>
      <c r="L2036">
        <v>0.6</v>
      </c>
      <c r="M2036">
        <v>0.43</v>
      </c>
      <c r="N2036">
        <v>0.38</v>
      </c>
      <c r="O2036">
        <v>0.11</v>
      </c>
      <c r="P2036">
        <v>0.13</v>
      </c>
      <c r="Q2036">
        <v>0.84</v>
      </c>
      <c r="R2036" s="2">
        <v>0.75</v>
      </c>
      <c r="S2036" t="str">
        <f>IF(Table1[[#This Row],[Years_Experience]]&lt;=5,"Early Career",
IF(Table1[[#This Row],[Years_Experience]]&lt;=15,"Mid Career","Senior Level"))</f>
        <v>Senior Level</v>
      </c>
      <c r="T2036" t="str">
        <f>IF(Table1[[#This Row],[AI_Exposure_Index]]&gt;=0.7,"High Exposure", IF(Table1[[#This Row],[AI_Exposure_Index]]&gt;=0.3,"Medium Exposure","Low Exposure"))</f>
        <v>High Exposure</v>
      </c>
    </row>
    <row r="2037" spans="1:20" x14ac:dyDescent="0.25">
      <c r="A2037" t="s">
        <v>41</v>
      </c>
      <c r="B2037">
        <v>102620</v>
      </c>
      <c r="C2037" s="1">
        <v>8</v>
      </c>
      <c r="D2037" t="s">
        <v>19</v>
      </c>
      <c r="E2037" s="7">
        <v>0.57999999999999996</v>
      </c>
      <c r="F2037" s="2">
        <v>0.83</v>
      </c>
      <c r="G2037" s="7">
        <v>0.86</v>
      </c>
      <c r="H2037" s="9" t="s">
        <v>20</v>
      </c>
      <c r="I2037">
        <v>0.87</v>
      </c>
      <c r="J2037">
        <v>0.84</v>
      </c>
      <c r="K2037">
        <v>0.37</v>
      </c>
      <c r="L2037">
        <v>0.75</v>
      </c>
      <c r="M2037">
        <v>0.43</v>
      </c>
      <c r="N2037">
        <v>0.84</v>
      </c>
      <c r="O2037">
        <v>0.53</v>
      </c>
      <c r="P2037">
        <v>0.76</v>
      </c>
      <c r="Q2037">
        <v>0.08</v>
      </c>
      <c r="R2037" s="2">
        <v>0.59</v>
      </c>
      <c r="S2037" t="str">
        <f>IF(Table1[[#This Row],[Years_Experience]]&lt;=5,"Early Career",
IF(Table1[[#This Row],[Years_Experience]]&lt;=15,"Mid Career","Senior Level"))</f>
        <v>Mid Career</v>
      </c>
      <c r="T2037" t="str">
        <f>IF(Table1[[#This Row],[AI_Exposure_Index]]&gt;=0.7,"High Exposure", IF(Table1[[#This Row],[AI_Exposure_Index]]&gt;=0.3,"Medium Exposure","Low Exposure"))</f>
        <v>High Exposure</v>
      </c>
    </row>
    <row r="2038" spans="1:20" x14ac:dyDescent="0.25">
      <c r="A2038" t="s">
        <v>40</v>
      </c>
      <c r="B2038">
        <v>123332</v>
      </c>
      <c r="C2038" s="1">
        <v>8</v>
      </c>
      <c r="D2038" t="s">
        <v>25</v>
      </c>
      <c r="E2038" s="7">
        <v>1.2</v>
      </c>
      <c r="F2038" s="2">
        <v>0.61</v>
      </c>
      <c r="G2038" s="7">
        <v>0.28000000000000003</v>
      </c>
      <c r="H2038" s="9" t="s">
        <v>23</v>
      </c>
      <c r="I2038">
        <v>0.79</v>
      </c>
      <c r="J2038">
        <v>0.22</v>
      </c>
      <c r="K2038">
        <v>0.83</v>
      </c>
      <c r="L2038">
        <v>0.12</v>
      </c>
      <c r="M2038">
        <v>0.62</v>
      </c>
      <c r="N2038">
        <v>0.88</v>
      </c>
      <c r="O2038">
        <v>0.1</v>
      </c>
      <c r="P2038">
        <v>0.85</v>
      </c>
      <c r="Q2038">
        <v>0.8</v>
      </c>
      <c r="R2038" s="2">
        <v>0.5</v>
      </c>
      <c r="S2038" t="str">
        <f>IF(Table1[[#This Row],[Years_Experience]]&lt;=5,"Early Career",
IF(Table1[[#This Row],[Years_Experience]]&lt;=15,"Mid Career","Senior Level"))</f>
        <v>Mid Career</v>
      </c>
      <c r="T2038" t="str">
        <f>IF(Table1[[#This Row],[AI_Exposure_Index]]&gt;=0.7,"High Exposure", IF(Table1[[#This Row],[AI_Exposure_Index]]&gt;=0.3,"Medium Exposure","Low Exposure"))</f>
        <v>Medium Exposure</v>
      </c>
    </row>
    <row r="2039" spans="1:20" x14ac:dyDescent="0.25">
      <c r="A2039" t="s">
        <v>42</v>
      </c>
      <c r="B2039">
        <v>120833</v>
      </c>
      <c r="C2039" s="1">
        <v>16</v>
      </c>
      <c r="D2039" t="s">
        <v>25</v>
      </c>
      <c r="E2039" s="7">
        <v>0.68</v>
      </c>
      <c r="F2039" s="2">
        <v>0.82</v>
      </c>
      <c r="G2039" s="7">
        <v>0.59</v>
      </c>
      <c r="H2039" s="9" t="s">
        <v>27</v>
      </c>
      <c r="I2039">
        <v>0.65</v>
      </c>
      <c r="J2039">
        <v>0.06</v>
      </c>
      <c r="K2039">
        <v>0.02</v>
      </c>
      <c r="L2039">
        <v>0.35</v>
      </c>
      <c r="M2039">
        <v>0.69</v>
      </c>
      <c r="N2039">
        <v>0.33</v>
      </c>
      <c r="O2039">
        <v>0.67</v>
      </c>
      <c r="P2039">
        <v>0.67</v>
      </c>
      <c r="Q2039">
        <v>0.81</v>
      </c>
      <c r="R2039" s="2">
        <v>0.1</v>
      </c>
      <c r="S2039" t="str">
        <f>IF(Table1[[#This Row],[Years_Experience]]&lt;=5,"Early Career",
IF(Table1[[#This Row],[Years_Experience]]&lt;=15,"Mid Career","Senior Level"))</f>
        <v>Senior Level</v>
      </c>
      <c r="T2039" t="str">
        <f>IF(Table1[[#This Row],[AI_Exposure_Index]]&gt;=0.7,"High Exposure", IF(Table1[[#This Row],[AI_Exposure_Index]]&gt;=0.3,"Medium Exposure","Low Exposure"))</f>
        <v>High Exposure</v>
      </c>
    </row>
    <row r="2040" spans="1:20" x14ac:dyDescent="0.25">
      <c r="A2040" t="s">
        <v>28</v>
      </c>
      <c r="B2040">
        <v>77131</v>
      </c>
      <c r="C2040" s="1">
        <v>13</v>
      </c>
      <c r="D2040" t="s">
        <v>25</v>
      </c>
      <c r="E2040" s="7">
        <v>0.68</v>
      </c>
      <c r="F2040" s="2">
        <v>0.06</v>
      </c>
      <c r="G2040" s="7">
        <v>0.43</v>
      </c>
      <c r="H2040" s="9" t="s">
        <v>27</v>
      </c>
      <c r="I2040">
        <v>0.71</v>
      </c>
      <c r="J2040">
        <v>0.97</v>
      </c>
      <c r="K2040">
        <v>0.34</v>
      </c>
      <c r="L2040">
        <v>0.52</v>
      </c>
      <c r="M2040">
        <v>0.26</v>
      </c>
      <c r="N2040">
        <v>0.68</v>
      </c>
      <c r="O2040">
        <v>0.37</v>
      </c>
      <c r="P2040">
        <v>0.48</v>
      </c>
      <c r="Q2040">
        <v>0.56999999999999995</v>
      </c>
      <c r="R2040" s="2">
        <v>0.69</v>
      </c>
      <c r="S2040" t="str">
        <f>IF(Table1[[#This Row],[Years_Experience]]&lt;=5,"Early Career",
IF(Table1[[#This Row],[Years_Experience]]&lt;=15,"Mid Career","Senior Level"))</f>
        <v>Mid Career</v>
      </c>
      <c r="T2040" t="str">
        <f>IF(Table1[[#This Row],[AI_Exposure_Index]]&gt;=0.7,"High Exposure", IF(Table1[[#This Row],[AI_Exposure_Index]]&gt;=0.3,"Medium Exposure","Low Exposure"))</f>
        <v>Low Exposure</v>
      </c>
    </row>
    <row r="2041" spans="1:20" x14ac:dyDescent="0.25">
      <c r="A2041" t="s">
        <v>24</v>
      </c>
      <c r="B2041">
        <v>131298</v>
      </c>
      <c r="C2041" s="1">
        <v>25</v>
      </c>
      <c r="D2041" t="s">
        <v>25</v>
      </c>
      <c r="E2041" s="7">
        <v>0.93</v>
      </c>
      <c r="F2041" s="2">
        <v>0.55000000000000004</v>
      </c>
      <c r="G2041" s="7">
        <v>0.73</v>
      </c>
      <c r="H2041" s="9" t="s">
        <v>20</v>
      </c>
      <c r="I2041">
        <v>0.21</v>
      </c>
      <c r="J2041">
        <v>0.88</v>
      </c>
      <c r="K2041">
        <v>0.87</v>
      </c>
      <c r="L2041">
        <v>0.03</v>
      </c>
      <c r="M2041">
        <v>0.69</v>
      </c>
      <c r="N2041">
        <v>0.55000000000000004</v>
      </c>
      <c r="O2041">
        <v>0.94</v>
      </c>
      <c r="P2041">
        <v>0.91</v>
      </c>
      <c r="Q2041">
        <v>0.57999999999999996</v>
      </c>
      <c r="R2041" s="2">
        <v>0.14000000000000001</v>
      </c>
      <c r="S2041" t="str">
        <f>IF(Table1[[#This Row],[Years_Experience]]&lt;=5,"Early Career",
IF(Table1[[#This Row],[Years_Experience]]&lt;=15,"Mid Career","Senior Level"))</f>
        <v>Senior Level</v>
      </c>
      <c r="T2041" t="str">
        <f>IF(Table1[[#This Row],[AI_Exposure_Index]]&gt;=0.7,"High Exposure", IF(Table1[[#This Row],[AI_Exposure_Index]]&gt;=0.3,"Medium Exposure","Low Exposure"))</f>
        <v>Medium Exposure</v>
      </c>
    </row>
    <row r="2042" spans="1:20" x14ac:dyDescent="0.25">
      <c r="A2042" t="s">
        <v>35</v>
      </c>
      <c r="B2042">
        <v>58653</v>
      </c>
      <c r="C2042" s="1">
        <v>6</v>
      </c>
      <c r="D2042" t="s">
        <v>22</v>
      </c>
      <c r="E2042" s="7">
        <v>1.45</v>
      </c>
      <c r="F2042" s="2">
        <v>0.73</v>
      </c>
      <c r="G2042" s="7">
        <v>0.45</v>
      </c>
      <c r="H2042" s="9" t="s">
        <v>27</v>
      </c>
      <c r="I2042">
        <v>0.78</v>
      </c>
      <c r="J2042">
        <v>0.68</v>
      </c>
      <c r="K2042">
        <v>0.08</v>
      </c>
      <c r="L2042">
        <v>0.56000000000000005</v>
      </c>
      <c r="M2042">
        <v>0.18</v>
      </c>
      <c r="N2042">
        <v>0.68</v>
      </c>
      <c r="O2042">
        <v>0.61</v>
      </c>
      <c r="P2042">
        <v>0.97</v>
      </c>
      <c r="Q2042">
        <v>0.94</v>
      </c>
      <c r="R2042" s="2">
        <v>0.01</v>
      </c>
      <c r="S2042" t="str">
        <f>IF(Table1[[#This Row],[Years_Experience]]&lt;=5,"Early Career",
IF(Table1[[#This Row],[Years_Experience]]&lt;=15,"Mid Career","Senior Level"))</f>
        <v>Mid Career</v>
      </c>
      <c r="T2042" t="str">
        <f>IF(Table1[[#This Row],[AI_Exposure_Index]]&gt;=0.7,"High Exposure", IF(Table1[[#This Row],[AI_Exposure_Index]]&gt;=0.3,"Medium Exposure","Low Exposure"))</f>
        <v>High Exposure</v>
      </c>
    </row>
    <row r="2043" spans="1:20" x14ac:dyDescent="0.25">
      <c r="A2043" t="s">
        <v>35</v>
      </c>
      <c r="B2043">
        <v>83020</v>
      </c>
      <c r="C2043" s="1">
        <v>0</v>
      </c>
      <c r="D2043" t="s">
        <v>22</v>
      </c>
      <c r="E2043" s="7">
        <v>1.19</v>
      </c>
      <c r="F2043" s="2">
        <v>0.77</v>
      </c>
      <c r="G2043" s="7">
        <v>0.62</v>
      </c>
      <c r="H2043" s="9" t="s">
        <v>27</v>
      </c>
      <c r="I2043">
        <v>0.27</v>
      </c>
      <c r="J2043">
        <v>0.85</v>
      </c>
      <c r="K2043">
        <v>0.44</v>
      </c>
      <c r="L2043">
        <v>0.26</v>
      </c>
      <c r="M2043">
        <v>0.01</v>
      </c>
      <c r="N2043">
        <v>0.87</v>
      </c>
      <c r="O2043">
        <v>0.54</v>
      </c>
      <c r="P2043">
        <v>0.98</v>
      </c>
      <c r="Q2043">
        <v>0.71</v>
      </c>
      <c r="R2043" s="2">
        <v>0.08</v>
      </c>
      <c r="S2043" t="str">
        <f>IF(Table1[[#This Row],[Years_Experience]]&lt;=5,"Early Career",
IF(Table1[[#This Row],[Years_Experience]]&lt;=15,"Mid Career","Senior Level"))</f>
        <v>Early Career</v>
      </c>
      <c r="T2043" t="str">
        <f>IF(Table1[[#This Row],[AI_Exposure_Index]]&gt;=0.7,"High Exposure", IF(Table1[[#This Row],[AI_Exposure_Index]]&gt;=0.3,"Medium Exposure","Low Exposure"))</f>
        <v>High Exposure</v>
      </c>
    </row>
    <row r="2044" spans="1:20" x14ac:dyDescent="0.25">
      <c r="A2044" t="s">
        <v>35</v>
      </c>
      <c r="B2044">
        <v>141257</v>
      </c>
      <c r="C2044" s="1">
        <v>29</v>
      </c>
      <c r="D2044" t="s">
        <v>38</v>
      </c>
      <c r="E2044" s="7">
        <v>1.06</v>
      </c>
      <c r="F2044" s="2">
        <v>0.02</v>
      </c>
      <c r="G2044" s="7">
        <v>0.44</v>
      </c>
      <c r="H2044" s="9" t="s">
        <v>27</v>
      </c>
      <c r="I2044">
        <v>0.64</v>
      </c>
      <c r="J2044">
        <v>0.54</v>
      </c>
      <c r="K2044">
        <v>0.26</v>
      </c>
      <c r="L2044">
        <v>0.16</v>
      </c>
      <c r="M2044">
        <v>0.4</v>
      </c>
      <c r="N2044">
        <v>0.99</v>
      </c>
      <c r="O2044">
        <v>0.44</v>
      </c>
      <c r="P2044">
        <v>0.75</v>
      </c>
      <c r="Q2044">
        <v>0.06</v>
      </c>
      <c r="R2044" s="2">
        <v>0.38</v>
      </c>
      <c r="S2044" t="str">
        <f>IF(Table1[[#This Row],[Years_Experience]]&lt;=5,"Early Career",
IF(Table1[[#This Row],[Years_Experience]]&lt;=15,"Mid Career","Senior Level"))</f>
        <v>Senior Level</v>
      </c>
      <c r="T2044" t="str">
        <f>IF(Table1[[#This Row],[AI_Exposure_Index]]&gt;=0.7,"High Exposure", IF(Table1[[#This Row],[AI_Exposure_Index]]&gt;=0.3,"Medium Exposure","Low Exposure"))</f>
        <v>Low Exposure</v>
      </c>
    </row>
    <row r="2045" spans="1:20" x14ac:dyDescent="0.25">
      <c r="A2045" t="s">
        <v>36</v>
      </c>
      <c r="B2045">
        <v>33303</v>
      </c>
      <c r="C2045" s="1">
        <v>29</v>
      </c>
      <c r="D2045" t="s">
        <v>19</v>
      </c>
      <c r="E2045" s="7">
        <v>1.03</v>
      </c>
      <c r="F2045" s="2">
        <v>0.75</v>
      </c>
      <c r="G2045" s="7">
        <v>0.51</v>
      </c>
      <c r="H2045" s="9" t="s">
        <v>27</v>
      </c>
      <c r="I2045">
        <v>0.76</v>
      </c>
      <c r="J2045">
        <v>0.31</v>
      </c>
      <c r="K2045">
        <v>0.09</v>
      </c>
      <c r="L2045">
        <v>0.35</v>
      </c>
      <c r="M2045">
        <v>0.16</v>
      </c>
      <c r="N2045">
        <v>0.97</v>
      </c>
      <c r="O2045">
        <v>0.57999999999999996</v>
      </c>
      <c r="P2045">
        <v>0.45</v>
      </c>
      <c r="Q2045">
        <v>0.91</v>
      </c>
      <c r="R2045" s="2">
        <v>0.9</v>
      </c>
      <c r="S2045" t="str">
        <f>IF(Table1[[#This Row],[Years_Experience]]&lt;=5,"Early Career",
IF(Table1[[#This Row],[Years_Experience]]&lt;=15,"Mid Career","Senior Level"))</f>
        <v>Senior Level</v>
      </c>
      <c r="T2045" t="str">
        <f>IF(Table1[[#This Row],[AI_Exposure_Index]]&gt;=0.7,"High Exposure", IF(Table1[[#This Row],[AI_Exposure_Index]]&gt;=0.3,"Medium Exposure","Low Exposure"))</f>
        <v>High Exposure</v>
      </c>
    </row>
    <row r="2046" spans="1:20" x14ac:dyDescent="0.25">
      <c r="A2046" t="s">
        <v>24</v>
      </c>
      <c r="B2046">
        <v>104519</v>
      </c>
      <c r="C2046" s="1">
        <v>27</v>
      </c>
      <c r="D2046" t="s">
        <v>25</v>
      </c>
      <c r="E2046" s="7">
        <v>0.56000000000000005</v>
      </c>
      <c r="F2046" s="2">
        <v>0.87</v>
      </c>
      <c r="G2046" s="7">
        <v>0.92</v>
      </c>
      <c r="H2046" s="9" t="s">
        <v>20</v>
      </c>
      <c r="I2046">
        <v>0.31</v>
      </c>
      <c r="J2046">
        <v>0.56999999999999995</v>
      </c>
      <c r="K2046">
        <v>0.27</v>
      </c>
      <c r="L2046">
        <v>0.98</v>
      </c>
      <c r="M2046">
        <v>7.0000000000000007E-2</v>
      </c>
      <c r="N2046">
        <v>0.45</v>
      </c>
      <c r="O2046">
        <v>0.62</v>
      </c>
      <c r="P2046">
        <v>0.62</v>
      </c>
      <c r="Q2046">
        <v>0.74</v>
      </c>
      <c r="R2046" s="2">
        <v>0.72</v>
      </c>
      <c r="S2046" t="str">
        <f>IF(Table1[[#This Row],[Years_Experience]]&lt;=5,"Early Career",
IF(Table1[[#This Row],[Years_Experience]]&lt;=15,"Mid Career","Senior Level"))</f>
        <v>Senior Level</v>
      </c>
      <c r="T2046" t="str">
        <f>IF(Table1[[#This Row],[AI_Exposure_Index]]&gt;=0.7,"High Exposure", IF(Table1[[#This Row],[AI_Exposure_Index]]&gt;=0.3,"Medium Exposure","Low Exposure"))</f>
        <v>High Exposure</v>
      </c>
    </row>
    <row r="2047" spans="1:20" x14ac:dyDescent="0.25">
      <c r="A2047" t="s">
        <v>29</v>
      </c>
      <c r="B2047">
        <v>121751</v>
      </c>
      <c r="C2047" s="1">
        <v>12</v>
      </c>
      <c r="D2047" t="s">
        <v>19</v>
      </c>
      <c r="E2047" s="7">
        <v>0.87</v>
      </c>
      <c r="F2047" s="2">
        <v>0.23</v>
      </c>
      <c r="G2047" s="7">
        <v>0.15</v>
      </c>
      <c r="H2047" s="9" t="s">
        <v>23</v>
      </c>
      <c r="I2047">
        <v>0.96</v>
      </c>
      <c r="J2047">
        <v>0.41</v>
      </c>
      <c r="K2047">
        <v>0.22</v>
      </c>
      <c r="L2047">
        <v>0.63</v>
      </c>
      <c r="M2047">
        <v>0.43</v>
      </c>
      <c r="N2047">
        <v>0.25</v>
      </c>
      <c r="O2047">
        <v>0.72</v>
      </c>
      <c r="P2047">
        <v>0.19</v>
      </c>
      <c r="Q2047">
        <v>0.63</v>
      </c>
      <c r="R2047" s="2">
        <v>0.43</v>
      </c>
      <c r="S2047" t="str">
        <f>IF(Table1[[#This Row],[Years_Experience]]&lt;=5,"Early Career",
IF(Table1[[#This Row],[Years_Experience]]&lt;=15,"Mid Career","Senior Level"))</f>
        <v>Mid Career</v>
      </c>
      <c r="T2047" t="str">
        <f>IF(Table1[[#This Row],[AI_Exposure_Index]]&gt;=0.7,"High Exposure", IF(Table1[[#This Row],[AI_Exposure_Index]]&gt;=0.3,"Medium Exposure","Low Exposure"))</f>
        <v>Low Exposure</v>
      </c>
    </row>
    <row r="2048" spans="1:20" x14ac:dyDescent="0.25">
      <c r="A2048" t="s">
        <v>32</v>
      </c>
      <c r="B2048">
        <v>91557</v>
      </c>
      <c r="C2048" s="1">
        <v>13</v>
      </c>
      <c r="D2048" t="s">
        <v>38</v>
      </c>
      <c r="E2048" s="7">
        <v>0.82</v>
      </c>
      <c r="F2048" s="2">
        <v>0.95</v>
      </c>
      <c r="G2048" s="7">
        <v>0.44</v>
      </c>
      <c r="H2048" s="9" t="s">
        <v>27</v>
      </c>
      <c r="I2048">
        <v>0.87</v>
      </c>
      <c r="J2048">
        <v>0.13</v>
      </c>
      <c r="K2048">
        <v>0.11</v>
      </c>
      <c r="L2048">
        <v>0.28000000000000003</v>
      </c>
      <c r="M2048">
        <v>0.59</v>
      </c>
      <c r="N2048">
        <v>0.38</v>
      </c>
      <c r="O2048">
        <v>0.61</v>
      </c>
      <c r="P2048">
        <v>0.16</v>
      </c>
      <c r="Q2048">
        <v>0.26</v>
      </c>
      <c r="R2048" s="2">
        <v>0.56999999999999995</v>
      </c>
      <c r="S2048" t="str">
        <f>IF(Table1[[#This Row],[Years_Experience]]&lt;=5,"Early Career",
IF(Table1[[#This Row],[Years_Experience]]&lt;=15,"Mid Career","Senior Level"))</f>
        <v>Mid Career</v>
      </c>
      <c r="T2048" t="str">
        <f>IF(Table1[[#This Row],[AI_Exposure_Index]]&gt;=0.7,"High Exposure", IF(Table1[[#This Row],[AI_Exposure_Index]]&gt;=0.3,"Medium Exposure","Low Exposure"))</f>
        <v>High Exposure</v>
      </c>
    </row>
    <row r="2049" spans="1:20" x14ac:dyDescent="0.25">
      <c r="A2049" t="s">
        <v>36</v>
      </c>
      <c r="B2049">
        <v>101452</v>
      </c>
      <c r="C2049" s="1">
        <v>2</v>
      </c>
      <c r="D2049" t="s">
        <v>25</v>
      </c>
      <c r="E2049" s="7">
        <v>1.07</v>
      </c>
      <c r="F2049" s="2">
        <v>0.42</v>
      </c>
      <c r="G2049" s="7">
        <v>0.69</v>
      </c>
      <c r="H2049" s="9" t="s">
        <v>27</v>
      </c>
      <c r="I2049">
        <v>0.08</v>
      </c>
      <c r="J2049">
        <v>0.46</v>
      </c>
      <c r="K2049">
        <v>0.4</v>
      </c>
      <c r="L2049">
        <v>0.82</v>
      </c>
      <c r="M2049">
        <v>0.9</v>
      </c>
      <c r="N2049">
        <v>0.91</v>
      </c>
      <c r="O2049">
        <v>0.38</v>
      </c>
      <c r="P2049">
        <v>0.3</v>
      </c>
      <c r="Q2049">
        <v>0.45</v>
      </c>
      <c r="R2049" s="2">
        <v>0.34</v>
      </c>
      <c r="S2049" t="str">
        <f>IF(Table1[[#This Row],[Years_Experience]]&lt;=5,"Early Career",
IF(Table1[[#This Row],[Years_Experience]]&lt;=15,"Mid Career","Senior Level"))</f>
        <v>Early Career</v>
      </c>
      <c r="T2049" t="str">
        <f>IF(Table1[[#This Row],[AI_Exposure_Index]]&gt;=0.7,"High Exposure", IF(Table1[[#This Row],[AI_Exposure_Index]]&gt;=0.3,"Medium Exposure","Low Exposure"))</f>
        <v>Medium Exposure</v>
      </c>
    </row>
    <row r="2050" spans="1:20" x14ac:dyDescent="0.25">
      <c r="A2050" t="s">
        <v>28</v>
      </c>
      <c r="B2050">
        <v>70508</v>
      </c>
      <c r="C2050" s="1">
        <v>10</v>
      </c>
      <c r="D2050" t="s">
        <v>19</v>
      </c>
      <c r="E2050" s="7">
        <v>0.73</v>
      </c>
      <c r="F2050" s="2">
        <v>0.91</v>
      </c>
      <c r="G2050" s="7">
        <v>0.53</v>
      </c>
      <c r="H2050" s="9" t="s">
        <v>27</v>
      </c>
      <c r="I2050">
        <v>0.36</v>
      </c>
      <c r="J2050">
        <v>0.66</v>
      </c>
      <c r="K2050">
        <v>0.56000000000000005</v>
      </c>
      <c r="L2050">
        <v>0.92</v>
      </c>
      <c r="M2050">
        <v>0.1</v>
      </c>
      <c r="N2050">
        <v>0.22</v>
      </c>
      <c r="O2050">
        <v>0.77</v>
      </c>
      <c r="P2050">
        <v>0.37</v>
      </c>
      <c r="Q2050">
        <v>0.17</v>
      </c>
      <c r="R2050" s="2">
        <v>0.5</v>
      </c>
      <c r="S2050" t="str">
        <f>IF(Table1[[#This Row],[Years_Experience]]&lt;=5,"Early Career",
IF(Table1[[#This Row],[Years_Experience]]&lt;=15,"Mid Career","Senior Level"))</f>
        <v>Mid Career</v>
      </c>
      <c r="T2050" t="str">
        <f>IF(Table1[[#This Row],[AI_Exposure_Index]]&gt;=0.7,"High Exposure", IF(Table1[[#This Row],[AI_Exposure_Index]]&gt;=0.3,"Medium Exposure","Low Exposure"))</f>
        <v>High Exposure</v>
      </c>
    </row>
    <row r="2051" spans="1:20" x14ac:dyDescent="0.25">
      <c r="A2051" t="s">
        <v>21</v>
      </c>
      <c r="B2051">
        <v>81238</v>
      </c>
      <c r="C2051" s="1">
        <v>18</v>
      </c>
      <c r="D2051" t="s">
        <v>19</v>
      </c>
      <c r="E2051" s="7">
        <v>0.79</v>
      </c>
      <c r="F2051" s="2">
        <v>0.04</v>
      </c>
      <c r="G2051" s="7">
        <v>0.25</v>
      </c>
      <c r="H2051" s="9" t="s">
        <v>23</v>
      </c>
      <c r="I2051">
        <v>0.52</v>
      </c>
      <c r="J2051">
        <v>0.04</v>
      </c>
      <c r="K2051">
        <v>0.28000000000000003</v>
      </c>
      <c r="L2051">
        <v>0.64</v>
      </c>
      <c r="M2051">
        <v>0.2</v>
      </c>
      <c r="N2051">
        <v>0.83</v>
      </c>
      <c r="O2051">
        <v>0.68</v>
      </c>
      <c r="P2051">
        <v>0.47</v>
      </c>
      <c r="Q2051">
        <v>0.92</v>
      </c>
      <c r="R2051" s="2">
        <v>0.39</v>
      </c>
      <c r="S2051" t="str">
        <f>IF(Table1[[#This Row],[Years_Experience]]&lt;=5,"Early Career",
IF(Table1[[#This Row],[Years_Experience]]&lt;=15,"Mid Career","Senior Level"))</f>
        <v>Senior Level</v>
      </c>
      <c r="T2051" t="str">
        <f>IF(Table1[[#This Row],[AI_Exposure_Index]]&gt;=0.7,"High Exposure", IF(Table1[[#This Row],[AI_Exposure_Index]]&gt;=0.3,"Medium Exposure","Low Exposure"))</f>
        <v>Low Exposure</v>
      </c>
    </row>
    <row r="2052" spans="1:20" x14ac:dyDescent="0.25">
      <c r="A2052" t="s">
        <v>32</v>
      </c>
      <c r="B2052">
        <v>146084</v>
      </c>
      <c r="C2052" s="1">
        <v>22</v>
      </c>
      <c r="D2052" t="s">
        <v>25</v>
      </c>
      <c r="E2052" s="7">
        <v>1.07</v>
      </c>
      <c r="F2052" s="2">
        <v>0.66</v>
      </c>
      <c r="G2052" s="7">
        <v>0.43</v>
      </c>
      <c r="H2052" s="9" t="s">
        <v>27</v>
      </c>
      <c r="I2052">
        <v>0.34</v>
      </c>
      <c r="J2052">
        <v>0.4</v>
      </c>
      <c r="K2052">
        <v>0.28999999999999998</v>
      </c>
      <c r="L2052">
        <v>0.71</v>
      </c>
      <c r="M2052">
        <v>0.65</v>
      </c>
      <c r="N2052">
        <v>0.44</v>
      </c>
      <c r="O2052">
        <v>0.4</v>
      </c>
      <c r="P2052">
        <v>0.37</v>
      </c>
      <c r="Q2052">
        <v>0.28000000000000003</v>
      </c>
      <c r="R2052" s="2">
        <v>0.09</v>
      </c>
      <c r="S2052" t="str">
        <f>IF(Table1[[#This Row],[Years_Experience]]&lt;=5,"Early Career",
IF(Table1[[#This Row],[Years_Experience]]&lt;=15,"Mid Career","Senior Level"))</f>
        <v>Senior Level</v>
      </c>
      <c r="T2052" t="str">
        <f>IF(Table1[[#This Row],[AI_Exposure_Index]]&gt;=0.7,"High Exposure", IF(Table1[[#This Row],[AI_Exposure_Index]]&gt;=0.3,"Medium Exposure","Low Exposure"))</f>
        <v>Medium Exposure</v>
      </c>
    </row>
    <row r="2053" spans="1:20" x14ac:dyDescent="0.25">
      <c r="A2053" t="s">
        <v>21</v>
      </c>
      <c r="B2053">
        <v>99619</v>
      </c>
      <c r="C2053" s="1">
        <v>27</v>
      </c>
      <c r="D2053" t="s">
        <v>25</v>
      </c>
      <c r="E2053" s="7">
        <v>1.05</v>
      </c>
      <c r="F2053" s="2">
        <v>0.32</v>
      </c>
      <c r="G2053" s="7">
        <v>0.24</v>
      </c>
      <c r="H2053" s="9" t="s">
        <v>23</v>
      </c>
      <c r="I2053">
        <v>0.4</v>
      </c>
      <c r="J2053">
        <v>0.94</v>
      </c>
      <c r="K2053">
        <v>0.83</v>
      </c>
      <c r="L2053">
        <v>0.98</v>
      </c>
      <c r="M2053">
        <v>0.88</v>
      </c>
      <c r="N2053">
        <v>0.62</v>
      </c>
      <c r="O2053">
        <v>0.6</v>
      </c>
      <c r="P2053">
        <v>0.13</v>
      </c>
      <c r="Q2053">
        <v>0.72</v>
      </c>
      <c r="R2053" s="2">
        <v>0.6</v>
      </c>
      <c r="S2053" t="str">
        <f>IF(Table1[[#This Row],[Years_Experience]]&lt;=5,"Early Career",
IF(Table1[[#This Row],[Years_Experience]]&lt;=15,"Mid Career","Senior Level"))</f>
        <v>Senior Level</v>
      </c>
      <c r="T2053" t="str">
        <f>IF(Table1[[#This Row],[AI_Exposure_Index]]&gt;=0.7,"High Exposure", IF(Table1[[#This Row],[AI_Exposure_Index]]&gt;=0.3,"Medium Exposure","Low Exposure"))</f>
        <v>Medium Exposure</v>
      </c>
    </row>
    <row r="2054" spans="1:20" x14ac:dyDescent="0.25">
      <c r="A2054" t="s">
        <v>39</v>
      </c>
      <c r="B2054">
        <v>49830</v>
      </c>
      <c r="C2054" s="1">
        <v>29</v>
      </c>
      <c r="D2054" t="s">
        <v>22</v>
      </c>
      <c r="E2054" s="7">
        <v>0.94</v>
      </c>
      <c r="F2054" s="2">
        <v>0.69</v>
      </c>
      <c r="G2054" s="7">
        <v>0.83</v>
      </c>
      <c r="H2054" s="9" t="s">
        <v>20</v>
      </c>
      <c r="I2054">
        <v>0.4</v>
      </c>
      <c r="J2054">
        <v>0.72</v>
      </c>
      <c r="K2054">
        <v>0.88</v>
      </c>
      <c r="L2054">
        <v>0.84</v>
      </c>
      <c r="M2054">
        <v>0.79</v>
      </c>
      <c r="N2054">
        <v>0.01</v>
      </c>
      <c r="O2054">
        <v>0.91</v>
      </c>
      <c r="P2054">
        <v>0.27</v>
      </c>
      <c r="Q2054">
        <v>0.89</v>
      </c>
      <c r="R2054" s="2">
        <v>0.2</v>
      </c>
      <c r="S2054" t="str">
        <f>IF(Table1[[#This Row],[Years_Experience]]&lt;=5,"Early Career",
IF(Table1[[#This Row],[Years_Experience]]&lt;=15,"Mid Career","Senior Level"))</f>
        <v>Senior Level</v>
      </c>
      <c r="T2054" t="str">
        <f>IF(Table1[[#This Row],[AI_Exposure_Index]]&gt;=0.7,"High Exposure", IF(Table1[[#This Row],[AI_Exposure_Index]]&gt;=0.3,"Medium Exposure","Low Exposure"))</f>
        <v>Medium Exposure</v>
      </c>
    </row>
    <row r="2055" spans="1:20" x14ac:dyDescent="0.25">
      <c r="A2055" t="s">
        <v>30</v>
      </c>
      <c r="B2055">
        <v>70882</v>
      </c>
      <c r="C2055" s="1">
        <v>6</v>
      </c>
      <c r="D2055" t="s">
        <v>19</v>
      </c>
      <c r="E2055" s="7">
        <v>1.1399999999999999</v>
      </c>
      <c r="F2055" s="2">
        <v>0.75</v>
      </c>
      <c r="G2055" s="7">
        <v>0.47</v>
      </c>
      <c r="H2055" s="9" t="s">
        <v>27</v>
      </c>
      <c r="I2055">
        <v>0.68</v>
      </c>
      <c r="J2055">
        <v>0.55000000000000004</v>
      </c>
      <c r="K2055">
        <v>0.28000000000000003</v>
      </c>
      <c r="L2055">
        <v>0.65</v>
      </c>
      <c r="M2055">
        <v>0.2</v>
      </c>
      <c r="N2055">
        <v>0.69</v>
      </c>
      <c r="O2055">
        <v>0</v>
      </c>
      <c r="P2055">
        <v>0.55000000000000004</v>
      </c>
      <c r="Q2055">
        <v>0.4</v>
      </c>
      <c r="R2055" s="2">
        <v>0.3</v>
      </c>
      <c r="S2055" t="str">
        <f>IF(Table1[[#This Row],[Years_Experience]]&lt;=5,"Early Career",
IF(Table1[[#This Row],[Years_Experience]]&lt;=15,"Mid Career","Senior Level"))</f>
        <v>Mid Career</v>
      </c>
      <c r="T2055" t="str">
        <f>IF(Table1[[#This Row],[AI_Exposure_Index]]&gt;=0.7,"High Exposure", IF(Table1[[#This Row],[AI_Exposure_Index]]&gt;=0.3,"Medium Exposure","Low Exposure"))</f>
        <v>High Exposure</v>
      </c>
    </row>
    <row r="2056" spans="1:20" x14ac:dyDescent="0.25">
      <c r="A2056" t="s">
        <v>18</v>
      </c>
      <c r="B2056">
        <v>124204</v>
      </c>
      <c r="C2056" s="1">
        <v>26</v>
      </c>
      <c r="D2056" t="s">
        <v>25</v>
      </c>
      <c r="E2056" s="7">
        <v>1.47</v>
      </c>
      <c r="F2056" s="2">
        <v>0.65</v>
      </c>
      <c r="G2056" s="7">
        <v>0.91</v>
      </c>
      <c r="H2056" s="9" t="s">
        <v>20</v>
      </c>
      <c r="I2056">
        <v>0.72</v>
      </c>
      <c r="J2056">
        <v>0.48</v>
      </c>
      <c r="K2056">
        <v>0.39</v>
      </c>
      <c r="L2056">
        <v>0.03</v>
      </c>
      <c r="M2056">
        <v>0.36</v>
      </c>
      <c r="N2056">
        <v>0.85</v>
      </c>
      <c r="O2056">
        <v>0.38</v>
      </c>
      <c r="P2056">
        <v>0.46</v>
      </c>
      <c r="Q2056">
        <v>0.27</v>
      </c>
      <c r="R2056" s="2">
        <v>0.27</v>
      </c>
      <c r="S2056" t="str">
        <f>IF(Table1[[#This Row],[Years_Experience]]&lt;=5,"Early Career",
IF(Table1[[#This Row],[Years_Experience]]&lt;=15,"Mid Career","Senior Level"))</f>
        <v>Senior Level</v>
      </c>
      <c r="T2056" t="str">
        <f>IF(Table1[[#This Row],[AI_Exposure_Index]]&gt;=0.7,"High Exposure", IF(Table1[[#This Row],[AI_Exposure_Index]]&gt;=0.3,"Medium Exposure","Low Exposure"))</f>
        <v>Medium Exposure</v>
      </c>
    </row>
    <row r="2057" spans="1:20" x14ac:dyDescent="0.25">
      <c r="A2057" t="s">
        <v>24</v>
      </c>
      <c r="B2057">
        <v>84255</v>
      </c>
      <c r="C2057" s="1">
        <v>1</v>
      </c>
      <c r="D2057" t="s">
        <v>25</v>
      </c>
      <c r="E2057" s="7">
        <v>0.95</v>
      </c>
      <c r="F2057" s="2">
        <v>0.61</v>
      </c>
      <c r="G2057" s="7">
        <v>0.85</v>
      </c>
      <c r="H2057" s="9" t="s">
        <v>20</v>
      </c>
      <c r="I2057">
        <v>0.55000000000000004</v>
      </c>
      <c r="J2057">
        <v>0.8</v>
      </c>
      <c r="K2057">
        <v>0.75</v>
      </c>
      <c r="L2057">
        <v>0.77</v>
      </c>
      <c r="M2057">
        <v>0.5</v>
      </c>
      <c r="N2057">
        <v>0.35</v>
      </c>
      <c r="O2057">
        <v>0.93</v>
      </c>
      <c r="P2057">
        <v>0.05</v>
      </c>
      <c r="Q2057">
        <v>0.15</v>
      </c>
      <c r="R2057" s="2">
        <v>0.42</v>
      </c>
      <c r="S2057" t="str">
        <f>IF(Table1[[#This Row],[Years_Experience]]&lt;=5,"Early Career",
IF(Table1[[#This Row],[Years_Experience]]&lt;=15,"Mid Career","Senior Level"))</f>
        <v>Early Career</v>
      </c>
      <c r="T2057" t="str">
        <f>IF(Table1[[#This Row],[AI_Exposure_Index]]&gt;=0.7,"High Exposure", IF(Table1[[#This Row],[AI_Exposure_Index]]&gt;=0.3,"Medium Exposure","Low Exposure"))</f>
        <v>Medium Exposure</v>
      </c>
    </row>
    <row r="2058" spans="1:20" x14ac:dyDescent="0.25">
      <c r="A2058" t="s">
        <v>28</v>
      </c>
      <c r="B2058">
        <v>51566</v>
      </c>
      <c r="C2058" s="1">
        <v>14</v>
      </c>
      <c r="D2058" t="s">
        <v>22</v>
      </c>
      <c r="E2058" s="7">
        <v>1.22</v>
      </c>
      <c r="F2058" s="2">
        <v>0.01</v>
      </c>
      <c r="G2058" s="7">
        <v>0.52</v>
      </c>
      <c r="H2058" s="9" t="s">
        <v>27</v>
      </c>
      <c r="I2058">
        <v>0.48</v>
      </c>
      <c r="J2058">
        <v>0.42</v>
      </c>
      <c r="K2058">
        <v>0.52</v>
      </c>
      <c r="L2058">
        <v>0.16</v>
      </c>
      <c r="M2058">
        <v>0.11</v>
      </c>
      <c r="N2058">
        <v>0.28999999999999998</v>
      </c>
      <c r="O2058">
        <v>0.71</v>
      </c>
      <c r="P2058">
        <v>0.59</v>
      </c>
      <c r="Q2058">
        <v>0.48</v>
      </c>
      <c r="R2058" s="2">
        <v>0.56999999999999995</v>
      </c>
      <c r="S2058" t="str">
        <f>IF(Table1[[#This Row],[Years_Experience]]&lt;=5,"Early Career",
IF(Table1[[#This Row],[Years_Experience]]&lt;=15,"Mid Career","Senior Level"))</f>
        <v>Mid Career</v>
      </c>
      <c r="T2058" t="str">
        <f>IF(Table1[[#This Row],[AI_Exposure_Index]]&gt;=0.7,"High Exposure", IF(Table1[[#This Row],[AI_Exposure_Index]]&gt;=0.3,"Medium Exposure","Low Exposure"))</f>
        <v>Low Exposure</v>
      </c>
    </row>
    <row r="2059" spans="1:20" x14ac:dyDescent="0.25">
      <c r="A2059" t="s">
        <v>37</v>
      </c>
      <c r="B2059">
        <v>130461</v>
      </c>
      <c r="C2059" s="1">
        <v>4</v>
      </c>
      <c r="D2059" t="s">
        <v>25</v>
      </c>
      <c r="E2059" s="7">
        <v>0.6</v>
      </c>
      <c r="F2059" s="2">
        <v>0.31</v>
      </c>
      <c r="G2059" s="7">
        <v>0.66</v>
      </c>
      <c r="H2059" s="9" t="s">
        <v>27</v>
      </c>
      <c r="I2059">
        <v>0.6</v>
      </c>
      <c r="J2059">
        <v>0.7</v>
      </c>
      <c r="K2059">
        <v>0.46</v>
      </c>
      <c r="L2059">
        <v>0.76</v>
      </c>
      <c r="M2059">
        <v>0.57999999999999996</v>
      </c>
      <c r="N2059">
        <v>0.05</v>
      </c>
      <c r="O2059">
        <v>0.89</v>
      </c>
      <c r="P2059">
        <v>0.31</v>
      </c>
      <c r="Q2059">
        <v>0.14000000000000001</v>
      </c>
      <c r="R2059" s="2">
        <v>0.09</v>
      </c>
      <c r="S2059" t="str">
        <f>IF(Table1[[#This Row],[Years_Experience]]&lt;=5,"Early Career",
IF(Table1[[#This Row],[Years_Experience]]&lt;=15,"Mid Career","Senior Level"))</f>
        <v>Early Career</v>
      </c>
      <c r="T2059" t="str">
        <f>IF(Table1[[#This Row],[AI_Exposure_Index]]&gt;=0.7,"High Exposure", IF(Table1[[#This Row],[AI_Exposure_Index]]&gt;=0.3,"Medium Exposure","Low Exposure"))</f>
        <v>Medium Exposure</v>
      </c>
    </row>
    <row r="2060" spans="1:20" x14ac:dyDescent="0.25">
      <c r="A2060" t="s">
        <v>42</v>
      </c>
      <c r="B2060">
        <v>80891</v>
      </c>
      <c r="C2060" s="1">
        <v>18</v>
      </c>
      <c r="D2060" t="s">
        <v>38</v>
      </c>
      <c r="E2060" s="7">
        <v>1.2</v>
      </c>
      <c r="F2060" s="2">
        <v>0.7</v>
      </c>
      <c r="G2060" s="7">
        <v>0.67</v>
      </c>
      <c r="H2060" s="9" t="s">
        <v>27</v>
      </c>
      <c r="I2060">
        <v>0.35</v>
      </c>
      <c r="J2060">
        <v>0.56000000000000005</v>
      </c>
      <c r="K2060">
        <v>0.62</v>
      </c>
      <c r="L2060">
        <v>0.98</v>
      </c>
      <c r="M2060">
        <v>0.31</v>
      </c>
      <c r="N2060">
        <v>0.96</v>
      </c>
      <c r="O2060">
        <v>0.15</v>
      </c>
      <c r="P2060">
        <v>0.76</v>
      </c>
      <c r="Q2060">
        <v>0.63</v>
      </c>
      <c r="R2060" s="2">
        <v>0.82</v>
      </c>
      <c r="S2060" t="str">
        <f>IF(Table1[[#This Row],[Years_Experience]]&lt;=5,"Early Career",
IF(Table1[[#This Row],[Years_Experience]]&lt;=15,"Mid Career","Senior Level"))</f>
        <v>Senior Level</v>
      </c>
      <c r="T2060" t="str">
        <f>IF(Table1[[#This Row],[AI_Exposure_Index]]&gt;=0.7,"High Exposure", IF(Table1[[#This Row],[AI_Exposure_Index]]&gt;=0.3,"Medium Exposure","Low Exposure"))</f>
        <v>High Exposure</v>
      </c>
    </row>
    <row r="2061" spans="1:20" x14ac:dyDescent="0.25">
      <c r="A2061" t="s">
        <v>24</v>
      </c>
      <c r="B2061">
        <v>127871</v>
      </c>
      <c r="C2061" s="1">
        <v>5</v>
      </c>
      <c r="D2061" t="s">
        <v>22</v>
      </c>
      <c r="E2061" s="7">
        <v>0.68</v>
      </c>
      <c r="F2061" s="2">
        <v>7.0000000000000007E-2</v>
      </c>
      <c r="G2061" s="7">
        <v>0.93</v>
      </c>
      <c r="H2061" s="9" t="s">
        <v>20</v>
      </c>
      <c r="I2061">
        <v>0.12</v>
      </c>
      <c r="J2061">
        <v>0.57999999999999996</v>
      </c>
      <c r="K2061">
        <v>0.32</v>
      </c>
      <c r="L2061">
        <v>0.56000000000000005</v>
      </c>
      <c r="M2061">
        <v>0.23</v>
      </c>
      <c r="N2061">
        <v>0.44</v>
      </c>
      <c r="O2061">
        <v>0.87</v>
      </c>
      <c r="P2061">
        <v>0.38</v>
      </c>
      <c r="Q2061">
        <v>0.35</v>
      </c>
      <c r="R2061" s="2">
        <v>0.45</v>
      </c>
      <c r="S2061" t="str">
        <f>IF(Table1[[#This Row],[Years_Experience]]&lt;=5,"Early Career",
IF(Table1[[#This Row],[Years_Experience]]&lt;=15,"Mid Career","Senior Level"))</f>
        <v>Early Career</v>
      </c>
      <c r="T2061" t="str">
        <f>IF(Table1[[#This Row],[AI_Exposure_Index]]&gt;=0.7,"High Exposure", IF(Table1[[#This Row],[AI_Exposure_Index]]&gt;=0.3,"Medium Exposure","Low Exposure"))</f>
        <v>Low Exposure</v>
      </c>
    </row>
    <row r="2062" spans="1:20" x14ac:dyDescent="0.25">
      <c r="A2062" t="s">
        <v>37</v>
      </c>
      <c r="B2062">
        <v>112418</v>
      </c>
      <c r="C2062" s="1">
        <v>9</v>
      </c>
      <c r="D2062" t="s">
        <v>25</v>
      </c>
      <c r="E2062" s="7">
        <v>1.46</v>
      </c>
      <c r="F2062" s="2">
        <v>0.59</v>
      </c>
      <c r="G2062" s="7">
        <v>0.34</v>
      </c>
      <c r="H2062" s="9" t="s">
        <v>27</v>
      </c>
      <c r="I2062">
        <v>0.12</v>
      </c>
      <c r="J2062">
        <v>0.7</v>
      </c>
      <c r="K2062">
        <v>0.67</v>
      </c>
      <c r="L2062">
        <v>0.25</v>
      </c>
      <c r="M2062">
        <v>0.81</v>
      </c>
      <c r="N2062">
        <v>0.13</v>
      </c>
      <c r="O2062">
        <v>0.93</v>
      </c>
      <c r="P2062">
        <v>0.2</v>
      </c>
      <c r="Q2062">
        <v>0.08</v>
      </c>
      <c r="R2062" s="2">
        <v>0.34</v>
      </c>
      <c r="S2062" t="str">
        <f>IF(Table1[[#This Row],[Years_Experience]]&lt;=5,"Early Career",
IF(Table1[[#This Row],[Years_Experience]]&lt;=15,"Mid Career","Senior Level"))</f>
        <v>Mid Career</v>
      </c>
      <c r="T2062" t="str">
        <f>IF(Table1[[#This Row],[AI_Exposure_Index]]&gt;=0.7,"High Exposure", IF(Table1[[#This Row],[AI_Exposure_Index]]&gt;=0.3,"Medium Exposure","Low Exposure"))</f>
        <v>Medium Exposure</v>
      </c>
    </row>
    <row r="2063" spans="1:20" x14ac:dyDescent="0.25">
      <c r="A2063" t="s">
        <v>40</v>
      </c>
      <c r="B2063">
        <v>54002</v>
      </c>
      <c r="C2063" s="1">
        <v>10</v>
      </c>
      <c r="D2063" t="s">
        <v>22</v>
      </c>
      <c r="E2063" s="7">
        <v>1.19</v>
      </c>
      <c r="F2063" s="2">
        <v>0.53</v>
      </c>
      <c r="G2063" s="7">
        <v>0.17</v>
      </c>
      <c r="H2063" s="9" t="s">
        <v>23</v>
      </c>
      <c r="I2063">
        <v>0.66</v>
      </c>
      <c r="J2063">
        <v>0.36</v>
      </c>
      <c r="K2063">
        <v>0.03</v>
      </c>
      <c r="L2063">
        <v>0.97</v>
      </c>
      <c r="M2063">
        <v>0.82</v>
      </c>
      <c r="N2063">
        <v>7.0000000000000007E-2</v>
      </c>
      <c r="O2063">
        <v>0.45</v>
      </c>
      <c r="P2063">
        <v>0.64</v>
      </c>
      <c r="Q2063">
        <v>0.19</v>
      </c>
      <c r="R2063" s="2">
        <v>0.57999999999999996</v>
      </c>
      <c r="S2063" t="str">
        <f>IF(Table1[[#This Row],[Years_Experience]]&lt;=5,"Early Career",
IF(Table1[[#This Row],[Years_Experience]]&lt;=15,"Mid Career","Senior Level"))</f>
        <v>Mid Career</v>
      </c>
      <c r="T2063" t="str">
        <f>IF(Table1[[#This Row],[AI_Exposure_Index]]&gt;=0.7,"High Exposure", IF(Table1[[#This Row],[AI_Exposure_Index]]&gt;=0.3,"Medium Exposure","Low Exposure"))</f>
        <v>Medium Exposure</v>
      </c>
    </row>
    <row r="2064" spans="1:20" x14ac:dyDescent="0.25">
      <c r="A2064" t="s">
        <v>18</v>
      </c>
      <c r="B2064">
        <v>108391</v>
      </c>
      <c r="C2064" s="1">
        <v>9</v>
      </c>
      <c r="D2064" t="s">
        <v>38</v>
      </c>
      <c r="E2064" s="7">
        <v>0.64</v>
      </c>
      <c r="F2064" s="2">
        <v>0.21</v>
      </c>
      <c r="G2064" s="7">
        <v>0.89</v>
      </c>
      <c r="H2064" s="9" t="s">
        <v>20</v>
      </c>
      <c r="I2064">
        <v>0.32</v>
      </c>
      <c r="J2064">
        <v>0.24</v>
      </c>
      <c r="K2064">
        <v>0.74</v>
      </c>
      <c r="L2064">
        <v>0.74</v>
      </c>
      <c r="M2064">
        <v>0.28000000000000003</v>
      </c>
      <c r="N2064">
        <v>0.87</v>
      </c>
      <c r="O2064">
        <v>0.69</v>
      </c>
      <c r="P2064">
        <v>0.35</v>
      </c>
      <c r="Q2064">
        <v>0.43</v>
      </c>
      <c r="R2064" s="2">
        <v>0.73</v>
      </c>
      <c r="S2064" t="str">
        <f>IF(Table1[[#This Row],[Years_Experience]]&lt;=5,"Early Career",
IF(Table1[[#This Row],[Years_Experience]]&lt;=15,"Mid Career","Senior Level"))</f>
        <v>Mid Career</v>
      </c>
      <c r="T2064" t="str">
        <f>IF(Table1[[#This Row],[AI_Exposure_Index]]&gt;=0.7,"High Exposure", IF(Table1[[#This Row],[AI_Exposure_Index]]&gt;=0.3,"Medium Exposure","Low Exposure"))</f>
        <v>Low Exposure</v>
      </c>
    </row>
    <row r="2065" spans="1:20" x14ac:dyDescent="0.25">
      <c r="A2065" t="s">
        <v>43</v>
      </c>
      <c r="B2065">
        <v>53474</v>
      </c>
      <c r="C2065" s="1">
        <v>11</v>
      </c>
      <c r="D2065" t="s">
        <v>22</v>
      </c>
      <c r="E2065" s="7">
        <v>1.1499999999999999</v>
      </c>
      <c r="F2065" s="2">
        <v>0.47</v>
      </c>
      <c r="G2065" s="7">
        <v>0.18</v>
      </c>
      <c r="H2065" s="9" t="s">
        <v>23</v>
      </c>
      <c r="I2065">
        <v>0.61</v>
      </c>
      <c r="J2065">
        <v>0.55000000000000004</v>
      </c>
      <c r="K2065">
        <v>0.2</v>
      </c>
      <c r="L2065">
        <v>0.41</v>
      </c>
      <c r="M2065">
        <v>0.53</v>
      </c>
      <c r="N2065">
        <v>0.78</v>
      </c>
      <c r="O2065">
        <v>0.65</v>
      </c>
      <c r="P2065">
        <v>0.43</v>
      </c>
      <c r="Q2065">
        <v>0.97</v>
      </c>
      <c r="R2065" s="2">
        <v>0.11</v>
      </c>
      <c r="S2065" t="str">
        <f>IF(Table1[[#This Row],[Years_Experience]]&lt;=5,"Early Career",
IF(Table1[[#This Row],[Years_Experience]]&lt;=15,"Mid Career","Senior Level"))</f>
        <v>Mid Career</v>
      </c>
      <c r="T2065" t="str">
        <f>IF(Table1[[#This Row],[AI_Exposure_Index]]&gt;=0.7,"High Exposure", IF(Table1[[#This Row],[AI_Exposure_Index]]&gt;=0.3,"Medium Exposure","Low Exposure"))</f>
        <v>Medium Exposure</v>
      </c>
    </row>
    <row r="2066" spans="1:20" x14ac:dyDescent="0.25">
      <c r="A2066" t="s">
        <v>40</v>
      </c>
      <c r="B2066">
        <v>106286</v>
      </c>
      <c r="C2066" s="1">
        <v>1</v>
      </c>
      <c r="D2066" t="s">
        <v>19</v>
      </c>
      <c r="E2066" s="7">
        <v>0.73</v>
      </c>
      <c r="F2066" s="2">
        <v>0.34</v>
      </c>
      <c r="G2066" s="7">
        <v>0.21</v>
      </c>
      <c r="H2066" s="9" t="s">
        <v>23</v>
      </c>
      <c r="I2066">
        <v>0.04</v>
      </c>
      <c r="J2066">
        <v>0.18</v>
      </c>
      <c r="K2066">
        <v>0.28999999999999998</v>
      </c>
      <c r="L2066">
        <v>0.68</v>
      </c>
      <c r="M2066">
        <v>0.88</v>
      </c>
      <c r="N2066">
        <v>0.8</v>
      </c>
      <c r="O2066">
        <v>0.18</v>
      </c>
      <c r="P2066">
        <v>0.56999999999999995</v>
      </c>
      <c r="Q2066">
        <v>0.03</v>
      </c>
      <c r="R2066" s="2">
        <v>0.31</v>
      </c>
      <c r="S2066" t="str">
        <f>IF(Table1[[#This Row],[Years_Experience]]&lt;=5,"Early Career",
IF(Table1[[#This Row],[Years_Experience]]&lt;=15,"Mid Career","Senior Level"))</f>
        <v>Early Career</v>
      </c>
      <c r="T2066" t="str">
        <f>IF(Table1[[#This Row],[AI_Exposure_Index]]&gt;=0.7,"High Exposure", IF(Table1[[#This Row],[AI_Exposure_Index]]&gt;=0.3,"Medium Exposure","Low Exposure"))</f>
        <v>Medium Exposure</v>
      </c>
    </row>
    <row r="2067" spans="1:20" x14ac:dyDescent="0.25">
      <c r="A2067" t="s">
        <v>26</v>
      </c>
      <c r="B2067">
        <v>92520</v>
      </c>
      <c r="C2067" s="1">
        <v>7</v>
      </c>
      <c r="D2067" t="s">
        <v>22</v>
      </c>
      <c r="E2067" s="7">
        <v>0.65</v>
      </c>
      <c r="F2067" s="2">
        <v>0.46</v>
      </c>
      <c r="G2067" s="7">
        <v>0.48</v>
      </c>
      <c r="H2067" s="9" t="s">
        <v>27</v>
      </c>
      <c r="I2067">
        <v>0.2</v>
      </c>
      <c r="J2067">
        <v>0.39</v>
      </c>
      <c r="K2067">
        <v>0.49</v>
      </c>
      <c r="L2067">
        <v>0.35</v>
      </c>
      <c r="M2067">
        <v>0.94</v>
      </c>
      <c r="N2067">
        <v>0.56000000000000005</v>
      </c>
      <c r="O2067">
        <v>0.84</v>
      </c>
      <c r="P2067">
        <v>0.76</v>
      </c>
      <c r="Q2067">
        <v>0.66</v>
      </c>
      <c r="R2067" s="2">
        <v>0.5</v>
      </c>
      <c r="S2067" t="str">
        <f>IF(Table1[[#This Row],[Years_Experience]]&lt;=5,"Early Career",
IF(Table1[[#This Row],[Years_Experience]]&lt;=15,"Mid Career","Senior Level"))</f>
        <v>Mid Career</v>
      </c>
      <c r="T2067" t="str">
        <f>IF(Table1[[#This Row],[AI_Exposure_Index]]&gt;=0.7,"High Exposure", IF(Table1[[#This Row],[AI_Exposure_Index]]&gt;=0.3,"Medium Exposure","Low Exposure"))</f>
        <v>Medium Exposure</v>
      </c>
    </row>
    <row r="2068" spans="1:20" x14ac:dyDescent="0.25">
      <c r="A2068" t="s">
        <v>18</v>
      </c>
      <c r="B2068">
        <v>60210</v>
      </c>
      <c r="C2068" s="1">
        <v>29</v>
      </c>
      <c r="D2068" t="s">
        <v>19</v>
      </c>
      <c r="E2068" s="7">
        <v>0.86</v>
      </c>
      <c r="F2068" s="2">
        <v>0.61</v>
      </c>
      <c r="G2068" s="7">
        <v>0.73</v>
      </c>
      <c r="H2068" s="9" t="s">
        <v>20</v>
      </c>
      <c r="I2068">
        <v>0.44</v>
      </c>
      <c r="J2068">
        <v>0.74</v>
      </c>
      <c r="K2068">
        <v>0.96</v>
      </c>
      <c r="L2068">
        <v>0.37</v>
      </c>
      <c r="M2068">
        <v>0.54</v>
      </c>
      <c r="N2068">
        <v>0.85</v>
      </c>
      <c r="O2068">
        <v>0.33</v>
      </c>
      <c r="P2068">
        <v>0.14000000000000001</v>
      </c>
      <c r="Q2068">
        <v>0.28000000000000003</v>
      </c>
      <c r="R2068" s="2">
        <v>0.9</v>
      </c>
      <c r="S2068" t="str">
        <f>IF(Table1[[#This Row],[Years_Experience]]&lt;=5,"Early Career",
IF(Table1[[#This Row],[Years_Experience]]&lt;=15,"Mid Career","Senior Level"))</f>
        <v>Senior Level</v>
      </c>
      <c r="T2068" t="str">
        <f>IF(Table1[[#This Row],[AI_Exposure_Index]]&gt;=0.7,"High Exposure", IF(Table1[[#This Row],[AI_Exposure_Index]]&gt;=0.3,"Medium Exposure","Low Exposure"))</f>
        <v>Medium Exposure</v>
      </c>
    </row>
    <row r="2069" spans="1:20" x14ac:dyDescent="0.25">
      <c r="A2069" t="s">
        <v>21</v>
      </c>
      <c r="B2069">
        <v>109558</v>
      </c>
      <c r="C2069" s="1">
        <v>13</v>
      </c>
      <c r="D2069" t="s">
        <v>38</v>
      </c>
      <c r="E2069" s="7">
        <v>1.31</v>
      </c>
      <c r="F2069" s="2">
        <v>0.82</v>
      </c>
      <c r="G2069" s="7">
        <v>0.1</v>
      </c>
      <c r="H2069" s="9" t="s">
        <v>23</v>
      </c>
      <c r="I2069">
        <v>0.45</v>
      </c>
      <c r="J2069">
        <v>0.32</v>
      </c>
      <c r="K2069">
        <v>0.97</v>
      </c>
      <c r="L2069">
        <v>0.88</v>
      </c>
      <c r="M2069">
        <v>0.25</v>
      </c>
      <c r="N2069">
        <v>0.31</v>
      </c>
      <c r="O2069">
        <v>0.53</v>
      </c>
      <c r="P2069">
        <v>0.28000000000000003</v>
      </c>
      <c r="Q2069">
        <v>0.82</v>
      </c>
      <c r="R2069" s="2">
        <v>0.82</v>
      </c>
      <c r="S2069" t="str">
        <f>IF(Table1[[#This Row],[Years_Experience]]&lt;=5,"Early Career",
IF(Table1[[#This Row],[Years_Experience]]&lt;=15,"Mid Career","Senior Level"))</f>
        <v>Mid Career</v>
      </c>
      <c r="T2069" t="str">
        <f>IF(Table1[[#This Row],[AI_Exposure_Index]]&gt;=0.7,"High Exposure", IF(Table1[[#This Row],[AI_Exposure_Index]]&gt;=0.3,"Medium Exposure","Low Exposure"))</f>
        <v>High Exposure</v>
      </c>
    </row>
    <row r="2070" spans="1:20" x14ac:dyDescent="0.25">
      <c r="A2070" t="s">
        <v>34</v>
      </c>
      <c r="B2070">
        <v>54559</v>
      </c>
      <c r="C2070" s="1">
        <v>20</v>
      </c>
      <c r="D2070" t="s">
        <v>19</v>
      </c>
      <c r="E2070" s="7">
        <v>1.05</v>
      </c>
      <c r="F2070" s="2">
        <v>0.69</v>
      </c>
      <c r="G2070" s="7">
        <v>0.44</v>
      </c>
      <c r="H2070" s="9" t="s">
        <v>27</v>
      </c>
      <c r="I2070">
        <v>0.84</v>
      </c>
      <c r="J2070">
        <v>0.86</v>
      </c>
      <c r="K2070">
        <v>0.05</v>
      </c>
      <c r="L2070">
        <v>0.4</v>
      </c>
      <c r="M2070">
        <v>0.03</v>
      </c>
      <c r="N2070">
        <v>0.84</v>
      </c>
      <c r="O2070">
        <v>0.18</v>
      </c>
      <c r="P2070">
        <v>0.67</v>
      </c>
      <c r="Q2070">
        <v>0.36</v>
      </c>
      <c r="R2070" s="2">
        <v>0.82</v>
      </c>
      <c r="S2070" t="str">
        <f>IF(Table1[[#This Row],[Years_Experience]]&lt;=5,"Early Career",
IF(Table1[[#This Row],[Years_Experience]]&lt;=15,"Mid Career","Senior Level"))</f>
        <v>Senior Level</v>
      </c>
      <c r="T2070" t="str">
        <f>IF(Table1[[#This Row],[AI_Exposure_Index]]&gt;=0.7,"High Exposure", IF(Table1[[#This Row],[AI_Exposure_Index]]&gt;=0.3,"Medium Exposure","Low Exposure"))</f>
        <v>Medium Exposure</v>
      </c>
    </row>
    <row r="2071" spans="1:20" x14ac:dyDescent="0.25">
      <c r="A2071" t="s">
        <v>32</v>
      </c>
      <c r="B2071">
        <v>85099</v>
      </c>
      <c r="C2071" s="1">
        <v>9</v>
      </c>
      <c r="D2071" t="s">
        <v>38</v>
      </c>
      <c r="E2071" s="7">
        <v>0.82</v>
      </c>
      <c r="F2071" s="2">
        <v>0.32</v>
      </c>
      <c r="G2071" s="7">
        <v>0.43</v>
      </c>
      <c r="H2071" s="9" t="s">
        <v>27</v>
      </c>
      <c r="I2071">
        <v>0.79</v>
      </c>
      <c r="J2071">
        <v>0.71</v>
      </c>
      <c r="K2071">
        <v>0.32</v>
      </c>
      <c r="L2071">
        <v>0.49</v>
      </c>
      <c r="M2071">
        <v>0.08</v>
      </c>
      <c r="N2071">
        <v>0.83</v>
      </c>
      <c r="O2071">
        <v>0.27</v>
      </c>
      <c r="P2071">
        <v>0.89</v>
      </c>
      <c r="Q2071">
        <v>0.6</v>
      </c>
      <c r="R2071" s="2">
        <v>0.56999999999999995</v>
      </c>
      <c r="S2071" t="str">
        <f>IF(Table1[[#This Row],[Years_Experience]]&lt;=5,"Early Career",
IF(Table1[[#This Row],[Years_Experience]]&lt;=15,"Mid Career","Senior Level"))</f>
        <v>Mid Career</v>
      </c>
      <c r="T2071" t="str">
        <f>IF(Table1[[#This Row],[AI_Exposure_Index]]&gt;=0.7,"High Exposure", IF(Table1[[#This Row],[AI_Exposure_Index]]&gt;=0.3,"Medium Exposure","Low Exposure"))</f>
        <v>Medium Exposure</v>
      </c>
    </row>
    <row r="2072" spans="1:20" x14ac:dyDescent="0.25">
      <c r="A2072" t="s">
        <v>26</v>
      </c>
      <c r="B2072">
        <v>68433</v>
      </c>
      <c r="C2072" s="1">
        <v>29</v>
      </c>
      <c r="D2072" t="s">
        <v>19</v>
      </c>
      <c r="E2072" s="7">
        <v>1.45</v>
      </c>
      <c r="F2072" s="2">
        <v>0.98</v>
      </c>
      <c r="G2072" s="7">
        <v>0.64</v>
      </c>
      <c r="H2072" s="9" t="s">
        <v>27</v>
      </c>
      <c r="I2072">
        <v>0.85</v>
      </c>
      <c r="J2072">
        <v>0.66</v>
      </c>
      <c r="K2072">
        <v>0.83</v>
      </c>
      <c r="L2072">
        <v>0.21</v>
      </c>
      <c r="M2072">
        <v>0.39</v>
      </c>
      <c r="N2072">
        <v>0.64</v>
      </c>
      <c r="O2072">
        <v>0.87</v>
      </c>
      <c r="P2072">
        <v>0.66</v>
      </c>
      <c r="Q2072">
        <v>0.84</v>
      </c>
      <c r="R2072" s="2">
        <v>0.47</v>
      </c>
      <c r="S2072" t="str">
        <f>IF(Table1[[#This Row],[Years_Experience]]&lt;=5,"Early Career",
IF(Table1[[#This Row],[Years_Experience]]&lt;=15,"Mid Career","Senior Level"))</f>
        <v>Senior Level</v>
      </c>
      <c r="T2072" t="str">
        <f>IF(Table1[[#This Row],[AI_Exposure_Index]]&gt;=0.7,"High Exposure", IF(Table1[[#This Row],[AI_Exposure_Index]]&gt;=0.3,"Medium Exposure","Low Exposure"))</f>
        <v>High Exposure</v>
      </c>
    </row>
    <row r="2073" spans="1:20" x14ac:dyDescent="0.25">
      <c r="A2073" t="s">
        <v>40</v>
      </c>
      <c r="B2073">
        <v>109791</v>
      </c>
      <c r="C2073" s="1">
        <v>2</v>
      </c>
      <c r="D2073" t="s">
        <v>22</v>
      </c>
      <c r="E2073" s="7">
        <v>0.65</v>
      </c>
      <c r="F2073" s="2">
        <v>0.98</v>
      </c>
      <c r="G2073" s="7">
        <v>0.28000000000000003</v>
      </c>
      <c r="H2073" s="9" t="s">
        <v>23</v>
      </c>
      <c r="I2073">
        <v>0.52</v>
      </c>
      <c r="J2073">
        <v>0.64</v>
      </c>
      <c r="K2073">
        <v>0.88</v>
      </c>
      <c r="L2073">
        <v>0.41</v>
      </c>
      <c r="M2073">
        <v>0.42</v>
      </c>
      <c r="N2073">
        <v>0.53</v>
      </c>
      <c r="O2073">
        <v>0.02</v>
      </c>
      <c r="P2073">
        <v>0.5</v>
      </c>
      <c r="Q2073">
        <v>0.28999999999999998</v>
      </c>
      <c r="R2073" s="2">
        <v>0.93</v>
      </c>
      <c r="S2073" t="str">
        <f>IF(Table1[[#This Row],[Years_Experience]]&lt;=5,"Early Career",
IF(Table1[[#This Row],[Years_Experience]]&lt;=15,"Mid Career","Senior Level"))</f>
        <v>Early Career</v>
      </c>
      <c r="T2073" t="str">
        <f>IF(Table1[[#This Row],[AI_Exposure_Index]]&gt;=0.7,"High Exposure", IF(Table1[[#This Row],[AI_Exposure_Index]]&gt;=0.3,"Medium Exposure","Low Exposure"))</f>
        <v>High Exposure</v>
      </c>
    </row>
    <row r="2074" spans="1:20" x14ac:dyDescent="0.25">
      <c r="A2074" t="s">
        <v>37</v>
      </c>
      <c r="B2074">
        <v>149321</v>
      </c>
      <c r="C2074" s="1">
        <v>14</v>
      </c>
      <c r="D2074" t="s">
        <v>22</v>
      </c>
      <c r="E2074" s="7">
        <v>1.45</v>
      </c>
      <c r="F2074" s="2">
        <v>0.46</v>
      </c>
      <c r="G2074" s="7">
        <v>0.66</v>
      </c>
      <c r="H2074" s="9" t="s">
        <v>27</v>
      </c>
      <c r="I2074">
        <v>0.7</v>
      </c>
      <c r="J2074">
        <v>0.59</v>
      </c>
      <c r="K2074">
        <v>0.28000000000000003</v>
      </c>
      <c r="L2074">
        <v>0.37</v>
      </c>
      <c r="M2074">
        <v>0.09</v>
      </c>
      <c r="N2074">
        <v>0.79</v>
      </c>
      <c r="O2074">
        <v>0.32</v>
      </c>
      <c r="P2074">
        <v>0.67</v>
      </c>
      <c r="Q2074">
        <v>0.36</v>
      </c>
      <c r="R2074" s="2">
        <v>0.46</v>
      </c>
      <c r="S2074" t="str">
        <f>IF(Table1[[#This Row],[Years_Experience]]&lt;=5,"Early Career",
IF(Table1[[#This Row],[Years_Experience]]&lt;=15,"Mid Career","Senior Level"))</f>
        <v>Mid Career</v>
      </c>
      <c r="T2074" t="str">
        <f>IF(Table1[[#This Row],[AI_Exposure_Index]]&gt;=0.7,"High Exposure", IF(Table1[[#This Row],[AI_Exposure_Index]]&gt;=0.3,"Medium Exposure","Low Exposure"))</f>
        <v>Medium Exposure</v>
      </c>
    </row>
    <row r="2075" spans="1:20" x14ac:dyDescent="0.25">
      <c r="A2075" t="s">
        <v>40</v>
      </c>
      <c r="B2075">
        <v>72048</v>
      </c>
      <c r="C2075" s="1">
        <v>27</v>
      </c>
      <c r="D2075" t="s">
        <v>38</v>
      </c>
      <c r="E2075" s="7">
        <v>0.71</v>
      </c>
      <c r="F2075" s="2">
        <v>0.8</v>
      </c>
      <c r="G2075" s="7">
        <v>0.15</v>
      </c>
      <c r="H2075" s="9" t="s">
        <v>23</v>
      </c>
      <c r="I2075">
        <v>0.13</v>
      </c>
      <c r="J2075">
        <v>0.08</v>
      </c>
      <c r="K2075">
        <v>0.6</v>
      </c>
      <c r="L2075">
        <v>0.19</v>
      </c>
      <c r="M2075">
        <v>0.06</v>
      </c>
      <c r="N2075">
        <v>0.9</v>
      </c>
      <c r="O2075">
        <v>0.53</v>
      </c>
      <c r="P2075">
        <v>0.13</v>
      </c>
      <c r="Q2075">
        <v>0.05</v>
      </c>
      <c r="R2075" s="2">
        <v>0.12</v>
      </c>
      <c r="S2075" t="str">
        <f>IF(Table1[[#This Row],[Years_Experience]]&lt;=5,"Early Career",
IF(Table1[[#This Row],[Years_Experience]]&lt;=15,"Mid Career","Senior Level"))</f>
        <v>Senior Level</v>
      </c>
      <c r="T2075" t="str">
        <f>IF(Table1[[#This Row],[AI_Exposure_Index]]&gt;=0.7,"High Exposure", IF(Table1[[#This Row],[AI_Exposure_Index]]&gt;=0.3,"Medium Exposure","Low Exposure"))</f>
        <v>High Exposure</v>
      </c>
    </row>
    <row r="2076" spans="1:20" x14ac:dyDescent="0.25">
      <c r="A2076" t="s">
        <v>36</v>
      </c>
      <c r="B2076">
        <v>132076</v>
      </c>
      <c r="C2076" s="1">
        <v>26</v>
      </c>
      <c r="D2076" t="s">
        <v>25</v>
      </c>
      <c r="E2076" s="7">
        <v>1.1399999999999999</v>
      </c>
      <c r="F2076" s="2">
        <v>0.67</v>
      </c>
      <c r="G2076" s="7">
        <v>0.36</v>
      </c>
      <c r="H2076" s="9" t="s">
        <v>27</v>
      </c>
      <c r="I2076">
        <v>0.63</v>
      </c>
      <c r="J2076">
        <v>0.4</v>
      </c>
      <c r="K2076">
        <v>0.46</v>
      </c>
      <c r="L2076">
        <v>0.8</v>
      </c>
      <c r="M2076">
        <v>0.33</v>
      </c>
      <c r="N2076">
        <v>0.15</v>
      </c>
      <c r="O2076">
        <v>0.87</v>
      </c>
      <c r="P2076">
        <v>0.21</v>
      </c>
      <c r="Q2076">
        <v>0.28999999999999998</v>
      </c>
      <c r="R2076" s="2">
        <v>0.71</v>
      </c>
      <c r="S2076" t="str">
        <f>IF(Table1[[#This Row],[Years_Experience]]&lt;=5,"Early Career",
IF(Table1[[#This Row],[Years_Experience]]&lt;=15,"Mid Career","Senior Level"))</f>
        <v>Senior Level</v>
      </c>
      <c r="T2076" t="str">
        <f>IF(Table1[[#This Row],[AI_Exposure_Index]]&gt;=0.7,"High Exposure", IF(Table1[[#This Row],[AI_Exposure_Index]]&gt;=0.3,"Medium Exposure","Low Exposure"))</f>
        <v>Medium Exposure</v>
      </c>
    </row>
    <row r="2077" spans="1:20" x14ac:dyDescent="0.25">
      <c r="A2077" t="s">
        <v>39</v>
      </c>
      <c r="B2077">
        <v>105605</v>
      </c>
      <c r="C2077" s="1">
        <v>24</v>
      </c>
      <c r="D2077" t="s">
        <v>19</v>
      </c>
      <c r="E2077" s="7">
        <v>0.68</v>
      </c>
      <c r="F2077" s="2">
        <v>0.8</v>
      </c>
      <c r="G2077" s="7">
        <v>0.79</v>
      </c>
      <c r="H2077" s="9" t="s">
        <v>20</v>
      </c>
      <c r="I2077">
        <v>0.13</v>
      </c>
      <c r="J2077">
        <v>0.54</v>
      </c>
      <c r="K2077">
        <v>0.28999999999999998</v>
      </c>
      <c r="L2077">
        <v>0.69</v>
      </c>
      <c r="M2077">
        <v>0</v>
      </c>
      <c r="N2077">
        <v>0.06</v>
      </c>
      <c r="O2077">
        <v>0.43</v>
      </c>
      <c r="P2077">
        <v>0.96</v>
      </c>
      <c r="Q2077">
        <v>0.89</v>
      </c>
      <c r="R2077" s="2">
        <v>0.99</v>
      </c>
      <c r="S2077" t="str">
        <f>IF(Table1[[#This Row],[Years_Experience]]&lt;=5,"Early Career",
IF(Table1[[#This Row],[Years_Experience]]&lt;=15,"Mid Career","Senior Level"))</f>
        <v>Senior Level</v>
      </c>
      <c r="T2077" t="str">
        <f>IF(Table1[[#This Row],[AI_Exposure_Index]]&gt;=0.7,"High Exposure", IF(Table1[[#This Row],[AI_Exposure_Index]]&gt;=0.3,"Medium Exposure","Low Exposure"))</f>
        <v>High Exposure</v>
      </c>
    </row>
    <row r="2078" spans="1:20" x14ac:dyDescent="0.25">
      <c r="A2078" t="s">
        <v>39</v>
      </c>
      <c r="B2078">
        <v>120811</v>
      </c>
      <c r="C2078" s="1">
        <v>25</v>
      </c>
      <c r="D2078" t="s">
        <v>19</v>
      </c>
      <c r="E2078" s="7">
        <v>0.81</v>
      </c>
      <c r="F2078" s="2">
        <v>0.05</v>
      </c>
      <c r="G2078" s="7">
        <v>0.87</v>
      </c>
      <c r="H2078" s="9" t="s">
        <v>20</v>
      </c>
      <c r="I2078">
        <v>0.14000000000000001</v>
      </c>
      <c r="J2078">
        <v>0.3</v>
      </c>
      <c r="K2078">
        <v>0.06</v>
      </c>
      <c r="L2078">
        <v>0.47</v>
      </c>
      <c r="M2078">
        <v>0.21</v>
      </c>
      <c r="N2078">
        <v>0.09</v>
      </c>
      <c r="O2078">
        <v>0.41</v>
      </c>
      <c r="P2078">
        <v>0.35</v>
      </c>
      <c r="Q2078">
        <v>0.54</v>
      </c>
      <c r="R2078" s="2">
        <v>0.75</v>
      </c>
      <c r="S2078" t="str">
        <f>IF(Table1[[#This Row],[Years_Experience]]&lt;=5,"Early Career",
IF(Table1[[#This Row],[Years_Experience]]&lt;=15,"Mid Career","Senior Level"))</f>
        <v>Senior Level</v>
      </c>
      <c r="T2078" t="str">
        <f>IF(Table1[[#This Row],[AI_Exposure_Index]]&gt;=0.7,"High Exposure", IF(Table1[[#This Row],[AI_Exposure_Index]]&gt;=0.3,"Medium Exposure","Low Exposure"))</f>
        <v>Low Exposure</v>
      </c>
    </row>
    <row r="2079" spans="1:20" x14ac:dyDescent="0.25">
      <c r="A2079" t="s">
        <v>41</v>
      </c>
      <c r="B2079">
        <v>115520</v>
      </c>
      <c r="C2079" s="1">
        <v>9</v>
      </c>
      <c r="D2079" t="s">
        <v>19</v>
      </c>
      <c r="E2079" s="7">
        <v>0.53</v>
      </c>
      <c r="F2079" s="2">
        <v>0.79</v>
      </c>
      <c r="G2079" s="7">
        <v>0.81</v>
      </c>
      <c r="H2079" s="9" t="s">
        <v>20</v>
      </c>
      <c r="I2079">
        <v>0.59</v>
      </c>
      <c r="J2079">
        <v>0.96</v>
      </c>
      <c r="K2079">
        <v>0.56999999999999995</v>
      </c>
      <c r="L2079">
        <v>0.16</v>
      </c>
      <c r="M2079">
        <v>0.52</v>
      </c>
      <c r="N2079">
        <v>0.4</v>
      </c>
      <c r="O2079">
        <v>0.48</v>
      </c>
      <c r="P2079">
        <v>0.2</v>
      </c>
      <c r="Q2079">
        <v>0.5</v>
      </c>
      <c r="R2079" s="2">
        <v>0.15</v>
      </c>
      <c r="S2079" t="str">
        <f>IF(Table1[[#This Row],[Years_Experience]]&lt;=5,"Early Career",
IF(Table1[[#This Row],[Years_Experience]]&lt;=15,"Mid Career","Senior Level"))</f>
        <v>Mid Career</v>
      </c>
      <c r="T2079" t="str">
        <f>IF(Table1[[#This Row],[AI_Exposure_Index]]&gt;=0.7,"High Exposure", IF(Table1[[#This Row],[AI_Exposure_Index]]&gt;=0.3,"Medium Exposure","Low Exposure"))</f>
        <v>High Exposure</v>
      </c>
    </row>
    <row r="2080" spans="1:20" x14ac:dyDescent="0.25">
      <c r="A2080" t="s">
        <v>36</v>
      </c>
      <c r="B2080">
        <v>135341</v>
      </c>
      <c r="C2080" s="1">
        <v>14</v>
      </c>
      <c r="D2080" t="s">
        <v>25</v>
      </c>
      <c r="E2080" s="7">
        <v>0.85</v>
      </c>
      <c r="F2080" s="2">
        <v>0.89</v>
      </c>
      <c r="G2080" s="7">
        <v>0.56999999999999995</v>
      </c>
      <c r="H2080" s="9" t="s">
        <v>27</v>
      </c>
      <c r="I2080">
        <v>0.12</v>
      </c>
      <c r="J2080">
        <v>0.74</v>
      </c>
      <c r="K2080">
        <v>0.17</v>
      </c>
      <c r="L2080">
        <v>0.69</v>
      </c>
      <c r="M2080">
        <v>0.42</v>
      </c>
      <c r="N2080">
        <v>0.93</v>
      </c>
      <c r="O2080">
        <v>0.46</v>
      </c>
      <c r="P2080">
        <v>0.03</v>
      </c>
      <c r="Q2080">
        <v>0.48</v>
      </c>
      <c r="R2080" s="2">
        <v>0.8</v>
      </c>
      <c r="S2080" t="str">
        <f>IF(Table1[[#This Row],[Years_Experience]]&lt;=5,"Early Career",
IF(Table1[[#This Row],[Years_Experience]]&lt;=15,"Mid Career","Senior Level"))</f>
        <v>Mid Career</v>
      </c>
      <c r="T2080" t="str">
        <f>IF(Table1[[#This Row],[AI_Exposure_Index]]&gt;=0.7,"High Exposure", IF(Table1[[#This Row],[AI_Exposure_Index]]&gt;=0.3,"Medium Exposure","Low Exposure"))</f>
        <v>High Exposure</v>
      </c>
    </row>
    <row r="2081" spans="1:20" x14ac:dyDescent="0.25">
      <c r="A2081" t="s">
        <v>33</v>
      </c>
      <c r="B2081">
        <v>116402</v>
      </c>
      <c r="C2081" s="1">
        <v>5</v>
      </c>
      <c r="D2081" t="s">
        <v>22</v>
      </c>
      <c r="E2081" s="7">
        <v>1.34</v>
      </c>
      <c r="F2081" s="2">
        <v>0.97</v>
      </c>
      <c r="G2081" s="7">
        <v>0.83</v>
      </c>
      <c r="H2081" s="9" t="s">
        <v>20</v>
      </c>
      <c r="I2081">
        <v>0.21</v>
      </c>
      <c r="J2081">
        <v>0</v>
      </c>
      <c r="K2081">
        <v>0.98</v>
      </c>
      <c r="L2081">
        <v>0.94</v>
      </c>
      <c r="M2081">
        <v>0.27</v>
      </c>
      <c r="N2081">
        <v>0.64</v>
      </c>
      <c r="O2081">
        <v>0.73</v>
      </c>
      <c r="P2081">
        <v>0.57999999999999996</v>
      </c>
      <c r="Q2081">
        <v>0.84</v>
      </c>
      <c r="R2081" s="2">
        <v>0.08</v>
      </c>
      <c r="S2081" t="str">
        <f>IF(Table1[[#This Row],[Years_Experience]]&lt;=5,"Early Career",
IF(Table1[[#This Row],[Years_Experience]]&lt;=15,"Mid Career","Senior Level"))</f>
        <v>Early Career</v>
      </c>
      <c r="T2081" t="str">
        <f>IF(Table1[[#This Row],[AI_Exposure_Index]]&gt;=0.7,"High Exposure", IF(Table1[[#This Row],[AI_Exposure_Index]]&gt;=0.3,"Medium Exposure","Low Exposure"))</f>
        <v>High Exposure</v>
      </c>
    </row>
    <row r="2082" spans="1:20" x14ac:dyDescent="0.25">
      <c r="A2082" t="s">
        <v>32</v>
      </c>
      <c r="B2082">
        <v>71503</v>
      </c>
      <c r="C2082" s="1">
        <v>10</v>
      </c>
      <c r="D2082" t="s">
        <v>25</v>
      </c>
      <c r="E2082" s="7">
        <v>0.98</v>
      </c>
      <c r="F2082" s="2">
        <v>0.39</v>
      </c>
      <c r="G2082" s="7">
        <v>0.48</v>
      </c>
      <c r="H2082" s="9" t="s">
        <v>27</v>
      </c>
      <c r="I2082">
        <v>0.53</v>
      </c>
      <c r="J2082">
        <v>0.6</v>
      </c>
      <c r="K2082">
        <v>0.71</v>
      </c>
      <c r="L2082">
        <v>0.52</v>
      </c>
      <c r="M2082">
        <v>0.68</v>
      </c>
      <c r="N2082">
        <v>0.34</v>
      </c>
      <c r="O2082">
        <v>0.94</v>
      </c>
      <c r="P2082">
        <v>0.06</v>
      </c>
      <c r="Q2082">
        <v>0.55000000000000004</v>
      </c>
      <c r="R2082" s="2">
        <v>0.09</v>
      </c>
      <c r="S2082" t="str">
        <f>IF(Table1[[#This Row],[Years_Experience]]&lt;=5,"Early Career",
IF(Table1[[#This Row],[Years_Experience]]&lt;=15,"Mid Career","Senior Level"))</f>
        <v>Mid Career</v>
      </c>
      <c r="T2082" t="str">
        <f>IF(Table1[[#This Row],[AI_Exposure_Index]]&gt;=0.7,"High Exposure", IF(Table1[[#This Row],[AI_Exposure_Index]]&gt;=0.3,"Medium Exposure","Low Exposure"))</f>
        <v>Medium Exposure</v>
      </c>
    </row>
    <row r="2083" spans="1:20" x14ac:dyDescent="0.25">
      <c r="A2083" t="s">
        <v>41</v>
      </c>
      <c r="B2083">
        <v>107366</v>
      </c>
      <c r="C2083" s="1">
        <v>29</v>
      </c>
      <c r="D2083" t="s">
        <v>19</v>
      </c>
      <c r="E2083" s="7">
        <v>1.44</v>
      </c>
      <c r="F2083" s="2">
        <v>0.26</v>
      </c>
      <c r="G2083" s="7">
        <v>0.7</v>
      </c>
      <c r="H2083" s="9" t="s">
        <v>27</v>
      </c>
      <c r="I2083">
        <v>0.39</v>
      </c>
      <c r="J2083">
        <v>0.78</v>
      </c>
      <c r="K2083">
        <v>0.19</v>
      </c>
      <c r="L2083">
        <v>0.82</v>
      </c>
      <c r="M2083">
        <v>0.86</v>
      </c>
      <c r="N2083">
        <v>0.71</v>
      </c>
      <c r="O2083">
        <v>0.21</v>
      </c>
      <c r="P2083">
        <v>0.27</v>
      </c>
      <c r="Q2083">
        <v>0.17</v>
      </c>
      <c r="R2083" s="2">
        <v>0.18</v>
      </c>
      <c r="S2083" t="str">
        <f>IF(Table1[[#This Row],[Years_Experience]]&lt;=5,"Early Career",
IF(Table1[[#This Row],[Years_Experience]]&lt;=15,"Mid Career","Senior Level"))</f>
        <v>Senior Level</v>
      </c>
      <c r="T2083" t="str">
        <f>IF(Table1[[#This Row],[AI_Exposure_Index]]&gt;=0.7,"High Exposure", IF(Table1[[#This Row],[AI_Exposure_Index]]&gt;=0.3,"Medium Exposure","Low Exposure"))</f>
        <v>Low Exposure</v>
      </c>
    </row>
    <row r="2084" spans="1:20" x14ac:dyDescent="0.25">
      <c r="A2084" t="s">
        <v>31</v>
      </c>
      <c r="B2084">
        <v>132187</v>
      </c>
      <c r="C2084" s="1">
        <v>17</v>
      </c>
      <c r="D2084" t="s">
        <v>38</v>
      </c>
      <c r="E2084" s="7">
        <v>1.03</v>
      </c>
      <c r="F2084" s="2">
        <v>0.86</v>
      </c>
      <c r="G2084" s="7">
        <v>0.13</v>
      </c>
      <c r="H2084" s="9" t="s">
        <v>23</v>
      </c>
      <c r="I2084">
        <v>0.28999999999999998</v>
      </c>
      <c r="J2084">
        <v>0.54</v>
      </c>
      <c r="K2084">
        <v>0.33</v>
      </c>
      <c r="L2084">
        <v>0.86</v>
      </c>
      <c r="M2084">
        <v>0.21</v>
      </c>
      <c r="N2084">
        <v>0.88</v>
      </c>
      <c r="O2084">
        <v>0.66</v>
      </c>
      <c r="P2084">
        <v>0.96</v>
      </c>
      <c r="Q2084">
        <v>0.02</v>
      </c>
      <c r="R2084" s="2">
        <v>0.06</v>
      </c>
      <c r="S2084" t="str">
        <f>IF(Table1[[#This Row],[Years_Experience]]&lt;=5,"Early Career",
IF(Table1[[#This Row],[Years_Experience]]&lt;=15,"Mid Career","Senior Level"))</f>
        <v>Senior Level</v>
      </c>
      <c r="T2084" t="str">
        <f>IF(Table1[[#This Row],[AI_Exposure_Index]]&gt;=0.7,"High Exposure", IF(Table1[[#This Row],[AI_Exposure_Index]]&gt;=0.3,"Medium Exposure","Low Exposure"))</f>
        <v>High Exposure</v>
      </c>
    </row>
    <row r="2085" spans="1:20" x14ac:dyDescent="0.25">
      <c r="A2085" t="s">
        <v>33</v>
      </c>
      <c r="B2085">
        <v>71164</v>
      </c>
      <c r="C2085" s="1">
        <v>25</v>
      </c>
      <c r="D2085" t="s">
        <v>22</v>
      </c>
      <c r="E2085" s="7">
        <v>1.23</v>
      </c>
      <c r="F2085" s="2">
        <v>0.91</v>
      </c>
      <c r="G2085" s="7">
        <v>0.86</v>
      </c>
      <c r="H2085" s="9" t="s">
        <v>20</v>
      </c>
      <c r="I2085">
        <v>0.03</v>
      </c>
      <c r="J2085">
        <v>0.35</v>
      </c>
      <c r="K2085">
        <v>0.35</v>
      </c>
      <c r="L2085">
        <v>0.54</v>
      </c>
      <c r="M2085">
        <v>0.26</v>
      </c>
      <c r="N2085">
        <v>0.27</v>
      </c>
      <c r="O2085">
        <v>0.62</v>
      </c>
      <c r="P2085">
        <v>0.94</v>
      </c>
      <c r="Q2085">
        <v>0.66</v>
      </c>
      <c r="R2085" s="2">
        <v>0.67</v>
      </c>
      <c r="S2085" t="str">
        <f>IF(Table1[[#This Row],[Years_Experience]]&lt;=5,"Early Career",
IF(Table1[[#This Row],[Years_Experience]]&lt;=15,"Mid Career","Senior Level"))</f>
        <v>Senior Level</v>
      </c>
      <c r="T2085" t="str">
        <f>IF(Table1[[#This Row],[AI_Exposure_Index]]&gt;=0.7,"High Exposure", IF(Table1[[#This Row],[AI_Exposure_Index]]&gt;=0.3,"Medium Exposure","Low Exposure"))</f>
        <v>High Exposure</v>
      </c>
    </row>
    <row r="2086" spans="1:20" x14ac:dyDescent="0.25">
      <c r="A2086" t="s">
        <v>31</v>
      </c>
      <c r="B2086">
        <v>67624</v>
      </c>
      <c r="C2086" s="1">
        <v>17</v>
      </c>
      <c r="D2086" t="s">
        <v>25</v>
      </c>
      <c r="E2086" s="7">
        <v>0.53</v>
      </c>
      <c r="F2086" s="2">
        <v>0.15</v>
      </c>
      <c r="G2086" s="7">
        <v>0.24</v>
      </c>
      <c r="H2086" s="9" t="s">
        <v>23</v>
      </c>
      <c r="I2086">
        <v>0.44</v>
      </c>
      <c r="J2086">
        <v>0.43</v>
      </c>
      <c r="K2086">
        <v>0.23</v>
      </c>
      <c r="L2086">
        <v>0.51</v>
      </c>
      <c r="M2086">
        <v>0.44</v>
      </c>
      <c r="N2086">
        <v>0.35</v>
      </c>
      <c r="O2086">
        <v>0.44</v>
      </c>
      <c r="P2086">
        <v>0.38</v>
      </c>
      <c r="Q2086">
        <v>0.94</v>
      </c>
      <c r="R2086" s="2">
        <v>0.98</v>
      </c>
      <c r="S2086" t="str">
        <f>IF(Table1[[#This Row],[Years_Experience]]&lt;=5,"Early Career",
IF(Table1[[#This Row],[Years_Experience]]&lt;=15,"Mid Career","Senior Level"))</f>
        <v>Senior Level</v>
      </c>
      <c r="T2086" t="str">
        <f>IF(Table1[[#This Row],[AI_Exposure_Index]]&gt;=0.7,"High Exposure", IF(Table1[[#This Row],[AI_Exposure_Index]]&gt;=0.3,"Medium Exposure","Low Exposure"))</f>
        <v>Low Exposure</v>
      </c>
    </row>
    <row r="2087" spans="1:20" x14ac:dyDescent="0.25">
      <c r="A2087" t="s">
        <v>39</v>
      </c>
      <c r="B2087">
        <v>144499</v>
      </c>
      <c r="C2087" s="1">
        <v>1</v>
      </c>
      <c r="D2087" t="s">
        <v>19</v>
      </c>
      <c r="E2087" s="7">
        <v>0.77</v>
      </c>
      <c r="F2087" s="2">
        <v>0.99</v>
      </c>
      <c r="G2087" s="7">
        <v>0.91</v>
      </c>
      <c r="H2087" s="9" t="s">
        <v>20</v>
      </c>
      <c r="I2087">
        <v>0.41</v>
      </c>
      <c r="J2087">
        <v>0.75</v>
      </c>
      <c r="K2087">
        <v>0.2</v>
      </c>
      <c r="L2087">
        <v>0.81</v>
      </c>
      <c r="M2087">
        <v>0.08</v>
      </c>
      <c r="N2087">
        <v>0.27</v>
      </c>
      <c r="O2087">
        <v>0.82</v>
      </c>
      <c r="P2087">
        <v>0.75</v>
      </c>
      <c r="Q2087">
        <v>0.5</v>
      </c>
      <c r="R2087" s="2">
        <v>0.67</v>
      </c>
      <c r="S2087" t="str">
        <f>IF(Table1[[#This Row],[Years_Experience]]&lt;=5,"Early Career",
IF(Table1[[#This Row],[Years_Experience]]&lt;=15,"Mid Career","Senior Level"))</f>
        <v>Early Career</v>
      </c>
      <c r="T2087" t="str">
        <f>IF(Table1[[#This Row],[AI_Exposure_Index]]&gt;=0.7,"High Exposure", IF(Table1[[#This Row],[AI_Exposure_Index]]&gt;=0.3,"Medium Exposure","Low Exposure"))</f>
        <v>High Exposure</v>
      </c>
    </row>
    <row r="2088" spans="1:20" x14ac:dyDescent="0.25">
      <c r="A2088" t="s">
        <v>31</v>
      </c>
      <c r="B2088">
        <v>146585</v>
      </c>
      <c r="C2088" s="1">
        <v>29</v>
      </c>
      <c r="D2088" t="s">
        <v>25</v>
      </c>
      <c r="E2088" s="7">
        <v>0.51</v>
      </c>
      <c r="F2088" s="2">
        <v>0.67</v>
      </c>
      <c r="G2088" s="7">
        <v>0.26</v>
      </c>
      <c r="H2088" s="9" t="s">
        <v>23</v>
      </c>
      <c r="I2088">
        <v>0.52</v>
      </c>
      <c r="J2088">
        <v>0.94</v>
      </c>
      <c r="K2088">
        <v>0.48</v>
      </c>
      <c r="L2088">
        <v>0.43</v>
      </c>
      <c r="M2088">
        <v>0.45</v>
      </c>
      <c r="N2088">
        <v>0.36</v>
      </c>
      <c r="O2088">
        <v>0.17</v>
      </c>
      <c r="P2088">
        <v>0.84</v>
      </c>
      <c r="Q2088">
        <v>0.39</v>
      </c>
      <c r="R2088" s="2">
        <v>0.53</v>
      </c>
      <c r="S2088" t="str">
        <f>IF(Table1[[#This Row],[Years_Experience]]&lt;=5,"Early Career",
IF(Table1[[#This Row],[Years_Experience]]&lt;=15,"Mid Career","Senior Level"))</f>
        <v>Senior Level</v>
      </c>
      <c r="T2088" t="str">
        <f>IF(Table1[[#This Row],[AI_Exposure_Index]]&gt;=0.7,"High Exposure", IF(Table1[[#This Row],[AI_Exposure_Index]]&gt;=0.3,"Medium Exposure","Low Exposure"))</f>
        <v>Medium Exposure</v>
      </c>
    </row>
    <row r="2089" spans="1:20" x14ac:dyDescent="0.25">
      <c r="A2089" t="s">
        <v>40</v>
      </c>
      <c r="B2089">
        <v>115780</v>
      </c>
      <c r="C2089" s="1">
        <v>24</v>
      </c>
      <c r="D2089" t="s">
        <v>22</v>
      </c>
      <c r="E2089" s="7">
        <v>1.1000000000000001</v>
      </c>
      <c r="F2089" s="2">
        <v>0.06</v>
      </c>
      <c r="G2089" s="7">
        <v>0.27</v>
      </c>
      <c r="H2089" s="9" t="s">
        <v>23</v>
      </c>
      <c r="I2089">
        <v>0.49</v>
      </c>
      <c r="J2089">
        <v>0.16</v>
      </c>
      <c r="K2089">
        <v>0.12</v>
      </c>
      <c r="L2089">
        <v>0.9</v>
      </c>
      <c r="M2089">
        <v>0.7</v>
      </c>
      <c r="N2089">
        <v>0.97</v>
      </c>
      <c r="O2089">
        <v>0.08</v>
      </c>
      <c r="P2089">
        <v>0.9</v>
      </c>
      <c r="Q2089">
        <v>0.85</v>
      </c>
      <c r="R2089" s="2">
        <v>0.89</v>
      </c>
      <c r="S2089" t="str">
        <f>IF(Table1[[#This Row],[Years_Experience]]&lt;=5,"Early Career",
IF(Table1[[#This Row],[Years_Experience]]&lt;=15,"Mid Career","Senior Level"))</f>
        <v>Senior Level</v>
      </c>
      <c r="T2089" t="str">
        <f>IF(Table1[[#This Row],[AI_Exposure_Index]]&gt;=0.7,"High Exposure", IF(Table1[[#This Row],[AI_Exposure_Index]]&gt;=0.3,"Medium Exposure","Low Exposure"))</f>
        <v>Low Exposure</v>
      </c>
    </row>
    <row r="2090" spans="1:20" x14ac:dyDescent="0.25">
      <c r="A2090" t="s">
        <v>31</v>
      </c>
      <c r="B2090">
        <v>140168</v>
      </c>
      <c r="C2090" s="1">
        <v>4</v>
      </c>
      <c r="D2090" t="s">
        <v>25</v>
      </c>
      <c r="E2090" s="7">
        <v>1</v>
      </c>
      <c r="F2090" s="2">
        <v>0.55000000000000004</v>
      </c>
      <c r="G2090" s="7">
        <v>0.13</v>
      </c>
      <c r="H2090" s="9" t="s">
        <v>23</v>
      </c>
      <c r="I2090">
        <v>0.72</v>
      </c>
      <c r="J2090">
        <v>0.54</v>
      </c>
      <c r="K2090">
        <v>0.93</v>
      </c>
      <c r="L2090">
        <v>0.24</v>
      </c>
      <c r="M2090">
        <v>0.31</v>
      </c>
      <c r="N2090">
        <v>0.32</v>
      </c>
      <c r="O2090">
        <v>0.81</v>
      </c>
      <c r="P2090">
        <v>0.1</v>
      </c>
      <c r="Q2090">
        <v>0.46</v>
      </c>
      <c r="R2090" s="2">
        <v>0.43</v>
      </c>
      <c r="S2090" t="str">
        <f>IF(Table1[[#This Row],[Years_Experience]]&lt;=5,"Early Career",
IF(Table1[[#This Row],[Years_Experience]]&lt;=15,"Mid Career","Senior Level"))</f>
        <v>Early Career</v>
      </c>
      <c r="T2090" t="str">
        <f>IF(Table1[[#This Row],[AI_Exposure_Index]]&gt;=0.7,"High Exposure", IF(Table1[[#This Row],[AI_Exposure_Index]]&gt;=0.3,"Medium Exposure","Low Exposure"))</f>
        <v>Medium Exposure</v>
      </c>
    </row>
    <row r="2091" spans="1:20" x14ac:dyDescent="0.25">
      <c r="A2091" t="s">
        <v>33</v>
      </c>
      <c r="B2091">
        <v>113764</v>
      </c>
      <c r="C2091" s="1">
        <v>20</v>
      </c>
      <c r="D2091" t="s">
        <v>19</v>
      </c>
      <c r="E2091" s="7">
        <v>1.01</v>
      </c>
      <c r="F2091" s="2">
        <v>0.41</v>
      </c>
      <c r="G2091" s="7">
        <v>0.72</v>
      </c>
      <c r="H2091" s="9" t="s">
        <v>20</v>
      </c>
      <c r="I2091">
        <v>0.51</v>
      </c>
      <c r="J2091">
        <v>0.96</v>
      </c>
      <c r="K2091">
        <v>0.98</v>
      </c>
      <c r="L2091">
        <v>0.53</v>
      </c>
      <c r="M2091">
        <v>0.52</v>
      </c>
      <c r="N2091">
        <v>0.28999999999999998</v>
      </c>
      <c r="O2091">
        <v>1</v>
      </c>
      <c r="P2091">
        <v>0.27</v>
      </c>
      <c r="Q2091">
        <v>0.45</v>
      </c>
      <c r="R2091" s="2">
        <v>0</v>
      </c>
      <c r="S2091" t="str">
        <f>IF(Table1[[#This Row],[Years_Experience]]&lt;=5,"Early Career",
IF(Table1[[#This Row],[Years_Experience]]&lt;=15,"Mid Career","Senior Level"))</f>
        <v>Senior Level</v>
      </c>
      <c r="T2091" t="str">
        <f>IF(Table1[[#This Row],[AI_Exposure_Index]]&gt;=0.7,"High Exposure", IF(Table1[[#This Row],[AI_Exposure_Index]]&gt;=0.3,"Medium Exposure","Low Exposure"))</f>
        <v>Medium Exposure</v>
      </c>
    </row>
    <row r="2092" spans="1:20" x14ac:dyDescent="0.25">
      <c r="A2092" t="s">
        <v>37</v>
      </c>
      <c r="B2092">
        <v>114367</v>
      </c>
      <c r="C2092" s="1">
        <v>4</v>
      </c>
      <c r="D2092" t="s">
        <v>38</v>
      </c>
      <c r="E2092" s="7">
        <v>1.24</v>
      </c>
      <c r="F2092" s="2">
        <v>7.0000000000000007E-2</v>
      </c>
      <c r="G2092" s="7">
        <v>0.52</v>
      </c>
      <c r="H2092" s="9" t="s">
        <v>27</v>
      </c>
      <c r="I2092">
        <v>0.56999999999999995</v>
      </c>
      <c r="J2092">
        <v>0.28999999999999998</v>
      </c>
      <c r="K2092">
        <v>0.81</v>
      </c>
      <c r="L2092">
        <v>0</v>
      </c>
      <c r="M2092">
        <v>0.33</v>
      </c>
      <c r="N2092">
        <v>0.66</v>
      </c>
      <c r="O2092">
        <v>0.91</v>
      </c>
      <c r="P2092">
        <v>0.23</v>
      </c>
      <c r="Q2092">
        <v>0.54</v>
      </c>
      <c r="R2092" s="2">
        <v>0.54</v>
      </c>
      <c r="S2092" t="str">
        <f>IF(Table1[[#This Row],[Years_Experience]]&lt;=5,"Early Career",
IF(Table1[[#This Row],[Years_Experience]]&lt;=15,"Mid Career","Senior Level"))</f>
        <v>Early Career</v>
      </c>
      <c r="T2092" t="str">
        <f>IF(Table1[[#This Row],[AI_Exposure_Index]]&gt;=0.7,"High Exposure", IF(Table1[[#This Row],[AI_Exposure_Index]]&gt;=0.3,"Medium Exposure","Low Exposure"))</f>
        <v>Low Exposure</v>
      </c>
    </row>
    <row r="2093" spans="1:20" x14ac:dyDescent="0.25">
      <c r="A2093" t="s">
        <v>43</v>
      </c>
      <c r="B2093">
        <v>54195</v>
      </c>
      <c r="C2093" s="1">
        <v>25</v>
      </c>
      <c r="D2093" t="s">
        <v>19</v>
      </c>
      <c r="E2093" s="7">
        <v>0.52</v>
      </c>
      <c r="F2093" s="2">
        <v>0.18</v>
      </c>
      <c r="G2093" s="7">
        <v>0.09</v>
      </c>
      <c r="H2093" s="9" t="s">
        <v>23</v>
      </c>
      <c r="I2093">
        <v>0.98</v>
      </c>
      <c r="J2093">
        <v>0.21</v>
      </c>
      <c r="K2093">
        <v>0.94</v>
      </c>
      <c r="L2093">
        <v>0.21</v>
      </c>
      <c r="M2093">
        <v>0.93</v>
      </c>
      <c r="N2093">
        <v>0.65</v>
      </c>
      <c r="O2093">
        <v>0.11</v>
      </c>
      <c r="P2093">
        <v>0.57999999999999996</v>
      </c>
      <c r="Q2093">
        <v>0.32</v>
      </c>
      <c r="R2093" s="2">
        <v>0.38</v>
      </c>
      <c r="S2093" t="str">
        <f>IF(Table1[[#This Row],[Years_Experience]]&lt;=5,"Early Career",
IF(Table1[[#This Row],[Years_Experience]]&lt;=15,"Mid Career","Senior Level"))</f>
        <v>Senior Level</v>
      </c>
      <c r="T2093" t="str">
        <f>IF(Table1[[#This Row],[AI_Exposure_Index]]&gt;=0.7,"High Exposure", IF(Table1[[#This Row],[AI_Exposure_Index]]&gt;=0.3,"Medium Exposure","Low Exposure"))</f>
        <v>Low Exposure</v>
      </c>
    </row>
    <row r="2094" spans="1:20" x14ac:dyDescent="0.25">
      <c r="A2094" t="s">
        <v>40</v>
      </c>
      <c r="B2094">
        <v>98397</v>
      </c>
      <c r="C2094" s="1">
        <v>14</v>
      </c>
      <c r="D2094" t="s">
        <v>19</v>
      </c>
      <c r="E2094" s="7">
        <v>1.1599999999999999</v>
      </c>
      <c r="F2094" s="2">
        <v>0.42</v>
      </c>
      <c r="G2094" s="7">
        <v>0.24</v>
      </c>
      <c r="H2094" s="9" t="s">
        <v>23</v>
      </c>
      <c r="I2094">
        <v>0.33</v>
      </c>
      <c r="J2094">
        <v>0.92</v>
      </c>
      <c r="K2094">
        <v>0.94</v>
      </c>
      <c r="L2094">
        <v>0.04</v>
      </c>
      <c r="M2094">
        <v>0.01</v>
      </c>
      <c r="N2094">
        <v>0.43</v>
      </c>
      <c r="O2094">
        <v>0.59</v>
      </c>
      <c r="P2094">
        <v>0.28000000000000003</v>
      </c>
      <c r="Q2094">
        <v>0.26</v>
      </c>
      <c r="R2094" s="2">
        <v>0.68</v>
      </c>
      <c r="S2094" t="str">
        <f>IF(Table1[[#This Row],[Years_Experience]]&lt;=5,"Early Career",
IF(Table1[[#This Row],[Years_Experience]]&lt;=15,"Mid Career","Senior Level"))</f>
        <v>Mid Career</v>
      </c>
      <c r="T2094" t="str">
        <f>IF(Table1[[#This Row],[AI_Exposure_Index]]&gt;=0.7,"High Exposure", IF(Table1[[#This Row],[AI_Exposure_Index]]&gt;=0.3,"Medium Exposure","Low Exposure"))</f>
        <v>Medium Exposure</v>
      </c>
    </row>
    <row r="2095" spans="1:20" x14ac:dyDescent="0.25">
      <c r="A2095" t="s">
        <v>31</v>
      </c>
      <c r="B2095">
        <v>114692</v>
      </c>
      <c r="C2095" s="1">
        <v>15</v>
      </c>
      <c r="D2095" t="s">
        <v>22</v>
      </c>
      <c r="E2095" s="7">
        <v>1.38</v>
      </c>
      <c r="F2095" s="2">
        <v>0.17</v>
      </c>
      <c r="G2095" s="7">
        <v>0.22</v>
      </c>
      <c r="H2095" s="9" t="s">
        <v>23</v>
      </c>
      <c r="I2095">
        <v>0.36</v>
      </c>
      <c r="J2095">
        <v>0.68</v>
      </c>
      <c r="K2095">
        <v>0.11</v>
      </c>
      <c r="L2095">
        <v>0.47</v>
      </c>
      <c r="M2095">
        <v>0.17</v>
      </c>
      <c r="N2095">
        <v>0.04</v>
      </c>
      <c r="O2095">
        <v>0.34</v>
      </c>
      <c r="P2095">
        <v>0.15</v>
      </c>
      <c r="Q2095">
        <v>0.63</v>
      </c>
      <c r="R2095" s="2">
        <v>0.67</v>
      </c>
      <c r="S2095" t="str">
        <f>IF(Table1[[#This Row],[Years_Experience]]&lt;=5,"Early Career",
IF(Table1[[#This Row],[Years_Experience]]&lt;=15,"Mid Career","Senior Level"))</f>
        <v>Mid Career</v>
      </c>
      <c r="T2095" t="str">
        <f>IF(Table1[[#This Row],[AI_Exposure_Index]]&gt;=0.7,"High Exposure", IF(Table1[[#This Row],[AI_Exposure_Index]]&gt;=0.3,"Medium Exposure","Low Exposure"))</f>
        <v>Low Exposure</v>
      </c>
    </row>
    <row r="2096" spans="1:20" x14ac:dyDescent="0.25">
      <c r="A2096" t="s">
        <v>35</v>
      </c>
      <c r="B2096">
        <v>75814</v>
      </c>
      <c r="C2096" s="1">
        <v>5</v>
      </c>
      <c r="D2096" t="s">
        <v>19</v>
      </c>
      <c r="E2096" s="7">
        <v>1.29</v>
      </c>
      <c r="F2096" s="2">
        <v>0.02</v>
      </c>
      <c r="G2096" s="7">
        <v>0.3</v>
      </c>
      <c r="H2096" s="9" t="s">
        <v>23</v>
      </c>
      <c r="I2096">
        <v>0.34</v>
      </c>
      <c r="J2096">
        <v>0.49</v>
      </c>
      <c r="K2096">
        <v>0.82</v>
      </c>
      <c r="L2096">
        <v>0.84</v>
      </c>
      <c r="M2096">
        <v>0.72</v>
      </c>
      <c r="N2096">
        <v>0.25</v>
      </c>
      <c r="O2096">
        <v>0.72</v>
      </c>
      <c r="P2096">
        <v>0.25</v>
      </c>
      <c r="Q2096">
        <v>0.21</v>
      </c>
      <c r="R2096" s="2">
        <v>0.55000000000000004</v>
      </c>
      <c r="S2096" t="str">
        <f>IF(Table1[[#This Row],[Years_Experience]]&lt;=5,"Early Career",
IF(Table1[[#This Row],[Years_Experience]]&lt;=15,"Mid Career","Senior Level"))</f>
        <v>Early Career</v>
      </c>
      <c r="T2096" t="str">
        <f>IF(Table1[[#This Row],[AI_Exposure_Index]]&gt;=0.7,"High Exposure", IF(Table1[[#This Row],[AI_Exposure_Index]]&gt;=0.3,"Medium Exposure","Low Exposure"))</f>
        <v>Low Exposure</v>
      </c>
    </row>
    <row r="2097" spans="1:20" x14ac:dyDescent="0.25">
      <c r="A2097" t="s">
        <v>29</v>
      </c>
      <c r="B2097">
        <v>122079</v>
      </c>
      <c r="C2097" s="1">
        <v>12</v>
      </c>
      <c r="D2097" t="s">
        <v>38</v>
      </c>
      <c r="E2097" s="7">
        <v>0.56000000000000005</v>
      </c>
      <c r="F2097" s="2">
        <v>0.05</v>
      </c>
      <c r="G2097" s="7">
        <v>0.25</v>
      </c>
      <c r="H2097" s="9" t="s">
        <v>23</v>
      </c>
      <c r="I2097">
        <v>0.86</v>
      </c>
      <c r="J2097">
        <v>0.6</v>
      </c>
      <c r="K2097">
        <v>0.43</v>
      </c>
      <c r="L2097">
        <v>0.85</v>
      </c>
      <c r="M2097">
        <v>0.73</v>
      </c>
      <c r="N2097">
        <v>0.57999999999999996</v>
      </c>
      <c r="O2097">
        <v>0.32</v>
      </c>
      <c r="P2097">
        <v>0.2</v>
      </c>
      <c r="Q2097">
        <v>0.42</v>
      </c>
      <c r="R2097" s="2">
        <v>0.28999999999999998</v>
      </c>
      <c r="S2097" t="str">
        <f>IF(Table1[[#This Row],[Years_Experience]]&lt;=5,"Early Career",
IF(Table1[[#This Row],[Years_Experience]]&lt;=15,"Mid Career","Senior Level"))</f>
        <v>Mid Career</v>
      </c>
      <c r="T2097" t="str">
        <f>IF(Table1[[#This Row],[AI_Exposure_Index]]&gt;=0.7,"High Exposure", IF(Table1[[#This Row],[AI_Exposure_Index]]&gt;=0.3,"Medium Exposure","Low Exposure"))</f>
        <v>Low Exposure</v>
      </c>
    </row>
    <row r="2098" spans="1:20" x14ac:dyDescent="0.25">
      <c r="A2098" t="s">
        <v>42</v>
      </c>
      <c r="B2098">
        <v>138165</v>
      </c>
      <c r="C2098" s="1">
        <v>26</v>
      </c>
      <c r="D2098" t="s">
        <v>22</v>
      </c>
      <c r="E2098" s="7">
        <v>0.67</v>
      </c>
      <c r="F2098" s="2">
        <v>0.52</v>
      </c>
      <c r="G2098" s="7">
        <v>0.62</v>
      </c>
      <c r="H2098" s="9" t="s">
        <v>27</v>
      </c>
      <c r="I2098">
        <v>0.15</v>
      </c>
      <c r="J2098">
        <v>0.48</v>
      </c>
      <c r="K2098">
        <v>0.75</v>
      </c>
      <c r="L2098">
        <v>0.49</v>
      </c>
      <c r="M2098">
        <v>0.36</v>
      </c>
      <c r="N2098">
        <v>0.47</v>
      </c>
      <c r="O2098">
        <v>0.85</v>
      </c>
      <c r="P2098">
        <v>0.99</v>
      </c>
      <c r="Q2098">
        <v>0.63</v>
      </c>
      <c r="R2098" s="2">
        <v>0.79</v>
      </c>
      <c r="S2098" t="str">
        <f>IF(Table1[[#This Row],[Years_Experience]]&lt;=5,"Early Career",
IF(Table1[[#This Row],[Years_Experience]]&lt;=15,"Mid Career","Senior Level"))</f>
        <v>Senior Level</v>
      </c>
      <c r="T2098" t="str">
        <f>IF(Table1[[#This Row],[AI_Exposure_Index]]&gt;=0.7,"High Exposure", IF(Table1[[#This Row],[AI_Exposure_Index]]&gt;=0.3,"Medium Exposure","Low Exposure"))</f>
        <v>Medium Exposure</v>
      </c>
    </row>
    <row r="2099" spans="1:20" x14ac:dyDescent="0.25">
      <c r="A2099" t="s">
        <v>36</v>
      </c>
      <c r="B2099">
        <v>130296</v>
      </c>
      <c r="C2099" s="1">
        <v>26</v>
      </c>
      <c r="D2099" t="s">
        <v>22</v>
      </c>
      <c r="E2099" s="7">
        <v>1.45</v>
      </c>
      <c r="F2099" s="2">
        <v>0.88</v>
      </c>
      <c r="G2099" s="7">
        <v>0.53</v>
      </c>
      <c r="H2099" s="9" t="s">
        <v>27</v>
      </c>
      <c r="I2099">
        <v>0.75</v>
      </c>
      <c r="J2099">
        <v>0.51</v>
      </c>
      <c r="K2099">
        <v>0.28999999999999998</v>
      </c>
      <c r="L2099">
        <v>0.85</v>
      </c>
      <c r="M2099">
        <v>0.6</v>
      </c>
      <c r="N2099">
        <v>0.57999999999999996</v>
      </c>
      <c r="O2099">
        <v>0.66</v>
      </c>
      <c r="P2099">
        <v>0.86</v>
      </c>
      <c r="Q2099">
        <v>0.73</v>
      </c>
      <c r="R2099" s="2">
        <v>0.21</v>
      </c>
      <c r="S2099" t="str">
        <f>IF(Table1[[#This Row],[Years_Experience]]&lt;=5,"Early Career",
IF(Table1[[#This Row],[Years_Experience]]&lt;=15,"Mid Career","Senior Level"))</f>
        <v>Senior Level</v>
      </c>
      <c r="T2099" t="str">
        <f>IF(Table1[[#This Row],[AI_Exposure_Index]]&gt;=0.7,"High Exposure", IF(Table1[[#This Row],[AI_Exposure_Index]]&gt;=0.3,"Medium Exposure","Low Exposure"))</f>
        <v>High Exposure</v>
      </c>
    </row>
    <row r="2100" spans="1:20" x14ac:dyDescent="0.25">
      <c r="A2100" t="s">
        <v>31</v>
      </c>
      <c r="B2100">
        <v>144547</v>
      </c>
      <c r="C2100" s="1">
        <v>28</v>
      </c>
      <c r="D2100" t="s">
        <v>25</v>
      </c>
      <c r="E2100" s="7">
        <v>1.05</v>
      </c>
      <c r="F2100" s="2">
        <v>0.98</v>
      </c>
      <c r="G2100" s="7">
        <v>0.28000000000000003</v>
      </c>
      <c r="H2100" s="9" t="s">
        <v>23</v>
      </c>
      <c r="I2100">
        <v>0.81</v>
      </c>
      <c r="J2100">
        <v>0.67</v>
      </c>
      <c r="K2100">
        <v>0.35</v>
      </c>
      <c r="L2100">
        <v>0.3</v>
      </c>
      <c r="M2100">
        <v>0.64</v>
      </c>
      <c r="N2100">
        <v>0.43</v>
      </c>
      <c r="O2100">
        <v>0.8</v>
      </c>
      <c r="P2100">
        <v>0.76</v>
      </c>
      <c r="Q2100">
        <v>0.31</v>
      </c>
      <c r="R2100" s="2">
        <v>0.7</v>
      </c>
      <c r="S2100" t="str">
        <f>IF(Table1[[#This Row],[Years_Experience]]&lt;=5,"Early Career",
IF(Table1[[#This Row],[Years_Experience]]&lt;=15,"Mid Career","Senior Level"))</f>
        <v>Senior Level</v>
      </c>
      <c r="T2100" t="str">
        <f>IF(Table1[[#This Row],[AI_Exposure_Index]]&gt;=0.7,"High Exposure", IF(Table1[[#This Row],[AI_Exposure_Index]]&gt;=0.3,"Medium Exposure","Low Exposure"))</f>
        <v>High Exposure</v>
      </c>
    </row>
    <row r="2101" spans="1:20" x14ac:dyDescent="0.25">
      <c r="A2101" t="s">
        <v>31</v>
      </c>
      <c r="B2101">
        <v>85133</v>
      </c>
      <c r="C2101" s="1">
        <v>18</v>
      </c>
      <c r="D2101" t="s">
        <v>19</v>
      </c>
      <c r="E2101" s="7">
        <v>0.91</v>
      </c>
      <c r="F2101" s="2">
        <v>0.32</v>
      </c>
      <c r="G2101" s="7">
        <v>0.27</v>
      </c>
      <c r="H2101" s="9" t="s">
        <v>23</v>
      </c>
      <c r="I2101">
        <v>0.36</v>
      </c>
      <c r="J2101">
        <v>0.28999999999999998</v>
      </c>
      <c r="K2101">
        <v>0.35</v>
      </c>
      <c r="L2101">
        <v>0.21</v>
      </c>
      <c r="M2101">
        <v>0.54</v>
      </c>
      <c r="N2101">
        <v>0.15</v>
      </c>
      <c r="O2101">
        <v>0.82</v>
      </c>
      <c r="P2101">
        <v>0.23</v>
      </c>
      <c r="Q2101">
        <v>0.6</v>
      </c>
      <c r="R2101" s="2">
        <v>0.13</v>
      </c>
      <c r="S2101" t="str">
        <f>IF(Table1[[#This Row],[Years_Experience]]&lt;=5,"Early Career",
IF(Table1[[#This Row],[Years_Experience]]&lt;=15,"Mid Career","Senior Level"))</f>
        <v>Senior Level</v>
      </c>
      <c r="T2101" t="str">
        <f>IF(Table1[[#This Row],[AI_Exposure_Index]]&gt;=0.7,"High Exposure", IF(Table1[[#This Row],[AI_Exposure_Index]]&gt;=0.3,"Medium Exposure","Low Exposure"))</f>
        <v>Medium Exposure</v>
      </c>
    </row>
    <row r="2102" spans="1:20" x14ac:dyDescent="0.25">
      <c r="A2102" t="s">
        <v>39</v>
      </c>
      <c r="B2102">
        <v>127347</v>
      </c>
      <c r="C2102" s="1">
        <v>6</v>
      </c>
      <c r="D2102" t="s">
        <v>25</v>
      </c>
      <c r="E2102" s="7">
        <v>1.27</v>
      </c>
      <c r="F2102" s="2">
        <v>0.82</v>
      </c>
      <c r="G2102" s="7">
        <v>0.88</v>
      </c>
      <c r="H2102" s="9" t="s">
        <v>20</v>
      </c>
      <c r="I2102">
        <v>0.83</v>
      </c>
      <c r="J2102">
        <v>0.1</v>
      </c>
      <c r="K2102">
        <v>0.68</v>
      </c>
      <c r="L2102">
        <v>0.27</v>
      </c>
      <c r="M2102">
        <v>0.79</v>
      </c>
      <c r="N2102">
        <v>0.96</v>
      </c>
      <c r="O2102">
        <v>0.9</v>
      </c>
      <c r="P2102">
        <v>0.11</v>
      </c>
      <c r="Q2102">
        <v>0.37</v>
      </c>
      <c r="R2102" s="2">
        <v>0.36</v>
      </c>
      <c r="S2102" t="str">
        <f>IF(Table1[[#This Row],[Years_Experience]]&lt;=5,"Early Career",
IF(Table1[[#This Row],[Years_Experience]]&lt;=15,"Mid Career","Senior Level"))</f>
        <v>Mid Career</v>
      </c>
      <c r="T2102" t="str">
        <f>IF(Table1[[#This Row],[AI_Exposure_Index]]&gt;=0.7,"High Exposure", IF(Table1[[#This Row],[AI_Exposure_Index]]&gt;=0.3,"Medium Exposure","Low Exposure"))</f>
        <v>High Exposure</v>
      </c>
    </row>
    <row r="2103" spans="1:20" x14ac:dyDescent="0.25">
      <c r="A2103" t="s">
        <v>29</v>
      </c>
      <c r="B2103">
        <v>82990</v>
      </c>
      <c r="C2103" s="1">
        <v>27</v>
      </c>
      <c r="D2103" t="s">
        <v>25</v>
      </c>
      <c r="E2103" s="7">
        <v>0.88</v>
      </c>
      <c r="F2103" s="2">
        <v>0.1</v>
      </c>
      <c r="G2103" s="7">
        <v>0.3</v>
      </c>
      <c r="H2103" s="9" t="s">
        <v>23</v>
      </c>
      <c r="I2103">
        <v>0.56999999999999995</v>
      </c>
      <c r="J2103">
        <v>0.62</v>
      </c>
      <c r="K2103">
        <v>0.47</v>
      </c>
      <c r="L2103">
        <v>0.66</v>
      </c>
      <c r="M2103">
        <v>0.96</v>
      </c>
      <c r="N2103">
        <v>0.59</v>
      </c>
      <c r="O2103">
        <v>7.0000000000000007E-2</v>
      </c>
      <c r="P2103">
        <v>0.49</v>
      </c>
      <c r="Q2103">
        <v>0.99</v>
      </c>
      <c r="R2103" s="2">
        <v>0.39</v>
      </c>
      <c r="S2103" t="str">
        <f>IF(Table1[[#This Row],[Years_Experience]]&lt;=5,"Early Career",
IF(Table1[[#This Row],[Years_Experience]]&lt;=15,"Mid Career","Senior Level"))</f>
        <v>Senior Level</v>
      </c>
      <c r="T2103" t="str">
        <f>IF(Table1[[#This Row],[AI_Exposure_Index]]&gt;=0.7,"High Exposure", IF(Table1[[#This Row],[AI_Exposure_Index]]&gt;=0.3,"Medium Exposure","Low Exposure"))</f>
        <v>Low Exposure</v>
      </c>
    </row>
    <row r="2104" spans="1:20" x14ac:dyDescent="0.25">
      <c r="A2104" t="s">
        <v>26</v>
      </c>
      <c r="B2104">
        <v>69379</v>
      </c>
      <c r="C2104" s="1">
        <v>26</v>
      </c>
      <c r="D2104" t="s">
        <v>38</v>
      </c>
      <c r="E2104" s="7">
        <v>0.64</v>
      </c>
      <c r="F2104" s="2">
        <v>0.11</v>
      </c>
      <c r="G2104" s="7">
        <v>0.65</v>
      </c>
      <c r="H2104" s="9" t="s">
        <v>27</v>
      </c>
      <c r="I2104">
        <v>0.3</v>
      </c>
      <c r="J2104">
        <v>0.31</v>
      </c>
      <c r="K2104">
        <v>0.39</v>
      </c>
      <c r="L2104">
        <v>0.97</v>
      </c>
      <c r="M2104">
        <v>0.08</v>
      </c>
      <c r="N2104">
        <v>0.82</v>
      </c>
      <c r="O2104">
        <v>0.34</v>
      </c>
      <c r="P2104">
        <v>0.85</v>
      </c>
      <c r="Q2104">
        <v>0.99</v>
      </c>
      <c r="R2104" s="2">
        <v>0.35</v>
      </c>
      <c r="S2104" t="str">
        <f>IF(Table1[[#This Row],[Years_Experience]]&lt;=5,"Early Career",
IF(Table1[[#This Row],[Years_Experience]]&lt;=15,"Mid Career","Senior Level"))</f>
        <v>Senior Level</v>
      </c>
      <c r="T2104" t="str">
        <f>IF(Table1[[#This Row],[AI_Exposure_Index]]&gt;=0.7,"High Exposure", IF(Table1[[#This Row],[AI_Exposure_Index]]&gt;=0.3,"Medium Exposure","Low Exposure"))</f>
        <v>Low Exposure</v>
      </c>
    </row>
    <row r="2105" spans="1:20" x14ac:dyDescent="0.25">
      <c r="A2105" t="s">
        <v>42</v>
      </c>
      <c r="B2105">
        <v>128235</v>
      </c>
      <c r="C2105" s="1">
        <v>14</v>
      </c>
      <c r="D2105" t="s">
        <v>38</v>
      </c>
      <c r="E2105" s="7">
        <v>1.26</v>
      </c>
      <c r="F2105" s="2">
        <v>0.14000000000000001</v>
      </c>
      <c r="G2105" s="7">
        <v>0.36</v>
      </c>
      <c r="H2105" s="9" t="s">
        <v>27</v>
      </c>
      <c r="I2105">
        <v>0.26</v>
      </c>
      <c r="J2105">
        <v>0.2</v>
      </c>
      <c r="K2105">
        <v>0.36</v>
      </c>
      <c r="L2105">
        <v>7.0000000000000007E-2</v>
      </c>
      <c r="M2105">
        <v>0.86</v>
      </c>
      <c r="N2105">
        <v>0.86</v>
      </c>
      <c r="O2105">
        <v>0.41</v>
      </c>
      <c r="P2105">
        <v>0.61</v>
      </c>
      <c r="Q2105">
        <v>0.64</v>
      </c>
      <c r="R2105" s="2">
        <v>0.75</v>
      </c>
      <c r="S2105" t="str">
        <f>IF(Table1[[#This Row],[Years_Experience]]&lt;=5,"Early Career",
IF(Table1[[#This Row],[Years_Experience]]&lt;=15,"Mid Career","Senior Level"))</f>
        <v>Mid Career</v>
      </c>
      <c r="T2105" t="str">
        <f>IF(Table1[[#This Row],[AI_Exposure_Index]]&gt;=0.7,"High Exposure", IF(Table1[[#This Row],[AI_Exposure_Index]]&gt;=0.3,"Medium Exposure","Low Exposure"))</f>
        <v>Low Exposure</v>
      </c>
    </row>
    <row r="2106" spans="1:20" x14ac:dyDescent="0.25">
      <c r="A2106" t="s">
        <v>30</v>
      </c>
      <c r="B2106">
        <v>102181</v>
      </c>
      <c r="C2106" s="1">
        <v>17</v>
      </c>
      <c r="D2106" t="s">
        <v>38</v>
      </c>
      <c r="E2106" s="7">
        <v>1.17</v>
      </c>
      <c r="F2106" s="2">
        <v>0.54</v>
      </c>
      <c r="G2106" s="7">
        <v>0.44</v>
      </c>
      <c r="H2106" s="9" t="s">
        <v>27</v>
      </c>
      <c r="I2106">
        <v>0.72</v>
      </c>
      <c r="J2106">
        <v>0.32</v>
      </c>
      <c r="K2106">
        <v>0.4</v>
      </c>
      <c r="L2106">
        <v>0.67</v>
      </c>
      <c r="M2106">
        <v>0.38</v>
      </c>
      <c r="N2106">
        <v>0.2</v>
      </c>
      <c r="O2106">
        <v>0.87</v>
      </c>
      <c r="P2106">
        <v>0.92</v>
      </c>
      <c r="Q2106">
        <v>0.63</v>
      </c>
      <c r="R2106" s="2">
        <v>0.81</v>
      </c>
      <c r="S2106" t="str">
        <f>IF(Table1[[#This Row],[Years_Experience]]&lt;=5,"Early Career",
IF(Table1[[#This Row],[Years_Experience]]&lt;=15,"Mid Career","Senior Level"))</f>
        <v>Senior Level</v>
      </c>
      <c r="T2106" t="str">
        <f>IF(Table1[[#This Row],[AI_Exposure_Index]]&gt;=0.7,"High Exposure", IF(Table1[[#This Row],[AI_Exposure_Index]]&gt;=0.3,"Medium Exposure","Low Exposure"))</f>
        <v>Medium Exposure</v>
      </c>
    </row>
    <row r="2107" spans="1:20" x14ac:dyDescent="0.25">
      <c r="A2107" t="s">
        <v>34</v>
      </c>
      <c r="B2107">
        <v>111839</v>
      </c>
      <c r="C2107" s="1">
        <v>29</v>
      </c>
      <c r="D2107" t="s">
        <v>25</v>
      </c>
      <c r="E2107" s="7">
        <v>1.41</v>
      </c>
      <c r="F2107" s="2">
        <v>0.61</v>
      </c>
      <c r="G2107" s="7">
        <v>0.44</v>
      </c>
      <c r="H2107" s="9" t="s">
        <v>27</v>
      </c>
      <c r="I2107">
        <v>0.7</v>
      </c>
      <c r="J2107">
        <v>0.06</v>
      </c>
      <c r="K2107">
        <v>0.79</v>
      </c>
      <c r="L2107">
        <v>0.83</v>
      </c>
      <c r="M2107">
        <v>0.4</v>
      </c>
      <c r="N2107">
        <v>0.64</v>
      </c>
      <c r="O2107">
        <v>0.86</v>
      </c>
      <c r="P2107">
        <v>0.88</v>
      </c>
      <c r="Q2107">
        <v>0.11</v>
      </c>
      <c r="R2107" s="2">
        <v>0.83</v>
      </c>
      <c r="S2107" t="str">
        <f>IF(Table1[[#This Row],[Years_Experience]]&lt;=5,"Early Career",
IF(Table1[[#This Row],[Years_Experience]]&lt;=15,"Mid Career","Senior Level"))</f>
        <v>Senior Level</v>
      </c>
      <c r="T2107" t="str">
        <f>IF(Table1[[#This Row],[AI_Exposure_Index]]&gt;=0.7,"High Exposure", IF(Table1[[#This Row],[AI_Exposure_Index]]&gt;=0.3,"Medium Exposure","Low Exposure"))</f>
        <v>Medium Exposure</v>
      </c>
    </row>
    <row r="2108" spans="1:20" x14ac:dyDescent="0.25">
      <c r="A2108" t="s">
        <v>41</v>
      </c>
      <c r="B2108">
        <v>83242</v>
      </c>
      <c r="C2108" s="1">
        <v>19</v>
      </c>
      <c r="D2108" t="s">
        <v>25</v>
      </c>
      <c r="E2108" s="7">
        <v>0.83</v>
      </c>
      <c r="F2108" s="2">
        <v>0.73</v>
      </c>
      <c r="G2108" s="7">
        <v>0.71</v>
      </c>
      <c r="H2108" s="9" t="s">
        <v>20</v>
      </c>
      <c r="I2108">
        <v>0.21</v>
      </c>
      <c r="J2108">
        <v>0.41</v>
      </c>
      <c r="K2108">
        <v>0.74</v>
      </c>
      <c r="L2108">
        <v>0.1</v>
      </c>
      <c r="M2108">
        <v>0.81</v>
      </c>
      <c r="N2108">
        <v>1</v>
      </c>
      <c r="O2108">
        <v>0.79</v>
      </c>
      <c r="P2108">
        <v>0.47</v>
      </c>
      <c r="Q2108">
        <v>0.56999999999999995</v>
      </c>
      <c r="R2108" s="2">
        <v>0.01</v>
      </c>
      <c r="S2108" t="str">
        <f>IF(Table1[[#This Row],[Years_Experience]]&lt;=5,"Early Career",
IF(Table1[[#This Row],[Years_Experience]]&lt;=15,"Mid Career","Senior Level"))</f>
        <v>Senior Level</v>
      </c>
      <c r="T2108" t="str">
        <f>IF(Table1[[#This Row],[AI_Exposure_Index]]&gt;=0.7,"High Exposure", IF(Table1[[#This Row],[AI_Exposure_Index]]&gt;=0.3,"Medium Exposure","Low Exposure"))</f>
        <v>High Exposure</v>
      </c>
    </row>
    <row r="2109" spans="1:20" x14ac:dyDescent="0.25">
      <c r="A2109" t="s">
        <v>40</v>
      </c>
      <c r="B2109">
        <v>93611</v>
      </c>
      <c r="C2109" s="1">
        <v>13</v>
      </c>
      <c r="D2109" t="s">
        <v>38</v>
      </c>
      <c r="E2109" s="7">
        <v>0.52</v>
      </c>
      <c r="F2109" s="2">
        <v>0.9</v>
      </c>
      <c r="G2109" s="7">
        <v>0.28000000000000003</v>
      </c>
      <c r="H2109" s="9" t="s">
        <v>23</v>
      </c>
      <c r="I2109">
        <v>0.11</v>
      </c>
      <c r="J2109">
        <v>0.13</v>
      </c>
      <c r="K2109">
        <v>0.18</v>
      </c>
      <c r="L2109">
        <v>0.8</v>
      </c>
      <c r="M2109">
        <v>0.48</v>
      </c>
      <c r="N2109">
        <v>0.15</v>
      </c>
      <c r="O2109">
        <v>0.69</v>
      </c>
      <c r="P2109">
        <v>0.94</v>
      </c>
      <c r="Q2109">
        <v>0.56999999999999995</v>
      </c>
      <c r="R2109" s="2">
        <v>0.1</v>
      </c>
      <c r="S2109" t="str">
        <f>IF(Table1[[#This Row],[Years_Experience]]&lt;=5,"Early Career",
IF(Table1[[#This Row],[Years_Experience]]&lt;=15,"Mid Career","Senior Level"))</f>
        <v>Mid Career</v>
      </c>
      <c r="T2109" t="str">
        <f>IF(Table1[[#This Row],[AI_Exposure_Index]]&gt;=0.7,"High Exposure", IF(Table1[[#This Row],[AI_Exposure_Index]]&gt;=0.3,"Medium Exposure","Low Exposure"))</f>
        <v>High Exposure</v>
      </c>
    </row>
    <row r="2110" spans="1:20" x14ac:dyDescent="0.25">
      <c r="A2110" t="s">
        <v>26</v>
      </c>
      <c r="B2110">
        <v>38871</v>
      </c>
      <c r="C2110" s="1">
        <v>6</v>
      </c>
      <c r="D2110" t="s">
        <v>25</v>
      </c>
      <c r="E2110" s="7">
        <v>1.1299999999999999</v>
      </c>
      <c r="F2110" s="2">
        <v>0.8</v>
      </c>
      <c r="G2110" s="7">
        <v>0.67</v>
      </c>
      <c r="H2110" s="9" t="s">
        <v>27</v>
      </c>
      <c r="I2110">
        <v>0.55000000000000004</v>
      </c>
      <c r="J2110">
        <v>0.06</v>
      </c>
      <c r="K2110">
        <v>0.4</v>
      </c>
      <c r="L2110">
        <v>0.66</v>
      </c>
      <c r="M2110">
        <v>0.38</v>
      </c>
      <c r="N2110">
        <v>1</v>
      </c>
      <c r="O2110">
        <v>0.41</v>
      </c>
      <c r="P2110">
        <v>0.55000000000000004</v>
      </c>
      <c r="Q2110">
        <v>0.23</v>
      </c>
      <c r="R2110" s="2">
        <v>0.15</v>
      </c>
      <c r="S2110" t="str">
        <f>IF(Table1[[#This Row],[Years_Experience]]&lt;=5,"Early Career",
IF(Table1[[#This Row],[Years_Experience]]&lt;=15,"Mid Career","Senior Level"))</f>
        <v>Mid Career</v>
      </c>
      <c r="T2110" t="str">
        <f>IF(Table1[[#This Row],[AI_Exposure_Index]]&gt;=0.7,"High Exposure", IF(Table1[[#This Row],[AI_Exposure_Index]]&gt;=0.3,"Medium Exposure","Low Exposure"))</f>
        <v>High Exposure</v>
      </c>
    </row>
    <row r="2111" spans="1:20" x14ac:dyDescent="0.25">
      <c r="A2111" t="s">
        <v>29</v>
      </c>
      <c r="B2111">
        <v>78743</v>
      </c>
      <c r="C2111" s="1">
        <v>10</v>
      </c>
      <c r="D2111" t="s">
        <v>19</v>
      </c>
      <c r="E2111" s="7">
        <v>0.5</v>
      </c>
      <c r="F2111" s="2">
        <v>0.59</v>
      </c>
      <c r="G2111" s="7">
        <v>0.12</v>
      </c>
      <c r="H2111" s="9" t="s">
        <v>23</v>
      </c>
      <c r="I2111">
        <v>0.64</v>
      </c>
      <c r="J2111">
        <v>0.81</v>
      </c>
      <c r="K2111">
        <v>0.31</v>
      </c>
      <c r="L2111">
        <v>0.65</v>
      </c>
      <c r="M2111">
        <v>0.27</v>
      </c>
      <c r="N2111">
        <v>0.69</v>
      </c>
      <c r="O2111">
        <v>0.7</v>
      </c>
      <c r="P2111">
        <v>0.13</v>
      </c>
      <c r="Q2111">
        <v>0.67</v>
      </c>
      <c r="R2111" s="2">
        <v>0.33</v>
      </c>
      <c r="S2111" t="str">
        <f>IF(Table1[[#This Row],[Years_Experience]]&lt;=5,"Early Career",
IF(Table1[[#This Row],[Years_Experience]]&lt;=15,"Mid Career","Senior Level"))</f>
        <v>Mid Career</v>
      </c>
      <c r="T2111" t="str">
        <f>IF(Table1[[#This Row],[AI_Exposure_Index]]&gt;=0.7,"High Exposure", IF(Table1[[#This Row],[AI_Exposure_Index]]&gt;=0.3,"Medium Exposure","Low Exposure"))</f>
        <v>Medium Exposure</v>
      </c>
    </row>
    <row r="2112" spans="1:20" x14ac:dyDescent="0.25">
      <c r="A2112" t="s">
        <v>32</v>
      </c>
      <c r="B2112">
        <v>107418</v>
      </c>
      <c r="C2112" s="1">
        <v>10</v>
      </c>
      <c r="D2112" t="s">
        <v>38</v>
      </c>
      <c r="E2112" s="7">
        <v>0.95</v>
      </c>
      <c r="F2112" s="2">
        <v>0.5</v>
      </c>
      <c r="G2112" s="7">
        <v>0.61</v>
      </c>
      <c r="H2112" s="9" t="s">
        <v>27</v>
      </c>
      <c r="I2112">
        <v>0.08</v>
      </c>
      <c r="J2112">
        <v>0.79</v>
      </c>
      <c r="K2112">
        <v>0.11</v>
      </c>
      <c r="L2112">
        <v>0.21</v>
      </c>
      <c r="M2112">
        <v>0.52</v>
      </c>
      <c r="N2112">
        <v>0.46</v>
      </c>
      <c r="O2112">
        <v>0.99</v>
      </c>
      <c r="P2112">
        <v>0.59</v>
      </c>
      <c r="Q2112">
        <v>0.33</v>
      </c>
      <c r="R2112" s="2">
        <v>0.9</v>
      </c>
      <c r="S2112" t="str">
        <f>IF(Table1[[#This Row],[Years_Experience]]&lt;=5,"Early Career",
IF(Table1[[#This Row],[Years_Experience]]&lt;=15,"Mid Career","Senior Level"))</f>
        <v>Mid Career</v>
      </c>
      <c r="T2112" t="str">
        <f>IF(Table1[[#This Row],[AI_Exposure_Index]]&gt;=0.7,"High Exposure", IF(Table1[[#This Row],[AI_Exposure_Index]]&gt;=0.3,"Medium Exposure","Low Exposure"))</f>
        <v>Medium Exposure</v>
      </c>
    </row>
    <row r="2113" spans="1:20" x14ac:dyDescent="0.25">
      <c r="A2113" t="s">
        <v>18</v>
      </c>
      <c r="B2113">
        <v>116472</v>
      </c>
      <c r="C2113" s="1">
        <v>13</v>
      </c>
      <c r="D2113" t="s">
        <v>19</v>
      </c>
      <c r="E2113" s="7">
        <v>0.99</v>
      </c>
      <c r="F2113" s="2">
        <v>0.27</v>
      </c>
      <c r="G2113" s="7">
        <v>0.93</v>
      </c>
      <c r="H2113" s="9" t="s">
        <v>20</v>
      </c>
      <c r="I2113">
        <v>0.71</v>
      </c>
      <c r="J2113">
        <v>0.68</v>
      </c>
      <c r="K2113">
        <v>0.73</v>
      </c>
      <c r="L2113">
        <v>0.66</v>
      </c>
      <c r="M2113">
        <v>0.76</v>
      </c>
      <c r="N2113">
        <v>0.19</v>
      </c>
      <c r="O2113">
        <v>0.18</v>
      </c>
      <c r="P2113">
        <v>0.36</v>
      </c>
      <c r="Q2113">
        <v>0.85</v>
      </c>
      <c r="R2113" s="2">
        <v>0.71</v>
      </c>
      <c r="S2113" t="str">
        <f>IF(Table1[[#This Row],[Years_Experience]]&lt;=5,"Early Career",
IF(Table1[[#This Row],[Years_Experience]]&lt;=15,"Mid Career","Senior Level"))</f>
        <v>Mid Career</v>
      </c>
      <c r="T2113" t="str">
        <f>IF(Table1[[#This Row],[AI_Exposure_Index]]&gt;=0.7,"High Exposure", IF(Table1[[#This Row],[AI_Exposure_Index]]&gt;=0.3,"Medium Exposure","Low Exposure"))</f>
        <v>Low Exposure</v>
      </c>
    </row>
    <row r="2114" spans="1:20" x14ac:dyDescent="0.25">
      <c r="A2114" t="s">
        <v>42</v>
      </c>
      <c r="B2114">
        <v>56025</v>
      </c>
      <c r="C2114" s="1">
        <v>28</v>
      </c>
      <c r="D2114" t="s">
        <v>25</v>
      </c>
      <c r="E2114" s="7">
        <v>0.74</v>
      </c>
      <c r="F2114" s="2">
        <v>0.02</v>
      </c>
      <c r="G2114" s="7">
        <v>0.62</v>
      </c>
      <c r="H2114" s="9" t="s">
        <v>27</v>
      </c>
      <c r="I2114">
        <v>0.24</v>
      </c>
      <c r="J2114">
        <v>0.73</v>
      </c>
      <c r="K2114">
        <v>0.18</v>
      </c>
      <c r="L2114">
        <v>0.61</v>
      </c>
      <c r="M2114">
        <v>0.63</v>
      </c>
      <c r="N2114">
        <v>0.75</v>
      </c>
      <c r="O2114">
        <v>0.44</v>
      </c>
      <c r="P2114">
        <v>0.63</v>
      </c>
      <c r="Q2114">
        <v>0.49</v>
      </c>
      <c r="R2114" s="2">
        <v>0.95</v>
      </c>
      <c r="S2114" t="str">
        <f>IF(Table1[[#This Row],[Years_Experience]]&lt;=5,"Early Career",
IF(Table1[[#This Row],[Years_Experience]]&lt;=15,"Mid Career","Senior Level"))</f>
        <v>Senior Level</v>
      </c>
      <c r="T2114" t="str">
        <f>IF(Table1[[#This Row],[AI_Exposure_Index]]&gt;=0.7,"High Exposure", IF(Table1[[#This Row],[AI_Exposure_Index]]&gt;=0.3,"Medium Exposure","Low Exposure"))</f>
        <v>Low Exposure</v>
      </c>
    </row>
    <row r="2115" spans="1:20" x14ac:dyDescent="0.25">
      <c r="A2115" t="s">
        <v>37</v>
      </c>
      <c r="B2115">
        <v>51747</v>
      </c>
      <c r="C2115" s="1">
        <v>19</v>
      </c>
      <c r="D2115" t="s">
        <v>38</v>
      </c>
      <c r="E2115" s="7">
        <v>0.99</v>
      </c>
      <c r="F2115" s="2">
        <v>0.67</v>
      </c>
      <c r="G2115" s="7">
        <v>0.56999999999999995</v>
      </c>
      <c r="H2115" s="9" t="s">
        <v>27</v>
      </c>
      <c r="I2115">
        <v>0.82</v>
      </c>
      <c r="J2115">
        <v>0.69</v>
      </c>
      <c r="K2115">
        <v>0.62</v>
      </c>
      <c r="L2115">
        <v>0.85</v>
      </c>
      <c r="M2115">
        <v>0.9</v>
      </c>
      <c r="N2115">
        <v>0.39</v>
      </c>
      <c r="O2115">
        <v>0.17</v>
      </c>
      <c r="P2115">
        <v>0.82</v>
      </c>
      <c r="Q2115">
        <v>0.21</v>
      </c>
      <c r="R2115" s="2">
        <v>0.93</v>
      </c>
      <c r="S2115" t="str">
        <f>IF(Table1[[#This Row],[Years_Experience]]&lt;=5,"Early Career",
IF(Table1[[#This Row],[Years_Experience]]&lt;=15,"Mid Career","Senior Level"))</f>
        <v>Senior Level</v>
      </c>
      <c r="T2115" t="str">
        <f>IF(Table1[[#This Row],[AI_Exposure_Index]]&gt;=0.7,"High Exposure", IF(Table1[[#This Row],[AI_Exposure_Index]]&gt;=0.3,"Medium Exposure","Low Exposure"))</f>
        <v>Medium Exposure</v>
      </c>
    </row>
    <row r="2116" spans="1:20" x14ac:dyDescent="0.25">
      <c r="A2116" t="s">
        <v>36</v>
      </c>
      <c r="B2116">
        <v>117090</v>
      </c>
      <c r="C2116" s="1">
        <v>27</v>
      </c>
      <c r="D2116" t="s">
        <v>25</v>
      </c>
      <c r="E2116" s="7">
        <v>1.0900000000000001</v>
      </c>
      <c r="F2116" s="2">
        <v>0.92</v>
      </c>
      <c r="G2116" s="7">
        <v>0.61</v>
      </c>
      <c r="H2116" s="9" t="s">
        <v>27</v>
      </c>
      <c r="I2116">
        <v>0.4</v>
      </c>
      <c r="J2116">
        <v>0.99</v>
      </c>
      <c r="K2116">
        <v>0.23</v>
      </c>
      <c r="L2116">
        <v>0.26</v>
      </c>
      <c r="M2116">
        <v>0.05</v>
      </c>
      <c r="N2116">
        <v>0.94</v>
      </c>
      <c r="O2116">
        <v>0.46</v>
      </c>
      <c r="P2116">
        <v>0.67</v>
      </c>
      <c r="Q2116">
        <v>0.69</v>
      </c>
      <c r="R2116" s="2">
        <v>0.87</v>
      </c>
      <c r="S2116" t="str">
        <f>IF(Table1[[#This Row],[Years_Experience]]&lt;=5,"Early Career",
IF(Table1[[#This Row],[Years_Experience]]&lt;=15,"Mid Career","Senior Level"))</f>
        <v>Senior Level</v>
      </c>
      <c r="T2116" t="str">
        <f>IF(Table1[[#This Row],[AI_Exposure_Index]]&gt;=0.7,"High Exposure", IF(Table1[[#This Row],[AI_Exposure_Index]]&gt;=0.3,"Medium Exposure","Low Exposure"))</f>
        <v>High Exposure</v>
      </c>
    </row>
    <row r="2117" spans="1:20" x14ac:dyDescent="0.25">
      <c r="A2117" t="s">
        <v>40</v>
      </c>
      <c r="B2117">
        <v>65486</v>
      </c>
      <c r="C2117" s="1">
        <v>5</v>
      </c>
      <c r="D2117" t="s">
        <v>38</v>
      </c>
      <c r="E2117" s="7">
        <v>1.21</v>
      </c>
      <c r="F2117" s="2">
        <v>0.56000000000000005</v>
      </c>
      <c r="G2117" s="7">
        <v>0.24</v>
      </c>
      <c r="H2117" s="9" t="s">
        <v>23</v>
      </c>
      <c r="I2117">
        <v>0.19</v>
      </c>
      <c r="J2117">
        <v>0.11</v>
      </c>
      <c r="K2117">
        <v>7.0000000000000007E-2</v>
      </c>
      <c r="L2117">
        <v>0.37</v>
      </c>
      <c r="M2117">
        <v>0.5</v>
      </c>
      <c r="N2117">
        <v>0.62</v>
      </c>
      <c r="O2117">
        <v>0.96</v>
      </c>
      <c r="P2117">
        <v>0.33</v>
      </c>
      <c r="Q2117">
        <v>0.76</v>
      </c>
      <c r="R2117" s="2">
        <v>0.53</v>
      </c>
      <c r="S2117" t="str">
        <f>IF(Table1[[#This Row],[Years_Experience]]&lt;=5,"Early Career",
IF(Table1[[#This Row],[Years_Experience]]&lt;=15,"Mid Career","Senior Level"))</f>
        <v>Early Career</v>
      </c>
      <c r="T2117" t="str">
        <f>IF(Table1[[#This Row],[AI_Exposure_Index]]&gt;=0.7,"High Exposure", IF(Table1[[#This Row],[AI_Exposure_Index]]&gt;=0.3,"Medium Exposure","Low Exposure"))</f>
        <v>Medium Exposure</v>
      </c>
    </row>
    <row r="2118" spans="1:20" x14ac:dyDescent="0.25">
      <c r="A2118" t="s">
        <v>43</v>
      </c>
      <c r="B2118">
        <v>148871</v>
      </c>
      <c r="C2118" s="1">
        <v>17</v>
      </c>
      <c r="D2118" t="s">
        <v>25</v>
      </c>
      <c r="E2118" s="7">
        <v>1.47</v>
      </c>
      <c r="F2118" s="2">
        <v>0.62</v>
      </c>
      <c r="G2118" s="7">
        <v>0.08</v>
      </c>
      <c r="H2118" s="9" t="s">
        <v>23</v>
      </c>
      <c r="I2118">
        <v>0.51</v>
      </c>
      <c r="J2118">
        <v>0.05</v>
      </c>
      <c r="K2118">
        <v>0.32</v>
      </c>
      <c r="L2118">
        <v>0.62</v>
      </c>
      <c r="M2118">
        <v>0.84</v>
      </c>
      <c r="N2118">
        <v>0.73</v>
      </c>
      <c r="O2118">
        <v>0.46</v>
      </c>
      <c r="P2118">
        <v>0.91</v>
      </c>
      <c r="Q2118">
        <v>0.3</v>
      </c>
      <c r="R2118" s="2">
        <v>0.75</v>
      </c>
      <c r="S2118" t="str">
        <f>IF(Table1[[#This Row],[Years_Experience]]&lt;=5,"Early Career",
IF(Table1[[#This Row],[Years_Experience]]&lt;=15,"Mid Career","Senior Level"))</f>
        <v>Senior Level</v>
      </c>
      <c r="T2118" t="str">
        <f>IF(Table1[[#This Row],[AI_Exposure_Index]]&gt;=0.7,"High Exposure", IF(Table1[[#This Row],[AI_Exposure_Index]]&gt;=0.3,"Medium Exposure","Low Exposure"))</f>
        <v>Medium Exposure</v>
      </c>
    </row>
    <row r="2119" spans="1:20" x14ac:dyDescent="0.25">
      <c r="A2119" t="s">
        <v>21</v>
      </c>
      <c r="B2119">
        <v>72925</v>
      </c>
      <c r="C2119" s="1">
        <v>15</v>
      </c>
      <c r="D2119" t="s">
        <v>22</v>
      </c>
      <c r="E2119" s="7">
        <v>1.3</v>
      </c>
      <c r="F2119" s="2">
        <v>0.9</v>
      </c>
      <c r="G2119" s="7">
        <v>0.28000000000000003</v>
      </c>
      <c r="H2119" s="9" t="s">
        <v>23</v>
      </c>
      <c r="I2119">
        <v>0.21</v>
      </c>
      <c r="J2119">
        <v>0.67</v>
      </c>
      <c r="K2119">
        <v>0.74</v>
      </c>
      <c r="L2119">
        <v>0.74</v>
      </c>
      <c r="M2119">
        <v>0.5</v>
      </c>
      <c r="N2119">
        <v>0.01</v>
      </c>
      <c r="O2119">
        <v>0.26</v>
      </c>
      <c r="P2119">
        <v>0.32</v>
      </c>
      <c r="Q2119">
        <v>0.85</v>
      </c>
      <c r="R2119" s="2">
        <v>0.84</v>
      </c>
      <c r="S2119" t="str">
        <f>IF(Table1[[#This Row],[Years_Experience]]&lt;=5,"Early Career",
IF(Table1[[#This Row],[Years_Experience]]&lt;=15,"Mid Career","Senior Level"))</f>
        <v>Mid Career</v>
      </c>
      <c r="T2119" t="str">
        <f>IF(Table1[[#This Row],[AI_Exposure_Index]]&gt;=0.7,"High Exposure", IF(Table1[[#This Row],[AI_Exposure_Index]]&gt;=0.3,"Medium Exposure","Low Exposure"))</f>
        <v>High Exposure</v>
      </c>
    </row>
    <row r="2120" spans="1:20" x14ac:dyDescent="0.25">
      <c r="A2120" t="s">
        <v>32</v>
      </c>
      <c r="B2120">
        <v>50647</v>
      </c>
      <c r="C2120" s="1">
        <v>20</v>
      </c>
      <c r="D2120" t="s">
        <v>25</v>
      </c>
      <c r="E2120" s="7">
        <v>0.81</v>
      </c>
      <c r="F2120" s="2">
        <v>0.02</v>
      </c>
      <c r="G2120" s="7">
        <v>0.35</v>
      </c>
      <c r="H2120" s="9" t="s">
        <v>27</v>
      </c>
      <c r="I2120">
        <v>0.15</v>
      </c>
      <c r="J2120">
        <v>0.28999999999999998</v>
      </c>
      <c r="K2120">
        <v>7.0000000000000007E-2</v>
      </c>
      <c r="L2120">
        <v>0.24</v>
      </c>
      <c r="M2120">
        <v>0.96</v>
      </c>
      <c r="N2120">
        <v>0.31</v>
      </c>
      <c r="O2120">
        <v>0.16</v>
      </c>
      <c r="P2120">
        <v>0.72</v>
      </c>
      <c r="Q2120">
        <v>0.83</v>
      </c>
      <c r="R2120" s="2">
        <v>0.31</v>
      </c>
      <c r="S2120" t="str">
        <f>IF(Table1[[#This Row],[Years_Experience]]&lt;=5,"Early Career",
IF(Table1[[#This Row],[Years_Experience]]&lt;=15,"Mid Career","Senior Level"))</f>
        <v>Senior Level</v>
      </c>
      <c r="T2120" t="str">
        <f>IF(Table1[[#This Row],[AI_Exposure_Index]]&gt;=0.7,"High Exposure", IF(Table1[[#This Row],[AI_Exposure_Index]]&gt;=0.3,"Medium Exposure","Low Exposure"))</f>
        <v>Low Exposure</v>
      </c>
    </row>
    <row r="2121" spans="1:20" x14ac:dyDescent="0.25">
      <c r="A2121" t="s">
        <v>43</v>
      </c>
      <c r="B2121">
        <v>134839</v>
      </c>
      <c r="C2121" s="1">
        <v>24</v>
      </c>
      <c r="D2121" t="s">
        <v>19</v>
      </c>
      <c r="E2121" s="7">
        <v>0.89</v>
      </c>
      <c r="F2121" s="2">
        <v>0.24</v>
      </c>
      <c r="G2121" s="7">
        <v>7.0000000000000007E-2</v>
      </c>
      <c r="H2121" s="9" t="s">
        <v>23</v>
      </c>
      <c r="I2121">
        <v>0.67</v>
      </c>
      <c r="J2121">
        <v>0.82</v>
      </c>
      <c r="K2121">
        <v>0.66</v>
      </c>
      <c r="L2121">
        <v>0.42</v>
      </c>
      <c r="M2121">
        <v>0.28999999999999998</v>
      </c>
      <c r="N2121">
        <v>0.41</v>
      </c>
      <c r="O2121">
        <v>0.42</v>
      </c>
      <c r="P2121">
        <v>0.67</v>
      </c>
      <c r="Q2121">
        <v>0.93</v>
      </c>
      <c r="R2121" s="2">
        <v>7.0000000000000007E-2</v>
      </c>
      <c r="S2121" t="str">
        <f>IF(Table1[[#This Row],[Years_Experience]]&lt;=5,"Early Career",
IF(Table1[[#This Row],[Years_Experience]]&lt;=15,"Mid Career","Senior Level"))</f>
        <v>Senior Level</v>
      </c>
      <c r="T2121" t="str">
        <f>IF(Table1[[#This Row],[AI_Exposure_Index]]&gt;=0.7,"High Exposure", IF(Table1[[#This Row],[AI_Exposure_Index]]&gt;=0.3,"Medium Exposure","Low Exposure"))</f>
        <v>Low Exposure</v>
      </c>
    </row>
    <row r="2122" spans="1:20" x14ac:dyDescent="0.25">
      <c r="A2122" t="s">
        <v>34</v>
      </c>
      <c r="B2122">
        <v>94310</v>
      </c>
      <c r="C2122" s="1">
        <v>12</v>
      </c>
      <c r="D2122" t="s">
        <v>38</v>
      </c>
      <c r="E2122" s="7">
        <v>0.62</v>
      </c>
      <c r="F2122" s="2">
        <v>0.91</v>
      </c>
      <c r="G2122" s="7">
        <v>0.37</v>
      </c>
      <c r="H2122" s="9" t="s">
        <v>27</v>
      </c>
      <c r="I2122">
        <v>0.31</v>
      </c>
      <c r="J2122">
        <v>0.56000000000000005</v>
      </c>
      <c r="K2122">
        <v>0.13</v>
      </c>
      <c r="L2122">
        <v>0.2</v>
      </c>
      <c r="M2122">
        <v>0.9</v>
      </c>
      <c r="N2122">
        <v>0.11</v>
      </c>
      <c r="O2122">
        <v>0.4</v>
      </c>
      <c r="P2122">
        <v>0.76</v>
      </c>
      <c r="Q2122">
        <v>0.89</v>
      </c>
      <c r="R2122" s="2">
        <v>0.34</v>
      </c>
      <c r="S2122" t="str">
        <f>IF(Table1[[#This Row],[Years_Experience]]&lt;=5,"Early Career",
IF(Table1[[#This Row],[Years_Experience]]&lt;=15,"Mid Career","Senior Level"))</f>
        <v>Mid Career</v>
      </c>
      <c r="T2122" t="str">
        <f>IF(Table1[[#This Row],[AI_Exposure_Index]]&gt;=0.7,"High Exposure", IF(Table1[[#This Row],[AI_Exposure_Index]]&gt;=0.3,"Medium Exposure","Low Exposure"))</f>
        <v>High Exposure</v>
      </c>
    </row>
    <row r="2123" spans="1:20" x14ac:dyDescent="0.25">
      <c r="A2123" t="s">
        <v>24</v>
      </c>
      <c r="B2123">
        <v>67788</v>
      </c>
      <c r="C2123" s="1">
        <v>7</v>
      </c>
      <c r="D2123" t="s">
        <v>22</v>
      </c>
      <c r="E2123" s="7">
        <v>1.27</v>
      </c>
      <c r="F2123" s="2">
        <v>0.74</v>
      </c>
      <c r="G2123" s="7">
        <v>0.95</v>
      </c>
      <c r="H2123" s="9" t="s">
        <v>20</v>
      </c>
      <c r="I2123">
        <v>0.14000000000000001</v>
      </c>
      <c r="J2123">
        <v>0.71</v>
      </c>
      <c r="K2123">
        <v>0.42</v>
      </c>
      <c r="L2123">
        <v>0.91</v>
      </c>
      <c r="M2123">
        <v>0.41</v>
      </c>
      <c r="N2123">
        <v>0.45</v>
      </c>
      <c r="O2123">
        <v>0.13</v>
      </c>
      <c r="P2123">
        <v>0.32</v>
      </c>
      <c r="Q2123">
        <v>0.4</v>
      </c>
      <c r="R2123" s="2">
        <v>0.02</v>
      </c>
      <c r="S2123" t="str">
        <f>IF(Table1[[#This Row],[Years_Experience]]&lt;=5,"Early Career",
IF(Table1[[#This Row],[Years_Experience]]&lt;=15,"Mid Career","Senior Level"))</f>
        <v>Mid Career</v>
      </c>
      <c r="T2123" t="str">
        <f>IF(Table1[[#This Row],[AI_Exposure_Index]]&gt;=0.7,"High Exposure", IF(Table1[[#This Row],[AI_Exposure_Index]]&gt;=0.3,"Medium Exposure","Low Exposure"))</f>
        <v>High Exposure</v>
      </c>
    </row>
    <row r="2124" spans="1:20" x14ac:dyDescent="0.25">
      <c r="A2124" t="s">
        <v>28</v>
      </c>
      <c r="B2124">
        <v>87676</v>
      </c>
      <c r="C2124" s="1">
        <v>21</v>
      </c>
      <c r="D2124" t="s">
        <v>22</v>
      </c>
      <c r="E2124" s="7">
        <v>1.3</v>
      </c>
      <c r="F2124" s="2">
        <v>0.34</v>
      </c>
      <c r="G2124" s="7">
        <v>0.34</v>
      </c>
      <c r="H2124" s="9" t="s">
        <v>27</v>
      </c>
      <c r="I2124">
        <v>0.76</v>
      </c>
      <c r="J2124">
        <v>0.71</v>
      </c>
      <c r="K2124">
        <v>0.24</v>
      </c>
      <c r="L2124">
        <v>0.08</v>
      </c>
      <c r="M2124">
        <v>0.84</v>
      </c>
      <c r="N2124">
        <v>0.25</v>
      </c>
      <c r="O2124">
        <v>0.15</v>
      </c>
      <c r="P2124">
        <v>0.36</v>
      </c>
      <c r="Q2124">
        <v>0.4</v>
      </c>
      <c r="R2124" s="2">
        <v>0.33</v>
      </c>
      <c r="S2124" t="str">
        <f>IF(Table1[[#This Row],[Years_Experience]]&lt;=5,"Early Career",
IF(Table1[[#This Row],[Years_Experience]]&lt;=15,"Mid Career","Senior Level"))</f>
        <v>Senior Level</v>
      </c>
      <c r="T2124" t="str">
        <f>IF(Table1[[#This Row],[AI_Exposure_Index]]&gt;=0.7,"High Exposure", IF(Table1[[#This Row],[AI_Exposure_Index]]&gt;=0.3,"Medium Exposure","Low Exposure"))</f>
        <v>Medium Exposure</v>
      </c>
    </row>
    <row r="2125" spans="1:20" x14ac:dyDescent="0.25">
      <c r="A2125" t="s">
        <v>30</v>
      </c>
      <c r="B2125">
        <v>73677</v>
      </c>
      <c r="C2125" s="1">
        <v>25</v>
      </c>
      <c r="D2125" t="s">
        <v>25</v>
      </c>
      <c r="E2125" s="7">
        <v>1.37</v>
      </c>
      <c r="F2125" s="2">
        <v>0.88</v>
      </c>
      <c r="G2125" s="7">
        <v>0.46</v>
      </c>
      <c r="H2125" s="9" t="s">
        <v>27</v>
      </c>
      <c r="I2125">
        <v>0.96</v>
      </c>
      <c r="J2125">
        <v>0.68</v>
      </c>
      <c r="K2125">
        <v>0.83</v>
      </c>
      <c r="L2125">
        <v>0.5</v>
      </c>
      <c r="M2125">
        <v>0.16</v>
      </c>
      <c r="N2125">
        <v>0.89</v>
      </c>
      <c r="O2125">
        <v>0.49</v>
      </c>
      <c r="P2125">
        <v>0.97</v>
      </c>
      <c r="Q2125">
        <v>0.25</v>
      </c>
      <c r="R2125" s="2">
        <v>0.99</v>
      </c>
      <c r="S2125" t="str">
        <f>IF(Table1[[#This Row],[Years_Experience]]&lt;=5,"Early Career",
IF(Table1[[#This Row],[Years_Experience]]&lt;=15,"Mid Career","Senior Level"))</f>
        <v>Senior Level</v>
      </c>
      <c r="T2125" t="str">
        <f>IF(Table1[[#This Row],[AI_Exposure_Index]]&gt;=0.7,"High Exposure", IF(Table1[[#This Row],[AI_Exposure_Index]]&gt;=0.3,"Medium Exposure","Low Exposure"))</f>
        <v>High Exposure</v>
      </c>
    </row>
    <row r="2126" spans="1:20" x14ac:dyDescent="0.25">
      <c r="A2126" t="s">
        <v>33</v>
      </c>
      <c r="B2126">
        <v>84012</v>
      </c>
      <c r="C2126" s="1">
        <v>8</v>
      </c>
      <c r="D2126" t="s">
        <v>22</v>
      </c>
      <c r="E2126" s="7">
        <v>1.0900000000000001</v>
      </c>
      <c r="F2126" s="2">
        <v>0.37</v>
      </c>
      <c r="G2126" s="7">
        <v>0.87</v>
      </c>
      <c r="H2126" s="9" t="s">
        <v>20</v>
      </c>
      <c r="I2126">
        <v>0.72</v>
      </c>
      <c r="J2126">
        <v>0.48</v>
      </c>
      <c r="K2126">
        <v>0.08</v>
      </c>
      <c r="L2126">
        <v>0.5</v>
      </c>
      <c r="M2126">
        <v>0.33</v>
      </c>
      <c r="N2126">
        <v>0.66</v>
      </c>
      <c r="O2126">
        <v>0.18</v>
      </c>
      <c r="P2126">
        <v>0.39</v>
      </c>
      <c r="Q2126">
        <v>0.97</v>
      </c>
      <c r="R2126" s="2">
        <v>0.09</v>
      </c>
      <c r="S2126" t="str">
        <f>IF(Table1[[#This Row],[Years_Experience]]&lt;=5,"Early Career",
IF(Table1[[#This Row],[Years_Experience]]&lt;=15,"Mid Career","Senior Level"))</f>
        <v>Mid Career</v>
      </c>
      <c r="T2126" t="str">
        <f>IF(Table1[[#This Row],[AI_Exposure_Index]]&gt;=0.7,"High Exposure", IF(Table1[[#This Row],[AI_Exposure_Index]]&gt;=0.3,"Medium Exposure","Low Exposure"))</f>
        <v>Medium Exposure</v>
      </c>
    </row>
    <row r="2127" spans="1:20" x14ac:dyDescent="0.25">
      <c r="A2127" t="s">
        <v>26</v>
      </c>
      <c r="B2127">
        <v>67470</v>
      </c>
      <c r="C2127" s="1">
        <v>10</v>
      </c>
      <c r="D2127" t="s">
        <v>25</v>
      </c>
      <c r="E2127" s="7">
        <v>0.66</v>
      </c>
      <c r="F2127" s="2">
        <v>0.09</v>
      </c>
      <c r="G2127" s="7">
        <v>0.54</v>
      </c>
      <c r="H2127" s="9" t="s">
        <v>27</v>
      </c>
      <c r="I2127">
        <v>0.44</v>
      </c>
      <c r="J2127">
        <v>0.55000000000000004</v>
      </c>
      <c r="K2127">
        <v>0.88</v>
      </c>
      <c r="L2127">
        <v>0.82</v>
      </c>
      <c r="M2127">
        <v>0.89</v>
      </c>
      <c r="N2127">
        <v>0.62</v>
      </c>
      <c r="O2127">
        <v>0.49</v>
      </c>
      <c r="P2127">
        <v>0.46</v>
      </c>
      <c r="Q2127">
        <v>0.74</v>
      </c>
      <c r="R2127" s="2">
        <v>0.52</v>
      </c>
      <c r="S2127" t="str">
        <f>IF(Table1[[#This Row],[Years_Experience]]&lt;=5,"Early Career",
IF(Table1[[#This Row],[Years_Experience]]&lt;=15,"Mid Career","Senior Level"))</f>
        <v>Mid Career</v>
      </c>
      <c r="T2127" t="str">
        <f>IF(Table1[[#This Row],[AI_Exposure_Index]]&gt;=0.7,"High Exposure", IF(Table1[[#This Row],[AI_Exposure_Index]]&gt;=0.3,"Medium Exposure","Low Exposure"))</f>
        <v>Low Exposure</v>
      </c>
    </row>
    <row r="2128" spans="1:20" x14ac:dyDescent="0.25">
      <c r="A2128" t="s">
        <v>35</v>
      </c>
      <c r="B2128">
        <v>139055</v>
      </c>
      <c r="C2128" s="1">
        <v>22</v>
      </c>
      <c r="D2128" t="s">
        <v>19</v>
      </c>
      <c r="E2128" s="7">
        <v>0.86</v>
      </c>
      <c r="F2128" s="2">
        <v>0.14000000000000001</v>
      </c>
      <c r="G2128" s="7">
        <v>0.33</v>
      </c>
      <c r="H2128" s="9" t="s">
        <v>27</v>
      </c>
      <c r="I2128">
        <v>0.24</v>
      </c>
      <c r="J2128">
        <v>0.66</v>
      </c>
      <c r="K2128">
        <v>0.01</v>
      </c>
      <c r="L2128">
        <v>0.6</v>
      </c>
      <c r="M2128">
        <v>0.77</v>
      </c>
      <c r="N2128">
        <v>0.17</v>
      </c>
      <c r="O2128">
        <v>0.18</v>
      </c>
      <c r="P2128">
        <v>0.03</v>
      </c>
      <c r="Q2128">
        <v>0.51</v>
      </c>
      <c r="R2128" s="2">
        <v>0.65</v>
      </c>
      <c r="S2128" t="str">
        <f>IF(Table1[[#This Row],[Years_Experience]]&lt;=5,"Early Career",
IF(Table1[[#This Row],[Years_Experience]]&lt;=15,"Mid Career","Senior Level"))</f>
        <v>Senior Level</v>
      </c>
      <c r="T2128" t="str">
        <f>IF(Table1[[#This Row],[AI_Exposure_Index]]&gt;=0.7,"High Exposure", IF(Table1[[#This Row],[AI_Exposure_Index]]&gt;=0.3,"Medium Exposure","Low Exposure"))</f>
        <v>Low Exposure</v>
      </c>
    </row>
    <row r="2129" spans="1:20" x14ac:dyDescent="0.25">
      <c r="A2129" t="s">
        <v>21</v>
      </c>
      <c r="B2129">
        <v>31757</v>
      </c>
      <c r="C2129" s="1">
        <v>21</v>
      </c>
      <c r="D2129" t="s">
        <v>38</v>
      </c>
      <c r="E2129" s="7">
        <v>0.95</v>
      </c>
      <c r="F2129" s="2">
        <v>0.39</v>
      </c>
      <c r="G2129" s="7">
        <v>0.25</v>
      </c>
      <c r="H2129" s="9" t="s">
        <v>23</v>
      </c>
      <c r="I2129">
        <v>0.03</v>
      </c>
      <c r="J2129">
        <v>0.78</v>
      </c>
      <c r="K2129">
        <v>0.67</v>
      </c>
      <c r="L2129">
        <v>0.24</v>
      </c>
      <c r="M2129">
        <v>0.52</v>
      </c>
      <c r="N2129">
        <v>0.05</v>
      </c>
      <c r="O2129">
        <v>0.38</v>
      </c>
      <c r="P2129">
        <v>0.17</v>
      </c>
      <c r="Q2129">
        <v>0.02</v>
      </c>
      <c r="R2129" s="2">
        <v>0.36</v>
      </c>
      <c r="S2129" t="str">
        <f>IF(Table1[[#This Row],[Years_Experience]]&lt;=5,"Early Career",
IF(Table1[[#This Row],[Years_Experience]]&lt;=15,"Mid Career","Senior Level"))</f>
        <v>Senior Level</v>
      </c>
      <c r="T2129" t="str">
        <f>IF(Table1[[#This Row],[AI_Exposure_Index]]&gt;=0.7,"High Exposure", IF(Table1[[#This Row],[AI_Exposure_Index]]&gt;=0.3,"Medium Exposure","Low Exposure"))</f>
        <v>Medium Exposure</v>
      </c>
    </row>
    <row r="2130" spans="1:20" x14ac:dyDescent="0.25">
      <c r="A2130" t="s">
        <v>31</v>
      </c>
      <c r="B2130">
        <v>62964</v>
      </c>
      <c r="C2130" s="1">
        <v>18</v>
      </c>
      <c r="D2130" t="s">
        <v>25</v>
      </c>
      <c r="E2130" s="7">
        <v>1.1599999999999999</v>
      </c>
      <c r="F2130" s="2">
        <v>0.92</v>
      </c>
      <c r="G2130" s="7">
        <v>0.15</v>
      </c>
      <c r="H2130" s="9" t="s">
        <v>23</v>
      </c>
      <c r="I2130">
        <v>1</v>
      </c>
      <c r="J2130">
        <v>0.28000000000000003</v>
      </c>
      <c r="K2130">
        <v>0.19</v>
      </c>
      <c r="L2130">
        <v>0.46</v>
      </c>
      <c r="M2130">
        <v>0.5</v>
      </c>
      <c r="N2130">
        <v>0.35</v>
      </c>
      <c r="O2130">
        <v>0.7</v>
      </c>
      <c r="P2130">
        <v>0.18</v>
      </c>
      <c r="Q2130">
        <v>0.51</v>
      </c>
      <c r="R2130" s="2">
        <v>0.5</v>
      </c>
      <c r="S2130" t="str">
        <f>IF(Table1[[#This Row],[Years_Experience]]&lt;=5,"Early Career",
IF(Table1[[#This Row],[Years_Experience]]&lt;=15,"Mid Career","Senior Level"))</f>
        <v>Senior Level</v>
      </c>
      <c r="T2130" t="str">
        <f>IF(Table1[[#This Row],[AI_Exposure_Index]]&gt;=0.7,"High Exposure", IF(Table1[[#This Row],[AI_Exposure_Index]]&gt;=0.3,"Medium Exposure","Low Exposure"))</f>
        <v>High Exposure</v>
      </c>
    </row>
    <row r="2131" spans="1:20" x14ac:dyDescent="0.25">
      <c r="A2131" t="s">
        <v>42</v>
      </c>
      <c r="B2131">
        <v>139276</v>
      </c>
      <c r="C2131" s="1">
        <v>15</v>
      </c>
      <c r="D2131" t="s">
        <v>22</v>
      </c>
      <c r="E2131" s="7">
        <v>1.1599999999999999</v>
      </c>
      <c r="F2131" s="2">
        <v>0.93</v>
      </c>
      <c r="G2131" s="7">
        <v>0.42</v>
      </c>
      <c r="H2131" s="9" t="s">
        <v>27</v>
      </c>
      <c r="I2131">
        <v>0.69</v>
      </c>
      <c r="J2131">
        <v>0.25</v>
      </c>
      <c r="K2131">
        <v>0.97</v>
      </c>
      <c r="L2131">
        <v>0.82</v>
      </c>
      <c r="M2131">
        <v>0.43</v>
      </c>
      <c r="N2131">
        <v>0.78</v>
      </c>
      <c r="O2131">
        <v>0.41</v>
      </c>
      <c r="P2131">
        <v>7.0000000000000007E-2</v>
      </c>
      <c r="Q2131">
        <v>0.71</v>
      </c>
      <c r="R2131" s="2">
        <v>0.4</v>
      </c>
      <c r="S2131" t="str">
        <f>IF(Table1[[#This Row],[Years_Experience]]&lt;=5,"Early Career",
IF(Table1[[#This Row],[Years_Experience]]&lt;=15,"Mid Career","Senior Level"))</f>
        <v>Mid Career</v>
      </c>
      <c r="T2131" t="str">
        <f>IF(Table1[[#This Row],[AI_Exposure_Index]]&gt;=0.7,"High Exposure", IF(Table1[[#This Row],[AI_Exposure_Index]]&gt;=0.3,"Medium Exposure","Low Exposure"))</f>
        <v>High Exposure</v>
      </c>
    </row>
    <row r="2132" spans="1:20" x14ac:dyDescent="0.25">
      <c r="A2132" t="s">
        <v>34</v>
      </c>
      <c r="B2132">
        <v>124364</v>
      </c>
      <c r="C2132" s="1">
        <v>24</v>
      </c>
      <c r="D2132" t="s">
        <v>25</v>
      </c>
      <c r="E2132" s="7">
        <v>1.34</v>
      </c>
      <c r="F2132" s="2">
        <v>0.31</v>
      </c>
      <c r="G2132" s="7">
        <v>0.56999999999999995</v>
      </c>
      <c r="H2132" s="9" t="s">
        <v>27</v>
      </c>
      <c r="I2132">
        <v>0.85</v>
      </c>
      <c r="J2132">
        <v>0.28999999999999998</v>
      </c>
      <c r="K2132">
        <v>0.46</v>
      </c>
      <c r="L2132">
        <v>0.82</v>
      </c>
      <c r="M2132">
        <v>0.64</v>
      </c>
      <c r="N2132">
        <v>0.36</v>
      </c>
      <c r="O2132">
        <v>0.51</v>
      </c>
      <c r="P2132">
        <v>1</v>
      </c>
      <c r="Q2132">
        <v>0.74</v>
      </c>
      <c r="R2132" s="2">
        <v>0.61</v>
      </c>
      <c r="S2132" t="str">
        <f>IF(Table1[[#This Row],[Years_Experience]]&lt;=5,"Early Career",
IF(Table1[[#This Row],[Years_Experience]]&lt;=15,"Mid Career","Senior Level"))</f>
        <v>Senior Level</v>
      </c>
      <c r="T2132" t="str">
        <f>IF(Table1[[#This Row],[AI_Exposure_Index]]&gt;=0.7,"High Exposure", IF(Table1[[#This Row],[AI_Exposure_Index]]&gt;=0.3,"Medium Exposure","Low Exposure"))</f>
        <v>Medium Exposure</v>
      </c>
    </row>
    <row r="2133" spans="1:20" x14ac:dyDescent="0.25">
      <c r="A2133" t="s">
        <v>29</v>
      </c>
      <c r="B2133">
        <v>30030</v>
      </c>
      <c r="C2133" s="1">
        <v>0</v>
      </c>
      <c r="D2133" t="s">
        <v>19</v>
      </c>
      <c r="E2133" s="7">
        <v>1.45</v>
      </c>
      <c r="F2133" s="2">
        <v>0.44</v>
      </c>
      <c r="G2133" s="7">
        <v>0.19</v>
      </c>
      <c r="H2133" s="9" t="s">
        <v>23</v>
      </c>
      <c r="I2133">
        <v>0.33</v>
      </c>
      <c r="J2133">
        <v>0.09</v>
      </c>
      <c r="K2133">
        <v>0.38</v>
      </c>
      <c r="L2133">
        <v>0.56999999999999995</v>
      </c>
      <c r="M2133">
        <v>0.7</v>
      </c>
      <c r="N2133">
        <v>0.88</v>
      </c>
      <c r="O2133">
        <v>0.94</v>
      </c>
      <c r="P2133">
        <v>0.1</v>
      </c>
      <c r="Q2133">
        <v>0.6</v>
      </c>
      <c r="R2133" s="2">
        <v>0.67</v>
      </c>
      <c r="S2133" t="str">
        <f>IF(Table1[[#This Row],[Years_Experience]]&lt;=5,"Early Career",
IF(Table1[[#This Row],[Years_Experience]]&lt;=15,"Mid Career","Senior Level"))</f>
        <v>Early Career</v>
      </c>
      <c r="T2133" t="str">
        <f>IF(Table1[[#This Row],[AI_Exposure_Index]]&gt;=0.7,"High Exposure", IF(Table1[[#This Row],[AI_Exposure_Index]]&gt;=0.3,"Medium Exposure","Low Exposure"))</f>
        <v>Medium Exposure</v>
      </c>
    </row>
    <row r="2134" spans="1:20" x14ac:dyDescent="0.25">
      <c r="A2134" t="s">
        <v>39</v>
      </c>
      <c r="B2134">
        <v>54524</v>
      </c>
      <c r="C2134" s="1">
        <v>19</v>
      </c>
      <c r="D2134" t="s">
        <v>38</v>
      </c>
      <c r="E2134" s="7">
        <v>0.83</v>
      </c>
      <c r="F2134" s="2">
        <v>0.55000000000000004</v>
      </c>
      <c r="G2134" s="7">
        <v>0.72</v>
      </c>
      <c r="H2134" s="9" t="s">
        <v>20</v>
      </c>
      <c r="I2134">
        <v>7.0000000000000007E-2</v>
      </c>
      <c r="J2134">
        <v>0.76</v>
      </c>
      <c r="K2134">
        <v>0.62</v>
      </c>
      <c r="L2134">
        <v>0.72</v>
      </c>
      <c r="M2134">
        <v>0.69</v>
      </c>
      <c r="N2134">
        <v>0.13</v>
      </c>
      <c r="O2134">
        <v>0.15</v>
      </c>
      <c r="P2134">
        <v>0.25</v>
      </c>
      <c r="Q2134">
        <v>0.4</v>
      </c>
      <c r="R2134" s="2">
        <v>0.94</v>
      </c>
      <c r="S2134" t="str">
        <f>IF(Table1[[#This Row],[Years_Experience]]&lt;=5,"Early Career",
IF(Table1[[#This Row],[Years_Experience]]&lt;=15,"Mid Career","Senior Level"))</f>
        <v>Senior Level</v>
      </c>
      <c r="T2134" t="str">
        <f>IF(Table1[[#This Row],[AI_Exposure_Index]]&gt;=0.7,"High Exposure", IF(Table1[[#This Row],[AI_Exposure_Index]]&gt;=0.3,"Medium Exposure","Low Exposure"))</f>
        <v>Medium Exposure</v>
      </c>
    </row>
    <row r="2135" spans="1:20" x14ac:dyDescent="0.25">
      <c r="A2135" t="s">
        <v>28</v>
      </c>
      <c r="B2135">
        <v>43733</v>
      </c>
      <c r="C2135" s="1">
        <v>7</v>
      </c>
      <c r="D2135" t="s">
        <v>19</v>
      </c>
      <c r="E2135" s="7">
        <v>0.56000000000000005</v>
      </c>
      <c r="F2135" s="2">
        <v>0.26</v>
      </c>
      <c r="G2135" s="7">
        <v>0.56999999999999995</v>
      </c>
      <c r="H2135" s="9" t="s">
        <v>27</v>
      </c>
      <c r="I2135">
        <v>0.63</v>
      </c>
      <c r="J2135">
        <v>0.68</v>
      </c>
      <c r="K2135">
        <v>0.26</v>
      </c>
      <c r="L2135">
        <v>0.52</v>
      </c>
      <c r="M2135">
        <v>0.36</v>
      </c>
      <c r="N2135">
        <v>0.82</v>
      </c>
      <c r="O2135">
        <v>7.0000000000000007E-2</v>
      </c>
      <c r="P2135">
        <v>0.28000000000000003</v>
      </c>
      <c r="Q2135">
        <v>0.6</v>
      </c>
      <c r="R2135" s="2">
        <v>0.21</v>
      </c>
      <c r="S2135" t="str">
        <f>IF(Table1[[#This Row],[Years_Experience]]&lt;=5,"Early Career",
IF(Table1[[#This Row],[Years_Experience]]&lt;=15,"Mid Career","Senior Level"))</f>
        <v>Mid Career</v>
      </c>
      <c r="T2135" t="str">
        <f>IF(Table1[[#This Row],[AI_Exposure_Index]]&gt;=0.7,"High Exposure", IF(Table1[[#This Row],[AI_Exposure_Index]]&gt;=0.3,"Medium Exposure","Low Exposure"))</f>
        <v>Low Exposure</v>
      </c>
    </row>
    <row r="2136" spans="1:20" x14ac:dyDescent="0.25">
      <c r="A2136" t="s">
        <v>29</v>
      </c>
      <c r="B2136">
        <v>92086</v>
      </c>
      <c r="C2136" s="1">
        <v>21</v>
      </c>
      <c r="D2136" t="s">
        <v>19</v>
      </c>
      <c r="E2136" s="7">
        <v>0.52</v>
      </c>
      <c r="F2136" s="2">
        <v>0.14000000000000001</v>
      </c>
      <c r="G2136" s="7">
        <v>0.27</v>
      </c>
      <c r="H2136" s="9" t="s">
        <v>23</v>
      </c>
      <c r="I2136">
        <v>0.33</v>
      </c>
      <c r="J2136">
        <v>0.16</v>
      </c>
      <c r="K2136">
        <v>0.17</v>
      </c>
      <c r="L2136">
        <v>0.89</v>
      </c>
      <c r="M2136">
        <v>0.65</v>
      </c>
      <c r="N2136">
        <v>0.96</v>
      </c>
      <c r="O2136">
        <v>0.8</v>
      </c>
      <c r="P2136">
        <v>0.77</v>
      </c>
      <c r="Q2136">
        <v>0.5</v>
      </c>
      <c r="R2136" s="2">
        <v>0.82</v>
      </c>
      <c r="S2136" t="str">
        <f>IF(Table1[[#This Row],[Years_Experience]]&lt;=5,"Early Career",
IF(Table1[[#This Row],[Years_Experience]]&lt;=15,"Mid Career","Senior Level"))</f>
        <v>Senior Level</v>
      </c>
      <c r="T2136" t="str">
        <f>IF(Table1[[#This Row],[AI_Exposure_Index]]&gt;=0.7,"High Exposure", IF(Table1[[#This Row],[AI_Exposure_Index]]&gt;=0.3,"Medium Exposure","Low Exposure"))</f>
        <v>Low Exposure</v>
      </c>
    </row>
    <row r="2137" spans="1:20" x14ac:dyDescent="0.25">
      <c r="A2137" t="s">
        <v>34</v>
      </c>
      <c r="B2137">
        <v>134643</v>
      </c>
      <c r="C2137" s="1">
        <v>2</v>
      </c>
      <c r="D2137" t="s">
        <v>38</v>
      </c>
      <c r="E2137" s="7">
        <v>1.26</v>
      </c>
      <c r="F2137" s="2">
        <v>0.83</v>
      </c>
      <c r="G2137" s="7">
        <v>0.56999999999999995</v>
      </c>
      <c r="H2137" s="9" t="s">
        <v>27</v>
      </c>
      <c r="I2137">
        <v>0.33</v>
      </c>
      <c r="J2137">
        <v>0.63</v>
      </c>
      <c r="K2137">
        <v>0.51</v>
      </c>
      <c r="L2137">
        <v>0.46</v>
      </c>
      <c r="M2137">
        <v>0.99</v>
      </c>
      <c r="N2137">
        <v>0.5</v>
      </c>
      <c r="O2137">
        <v>0.03</v>
      </c>
      <c r="P2137">
        <v>0.63</v>
      </c>
      <c r="Q2137">
        <v>0.73</v>
      </c>
      <c r="R2137" s="2">
        <v>0.89</v>
      </c>
      <c r="S2137" t="str">
        <f>IF(Table1[[#This Row],[Years_Experience]]&lt;=5,"Early Career",
IF(Table1[[#This Row],[Years_Experience]]&lt;=15,"Mid Career","Senior Level"))</f>
        <v>Early Career</v>
      </c>
      <c r="T2137" t="str">
        <f>IF(Table1[[#This Row],[AI_Exposure_Index]]&gt;=0.7,"High Exposure", IF(Table1[[#This Row],[AI_Exposure_Index]]&gt;=0.3,"Medium Exposure","Low Exposure"))</f>
        <v>High Exposure</v>
      </c>
    </row>
    <row r="2138" spans="1:20" x14ac:dyDescent="0.25">
      <c r="A2138" t="s">
        <v>26</v>
      </c>
      <c r="B2138">
        <v>136565</v>
      </c>
      <c r="C2138" s="1">
        <v>22</v>
      </c>
      <c r="D2138" t="s">
        <v>38</v>
      </c>
      <c r="E2138" s="7">
        <v>0.62</v>
      </c>
      <c r="F2138" s="2">
        <v>0.02</v>
      </c>
      <c r="G2138" s="7">
        <v>0.36</v>
      </c>
      <c r="H2138" s="9" t="s">
        <v>27</v>
      </c>
      <c r="I2138">
        <v>0.21</v>
      </c>
      <c r="J2138">
        <v>0.8</v>
      </c>
      <c r="K2138">
        <v>0.31</v>
      </c>
      <c r="L2138">
        <v>0.31</v>
      </c>
      <c r="M2138">
        <v>0.76</v>
      </c>
      <c r="N2138">
        <v>0.41</v>
      </c>
      <c r="O2138">
        <v>0.06</v>
      </c>
      <c r="P2138">
        <v>0.59</v>
      </c>
      <c r="Q2138">
        <v>0.13</v>
      </c>
      <c r="R2138" s="2">
        <v>0.56999999999999995</v>
      </c>
      <c r="S2138" t="str">
        <f>IF(Table1[[#This Row],[Years_Experience]]&lt;=5,"Early Career",
IF(Table1[[#This Row],[Years_Experience]]&lt;=15,"Mid Career","Senior Level"))</f>
        <v>Senior Level</v>
      </c>
      <c r="T2138" t="str">
        <f>IF(Table1[[#This Row],[AI_Exposure_Index]]&gt;=0.7,"High Exposure", IF(Table1[[#This Row],[AI_Exposure_Index]]&gt;=0.3,"Medium Exposure","Low Exposure"))</f>
        <v>Low Exposure</v>
      </c>
    </row>
    <row r="2139" spans="1:20" x14ac:dyDescent="0.25">
      <c r="A2139" t="s">
        <v>33</v>
      </c>
      <c r="B2139">
        <v>53784</v>
      </c>
      <c r="C2139" s="1">
        <v>28</v>
      </c>
      <c r="D2139" t="s">
        <v>22</v>
      </c>
      <c r="E2139" s="7">
        <v>0.56999999999999995</v>
      </c>
      <c r="F2139" s="2">
        <v>0.93</v>
      </c>
      <c r="G2139" s="7">
        <v>0.78</v>
      </c>
      <c r="H2139" s="9" t="s">
        <v>20</v>
      </c>
      <c r="I2139">
        <v>0.65</v>
      </c>
      <c r="J2139">
        <v>0.32</v>
      </c>
      <c r="K2139">
        <v>0.45</v>
      </c>
      <c r="L2139">
        <v>0.02</v>
      </c>
      <c r="M2139">
        <v>0.69</v>
      </c>
      <c r="N2139">
        <v>0.88</v>
      </c>
      <c r="O2139">
        <v>0.98</v>
      </c>
      <c r="P2139">
        <v>0.83</v>
      </c>
      <c r="Q2139">
        <v>0.03</v>
      </c>
      <c r="R2139" s="2">
        <v>0.65</v>
      </c>
      <c r="S2139" t="str">
        <f>IF(Table1[[#This Row],[Years_Experience]]&lt;=5,"Early Career",
IF(Table1[[#This Row],[Years_Experience]]&lt;=15,"Mid Career","Senior Level"))</f>
        <v>Senior Level</v>
      </c>
      <c r="T2139" t="str">
        <f>IF(Table1[[#This Row],[AI_Exposure_Index]]&gt;=0.7,"High Exposure", IF(Table1[[#This Row],[AI_Exposure_Index]]&gt;=0.3,"Medium Exposure","Low Exposure"))</f>
        <v>High Exposure</v>
      </c>
    </row>
    <row r="2140" spans="1:20" x14ac:dyDescent="0.25">
      <c r="A2140" t="s">
        <v>41</v>
      </c>
      <c r="B2140">
        <v>129892</v>
      </c>
      <c r="C2140" s="1">
        <v>9</v>
      </c>
      <c r="D2140" t="s">
        <v>25</v>
      </c>
      <c r="E2140" s="7">
        <v>1.4</v>
      </c>
      <c r="F2140" s="2">
        <v>0.94</v>
      </c>
      <c r="G2140" s="7">
        <v>0.95</v>
      </c>
      <c r="H2140" s="9" t="s">
        <v>20</v>
      </c>
      <c r="I2140">
        <v>0.86</v>
      </c>
      <c r="J2140">
        <v>0.55000000000000004</v>
      </c>
      <c r="K2140">
        <v>0.71</v>
      </c>
      <c r="L2140">
        <v>0.96</v>
      </c>
      <c r="M2140">
        <v>0.57999999999999996</v>
      </c>
      <c r="N2140">
        <v>0.84</v>
      </c>
      <c r="O2140">
        <v>0.94</v>
      </c>
      <c r="P2140">
        <v>0.56999999999999995</v>
      </c>
      <c r="Q2140">
        <v>0.16</v>
      </c>
      <c r="R2140" s="2">
        <v>0.16</v>
      </c>
      <c r="S2140" t="str">
        <f>IF(Table1[[#This Row],[Years_Experience]]&lt;=5,"Early Career",
IF(Table1[[#This Row],[Years_Experience]]&lt;=15,"Mid Career","Senior Level"))</f>
        <v>Mid Career</v>
      </c>
      <c r="T2140" t="str">
        <f>IF(Table1[[#This Row],[AI_Exposure_Index]]&gt;=0.7,"High Exposure", IF(Table1[[#This Row],[AI_Exposure_Index]]&gt;=0.3,"Medium Exposure","Low Exposure"))</f>
        <v>High Exposure</v>
      </c>
    </row>
    <row r="2141" spans="1:20" x14ac:dyDescent="0.25">
      <c r="A2141" t="s">
        <v>42</v>
      </c>
      <c r="B2141">
        <v>123497</v>
      </c>
      <c r="C2141" s="1">
        <v>20</v>
      </c>
      <c r="D2141" t="s">
        <v>19</v>
      </c>
      <c r="E2141" s="7">
        <v>0.98</v>
      </c>
      <c r="F2141" s="2">
        <v>0.48</v>
      </c>
      <c r="G2141" s="7">
        <v>0.55000000000000004</v>
      </c>
      <c r="H2141" s="9" t="s">
        <v>27</v>
      </c>
      <c r="I2141">
        <v>0.48</v>
      </c>
      <c r="J2141">
        <v>0.97</v>
      </c>
      <c r="K2141">
        <v>0.28999999999999998</v>
      </c>
      <c r="L2141">
        <v>0.87</v>
      </c>
      <c r="M2141">
        <v>0.1</v>
      </c>
      <c r="N2141">
        <v>0.6</v>
      </c>
      <c r="O2141">
        <v>0.65</v>
      </c>
      <c r="P2141">
        <v>0.77</v>
      </c>
      <c r="Q2141">
        <v>0.5</v>
      </c>
      <c r="R2141" s="2">
        <v>0.2</v>
      </c>
      <c r="S2141" t="str">
        <f>IF(Table1[[#This Row],[Years_Experience]]&lt;=5,"Early Career",
IF(Table1[[#This Row],[Years_Experience]]&lt;=15,"Mid Career","Senior Level"))</f>
        <v>Senior Level</v>
      </c>
      <c r="T2141" t="str">
        <f>IF(Table1[[#This Row],[AI_Exposure_Index]]&gt;=0.7,"High Exposure", IF(Table1[[#This Row],[AI_Exposure_Index]]&gt;=0.3,"Medium Exposure","Low Exposure"))</f>
        <v>Medium Exposure</v>
      </c>
    </row>
    <row r="2142" spans="1:20" x14ac:dyDescent="0.25">
      <c r="A2142" t="s">
        <v>33</v>
      </c>
      <c r="B2142">
        <v>71147</v>
      </c>
      <c r="C2142" s="1">
        <v>16</v>
      </c>
      <c r="D2142" t="s">
        <v>22</v>
      </c>
      <c r="E2142" s="7">
        <v>0.92</v>
      </c>
      <c r="F2142" s="2">
        <v>0.27</v>
      </c>
      <c r="G2142" s="7">
        <v>0.83</v>
      </c>
      <c r="H2142" s="9" t="s">
        <v>20</v>
      </c>
      <c r="I2142">
        <v>0.63</v>
      </c>
      <c r="J2142">
        <v>0.85</v>
      </c>
      <c r="K2142">
        <v>0.91</v>
      </c>
      <c r="L2142">
        <v>0.46</v>
      </c>
      <c r="M2142">
        <v>0.09</v>
      </c>
      <c r="N2142">
        <v>0.8</v>
      </c>
      <c r="O2142">
        <v>0.48</v>
      </c>
      <c r="P2142">
        <v>0.55000000000000004</v>
      </c>
      <c r="Q2142">
        <v>0.6</v>
      </c>
      <c r="R2142" s="2">
        <v>0.67</v>
      </c>
      <c r="S2142" t="str">
        <f>IF(Table1[[#This Row],[Years_Experience]]&lt;=5,"Early Career",
IF(Table1[[#This Row],[Years_Experience]]&lt;=15,"Mid Career","Senior Level"))</f>
        <v>Senior Level</v>
      </c>
      <c r="T2142" t="str">
        <f>IF(Table1[[#This Row],[AI_Exposure_Index]]&gt;=0.7,"High Exposure", IF(Table1[[#This Row],[AI_Exposure_Index]]&gt;=0.3,"Medium Exposure","Low Exposure"))</f>
        <v>Low Exposure</v>
      </c>
    </row>
    <row r="2143" spans="1:20" x14ac:dyDescent="0.25">
      <c r="A2143" t="s">
        <v>44</v>
      </c>
      <c r="B2143">
        <v>138131</v>
      </c>
      <c r="C2143" s="1">
        <v>20</v>
      </c>
      <c r="D2143" t="s">
        <v>19</v>
      </c>
      <c r="E2143" s="7">
        <v>1.44</v>
      </c>
      <c r="F2143" s="2">
        <v>0.95</v>
      </c>
      <c r="G2143" s="7">
        <v>0.62</v>
      </c>
      <c r="H2143" s="9" t="s">
        <v>27</v>
      </c>
      <c r="I2143">
        <v>0.89</v>
      </c>
      <c r="J2143">
        <v>0.05</v>
      </c>
      <c r="K2143">
        <v>0.85</v>
      </c>
      <c r="L2143">
        <v>7.0000000000000007E-2</v>
      </c>
      <c r="M2143">
        <v>0.75</v>
      </c>
      <c r="N2143">
        <v>0.17</v>
      </c>
      <c r="O2143">
        <v>0.36</v>
      </c>
      <c r="P2143">
        <v>0.18</v>
      </c>
      <c r="Q2143">
        <v>0.44</v>
      </c>
      <c r="R2143" s="2">
        <v>0.41</v>
      </c>
      <c r="S2143" t="str">
        <f>IF(Table1[[#This Row],[Years_Experience]]&lt;=5,"Early Career",
IF(Table1[[#This Row],[Years_Experience]]&lt;=15,"Mid Career","Senior Level"))</f>
        <v>Senior Level</v>
      </c>
      <c r="T2143" t="str">
        <f>IF(Table1[[#This Row],[AI_Exposure_Index]]&gt;=0.7,"High Exposure", IF(Table1[[#This Row],[AI_Exposure_Index]]&gt;=0.3,"Medium Exposure","Low Exposure"))</f>
        <v>High Exposure</v>
      </c>
    </row>
    <row r="2144" spans="1:20" x14ac:dyDescent="0.25">
      <c r="A2144" t="s">
        <v>28</v>
      </c>
      <c r="B2144">
        <v>38168</v>
      </c>
      <c r="C2144" s="1">
        <v>1</v>
      </c>
      <c r="D2144" t="s">
        <v>38</v>
      </c>
      <c r="E2144" s="7">
        <v>1.25</v>
      </c>
      <c r="F2144" s="2">
        <v>0.3</v>
      </c>
      <c r="G2144" s="7">
        <v>0.33</v>
      </c>
      <c r="H2144" s="9" t="s">
        <v>27</v>
      </c>
      <c r="I2144">
        <v>0.52</v>
      </c>
      <c r="J2144">
        <v>0.12</v>
      </c>
      <c r="K2144">
        <v>0.28999999999999998</v>
      </c>
      <c r="L2144">
        <v>0.26</v>
      </c>
      <c r="M2144">
        <v>0.84</v>
      </c>
      <c r="N2144">
        <v>0.19</v>
      </c>
      <c r="O2144">
        <v>0.81</v>
      </c>
      <c r="P2144">
        <v>0.79</v>
      </c>
      <c r="Q2144">
        <v>0.5</v>
      </c>
      <c r="R2144" s="2">
        <v>0.23</v>
      </c>
      <c r="S2144" t="str">
        <f>IF(Table1[[#This Row],[Years_Experience]]&lt;=5,"Early Career",
IF(Table1[[#This Row],[Years_Experience]]&lt;=15,"Mid Career","Senior Level"))</f>
        <v>Early Career</v>
      </c>
      <c r="T2144" t="str">
        <f>IF(Table1[[#This Row],[AI_Exposure_Index]]&gt;=0.7,"High Exposure", IF(Table1[[#This Row],[AI_Exposure_Index]]&gt;=0.3,"Medium Exposure","Low Exposure"))</f>
        <v>Medium Exposure</v>
      </c>
    </row>
    <row r="2145" spans="1:20" x14ac:dyDescent="0.25">
      <c r="A2145" t="s">
        <v>32</v>
      </c>
      <c r="B2145">
        <v>126017</v>
      </c>
      <c r="C2145" s="1">
        <v>20</v>
      </c>
      <c r="D2145" t="s">
        <v>38</v>
      </c>
      <c r="E2145" s="7">
        <v>1.03</v>
      </c>
      <c r="F2145" s="2">
        <v>0.01</v>
      </c>
      <c r="G2145" s="7">
        <v>0.68</v>
      </c>
      <c r="H2145" s="9" t="s">
        <v>27</v>
      </c>
      <c r="I2145">
        <v>0.15</v>
      </c>
      <c r="J2145">
        <v>0.56999999999999995</v>
      </c>
      <c r="K2145">
        <v>0.96</v>
      </c>
      <c r="L2145">
        <v>0.86</v>
      </c>
      <c r="M2145">
        <v>0.85</v>
      </c>
      <c r="N2145">
        <v>0.82</v>
      </c>
      <c r="O2145">
        <v>0.31</v>
      </c>
      <c r="P2145">
        <v>0.89</v>
      </c>
      <c r="Q2145">
        <v>0.94</v>
      </c>
      <c r="R2145" s="2">
        <v>0.5</v>
      </c>
      <c r="S2145" t="str">
        <f>IF(Table1[[#This Row],[Years_Experience]]&lt;=5,"Early Career",
IF(Table1[[#This Row],[Years_Experience]]&lt;=15,"Mid Career","Senior Level"))</f>
        <v>Senior Level</v>
      </c>
      <c r="T2145" t="str">
        <f>IF(Table1[[#This Row],[AI_Exposure_Index]]&gt;=0.7,"High Exposure", IF(Table1[[#This Row],[AI_Exposure_Index]]&gt;=0.3,"Medium Exposure","Low Exposure"))</f>
        <v>Low Exposure</v>
      </c>
    </row>
    <row r="2146" spans="1:20" x14ac:dyDescent="0.25">
      <c r="A2146" t="s">
        <v>35</v>
      </c>
      <c r="B2146">
        <v>106548</v>
      </c>
      <c r="C2146" s="1">
        <v>14</v>
      </c>
      <c r="D2146" t="s">
        <v>19</v>
      </c>
      <c r="E2146" s="7">
        <v>0.83</v>
      </c>
      <c r="F2146" s="2">
        <v>0.41</v>
      </c>
      <c r="G2146" s="7">
        <v>0.38</v>
      </c>
      <c r="H2146" s="9" t="s">
        <v>27</v>
      </c>
      <c r="I2146">
        <v>0.62</v>
      </c>
      <c r="J2146">
        <v>0.56000000000000005</v>
      </c>
      <c r="K2146">
        <v>0.46</v>
      </c>
      <c r="L2146">
        <v>0.1</v>
      </c>
      <c r="M2146">
        <v>0.8</v>
      </c>
      <c r="N2146">
        <v>0.17</v>
      </c>
      <c r="O2146">
        <v>0.11</v>
      </c>
      <c r="P2146">
        <v>0.62</v>
      </c>
      <c r="Q2146">
        <v>0.4</v>
      </c>
      <c r="R2146" s="2">
        <v>0.06</v>
      </c>
      <c r="S2146" t="str">
        <f>IF(Table1[[#This Row],[Years_Experience]]&lt;=5,"Early Career",
IF(Table1[[#This Row],[Years_Experience]]&lt;=15,"Mid Career","Senior Level"))</f>
        <v>Mid Career</v>
      </c>
      <c r="T2146" t="str">
        <f>IF(Table1[[#This Row],[AI_Exposure_Index]]&gt;=0.7,"High Exposure", IF(Table1[[#This Row],[AI_Exposure_Index]]&gt;=0.3,"Medium Exposure","Low Exposure"))</f>
        <v>Medium Exposure</v>
      </c>
    </row>
    <row r="2147" spans="1:20" x14ac:dyDescent="0.25">
      <c r="A2147" t="s">
        <v>44</v>
      </c>
      <c r="B2147">
        <v>64574</v>
      </c>
      <c r="C2147" s="1">
        <v>6</v>
      </c>
      <c r="D2147" t="s">
        <v>19</v>
      </c>
      <c r="E2147" s="7">
        <v>1.1200000000000001</v>
      </c>
      <c r="F2147" s="2">
        <v>0.77</v>
      </c>
      <c r="G2147" s="7">
        <v>0.45</v>
      </c>
      <c r="H2147" s="9" t="s">
        <v>27</v>
      </c>
      <c r="I2147">
        <v>0.19</v>
      </c>
      <c r="J2147">
        <v>0.63</v>
      </c>
      <c r="K2147">
        <v>0.89</v>
      </c>
      <c r="L2147">
        <v>0.65</v>
      </c>
      <c r="M2147">
        <v>0.81</v>
      </c>
      <c r="N2147">
        <v>0.52</v>
      </c>
      <c r="O2147">
        <v>0.72</v>
      </c>
      <c r="P2147">
        <v>0.9</v>
      </c>
      <c r="Q2147">
        <v>0.77</v>
      </c>
      <c r="R2147" s="2">
        <v>0.91</v>
      </c>
      <c r="S2147" t="str">
        <f>IF(Table1[[#This Row],[Years_Experience]]&lt;=5,"Early Career",
IF(Table1[[#This Row],[Years_Experience]]&lt;=15,"Mid Career","Senior Level"))</f>
        <v>Mid Career</v>
      </c>
      <c r="T2147" t="str">
        <f>IF(Table1[[#This Row],[AI_Exposure_Index]]&gt;=0.7,"High Exposure", IF(Table1[[#This Row],[AI_Exposure_Index]]&gt;=0.3,"Medium Exposure","Low Exposure"))</f>
        <v>High Exposure</v>
      </c>
    </row>
    <row r="2148" spans="1:20" x14ac:dyDescent="0.25">
      <c r="A2148" t="s">
        <v>41</v>
      </c>
      <c r="B2148">
        <v>106334</v>
      </c>
      <c r="C2148" s="1">
        <v>15</v>
      </c>
      <c r="D2148" t="s">
        <v>25</v>
      </c>
      <c r="E2148" s="7">
        <v>1.1200000000000001</v>
      </c>
      <c r="F2148" s="2">
        <v>0.9</v>
      </c>
      <c r="G2148" s="7">
        <v>0.92</v>
      </c>
      <c r="H2148" s="9" t="s">
        <v>20</v>
      </c>
      <c r="I2148">
        <v>0.04</v>
      </c>
      <c r="J2148">
        <v>0.66</v>
      </c>
      <c r="K2148">
        <v>0.85</v>
      </c>
      <c r="L2148">
        <v>0.17</v>
      </c>
      <c r="M2148">
        <v>0.66</v>
      </c>
      <c r="N2148">
        <v>0.82</v>
      </c>
      <c r="O2148">
        <v>0.28999999999999998</v>
      </c>
      <c r="P2148">
        <v>0.41</v>
      </c>
      <c r="Q2148">
        <v>0.56999999999999995</v>
      </c>
      <c r="R2148" s="2">
        <v>0.52</v>
      </c>
      <c r="S2148" t="str">
        <f>IF(Table1[[#This Row],[Years_Experience]]&lt;=5,"Early Career",
IF(Table1[[#This Row],[Years_Experience]]&lt;=15,"Mid Career","Senior Level"))</f>
        <v>Mid Career</v>
      </c>
      <c r="T2148" t="str">
        <f>IF(Table1[[#This Row],[AI_Exposure_Index]]&gt;=0.7,"High Exposure", IF(Table1[[#This Row],[AI_Exposure_Index]]&gt;=0.3,"Medium Exposure","Low Exposure"))</f>
        <v>High Exposure</v>
      </c>
    </row>
    <row r="2149" spans="1:20" x14ac:dyDescent="0.25">
      <c r="A2149" t="s">
        <v>33</v>
      </c>
      <c r="B2149">
        <v>50709</v>
      </c>
      <c r="C2149" s="1">
        <v>8</v>
      </c>
      <c r="D2149" t="s">
        <v>19</v>
      </c>
      <c r="E2149" s="7">
        <v>0.6</v>
      </c>
      <c r="F2149" s="2">
        <v>0.1</v>
      </c>
      <c r="G2149" s="7">
        <v>0.77</v>
      </c>
      <c r="H2149" s="9" t="s">
        <v>20</v>
      </c>
      <c r="I2149">
        <v>0.25</v>
      </c>
      <c r="J2149">
        <v>0.74</v>
      </c>
      <c r="K2149">
        <v>0.56999999999999995</v>
      </c>
      <c r="L2149">
        <v>0.76</v>
      </c>
      <c r="M2149">
        <v>7.0000000000000007E-2</v>
      </c>
      <c r="N2149">
        <v>0.49</v>
      </c>
      <c r="O2149">
        <v>0.32</v>
      </c>
      <c r="P2149">
        <v>0.85</v>
      </c>
      <c r="Q2149">
        <v>0.71</v>
      </c>
      <c r="R2149" s="2">
        <v>0.87</v>
      </c>
      <c r="S2149" t="str">
        <f>IF(Table1[[#This Row],[Years_Experience]]&lt;=5,"Early Career",
IF(Table1[[#This Row],[Years_Experience]]&lt;=15,"Mid Career","Senior Level"))</f>
        <v>Mid Career</v>
      </c>
      <c r="T2149" t="str">
        <f>IF(Table1[[#This Row],[AI_Exposure_Index]]&gt;=0.7,"High Exposure", IF(Table1[[#This Row],[AI_Exposure_Index]]&gt;=0.3,"Medium Exposure","Low Exposure"))</f>
        <v>Low Exposure</v>
      </c>
    </row>
    <row r="2150" spans="1:20" x14ac:dyDescent="0.25">
      <c r="A2150" t="s">
        <v>37</v>
      </c>
      <c r="B2150">
        <v>72434</v>
      </c>
      <c r="C2150" s="1">
        <v>10</v>
      </c>
      <c r="D2150" t="s">
        <v>25</v>
      </c>
      <c r="E2150" s="7">
        <v>1.04</v>
      </c>
      <c r="F2150" s="2">
        <v>0.72</v>
      </c>
      <c r="G2150" s="7">
        <v>0.63</v>
      </c>
      <c r="H2150" s="9" t="s">
        <v>27</v>
      </c>
      <c r="I2150">
        <v>0.51</v>
      </c>
      <c r="J2150">
        <v>0.54</v>
      </c>
      <c r="K2150">
        <v>0.05</v>
      </c>
      <c r="L2150">
        <v>0.67</v>
      </c>
      <c r="M2150">
        <v>0.27</v>
      </c>
      <c r="N2150">
        <v>0.02</v>
      </c>
      <c r="O2150">
        <v>7.0000000000000007E-2</v>
      </c>
      <c r="P2150">
        <v>0.96</v>
      </c>
      <c r="Q2150">
        <v>0.35</v>
      </c>
      <c r="R2150" s="2">
        <v>0.87</v>
      </c>
      <c r="S2150" t="str">
        <f>IF(Table1[[#This Row],[Years_Experience]]&lt;=5,"Early Career",
IF(Table1[[#This Row],[Years_Experience]]&lt;=15,"Mid Career","Senior Level"))</f>
        <v>Mid Career</v>
      </c>
      <c r="T2150" t="str">
        <f>IF(Table1[[#This Row],[AI_Exposure_Index]]&gt;=0.7,"High Exposure", IF(Table1[[#This Row],[AI_Exposure_Index]]&gt;=0.3,"Medium Exposure","Low Exposure"))</f>
        <v>High Exposure</v>
      </c>
    </row>
    <row r="2151" spans="1:20" x14ac:dyDescent="0.25">
      <c r="A2151" t="s">
        <v>44</v>
      </c>
      <c r="B2151">
        <v>122192</v>
      </c>
      <c r="C2151" s="1">
        <v>28</v>
      </c>
      <c r="D2151" t="s">
        <v>38</v>
      </c>
      <c r="E2151" s="7">
        <v>1.38</v>
      </c>
      <c r="F2151" s="2">
        <v>0.94</v>
      </c>
      <c r="G2151" s="7">
        <v>0.66</v>
      </c>
      <c r="H2151" s="9" t="s">
        <v>27</v>
      </c>
      <c r="I2151">
        <v>0.28999999999999998</v>
      </c>
      <c r="J2151">
        <v>0.15</v>
      </c>
      <c r="K2151">
        <v>0.64</v>
      </c>
      <c r="L2151">
        <v>0.49</v>
      </c>
      <c r="M2151">
        <v>0.1</v>
      </c>
      <c r="N2151">
        <v>0.68</v>
      </c>
      <c r="O2151">
        <v>0.56000000000000005</v>
      </c>
      <c r="P2151">
        <v>0.86</v>
      </c>
      <c r="Q2151">
        <v>0.61</v>
      </c>
      <c r="R2151" s="2">
        <v>0.56999999999999995</v>
      </c>
      <c r="S2151" t="str">
        <f>IF(Table1[[#This Row],[Years_Experience]]&lt;=5,"Early Career",
IF(Table1[[#This Row],[Years_Experience]]&lt;=15,"Mid Career","Senior Level"))</f>
        <v>Senior Level</v>
      </c>
      <c r="T2151" t="str">
        <f>IF(Table1[[#This Row],[AI_Exposure_Index]]&gt;=0.7,"High Exposure", IF(Table1[[#This Row],[AI_Exposure_Index]]&gt;=0.3,"Medium Exposure","Low Exposure"))</f>
        <v>High Exposure</v>
      </c>
    </row>
    <row r="2152" spans="1:20" x14ac:dyDescent="0.25">
      <c r="A2152" t="s">
        <v>40</v>
      </c>
      <c r="B2152">
        <v>102399</v>
      </c>
      <c r="C2152" s="1">
        <v>28</v>
      </c>
      <c r="D2152" t="s">
        <v>38</v>
      </c>
      <c r="E2152" s="7">
        <v>1.45</v>
      </c>
      <c r="F2152" s="2">
        <v>0.46</v>
      </c>
      <c r="G2152" s="7">
        <v>0.08</v>
      </c>
      <c r="H2152" s="9" t="s">
        <v>23</v>
      </c>
      <c r="I2152">
        <v>0.45</v>
      </c>
      <c r="J2152">
        <v>0.66</v>
      </c>
      <c r="K2152">
        <v>0.43</v>
      </c>
      <c r="L2152">
        <v>0.28000000000000003</v>
      </c>
      <c r="M2152">
        <v>0.28999999999999998</v>
      </c>
      <c r="N2152">
        <v>0.23</v>
      </c>
      <c r="O2152">
        <v>0.34</v>
      </c>
      <c r="P2152">
        <v>0.87</v>
      </c>
      <c r="Q2152">
        <v>0.51</v>
      </c>
      <c r="R2152" s="2">
        <v>0.24</v>
      </c>
      <c r="S2152" t="str">
        <f>IF(Table1[[#This Row],[Years_Experience]]&lt;=5,"Early Career",
IF(Table1[[#This Row],[Years_Experience]]&lt;=15,"Mid Career","Senior Level"))</f>
        <v>Senior Level</v>
      </c>
      <c r="T2152" t="str">
        <f>IF(Table1[[#This Row],[AI_Exposure_Index]]&gt;=0.7,"High Exposure", IF(Table1[[#This Row],[AI_Exposure_Index]]&gt;=0.3,"Medium Exposure","Low Exposure"))</f>
        <v>Medium Exposure</v>
      </c>
    </row>
    <row r="2153" spans="1:20" x14ac:dyDescent="0.25">
      <c r="A2153" t="s">
        <v>24</v>
      </c>
      <c r="B2153">
        <v>52489</v>
      </c>
      <c r="C2153" s="1">
        <v>28</v>
      </c>
      <c r="D2153" t="s">
        <v>22</v>
      </c>
      <c r="E2153" s="7">
        <v>0.52</v>
      </c>
      <c r="F2153" s="2">
        <v>0.46</v>
      </c>
      <c r="G2153" s="7">
        <v>0.85</v>
      </c>
      <c r="H2153" s="9" t="s">
        <v>20</v>
      </c>
      <c r="I2153">
        <v>0.03</v>
      </c>
      <c r="J2153">
        <v>0.54</v>
      </c>
      <c r="K2153">
        <v>0.46</v>
      </c>
      <c r="L2153">
        <v>0.24</v>
      </c>
      <c r="M2153">
        <v>0.33</v>
      </c>
      <c r="N2153">
        <v>0.71</v>
      </c>
      <c r="O2153">
        <v>0.01</v>
      </c>
      <c r="P2153">
        <v>0.32</v>
      </c>
      <c r="Q2153">
        <v>0.68</v>
      </c>
      <c r="R2153" s="2">
        <v>0.15</v>
      </c>
      <c r="S2153" t="str">
        <f>IF(Table1[[#This Row],[Years_Experience]]&lt;=5,"Early Career",
IF(Table1[[#This Row],[Years_Experience]]&lt;=15,"Mid Career","Senior Level"))</f>
        <v>Senior Level</v>
      </c>
      <c r="T2153" t="str">
        <f>IF(Table1[[#This Row],[AI_Exposure_Index]]&gt;=0.7,"High Exposure", IF(Table1[[#This Row],[AI_Exposure_Index]]&gt;=0.3,"Medium Exposure","Low Exposure"))</f>
        <v>Medium Exposure</v>
      </c>
    </row>
    <row r="2154" spans="1:20" x14ac:dyDescent="0.25">
      <c r="A2154" t="s">
        <v>41</v>
      </c>
      <c r="B2154">
        <v>123995</v>
      </c>
      <c r="C2154" s="1">
        <v>6</v>
      </c>
      <c r="D2154" t="s">
        <v>38</v>
      </c>
      <c r="E2154" s="7">
        <v>0.65</v>
      </c>
      <c r="F2154" s="2">
        <v>0.17</v>
      </c>
      <c r="G2154" s="7">
        <v>0.89</v>
      </c>
      <c r="H2154" s="9" t="s">
        <v>20</v>
      </c>
      <c r="I2154">
        <v>0.27</v>
      </c>
      <c r="J2154">
        <v>0.38</v>
      </c>
      <c r="K2154">
        <v>0.73</v>
      </c>
      <c r="L2154">
        <v>0.18</v>
      </c>
      <c r="M2154">
        <v>0.53</v>
      </c>
      <c r="N2154">
        <v>0.92</v>
      </c>
      <c r="O2154">
        <v>0.55000000000000004</v>
      </c>
      <c r="P2154">
        <v>0.05</v>
      </c>
      <c r="Q2154">
        <v>0.59</v>
      </c>
      <c r="R2154" s="2">
        <v>0.09</v>
      </c>
      <c r="S2154" t="str">
        <f>IF(Table1[[#This Row],[Years_Experience]]&lt;=5,"Early Career",
IF(Table1[[#This Row],[Years_Experience]]&lt;=15,"Mid Career","Senior Level"))</f>
        <v>Mid Career</v>
      </c>
      <c r="T2154" t="str">
        <f>IF(Table1[[#This Row],[AI_Exposure_Index]]&gt;=0.7,"High Exposure", IF(Table1[[#This Row],[AI_Exposure_Index]]&gt;=0.3,"Medium Exposure","Low Exposure"))</f>
        <v>Low Exposure</v>
      </c>
    </row>
    <row r="2155" spans="1:20" x14ac:dyDescent="0.25">
      <c r="A2155" t="s">
        <v>43</v>
      </c>
      <c r="B2155">
        <v>116090</v>
      </c>
      <c r="C2155" s="1">
        <v>21</v>
      </c>
      <c r="D2155" t="s">
        <v>22</v>
      </c>
      <c r="E2155" s="7">
        <v>0.51</v>
      </c>
      <c r="F2155" s="2">
        <v>0.85</v>
      </c>
      <c r="G2155" s="7">
        <v>7.0000000000000007E-2</v>
      </c>
      <c r="H2155" s="9" t="s">
        <v>23</v>
      </c>
      <c r="I2155">
        <v>0.36</v>
      </c>
      <c r="J2155">
        <v>1</v>
      </c>
      <c r="K2155">
        <v>0.28999999999999998</v>
      </c>
      <c r="L2155">
        <v>0.16</v>
      </c>
      <c r="M2155">
        <v>0.55000000000000004</v>
      </c>
      <c r="N2155">
        <v>0.52</v>
      </c>
      <c r="O2155">
        <v>0.45</v>
      </c>
      <c r="P2155">
        <v>0.95</v>
      </c>
      <c r="Q2155">
        <v>0.28000000000000003</v>
      </c>
      <c r="R2155" s="2">
        <v>0.28999999999999998</v>
      </c>
      <c r="S2155" t="str">
        <f>IF(Table1[[#This Row],[Years_Experience]]&lt;=5,"Early Career",
IF(Table1[[#This Row],[Years_Experience]]&lt;=15,"Mid Career","Senior Level"))</f>
        <v>Senior Level</v>
      </c>
      <c r="T2155" t="str">
        <f>IF(Table1[[#This Row],[AI_Exposure_Index]]&gt;=0.7,"High Exposure", IF(Table1[[#This Row],[AI_Exposure_Index]]&gt;=0.3,"Medium Exposure","Low Exposure"))</f>
        <v>High Exposure</v>
      </c>
    </row>
    <row r="2156" spans="1:20" x14ac:dyDescent="0.25">
      <c r="A2156" t="s">
        <v>32</v>
      </c>
      <c r="B2156">
        <v>126190</v>
      </c>
      <c r="C2156" s="1">
        <v>21</v>
      </c>
      <c r="D2156" t="s">
        <v>25</v>
      </c>
      <c r="E2156" s="7">
        <v>1.3</v>
      </c>
      <c r="F2156" s="2">
        <v>0.32</v>
      </c>
      <c r="G2156" s="7">
        <v>0.69</v>
      </c>
      <c r="H2156" s="9" t="s">
        <v>27</v>
      </c>
      <c r="I2156">
        <v>0.04</v>
      </c>
      <c r="J2156">
        <v>0.99</v>
      </c>
      <c r="K2156">
        <v>0.25</v>
      </c>
      <c r="L2156">
        <v>0.42</v>
      </c>
      <c r="M2156">
        <v>0.78</v>
      </c>
      <c r="N2156">
        <v>0.67</v>
      </c>
      <c r="O2156">
        <v>0.78</v>
      </c>
      <c r="P2156">
        <v>0.47</v>
      </c>
      <c r="Q2156">
        <v>0.92</v>
      </c>
      <c r="R2156" s="2">
        <v>0.79</v>
      </c>
      <c r="S2156" t="str">
        <f>IF(Table1[[#This Row],[Years_Experience]]&lt;=5,"Early Career",
IF(Table1[[#This Row],[Years_Experience]]&lt;=15,"Mid Career","Senior Level"))</f>
        <v>Senior Level</v>
      </c>
      <c r="T2156" t="str">
        <f>IF(Table1[[#This Row],[AI_Exposure_Index]]&gt;=0.7,"High Exposure", IF(Table1[[#This Row],[AI_Exposure_Index]]&gt;=0.3,"Medium Exposure","Low Exposure"))</f>
        <v>Medium Exposure</v>
      </c>
    </row>
    <row r="2157" spans="1:20" x14ac:dyDescent="0.25">
      <c r="A2157" t="s">
        <v>30</v>
      </c>
      <c r="B2157">
        <v>132535</v>
      </c>
      <c r="C2157" s="1">
        <v>20</v>
      </c>
      <c r="D2157" t="s">
        <v>25</v>
      </c>
      <c r="E2157" s="7">
        <v>1.46</v>
      </c>
      <c r="F2157" s="2">
        <v>0.95</v>
      </c>
      <c r="G2157" s="7">
        <v>0.47</v>
      </c>
      <c r="H2157" s="9" t="s">
        <v>27</v>
      </c>
      <c r="I2157">
        <v>0.65</v>
      </c>
      <c r="J2157">
        <v>0.81</v>
      </c>
      <c r="K2157">
        <v>0.82</v>
      </c>
      <c r="L2157">
        <v>0.01</v>
      </c>
      <c r="M2157">
        <v>0.63</v>
      </c>
      <c r="N2157">
        <v>0.97</v>
      </c>
      <c r="O2157">
        <v>0.23</v>
      </c>
      <c r="P2157">
        <v>0.8</v>
      </c>
      <c r="Q2157">
        <v>0.53</v>
      </c>
      <c r="R2157" s="2">
        <v>0.22</v>
      </c>
      <c r="S2157" t="str">
        <f>IF(Table1[[#This Row],[Years_Experience]]&lt;=5,"Early Career",
IF(Table1[[#This Row],[Years_Experience]]&lt;=15,"Mid Career","Senior Level"))</f>
        <v>Senior Level</v>
      </c>
      <c r="T2157" t="str">
        <f>IF(Table1[[#This Row],[AI_Exposure_Index]]&gt;=0.7,"High Exposure", IF(Table1[[#This Row],[AI_Exposure_Index]]&gt;=0.3,"Medium Exposure","Low Exposure"))</f>
        <v>High Exposure</v>
      </c>
    </row>
    <row r="2158" spans="1:20" x14ac:dyDescent="0.25">
      <c r="A2158" t="s">
        <v>34</v>
      </c>
      <c r="B2158">
        <v>84026</v>
      </c>
      <c r="C2158" s="1">
        <v>19</v>
      </c>
      <c r="D2158" t="s">
        <v>19</v>
      </c>
      <c r="E2158" s="7">
        <v>0.82</v>
      </c>
      <c r="F2158" s="2">
        <v>0.76</v>
      </c>
      <c r="G2158" s="7">
        <v>0.45</v>
      </c>
      <c r="H2158" s="9" t="s">
        <v>27</v>
      </c>
      <c r="I2158">
        <v>0.49</v>
      </c>
      <c r="J2158">
        <v>0.51</v>
      </c>
      <c r="K2158">
        <v>0.21</v>
      </c>
      <c r="L2158">
        <v>0.67</v>
      </c>
      <c r="M2158">
        <v>0.69</v>
      </c>
      <c r="N2158">
        <v>0.14000000000000001</v>
      </c>
      <c r="O2158">
        <v>0.53</v>
      </c>
      <c r="P2158">
        <v>0.61</v>
      </c>
      <c r="Q2158">
        <v>0.19</v>
      </c>
      <c r="R2158" s="2">
        <v>0.89</v>
      </c>
      <c r="S2158" t="str">
        <f>IF(Table1[[#This Row],[Years_Experience]]&lt;=5,"Early Career",
IF(Table1[[#This Row],[Years_Experience]]&lt;=15,"Mid Career","Senior Level"))</f>
        <v>Senior Level</v>
      </c>
      <c r="T2158" t="str">
        <f>IF(Table1[[#This Row],[AI_Exposure_Index]]&gt;=0.7,"High Exposure", IF(Table1[[#This Row],[AI_Exposure_Index]]&gt;=0.3,"Medium Exposure","Low Exposure"))</f>
        <v>High Exposure</v>
      </c>
    </row>
    <row r="2159" spans="1:20" x14ac:dyDescent="0.25">
      <c r="A2159" t="s">
        <v>40</v>
      </c>
      <c r="B2159">
        <v>61171</v>
      </c>
      <c r="C2159" s="1">
        <v>13</v>
      </c>
      <c r="D2159" t="s">
        <v>38</v>
      </c>
      <c r="E2159" s="7">
        <v>0.83</v>
      </c>
      <c r="F2159" s="2">
        <v>0.12</v>
      </c>
      <c r="G2159" s="7">
        <v>0.17</v>
      </c>
      <c r="H2159" s="9" t="s">
        <v>23</v>
      </c>
      <c r="I2159">
        <v>0.01</v>
      </c>
      <c r="J2159">
        <v>0.03</v>
      </c>
      <c r="K2159">
        <v>0.06</v>
      </c>
      <c r="L2159">
        <v>0.54</v>
      </c>
      <c r="M2159">
        <v>0.34</v>
      </c>
      <c r="N2159">
        <v>0.89</v>
      </c>
      <c r="O2159">
        <v>0.56000000000000005</v>
      </c>
      <c r="P2159">
        <v>0.76</v>
      </c>
      <c r="Q2159">
        <v>0.69</v>
      </c>
      <c r="R2159" s="2">
        <v>0.52</v>
      </c>
      <c r="S2159" t="str">
        <f>IF(Table1[[#This Row],[Years_Experience]]&lt;=5,"Early Career",
IF(Table1[[#This Row],[Years_Experience]]&lt;=15,"Mid Career","Senior Level"))</f>
        <v>Mid Career</v>
      </c>
      <c r="T2159" t="str">
        <f>IF(Table1[[#This Row],[AI_Exposure_Index]]&gt;=0.7,"High Exposure", IF(Table1[[#This Row],[AI_Exposure_Index]]&gt;=0.3,"Medium Exposure","Low Exposure"))</f>
        <v>Low Exposure</v>
      </c>
    </row>
    <row r="2160" spans="1:20" x14ac:dyDescent="0.25">
      <c r="A2160" t="s">
        <v>29</v>
      </c>
      <c r="B2160">
        <v>140549</v>
      </c>
      <c r="C2160" s="1">
        <v>1</v>
      </c>
      <c r="D2160" t="s">
        <v>38</v>
      </c>
      <c r="E2160" s="7">
        <v>1.03</v>
      </c>
      <c r="F2160" s="2">
        <v>0.87</v>
      </c>
      <c r="G2160" s="7">
        <v>0.17</v>
      </c>
      <c r="H2160" s="9" t="s">
        <v>23</v>
      </c>
      <c r="I2160">
        <v>0.72</v>
      </c>
      <c r="J2160">
        <v>0.21</v>
      </c>
      <c r="K2160">
        <v>0.79</v>
      </c>
      <c r="L2160">
        <v>0.43</v>
      </c>
      <c r="M2160">
        <v>0.13</v>
      </c>
      <c r="N2160">
        <v>0.12</v>
      </c>
      <c r="O2160">
        <v>0.16</v>
      </c>
      <c r="P2160">
        <v>0.89</v>
      </c>
      <c r="Q2160">
        <v>0.99</v>
      </c>
      <c r="R2160" s="2">
        <v>0.36</v>
      </c>
      <c r="S2160" t="str">
        <f>IF(Table1[[#This Row],[Years_Experience]]&lt;=5,"Early Career",
IF(Table1[[#This Row],[Years_Experience]]&lt;=15,"Mid Career","Senior Level"))</f>
        <v>Early Career</v>
      </c>
      <c r="T2160" t="str">
        <f>IF(Table1[[#This Row],[AI_Exposure_Index]]&gt;=0.7,"High Exposure", IF(Table1[[#This Row],[AI_Exposure_Index]]&gt;=0.3,"Medium Exposure","Low Exposure"))</f>
        <v>High Exposure</v>
      </c>
    </row>
    <row r="2161" spans="1:20" x14ac:dyDescent="0.25">
      <c r="A2161" t="s">
        <v>33</v>
      </c>
      <c r="B2161">
        <v>120061</v>
      </c>
      <c r="C2161" s="1">
        <v>16</v>
      </c>
      <c r="D2161" t="s">
        <v>19</v>
      </c>
      <c r="E2161" s="7">
        <v>0.71</v>
      </c>
      <c r="F2161" s="2">
        <v>0.82</v>
      </c>
      <c r="G2161" s="7">
        <v>0.93</v>
      </c>
      <c r="H2161" s="9" t="s">
        <v>20</v>
      </c>
      <c r="I2161">
        <v>0.67</v>
      </c>
      <c r="J2161">
        <v>0.9</v>
      </c>
      <c r="K2161">
        <v>0.55000000000000004</v>
      </c>
      <c r="L2161">
        <v>0.69</v>
      </c>
      <c r="M2161">
        <v>0.62</v>
      </c>
      <c r="N2161">
        <v>0.83</v>
      </c>
      <c r="O2161">
        <v>0.84</v>
      </c>
      <c r="P2161">
        <v>0.59</v>
      </c>
      <c r="Q2161">
        <v>0.63</v>
      </c>
      <c r="R2161" s="2">
        <v>0.92</v>
      </c>
      <c r="S2161" t="str">
        <f>IF(Table1[[#This Row],[Years_Experience]]&lt;=5,"Early Career",
IF(Table1[[#This Row],[Years_Experience]]&lt;=15,"Mid Career","Senior Level"))</f>
        <v>Senior Level</v>
      </c>
      <c r="T2161" t="str">
        <f>IF(Table1[[#This Row],[AI_Exposure_Index]]&gt;=0.7,"High Exposure", IF(Table1[[#This Row],[AI_Exposure_Index]]&gt;=0.3,"Medium Exposure","Low Exposure"))</f>
        <v>High Exposure</v>
      </c>
    </row>
    <row r="2162" spans="1:20" x14ac:dyDescent="0.25">
      <c r="A2162" t="s">
        <v>41</v>
      </c>
      <c r="B2162">
        <v>143357</v>
      </c>
      <c r="C2162" s="1">
        <v>22</v>
      </c>
      <c r="D2162" t="s">
        <v>19</v>
      </c>
      <c r="E2162" s="7">
        <v>0.51</v>
      </c>
      <c r="F2162" s="2">
        <v>0.66</v>
      </c>
      <c r="G2162" s="7">
        <v>0.73</v>
      </c>
      <c r="H2162" s="9" t="s">
        <v>20</v>
      </c>
      <c r="I2162">
        <v>0.86</v>
      </c>
      <c r="J2162">
        <v>0.08</v>
      </c>
      <c r="K2162">
        <v>0.21</v>
      </c>
      <c r="L2162">
        <v>0.23</v>
      </c>
      <c r="M2162">
        <v>0.6</v>
      </c>
      <c r="N2162">
        <v>0.57999999999999996</v>
      </c>
      <c r="O2162">
        <v>0.28999999999999998</v>
      </c>
      <c r="P2162">
        <v>0.21</v>
      </c>
      <c r="Q2162">
        <v>0.76</v>
      </c>
      <c r="R2162" s="2">
        <v>0.94</v>
      </c>
      <c r="S2162" t="str">
        <f>IF(Table1[[#This Row],[Years_Experience]]&lt;=5,"Early Career",
IF(Table1[[#This Row],[Years_Experience]]&lt;=15,"Mid Career","Senior Level"))</f>
        <v>Senior Level</v>
      </c>
      <c r="T2162" t="str">
        <f>IF(Table1[[#This Row],[AI_Exposure_Index]]&gt;=0.7,"High Exposure", IF(Table1[[#This Row],[AI_Exposure_Index]]&gt;=0.3,"Medium Exposure","Low Exposure"))</f>
        <v>Medium Exposure</v>
      </c>
    </row>
    <row r="2163" spans="1:20" x14ac:dyDescent="0.25">
      <c r="A2163" t="s">
        <v>26</v>
      </c>
      <c r="B2163">
        <v>74099</v>
      </c>
      <c r="C2163" s="1">
        <v>6</v>
      </c>
      <c r="D2163" t="s">
        <v>25</v>
      </c>
      <c r="E2163" s="7">
        <v>1.1399999999999999</v>
      </c>
      <c r="F2163" s="2">
        <v>0.13</v>
      </c>
      <c r="G2163" s="7">
        <v>0.62</v>
      </c>
      <c r="H2163" s="9" t="s">
        <v>27</v>
      </c>
      <c r="I2163">
        <v>0.79</v>
      </c>
      <c r="J2163">
        <v>0.72</v>
      </c>
      <c r="K2163">
        <v>0.89</v>
      </c>
      <c r="L2163">
        <v>0.22</v>
      </c>
      <c r="M2163">
        <v>0.11</v>
      </c>
      <c r="N2163">
        <v>0.62</v>
      </c>
      <c r="O2163">
        <v>0.82</v>
      </c>
      <c r="P2163">
        <v>0.57999999999999996</v>
      </c>
      <c r="Q2163">
        <v>0.96</v>
      </c>
      <c r="R2163" s="2">
        <v>0.8</v>
      </c>
      <c r="S2163" t="str">
        <f>IF(Table1[[#This Row],[Years_Experience]]&lt;=5,"Early Career",
IF(Table1[[#This Row],[Years_Experience]]&lt;=15,"Mid Career","Senior Level"))</f>
        <v>Mid Career</v>
      </c>
      <c r="T2163" t="str">
        <f>IF(Table1[[#This Row],[AI_Exposure_Index]]&gt;=0.7,"High Exposure", IF(Table1[[#This Row],[AI_Exposure_Index]]&gt;=0.3,"Medium Exposure","Low Exposure"))</f>
        <v>Low Exposure</v>
      </c>
    </row>
    <row r="2164" spans="1:20" x14ac:dyDescent="0.25">
      <c r="A2164" t="s">
        <v>32</v>
      </c>
      <c r="B2164">
        <v>101543</v>
      </c>
      <c r="C2164" s="1">
        <v>2</v>
      </c>
      <c r="D2164" t="s">
        <v>19</v>
      </c>
      <c r="E2164" s="7">
        <v>0.61</v>
      </c>
      <c r="F2164" s="2">
        <v>0.06</v>
      </c>
      <c r="G2164" s="7">
        <v>0.61</v>
      </c>
      <c r="H2164" s="9" t="s">
        <v>27</v>
      </c>
      <c r="I2164">
        <v>0.2</v>
      </c>
      <c r="J2164">
        <v>0.03</v>
      </c>
      <c r="K2164">
        <v>0.91</v>
      </c>
      <c r="L2164">
        <v>0.89</v>
      </c>
      <c r="M2164">
        <v>0.22</v>
      </c>
      <c r="N2164">
        <v>0.78</v>
      </c>
      <c r="O2164">
        <v>0.05</v>
      </c>
      <c r="P2164">
        <v>0.28999999999999998</v>
      </c>
      <c r="Q2164">
        <v>0.62</v>
      </c>
      <c r="R2164" s="2">
        <v>0.76</v>
      </c>
      <c r="S2164" t="str">
        <f>IF(Table1[[#This Row],[Years_Experience]]&lt;=5,"Early Career",
IF(Table1[[#This Row],[Years_Experience]]&lt;=15,"Mid Career","Senior Level"))</f>
        <v>Early Career</v>
      </c>
      <c r="T2164" t="str">
        <f>IF(Table1[[#This Row],[AI_Exposure_Index]]&gt;=0.7,"High Exposure", IF(Table1[[#This Row],[AI_Exposure_Index]]&gt;=0.3,"Medium Exposure","Low Exposure"))</f>
        <v>Low Exposure</v>
      </c>
    </row>
    <row r="2165" spans="1:20" x14ac:dyDescent="0.25">
      <c r="A2165" t="s">
        <v>43</v>
      </c>
      <c r="B2165">
        <v>129691</v>
      </c>
      <c r="C2165" s="1">
        <v>18</v>
      </c>
      <c r="D2165" t="s">
        <v>25</v>
      </c>
      <c r="E2165" s="7">
        <v>0.71</v>
      </c>
      <c r="F2165" s="2">
        <v>0.33</v>
      </c>
      <c r="G2165" s="7">
        <v>0.3</v>
      </c>
      <c r="H2165" s="9" t="s">
        <v>23</v>
      </c>
      <c r="I2165">
        <v>0.67</v>
      </c>
      <c r="J2165">
        <v>0.41</v>
      </c>
      <c r="K2165">
        <v>0.08</v>
      </c>
      <c r="L2165">
        <v>0.6</v>
      </c>
      <c r="M2165">
        <v>0.64</v>
      </c>
      <c r="N2165">
        <v>0.82</v>
      </c>
      <c r="O2165">
        <v>0.28999999999999998</v>
      </c>
      <c r="P2165">
        <v>0.98</v>
      </c>
      <c r="Q2165">
        <v>0.44</v>
      </c>
      <c r="R2165" s="2">
        <v>0.3</v>
      </c>
      <c r="S2165" t="str">
        <f>IF(Table1[[#This Row],[Years_Experience]]&lt;=5,"Early Career",
IF(Table1[[#This Row],[Years_Experience]]&lt;=15,"Mid Career","Senior Level"))</f>
        <v>Senior Level</v>
      </c>
      <c r="T2165" t="str">
        <f>IF(Table1[[#This Row],[AI_Exposure_Index]]&gt;=0.7,"High Exposure", IF(Table1[[#This Row],[AI_Exposure_Index]]&gt;=0.3,"Medium Exposure","Low Exposure"))</f>
        <v>Medium Exposure</v>
      </c>
    </row>
    <row r="2166" spans="1:20" x14ac:dyDescent="0.25">
      <c r="A2166" t="s">
        <v>31</v>
      </c>
      <c r="B2166">
        <v>111793</v>
      </c>
      <c r="C2166" s="1">
        <v>14</v>
      </c>
      <c r="D2166" t="s">
        <v>25</v>
      </c>
      <c r="E2166" s="7">
        <v>1.3</v>
      </c>
      <c r="F2166" s="2">
        <v>0.53</v>
      </c>
      <c r="G2166" s="7">
        <v>0.19</v>
      </c>
      <c r="H2166" s="9" t="s">
        <v>23</v>
      </c>
      <c r="I2166">
        <v>0.96</v>
      </c>
      <c r="J2166">
        <v>0.37</v>
      </c>
      <c r="K2166">
        <v>0.06</v>
      </c>
      <c r="L2166">
        <v>0.78</v>
      </c>
      <c r="M2166">
        <v>0.71</v>
      </c>
      <c r="N2166">
        <v>0.53</v>
      </c>
      <c r="O2166">
        <v>0.33</v>
      </c>
      <c r="P2166">
        <v>0.19</v>
      </c>
      <c r="Q2166">
        <v>0.48</v>
      </c>
      <c r="R2166" s="2">
        <v>0.67</v>
      </c>
      <c r="S2166" t="str">
        <f>IF(Table1[[#This Row],[Years_Experience]]&lt;=5,"Early Career",
IF(Table1[[#This Row],[Years_Experience]]&lt;=15,"Mid Career","Senior Level"))</f>
        <v>Mid Career</v>
      </c>
      <c r="T2166" t="str">
        <f>IF(Table1[[#This Row],[AI_Exposure_Index]]&gt;=0.7,"High Exposure", IF(Table1[[#This Row],[AI_Exposure_Index]]&gt;=0.3,"Medium Exposure","Low Exposure"))</f>
        <v>Medium Exposure</v>
      </c>
    </row>
    <row r="2167" spans="1:20" x14ac:dyDescent="0.25">
      <c r="A2167" t="s">
        <v>44</v>
      </c>
      <c r="B2167">
        <v>33814</v>
      </c>
      <c r="C2167" s="1">
        <v>28</v>
      </c>
      <c r="D2167" t="s">
        <v>25</v>
      </c>
      <c r="E2167" s="7">
        <v>0.63</v>
      </c>
      <c r="F2167" s="2">
        <v>0.32</v>
      </c>
      <c r="G2167" s="7">
        <v>0.49</v>
      </c>
      <c r="H2167" s="9" t="s">
        <v>27</v>
      </c>
      <c r="I2167">
        <v>0.79</v>
      </c>
      <c r="J2167">
        <v>0.97</v>
      </c>
      <c r="K2167">
        <v>0.5</v>
      </c>
      <c r="L2167">
        <v>0.17</v>
      </c>
      <c r="M2167">
        <v>0.68</v>
      </c>
      <c r="N2167">
        <v>0.76</v>
      </c>
      <c r="O2167">
        <v>7.0000000000000007E-2</v>
      </c>
      <c r="P2167">
        <v>0.85</v>
      </c>
      <c r="Q2167">
        <v>0.83</v>
      </c>
      <c r="R2167" s="2">
        <v>0.47</v>
      </c>
      <c r="S2167" t="str">
        <f>IF(Table1[[#This Row],[Years_Experience]]&lt;=5,"Early Career",
IF(Table1[[#This Row],[Years_Experience]]&lt;=15,"Mid Career","Senior Level"))</f>
        <v>Senior Level</v>
      </c>
      <c r="T2167" t="str">
        <f>IF(Table1[[#This Row],[AI_Exposure_Index]]&gt;=0.7,"High Exposure", IF(Table1[[#This Row],[AI_Exposure_Index]]&gt;=0.3,"Medium Exposure","Low Exposure"))</f>
        <v>Medium Exposure</v>
      </c>
    </row>
    <row r="2168" spans="1:20" x14ac:dyDescent="0.25">
      <c r="A2168" t="s">
        <v>42</v>
      </c>
      <c r="B2168">
        <v>113395</v>
      </c>
      <c r="C2168" s="1">
        <v>29</v>
      </c>
      <c r="D2168" t="s">
        <v>38</v>
      </c>
      <c r="E2168" s="7">
        <v>1.27</v>
      </c>
      <c r="F2168" s="2">
        <v>0.45</v>
      </c>
      <c r="G2168" s="7">
        <v>0.47</v>
      </c>
      <c r="H2168" s="9" t="s">
        <v>27</v>
      </c>
      <c r="I2168">
        <v>0.31</v>
      </c>
      <c r="J2168">
        <v>0.99</v>
      </c>
      <c r="K2168">
        <v>0.94</v>
      </c>
      <c r="L2168">
        <v>0.94</v>
      </c>
      <c r="M2168">
        <v>0.13</v>
      </c>
      <c r="N2168">
        <v>0.23</v>
      </c>
      <c r="O2168">
        <v>0.44</v>
      </c>
      <c r="P2168">
        <v>0.83</v>
      </c>
      <c r="Q2168">
        <v>0.74</v>
      </c>
      <c r="R2168" s="2">
        <v>0.85</v>
      </c>
      <c r="S2168" t="str">
        <f>IF(Table1[[#This Row],[Years_Experience]]&lt;=5,"Early Career",
IF(Table1[[#This Row],[Years_Experience]]&lt;=15,"Mid Career","Senior Level"))</f>
        <v>Senior Level</v>
      </c>
      <c r="T2168" t="str">
        <f>IF(Table1[[#This Row],[AI_Exposure_Index]]&gt;=0.7,"High Exposure", IF(Table1[[#This Row],[AI_Exposure_Index]]&gt;=0.3,"Medium Exposure","Low Exposure"))</f>
        <v>Medium Exposure</v>
      </c>
    </row>
    <row r="2169" spans="1:20" x14ac:dyDescent="0.25">
      <c r="A2169" t="s">
        <v>26</v>
      </c>
      <c r="B2169">
        <v>104892</v>
      </c>
      <c r="C2169" s="1">
        <v>28</v>
      </c>
      <c r="D2169" t="s">
        <v>19</v>
      </c>
      <c r="E2169" s="7">
        <v>0.76</v>
      </c>
      <c r="F2169" s="2">
        <v>0.78</v>
      </c>
      <c r="G2169" s="7">
        <v>0.41</v>
      </c>
      <c r="H2169" s="9" t="s">
        <v>27</v>
      </c>
      <c r="I2169">
        <v>0.35</v>
      </c>
      <c r="J2169">
        <v>0.3</v>
      </c>
      <c r="K2169">
        <v>0.25</v>
      </c>
      <c r="L2169">
        <v>0.75</v>
      </c>
      <c r="M2169">
        <v>0.03</v>
      </c>
      <c r="N2169">
        <v>0.73</v>
      </c>
      <c r="O2169">
        <v>0.82</v>
      </c>
      <c r="P2169">
        <v>7.0000000000000007E-2</v>
      </c>
      <c r="Q2169">
        <v>0.06</v>
      </c>
      <c r="R2169" s="2">
        <v>0.28999999999999998</v>
      </c>
      <c r="S2169" t="str">
        <f>IF(Table1[[#This Row],[Years_Experience]]&lt;=5,"Early Career",
IF(Table1[[#This Row],[Years_Experience]]&lt;=15,"Mid Career","Senior Level"))</f>
        <v>Senior Level</v>
      </c>
      <c r="T2169" t="str">
        <f>IF(Table1[[#This Row],[AI_Exposure_Index]]&gt;=0.7,"High Exposure", IF(Table1[[#This Row],[AI_Exposure_Index]]&gt;=0.3,"Medium Exposure","Low Exposure"))</f>
        <v>High Exposure</v>
      </c>
    </row>
    <row r="2170" spans="1:20" x14ac:dyDescent="0.25">
      <c r="A2170" t="s">
        <v>44</v>
      </c>
      <c r="B2170">
        <v>134560</v>
      </c>
      <c r="C2170" s="1">
        <v>4</v>
      </c>
      <c r="D2170" t="s">
        <v>22</v>
      </c>
      <c r="E2170" s="7">
        <v>1.18</v>
      </c>
      <c r="F2170" s="2">
        <v>0.57999999999999996</v>
      </c>
      <c r="G2170" s="7">
        <v>0.55000000000000004</v>
      </c>
      <c r="H2170" s="9" t="s">
        <v>27</v>
      </c>
      <c r="I2170">
        <v>0.36</v>
      </c>
      <c r="J2170">
        <v>0.5</v>
      </c>
      <c r="K2170">
        <v>0.64</v>
      </c>
      <c r="L2170">
        <v>0.12</v>
      </c>
      <c r="M2170">
        <v>0.23</v>
      </c>
      <c r="N2170">
        <v>0.89</v>
      </c>
      <c r="O2170">
        <v>0.34</v>
      </c>
      <c r="P2170">
        <v>0.8</v>
      </c>
      <c r="Q2170">
        <v>0.25</v>
      </c>
      <c r="R2170" s="2">
        <v>0.04</v>
      </c>
      <c r="S2170" t="str">
        <f>IF(Table1[[#This Row],[Years_Experience]]&lt;=5,"Early Career",
IF(Table1[[#This Row],[Years_Experience]]&lt;=15,"Mid Career","Senior Level"))</f>
        <v>Early Career</v>
      </c>
      <c r="T2170" t="str">
        <f>IF(Table1[[#This Row],[AI_Exposure_Index]]&gt;=0.7,"High Exposure", IF(Table1[[#This Row],[AI_Exposure_Index]]&gt;=0.3,"Medium Exposure","Low Exposure"))</f>
        <v>Medium Exposure</v>
      </c>
    </row>
    <row r="2171" spans="1:20" x14ac:dyDescent="0.25">
      <c r="A2171" t="s">
        <v>32</v>
      </c>
      <c r="B2171">
        <v>46585</v>
      </c>
      <c r="C2171" s="1">
        <v>15</v>
      </c>
      <c r="D2171" t="s">
        <v>38</v>
      </c>
      <c r="E2171" s="7">
        <v>1.32</v>
      </c>
      <c r="F2171" s="2">
        <v>0.89</v>
      </c>
      <c r="G2171" s="7">
        <v>0.4</v>
      </c>
      <c r="H2171" s="9" t="s">
        <v>27</v>
      </c>
      <c r="I2171">
        <v>0.91</v>
      </c>
      <c r="J2171">
        <v>0.48</v>
      </c>
      <c r="K2171">
        <v>0.05</v>
      </c>
      <c r="L2171">
        <v>0.03</v>
      </c>
      <c r="M2171">
        <v>0.49</v>
      </c>
      <c r="N2171">
        <v>0.55000000000000004</v>
      </c>
      <c r="O2171">
        <v>0.08</v>
      </c>
      <c r="P2171">
        <v>0.92</v>
      </c>
      <c r="Q2171">
        <v>0.72</v>
      </c>
      <c r="R2171" s="2">
        <v>0.8</v>
      </c>
      <c r="S2171" t="str">
        <f>IF(Table1[[#This Row],[Years_Experience]]&lt;=5,"Early Career",
IF(Table1[[#This Row],[Years_Experience]]&lt;=15,"Mid Career","Senior Level"))</f>
        <v>Mid Career</v>
      </c>
      <c r="T2171" t="str">
        <f>IF(Table1[[#This Row],[AI_Exposure_Index]]&gt;=0.7,"High Exposure", IF(Table1[[#This Row],[AI_Exposure_Index]]&gt;=0.3,"Medium Exposure","Low Exposure"))</f>
        <v>High Exposure</v>
      </c>
    </row>
    <row r="2172" spans="1:20" x14ac:dyDescent="0.25">
      <c r="A2172" t="s">
        <v>37</v>
      </c>
      <c r="B2172">
        <v>65878</v>
      </c>
      <c r="C2172" s="1">
        <v>27</v>
      </c>
      <c r="D2172" t="s">
        <v>25</v>
      </c>
      <c r="E2172" s="7">
        <v>0.89</v>
      </c>
      <c r="F2172" s="2">
        <v>0.66</v>
      </c>
      <c r="G2172" s="7">
        <v>0.56999999999999995</v>
      </c>
      <c r="H2172" s="9" t="s">
        <v>27</v>
      </c>
      <c r="I2172">
        <v>0.98</v>
      </c>
      <c r="J2172">
        <v>0.65</v>
      </c>
      <c r="K2172">
        <v>0.34</v>
      </c>
      <c r="L2172">
        <v>0.28999999999999998</v>
      </c>
      <c r="M2172">
        <v>0.96</v>
      </c>
      <c r="N2172">
        <v>0.19</v>
      </c>
      <c r="O2172">
        <v>0.81</v>
      </c>
      <c r="P2172">
        <v>0.47</v>
      </c>
      <c r="Q2172">
        <v>0.44</v>
      </c>
      <c r="R2172" s="2">
        <v>0.75</v>
      </c>
      <c r="S2172" t="str">
        <f>IF(Table1[[#This Row],[Years_Experience]]&lt;=5,"Early Career",
IF(Table1[[#This Row],[Years_Experience]]&lt;=15,"Mid Career","Senior Level"))</f>
        <v>Senior Level</v>
      </c>
      <c r="T2172" t="str">
        <f>IF(Table1[[#This Row],[AI_Exposure_Index]]&gt;=0.7,"High Exposure", IF(Table1[[#This Row],[AI_Exposure_Index]]&gt;=0.3,"Medium Exposure","Low Exposure"))</f>
        <v>Medium Exposure</v>
      </c>
    </row>
    <row r="2173" spans="1:20" x14ac:dyDescent="0.25">
      <c r="A2173" t="s">
        <v>39</v>
      </c>
      <c r="B2173">
        <v>144742</v>
      </c>
      <c r="C2173" s="1">
        <v>13</v>
      </c>
      <c r="D2173" t="s">
        <v>22</v>
      </c>
      <c r="E2173" s="7">
        <v>0.66</v>
      </c>
      <c r="F2173" s="2">
        <v>0.78</v>
      </c>
      <c r="G2173" s="7">
        <v>0.8</v>
      </c>
      <c r="H2173" s="9" t="s">
        <v>20</v>
      </c>
      <c r="I2173">
        <v>0.42</v>
      </c>
      <c r="J2173">
        <v>0.1</v>
      </c>
      <c r="K2173">
        <v>0.44</v>
      </c>
      <c r="L2173">
        <v>0.81</v>
      </c>
      <c r="M2173">
        <v>0.3</v>
      </c>
      <c r="N2173">
        <v>0.43</v>
      </c>
      <c r="O2173">
        <v>0.96</v>
      </c>
      <c r="P2173">
        <v>0.03</v>
      </c>
      <c r="Q2173">
        <v>0.59</v>
      </c>
      <c r="R2173" s="2">
        <v>0.74</v>
      </c>
      <c r="S2173" t="str">
        <f>IF(Table1[[#This Row],[Years_Experience]]&lt;=5,"Early Career",
IF(Table1[[#This Row],[Years_Experience]]&lt;=15,"Mid Career","Senior Level"))</f>
        <v>Mid Career</v>
      </c>
      <c r="T2173" t="str">
        <f>IF(Table1[[#This Row],[AI_Exposure_Index]]&gt;=0.7,"High Exposure", IF(Table1[[#This Row],[AI_Exposure_Index]]&gt;=0.3,"Medium Exposure","Low Exposure"))</f>
        <v>High Exposure</v>
      </c>
    </row>
    <row r="2174" spans="1:20" x14ac:dyDescent="0.25">
      <c r="A2174" t="s">
        <v>42</v>
      </c>
      <c r="B2174">
        <v>108074</v>
      </c>
      <c r="C2174" s="1">
        <v>18</v>
      </c>
      <c r="D2174" t="s">
        <v>38</v>
      </c>
      <c r="E2174" s="7">
        <v>1.23</v>
      </c>
      <c r="F2174" s="2">
        <v>0.72</v>
      </c>
      <c r="G2174" s="7">
        <v>0.32</v>
      </c>
      <c r="H2174" s="9" t="s">
        <v>27</v>
      </c>
      <c r="I2174">
        <v>0.53</v>
      </c>
      <c r="J2174">
        <v>0.78</v>
      </c>
      <c r="K2174">
        <v>0.09</v>
      </c>
      <c r="L2174">
        <v>0.01</v>
      </c>
      <c r="M2174">
        <v>0.81</v>
      </c>
      <c r="N2174">
        <v>0.71</v>
      </c>
      <c r="O2174">
        <v>0.41</v>
      </c>
      <c r="P2174">
        <v>0.94</v>
      </c>
      <c r="Q2174">
        <v>0.77</v>
      </c>
      <c r="R2174" s="2">
        <v>0.97</v>
      </c>
      <c r="S2174" t="str">
        <f>IF(Table1[[#This Row],[Years_Experience]]&lt;=5,"Early Career",
IF(Table1[[#This Row],[Years_Experience]]&lt;=15,"Mid Career","Senior Level"))</f>
        <v>Senior Level</v>
      </c>
      <c r="T2174" t="str">
        <f>IF(Table1[[#This Row],[AI_Exposure_Index]]&gt;=0.7,"High Exposure", IF(Table1[[#This Row],[AI_Exposure_Index]]&gt;=0.3,"Medium Exposure","Low Exposure"))</f>
        <v>High Exposure</v>
      </c>
    </row>
    <row r="2175" spans="1:20" x14ac:dyDescent="0.25">
      <c r="A2175" t="s">
        <v>42</v>
      </c>
      <c r="B2175">
        <v>135178</v>
      </c>
      <c r="C2175" s="1">
        <v>27</v>
      </c>
      <c r="D2175" t="s">
        <v>25</v>
      </c>
      <c r="E2175" s="7">
        <v>1.25</v>
      </c>
      <c r="F2175" s="2">
        <v>0.48</v>
      </c>
      <c r="G2175" s="7">
        <v>0.56999999999999995</v>
      </c>
      <c r="H2175" s="9" t="s">
        <v>27</v>
      </c>
      <c r="I2175">
        <v>0.81</v>
      </c>
      <c r="J2175">
        <v>0.79</v>
      </c>
      <c r="K2175">
        <v>0.15</v>
      </c>
      <c r="L2175">
        <v>0.23</v>
      </c>
      <c r="M2175">
        <v>0.27</v>
      </c>
      <c r="N2175">
        <v>0.82</v>
      </c>
      <c r="O2175">
        <v>0.81</v>
      </c>
      <c r="P2175">
        <v>0.5</v>
      </c>
      <c r="Q2175">
        <v>0.57999999999999996</v>
      </c>
      <c r="R2175" s="2">
        <v>0.83</v>
      </c>
      <c r="S2175" t="str">
        <f>IF(Table1[[#This Row],[Years_Experience]]&lt;=5,"Early Career",
IF(Table1[[#This Row],[Years_Experience]]&lt;=15,"Mid Career","Senior Level"))</f>
        <v>Senior Level</v>
      </c>
      <c r="T2175" t="str">
        <f>IF(Table1[[#This Row],[AI_Exposure_Index]]&gt;=0.7,"High Exposure", IF(Table1[[#This Row],[AI_Exposure_Index]]&gt;=0.3,"Medium Exposure","Low Exposure"))</f>
        <v>Medium Exposure</v>
      </c>
    </row>
    <row r="2176" spans="1:20" x14ac:dyDescent="0.25">
      <c r="A2176" t="s">
        <v>21</v>
      </c>
      <c r="B2176">
        <v>38794</v>
      </c>
      <c r="C2176" s="1">
        <v>6</v>
      </c>
      <c r="D2176" t="s">
        <v>22</v>
      </c>
      <c r="E2176" s="7">
        <v>0.98</v>
      </c>
      <c r="F2176" s="2">
        <v>0.05</v>
      </c>
      <c r="G2176" s="7">
        <v>0.28000000000000003</v>
      </c>
      <c r="H2176" s="9" t="s">
        <v>23</v>
      </c>
      <c r="I2176">
        <v>0.79</v>
      </c>
      <c r="J2176">
        <v>0.37</v>
      </c>
      <c r="K2176">
        <v>0.06</v>
      </c>
      <c r="L2176">
        <v>0.64</v>
      </c>
      <c r="M2176">
        <v>0.83</v>
      </c>
      <c r="N2176">
        <v>0.66</v>
      </c>
      <c r="O2176">
        <v>0.43</v>
      </c>
      <c r="P2176">
        <v>0.12</v>
      </c>
      <c r="Q2176">
        <v>0.91</v>
      </c>
      <c r="R2176" s="2">
        <v>0.28000000000000003</v>
      </c>
      <c r="S2176" t="str">
        <f>IF(Table1[[#This Row],[Years_Experience]]&lt;=5,"Early Career",
IF(Table1[[#This Row],[Years_Experience]]&lt;=15,"Mid Career","Senior Level"))</f>
        <v>Mid Career</v>
      </c>
      <c r="T2176" t="str">
        <f>IF(Table1[[#This Row],[AI_Exposure_Index]]&gt;=0.7,"High Exposure", IF(Table1[[#This Row],[AI_Exposure_Index]]&gt;=0.3,"Medium Exposure","Low Exposure"))</f>
        <v>Low Exposure</v>
      </c>
    </row>
    <row r="2177" spans="1:20" x14ac:dyDescent="0.25">
      <c r="A2177" t="s">
        <v>21</v>
      </c>
      <c r="B2177">
        <v>87364</v>
      </c>
      <c r="C2177" s="1">
        <v>18</v>
      </c>
      <c r="D2177" t="s">
        <v>38</v>
      </c>
      <c r="E2177" s="7">
        <v>1.48</v>
      </c>
      <c r="F2177" s="2">
        <v>0.82</v>
      </c>
      <c r="G2177" s="7">
        <v>0.22</v>
      </c>
      <c r="H2177" s="9" t="s">
        <v>23</v>
      </c>
      <c r="I2177">
        <v>0.62</v>
      </c>
      <c r="J2177">
        <v>0.32</v>
      </c>
      <c r="K2177">
        <v>0.02</v>
      </c>
      <c r="L2177">
        <v>0.19</v>
      </c>
      <c r="M2177">
        <v>0.57999999999999996</v>
      </c>
      <c r="N2177">
        <v>0.15</v>
      </c>
      <c r="O2177">
        <v>0.88</v>
      </c>
      <c r="P2177">
        <v>0.19</v>
      </c>
      <c r="Q2177">
        <v>0.52</v>
      </c>
      <c r="R2177" s="2">
        <v>0.51</v>
      </c>
      <c r="S2177" t="str">
        <f>IF(Table1[[#This Row],[Years_Experience]]&lt;=5,"Early Career",
IF(Table1[[#This Row],[Years_Experience]]&lt;=15,"Mid Career","Senior Level"))</f>
        <v>Senior Level</v>
      </c>
      <c r="T2177" t="str">
        <f>IF(Table1[[#This Row],[AI_Exposure_Index]]&gt;=0.7,"High Exposure", IF(Table1[[#This Row],[AI_Exposure_Index]]&gt;=0.3,"Medium Exposure","Low Exposure"))</f>
        <v>High Exposure</v>
      </c>
    </row>
    <row r="2178" spans="1:20" x14ac:dyDescent="0.25">
      <c r="A2178" t="s">
        <v>41</v>
      </c>
      <c r="B2178">
        <v>41853</v>
      </c>
      <c r="C2178" s="1">
        <v>17</v>
      </c>
      <c r="D2178" t="s">
        <v>38</v>
      </c>
      <c r="E2178" s="7">
        <v>1.37</v>
      </c>
      <c r="F2178" s="2">
        <v>0.33</v>
      </c>
      <c r="G2178" s="7">
        <v>0.81</v>
      </c>
      <c r="H2178" s="9" t="s">
        <v>20</v>
      </c>
      <c r="I2178">
        <v>0.7</v>
      </c>
      <c r="J2178">
        <v>0.64</v>
      </c>
      <c r="K2178">
        <v>0.12</v>
      </c>
      <c r="L2178">
        <v>0.62</v>
      </c>
      <c r="M2178">
        <v>0.55000000000000004</v>
      </c>
      <c r="N2178">
        <v>0.9</v>
      </c>
      <c r="O2178">
        <v>0.88</v>
      </c>
      <c r="P2178">
        <v>0.15</v>
      </c>
      <c r="Q2178">
        <v>0.08</v>
      </c>
      <c r="R2178" s="2">
        <v>0.28999999999999998</v>
      </c>
      <c r="S2178" t="str">
        <f>IF(Table1[[#This Row],[Years_Experience]]&lt;=5,"Early Career",
IF(Table1[[#This Row],[Years_Experience]]&lt;=15,"Mid Career","Senior Level"))</f>
        <v>Senior Level</v>
      </c>
      <c r="T2178" t="str">
        <f>IF(Table1[[#This Row],[AI_Exposure_Index]]&gt;=0.7,"High Exposure", IF(Table1[[#This Row],[AI_Exposure_Index]]&gt;=0.3,"Medium Exposure","Low Exposure"))</f>
        <v>Medium Exposure</v>
      </c>
    </row>
    <row r="2179" spans="1:20" x14ac:dyDescent="0.25">
      <c r="A2179" t="s">
        <v>34</v>
      </c>
      <c r="B2179">
        <v>73280</v>
      </c>
      <c r="C2179" s="1">
        <v>28</v>
      </c>
      <c r="D2179" t="s">
        <v>19</v>
      </c>
      <c r="E2179" s="7">
        <v>1.17</v>
      </c>
      <c r="F2179" s="2">
        <v>0.02</v>
      </c>
      <c r="G2179" s="7">
        <v>0.54</v>
      </c>
      <c r="H2179" s="9" t="s">
        <v>27</v>
      </c>
      <c r="I2179">
        <v>0.65</v>
      </c>
      <c r="J2179">
        <v>0.22</v>
      </c>
      <c r="K2179">
        <v>0.23</v>
      </c>
      <c r="L2179">
        <v>0.43</v>
      </c>
      <c r="M2179">
        <v>0.1</v>
      </c>
      <c r="N2179">
        <v>7.0000000000000007E-2</v>
      </c>
      <c r="O2179">
        <v>0.09</v>
      </c>
      <c r="P2179">
        <v>0.56999999999999995</v>
      </c>
      <c r="Q2179">
        <v>0.4</v>
      </c>
      <c r="R2179" s="2">
        <v>0.28999999999999998</v>
      </c>
      <c r="S2179" t="str">
        <f>IF(Table1[[#This Row],[Years_Experience]]&lt;=5,"Early Career",
IF(Table1[[#This Row],[Years_Experience]]&lt;=15,"Mid Career","Senior Level"))</f>
        <v>Senior Level</v>
      </c>
      <c r="T2179" t="str">
        <f>IF(Table1[[#This Row],[AI_Exposure_Index]]&gt;=0.7,"High Exposure", IF(Table1[[#This Row],[AI_Exposure_Index]]&gt;=0.3,"Medium Exposure","Low Exposure"))</f>
        <v>Low Exposure</v>
      </c>
    </row>
    <row r="2180" spans="1:20" x14ac:dyDescent="0.25">
      <c r="A2180" t="s">
        <v>30</v>
      </c>
      <c r="B2180">
        <v>130854</v>
      </c>
      <c r="C2180" s="1">
        <v>10</v>
      </c>
      <c r="D2180" t="s">
        <v>19</v>
      </c>
      <c r="E2180" s="7">
        <v>0.91</v>
      </c>
      <c r="F2180" s="2">
        <v>0.21</v>
      </c>
      <c r="G2180" s="7">
        <v>0.38</v>
      </c>
      <c r="H2180" s="9" t="s">
        <v>27</v>
      </c>
      <c r="I2180">
        <v>0.7</v>
      </c>
      <c r="J2180">
        <v>0.12</v>
      </c>
      <c r="K2180">
        <v>0.95</v>
      </c>
      <c r="L2180">
        <v>0.09</v>
      </c>
      <c r="M2180">
        <v>0.94</v>
      </c>
      <c r="N2180">
        <v>0.83</v>
      </c>
      <c r="O2180">
        <v>0.68</v>
      </c>
      <c r="P2180">
        <v>0.91</v>
      </c>
      <c r="Q2180">
        <v>0.14000000000000001</v>
      </c>
      <c r="R2180" s="2">
        <v>0.18</v>
      </c>
      <c r="S2180" t="str">
        <f>IF(Table1[[#This Row],[Years_Experience]]&lt;=5,"Early Career",
IF(Table1[[#This Row],[Years_Experience]]&lt;=15,"Mid Career","Senior Level"))</f>
        <v>Mid Career</v>
      </c>
      <c r="T2180" t="str">
        <f>IF(Table1[[#This Row],[AI_Exposure_Index]]&gt;=0.7,"High Exposure", IF(Table1[[#This Row],[AI_Exposure_Index]]&gt;=0.3,"Medium Exposure","Low Exposure"))</f>
        <v>Low Exposure</v>
      </c>
    </row>
    <row r="2181" spans="1:20" x14ac:dyDescent="0.25">
      <c r="A2181" t="s">
        <v>30</v>
      </c>
      <c r="B2181">
        <v>100286</v>
      </c>
      <c r="C2181" s="1">
        <v>28</v>
      </c>
      <c r="D2181" t="s">
        <v>25</v>
      </c>
      <c r="E2181" s="7">
        <v>0.81</v>
      </c>
      <c r="F2181" s="2">
        <v>0.24</v>
      </c>
      <c r="G2181" s="7">
        <v>0.53</v>
      </c>
      <c r="H2181" s="9" t="s">
        <v>27</v>
      </c>
      <c r="I2181">
        <v>0.03</v>
      </c>
      <c r="J2181">
        <v>0.38</v>
      </c>
      <c r="K2181">
        <v>0.25</v>
      </c>
      <c r="L2181">
        <v>0.61</v>
      </c>
      <c r="M2181">
        <v>0.99</v>
      </c>
      <c r="N2181">
        <v>0.52</v>
      </c>
      <c r="O2181">
        <v>0.43</v>
      </c>
      <c r="P2181">
        <v>0.37</v>
      </c>
      <c r="Q2181">
        <v>0.78</v>
      </c>
      <c r="R2181" s="2">
        <v>7.0000000000000007E-2</v>
      </c>
      <c r="S2181" t="str">
        <f>IF(Table1[[#This Row],[Years_Experience]]&lt;=5,"Early Career",
IF(Table1[[#This Row],[Years_Experience]]&lt;=15,"Mid Career","Senior Level"))</f>
        <v>Senior Level</v>
      </c>
      <c r="T2181" t="str">
        <f>IF(Table1[[#This Row],[AI_Exposure_Index]]&gt;=0.7,"High Exposure", IF(Table1[[#This Row],[AI_Exposure_Index]]&gt;=0.3,"Medium Exposure","Low Exposure"))</f>
        <v>Low Exposure</v>
      </c>
    </row>
    <row r="2182" spans="1:20" x14ac:dyDescent="0.25">
      <c r="A2182" t="s">
        <v>24</v>
      </c>
      <c r="B2182">
        <v>129646</v>
      </c>
      <c r="C2182" s="1">
        <v>20</v>
      </c>
      <c r="D2182" t="s">
        <v>38</v>
      </c>
      <c r="E2182" s="7">
        <v>0.81</v>
      </c>
      <c r="F2182" s="2">
        <v>0.42</v>
      </c>
      <c r="G2182" s="7">
        <v>0.94</v>
      </c>
      <c r="H2182" s="9" t="s">
        <v>20</v>
      </c>
      <c r="I2182">
        <v>0.94</v>
      </c>
      <c r="J2182">
        <v>0.64</v>
      </c>
      <c r="K2182">
        <v>0.02</v>
      </c>
      <c r="L2182">
        <v>0.75</v>
      </c>
      <c r="M2182">
        <v>0.34</v>
      </c>
      <c r="N2182">
        <v>0.39</v>
      </c>
      <c r="O2182">
        <v>0.16</v>
      </c>
      <c r="P2182">
        <v>0.52</v>
      </c>
      <c r="Q2182">
        <v>0.74</v>
      </c>
      <c r="R2182" s="2">
        <v>0.27</v>
      </c>
      <c r="S2182" t="str">
        <f>IF(Table1[[#This Row],[Years_Experience]]&lt;=5,"Early Career",
IF(Table1[[#This Row],[Years_Experience]]&lt;=15,"Mid Career","Senior Level"))</f>
        <v>Senior Level</v>
      </c>
      <c r="T2182" t="str">
        <f>IF(Table1[[#This Row],[AI_Exposure_Index]]&gt;=0.7,"High Exposure", IF(Table1[[#This Row],[AI_Exposure_Index]]&gt;=0.3,"Medium Exposure","Low Exposure"))</f>
        <v>Medium Exposure</v>
      </c>
    </row>
    <row r="2183" spans="1:20" x14ac:dyDescent="0.25">
      <c r="A2183" t="s">
        <v>26</v>
      </c>
      <c r="B2183">
        <v>82445</v>
      </c>
      <c r="C2183" s="1">
        <v>25</v>
      </c>
      <c r="D2183" t="s">
        <v>38</v>
      </c>
      <c r="E2183" s="7">
        <v>0.56999999999999995</v>
      </c>
      <c r="F2183" s="2">
        <v>0.19</v>
      </c>
      <c r="G2183" s="7">
        <v>0.56000000000000005</v>
      </c>
      <c r="H2183" s="9" t="s">
        <v>27</v>
      </c>
      <c r="I2183">
        <v>0.85</v>
      </c>
      <c r="J2183">
        <v>0.95</v>
      </c>
      <c r="K2183">
        <v>0.77</v>
      </c>
      <c r="L2183">
        <v>0.2</v>
      </c>
      <c r="M2183">
        <v>0.98</v>
      </c>
      <c r="N2183">
        <v>0.92</v>
      </c>
      <c r="O2183">
        <v>0.16</v>
      </c>
      <c r="P2183">
        <v>0.56000000000000005</v>
      </c>
      <c r="Q2183">
        <v>0.56000000000000005</v>
      </c>
      <c r="R2183" s="2">
        <v>0.44</v>
      </c>
      <c r="S2183" t="str">
        <f>IF(Table1[[#This Row],[Years_Experience]]&lt;=5,"Early Career",
IF(Table1[[#This Row],[Years_Experience]]&lt;=15,"Mid Career","Senior Level"))</f>
        <v>Senior Level</v>
      </c>
      <c r="T2183" t="str">
        <f>IF(Table1[[#This Row],[AI_Exposure_Index]]&gt;=0.7,"High Exposure", IF(Table1[[#This Row],[AI_Exposure_Index]]&gt;=0.3,"Medium Exposure","Low Exposure"))</f>
        <v>Low Exposure</v>
      </c>
    </row>
    <row r="2184" spans="1:20" x14ac:dyDescent="0.25">
      <c r="A2184" t="s">
        <v>34</v>
      </c>
      <c r="B2184">
        <v>86152</v>
      </c>
      <c r="C2184" s="1">
        <v>11</v>
      </c>
      <c r="D2184" t="s">
        <v>19</v>
      </c>
      <c r="E2184" s="7">
        <v>1.17</v>
      </c>
      <c r="F2184" s="2">
        <v>0.21</v>
      </c>
      <c r="G2184" s="7">
        <v>0.61</v>
      </c>
      <c r="H2184" s="9" t="s">
        <v>27</v>
      </c>
      <c r="I2184">
        <v>0.2</v>
      </c>
      <c r="J2184">
        <v>0.82</v>
      </c>
      <c r="K2184">
        <v>0.96</v>
      </c>
      <c r="L2184">
        <v>0.62</v>
      </c>
      <c r="M2184">
        <v>0.78</v>
      </c>
      <c r="N2184">
        <v>0.53</v>
      </c>
      <c r="O2184">
        <v>0.6</v>
      </c>
      <c r="P2184">
        <v>0.01</v>
      </c>
      <c r="Q2184">
        <v>0.52</v>
      </c>
      <c r="R2184" s="2">
        <v>0.57999999999999996</v>
      </c>
      <c r="S2184" t="str">
        <f>IF(Table1[[#This Row],[Years_Experience]]&lt;=5,"Early Career",
IF(Table1[[#This Row],[Years_Experience]]&lt;=15,"Mid Career","Senior Level"))</f>
        <v>Mid Career</v>
      </c>
      <c r="T2184" t="str">
        <f>IF(Table1[[#This Row],[AI_Exposure_Index]]&gt;=0.7,"High Exposure", IF(Table1[[#This Row],[AI_Exposure_Index]]&gt;=0.3,"Medium Exposure","Low Exposure"))</f>
        <v>Low Exposure</v>
      </c>
    </row>
    <row r="2185" spans="1:20" x14ac:dyDescent="0.25">
      <c r="A2185" t="s">
        <v>41</v>
      </c>
      <c r="B2185">
        <v>45485</v>
      </c>
      <c r="C2185" s="1">
        <v>4</v>
      </c>
      <c r="D2185" t="s">
        <v>22</v>
      </c>
      <c r="E2185" s="7">
        <v>0.74</v>
      </c>
      <c r="F2185" s="2">
        <v>0.17</v>
      </c>
      <c r="G2185" s="7">
        <v>0.89</v>
      </c>
      <c r="H2185" s="9" t="s">
        <v>20</v>
      </c>
      <c r="I2185">
        <v>0.17</v>
      </c>
      <c r="J2185">
        <v>0.42</v>
      </c>
      <c r="K2185">
        <v>0.25</v>
      </c>
      <c r="L2185">
        <v>0.55000000000000004</v>
      </c>
      <c r="M2185">
        <v>0.99</v>
      </c>
      <c r="N2185">
        <v>0.85</v>
      </c>
      <c r="O2185">
        <v>0.27</v>
      </c>
      <c r="P2185">
        <v>0.37</v>
      </c>
      <c r="Q2185">
        <v>0.92</v>
      </c>
      <c r="R2185" s="2">
        <v>0.9</v>
      </c>
      <c r="S2185" t="str">
        <f>IF(Table1[[#This Row],[Years_Experience]]&lt;=5,"Early Career",
IF(Table1[[#This Row],[Years_Experience]]&lt;=15,"Mid Career","Senior Level"))</f>
        <v>Early Career</v>
      </c>
      <c r="T2185" t="str">
        <f>IF(Table1[[#This Row],[AI_Exposure_Index]]&gt;=0.7,"High Exposure", IF(Table1[[#This Row],[AI_Exposure_Index]]&gt;=0.3,"Medium Exposure","Low Exposure"))</f>
        <v>Low Exposure</v>
      </c>
    </row>
    <row r="2186" spans="1:20" x14ac:dyDescent="0.25">
      <c r="A2186" t="s">
        <v>18</v>
      </c>
      <c r="B2186">
        <v>53953</v>
      </c>
      <c r="C2186" s="1">
        <v>29</v>
      </c>
      <c r="D2186" t="s">
        <v>19</v>
      </c>
      <c r="E2186" s="7">
        <v>0.8</v>
      </c>
      <c r="F2186" s="2">
        <v>0.83</v>
      </c>
      <c r="G2186" s="7">
        <v>0.84</v>
      </c>
      <c r="H2186" s="9" t="s">
        <v>20</v>
      </c>
      <c r="I2186">
        <v>0.01</v>
      </c>
      <c r="J2186">
        <v>1</v>
      </c>
      <c r="K2186">
        <v>0.76</v>
      </c>
      <c r="L2186">
        <v>0.24</v>
      </c>
      <c r="M2186">
        <v>0.68</v>
      </c>
      <c r="N2186">
        <v>0.28999999999999998</v>
      </c>
      <c r="O2186">
        <v>0.09</v>
      </c>
      <c r="P2186">
        <v>0.43</v>
      </c>
      <c r="Q2186">
        <v>0.61</v>
      </c>
      <c r="R2186" s="2">
        <v>0.09</v>
      </c>
      <c r="S2186" t="str">
        <f>IF(Table1[[#This Row],[Years_Experience]]&lt;=5,"Early Career",
IF(Table1[[#This Row],[Years_Experience]]&lt;=15,"Mid Career","Senior Level"))</f>
        <v>Senior Level</v>
      </c>
      <c r="T2186" t="str">
        <f>IF(Table1[[#This Row],[AI_Exposure_Index]]&gt;=0.7,"High Exposure", IF(Table1[[#This Row],[AI_Exposure_Index]]&gt;=0.3,"Medium Exposure","Low Exposure"))</f>
        <v>High Exposure</v>
      </c>
    </row>
    <row r="2187" spans="1:20" x14ac:dyDescent="0.25">
      <c r="A2187" t="s">
        <v>42</v>
      </c>
      <c r="B2187">
        <v>48027</v>
      </c>
      <c r="C2187" s="1">
        <v>3</v>
      </c>
      <c r="D2187" t="s">
        <v>38</v>
      </c>
      <c r="E2187" s="7">
        <v>1.1299999999999999</v>
      </c>
      <c r="F2187" s="2">
        <v>0.51</v>
      </c>
      <c r="G2187" s="7">
        <v>0.4</v>
      </c>
      <c r="H2187" s="9" t="s">
        <v>27</v>
      </c>
      <c r="I2187">
        <v>0.02</v>
      </c>
      <c r="J2187">
        <v>0.32</v>
      </c>
      <c r="K2187">
        <v>0.4</v>
      </c>
      <c r="L2187">
        <v>0.64</v>
      </c>
      <c r="M2187">
        <v>0.93</v>
      </c>
      <c r="N2187">
        <v>0.2</v>
      </c>
      <c r="O2187">
        <v>0.69</v>
      </c>
      <c r="P2187">
        <v>0.1</v>
      </c>
      <c r="Q2187">
        <v>0.19</v>
      </c>
      <c r="R2187" s="2">
        <v>0.51</v>
      </c>
      <c r="S2187" t="str">
        <f>IF(Table1[[#This Row],[Years_Experience]]&lt;=5,"Early Career",
IF(Table1[[#This Row],[Years_Experience]]&lt;=15,"Mid Career","Senior Level"))</f>
        <v>Early Career</v>
      </c>
      <c r="T2187" t="str">
        <f>IF(Table1[[#This Row],[AI_Exposure_Index]]&gt;=0.7,"High Exposure", IF(Table1[[#This Row],[AI_Exposure_Index]]&gt;=0.3,"Medium Exposure","Low Exposure"))</f>
        <v>Medium Exposure</v>
      </c>
    </row>
    <row r="2188" spans="1:20" x14ac:dyDescent="0.25">
      <c r="A2188" t="s">
        <v>40</v>
      </c>
      <c r="B2188">
        <v>45265</v>
      </c>
      <c r="C2188" s="1">
        <v>15</v>
      </c>
      <c r="D2188" t="s">
        <v>22</v>
      </c>
      <c r="E2188" s="7">
        <v>1.24</v>
      </c>
      <c r="F2188" s="2">
        <v>0.86</v>
      </c>
      <c r="G2188" s="7">
        <v>0.05</v>
      </c>
      <c r="H2188" s="9" t="s">
        <v>23</v>
      </c>
      <c r="I2188">
        <v>0.68</v>
      </c>
      <c r="J2188">
        <v>0.82</v>
      </c>
      <c r="K2188">
        <v>0.53</v>
      </c>
      <c r="L2188">
        <v>0.97</v>
      </c>
      <c r="M2188">
        <v>0</v>
      </c>
      <c r="N2188">
        <v>0.82</v>
      </c>
      <c r="O2188">
        <v>0.33</v>
      </c>
      <c r="P2188">
        <v>0.65</v>
      </c>
      <c r="Q2188">
        <v>0.69</v>
      </c>
      <c r="R2188" s="2">
        <v>0.31</v>
      </c>
      <c r="S2188" t="str">
        <f>IF(Table1[[#This Row],[Years_Experience]]&lt;=5,"Early Career",
IF(Table1[[#This Row],[Years_Experience]]&lt;=15,"Mid Career","Senior Level"))</f>
        <v>Mid Career</v>
      </c>
      <c r="T2188" t="str">
        <f>IF(Table1[[#This Row],[AI_Exposure_Index]]&gt;=0.7,"High Exposure", IF(Table1[[#This Row],[AI_Exposure_Index]]&gt;=0.3,"Medium Exposure","Low Exposure"))</f>
        <v>High Exposure</v>
      </c>
    </row>
    <row r="2189" spans="1:20" x14ac:dyDescent="0.25">
      <c r="A2189" t="s">
        <v>18</v>
      </c>
      <c r="B2189">
        <v>39160</v>
      </c>
      <c r="C2189" s="1">
        <v>26</v>
      </c>
      <c r="D2189" t="s">
        <v>22</v>
      </c>
      <c r="E2189" s="7">
        <v>0.66</v>
      </c>
      <c r="F2189" s="2">
        <v>0.1</v>
      </c>
      <c r="G2189" s="7">
        <v>0.92</v>
      </c>
      <c r="H2189" s="9" t="s">
        <v>20</v>
      </c>
      <c r="I2189">
        <v>0.12</v>
      </c>
      <c r="J2189">
        <v>0.38</v>
      </c>
      <c r="K2189">
        <v>0.73</v>
      </c>
      <c r="L2189">
        <v>0.79</v>
      </c>
      <c r="M2189">
        <v>0.95</v>
      </c>
      <c r="N2189">
        <v>0.79</v>
      </c>
      <c r="O2189">
        <v>0.84</v>
      </c>
      <c r="P2189">
        <v>0.95</v>
      </c>
      <c r="Q2189">
        <v>0.55000000000000004</v>
      </c>
      <c r="R2189" s="2">
        <v>0.34</v>
      </c>
      <c r="S2189" t="str">
        <f>IF(Table1[[#This Row],[Years_Experience]]&lt;=5,"Early Career",
IF(Table1[[#This Row],[Years_Experience]]&lt;=15,"Mid Career","Senior Level"))</f>
        <v>Senior Level</v>
      </c>
      <c r="T2189" t="str">
        <f>IF(Table1[[#This Row],[AI_Exposure_Index]]&gt;=0.7,"High Exposure", IF(Table1[[#This Row],[AI_Exposure_Index]]&gt;=0.3,"Medium Exposure","Low Exposure"))</f>
        <v>Low Exposure</v>
      </c>
    </row>
    <row r="2190" spans="1:20" x14ac:dyDescent="0.25">
      <c r="A2190" t="s">
        <v>18</v>
      </c>
      <c r="B2190">
        <v>100717</v>
      </c>
      <c r="C2190" s="1">
        <v>16</v>
      </c>
      <c r="D2190" t="s">
        <v>25</v>
      </c>
      <c r="E2190" s="7">
        <v>0.56999999999999995</v>
      </c>
      <c r="F2190" s="2">
        <v>0.16</v>
      </c>
      <c r="G2190" s="7">
        <v>0.9</v>
      </c>
      <c r="H2190" s="9" t="s">
        <v>20</v>
      </c>
      <c r="I2190">
        <v>0.95</v>
      </c>
      <c r="J2190">
        <v>0.44</v>
      </c>
      <c r="K2190">
        <v>0.16</v>
      </c>
      <c r="L2190">
        <v>0.5</v>
      </c>
      <c r="M2190">
        <v>0.39</v>
      </c>
      <c r="N2190">
        <v>0.37</v>
      </c>
      <c r="O2190">
        <v>0.63</v>
      </c>
      <c r="P2190">
        <v>0.17</v>
      </c>
      <c r="Q2190">
        <v>0.38</v>
      </c>
      <c r="R2190" s="2">
        <v>0.87</v>
      </c>
      <c r="S2190" t="str">
        <f>IF(Table1[[#This Row],[Years_Experience]]&lt;=5,"Early Career",
IF(Table1[[#This Row],[Years_Experience]]&lt;=15,"Mid Career","Senior Level"))</f>
        <v>Senior Level</v>
      </c>
      <c r="T2190" t="str">
        <f>IF(Table1[[#This Row],[AI_Exposure_Index]]&gt;=0.7,"High Exposure", IF(Table1[[#This Row],[AI_Exposure_Index]]&gt;=0.3,"Medium Exposure","Low Exposure"))</f>
        <v>Low Exposure</v>
      </c>
    </row>
    <row r="2191" spans="1:20" x14ac:dyDescent="0.25">
      <c r="A2191" t="s">
        <v>32</v>
      </c>
      <c r="B2191">
        <v>117275</v>
      </c>
      <c r="C2191" s="1">
        <v>27</v>
      </c>
      <c r="D2191" t="s">
        <v>25</v>
      </c>
      <c r="E2191" s="7">
        <v>1.01</v>
      </c>
      <c r="F2191" s="2">
        <v>0.06</v>
      </c>
      <c r="G2191" s="7">
        <v>0.34</v>
      </c>
      <c r="H2191" s="9" t="s">
        <v>27</v>
      </c>
      <c r="I2191">
        <v>0.96</v>
      </c>
      <c r="J2191">
        <v>0.24</v>
      </c>
      <c r="K2191">
        <v>0.93</v>
      </c>
      <c r="L2191">
        <v>0.83</v>
      </c>
      <c r="M2191">
        <v>0.55000000000000004</v>
      </c>
      <c r="N2191">
        <v>0.34</v>
      </c>
      <c r="O2191">
        <v>0.86</v>
      </c>
      <c r="P2191">
        <v>0.15</v>
      </c>
      <c r="Q2191">
        <v>0.18</v>
      </c>
      <c r="R2191" s="2">
        <v>0.22</v>
      </c>
      <c r="S2191" t="str">
        <f>IF(Table1[[#This Row],[Years_Experience]]&lt;=5,"Early Career",
IF(Table1[[#This Row],[Years_Experience]]&lt;=15,"Mid Career","Senior Level"))</f>
        <v>Senior Level</v>
      </c>
      <c r="T2191" t="str">
        <f>IF(Table1[[#This Row],[AI_Exposure_Index]]&gt;=0.7,"High Exposure", IF(Table1[[#This Row],[AI_Exposure_Index]]&gt;=0.3,"Medium Exposure","Low Exposure"))</f>
        <v>Low Exposure</v>
      </c>
    </row>
    <row r="2192" spans="1:20" x14ac:dyDescent="0.25">
      <c r="A2192" t="s">
        <v>18</v>
      </c>
      <c r="B2192">
        <v>73496</v>
      </c>
      <c r="C2192" s="1">
        <v>25</v>
      </c>
      <c r="D2192" t="s">
        <v>22</v>
      </c>
      <c r="E2192" s="7">
        <v>1.49</v>
      </c>
      <c r="F2192" s="2">
        <v>0.31</v>
      </c>
      <c r="G2192" s="7">
        <v>0.75</v>
      </c>
      <c r="H2192" s="9" t="s">
        <v>20</v>
      </c>
      <c r="I2192">
        <v>0.81</v>
      </c>
      <c r="J2192">
        <v>0.1</v>
      </c>
      <c r="K2192">
        <v>0.35</v>
      </c>
      <c r="L2192">
        <v>0.24</v>
      </c>
      <c r="M2192">
        <v>0.98</v>
      </c>
      <c r="N2192">
        <v>0.03</v>
      </c>
      <c r="O2192">
        <v>0.72</v>
      </c>
      <c r="P2192">
        <v>0.25</v>
      </c>
      <c r="Q2192">
        <v>0.81</v>
      </c>
      <c r="R2192" s="2">
        <v>0.31</v>
      </c>
      <c r="S2192" t="str">
        <f>IF(Table1[[#This Row],[Years_Experience]]&lt;=5,"Early Career",
IF(Table1[[#This Row],[Years_Experience]]&lt;=15,"Mid Career","Senior Level"))</f>
        <v>Senior Level</v>
      </c>
      <c r="T2192" t="str">
        <f>IF(Table1[[#This Row],[AI_Exposure_Index]]&gt;=0.7,"High Exposure", IF(Table1[[#This Row],[AI_Exposure_Index]]&gt;=0.3,"Medium Exposure","Low Exposure"))</f>
        <v>Medium Exposure</v>
      </c>
    </row>
    <row r="2193" spans="1:20" x14ac:dyDescent="0.25">
      <c r="A2193" t="s">
        <v>35</v>
      </c>
      <c r="B2193">
        <v>95635</v>
      </c>
      <c r="C2193" s="1">
        <v>1</v>
      </c>
      <c r="D2193" t="s">
        <v>22</v>
      </c>
      <c r="E2193" s="7">
        <v>0.91</v>
      </c>
      <c r="F2193" s="2">
        <v>0.27</v>
      </c>
      <c r="G2193" s="7">
        <v>0.59</v>
      </c>
      <c r="H2193" s="9" t="s">
        <v>27</v>
      </c>
      <c r="I2193">
        <v>0.1</v>
      </c>
      <c r="J2193">
        <v>0.76</v>
      </c>
      <c r="K2193">
        <v>0.11</v>
      </c>
      <c r="L2193">
        <v>0.91</v>
      </c>
      <c r="M2193">
        <v>0.28000000000000003</v>
      </c>
      <c r="N2193">
        <v>0.57999999999999996</v>
      </c>
      <c r="O2193">
        <v>0.12</v>
      </c>
      <c r="P2193">
        <v>0.27</v>
      </c>
      <c r="Q2193">
        <v>0.4</v>
      </c>
      <c r="R2193" s="2">
        <v>0.49</v>
      </c>
      <c r="S2193" t="str">
        <f>IF(Table1[[#This Row],[Years_Experience]]&lt;=5,"Early Career",
IF(Table1[[#This Row],[Years_Experience]]&lt;=15,"Mid Career","Senior Level"))</f>
        <v>Early Career</v>
      </c>
      <c r="T2193" t="str">
        <f>IF(Table1[[#This Row],[AI_Exposure_Index]]&gt;=0.7,"High Exposure", IF(Table1[[#This Row],[AI_Exposure_Index]]&gt;=0.3,"Medium Exposure","Low Exposure"))</f>
        <v>Low Exposure</v>
      </c>
    </row>
    <row r="2194" spans="1:20" x14ac:dyDescent="0.25">
      <c r="A2194" t="s">
        <v>26</v>
      </c>
      <c r="B2194">
        <v>57762</v>
      </c>
      <c r="C2194" s="1">
        <v>7</v>
      </c>
      <c r="D2194" t="s">
        <v>38</v>
      </c>
      <c r="E2194" s="7">
        <v>0.51</v>
      </c>
      <c r="F2194" s="2">
        <v>0.89</v>
      </c>
      <c r="G2194" s="7">
        <v>0.61</v>
      </c>
      <c r="H2194" s="9" t="s">
        <v>27</v>
      </c>
      <c r="I2194">
        <v>0.47</v>
      </c>
      <c r="J2194">
        <v>0.52</v>
      </c>
      <c r="K2194">
        <v>0.21</v>
      </c>
      <c r="L2194">
        <v>0.61</v>
      </c>
      <c r="M2194">
        <v>0.54</v>
      </c>
      <c r="N2194">
        <v>0.16</v>
      </c>
      <c r="O2194">
        <v>0.24</v>
      </c>
      <c r="P2194">
        <v>7.0000000000000007E-2</v>
      </c>
      <c r="Q2194">
        <v>7.0000000000000007E-2</v>
      </c>
      <c r="R2194" s="2">
        <v>0.01</v>
      </c>
      <c r="S2194" t="str">
        <f>IF(Table1[[#This Row],[Years_Experience]]&lt;=5,"Early Career",
IF(Table1[[#This Row],[Years_Experience]]&lt;=15,"Mid Career","Senior Level"))</f>
        <v>Mid Career</v>
      </c>
      <c r="T2194" t="str">
        <f>IF(Table1[[#This Row],[AI_Exposure_Index]]&gt;=0.7,"High Exposure", IF(Table1[[#This Row],[AI_Exposure_Index]]&gt;=0.3,"Medium Exposure","Low Exposure"))</f>
        <v>High Exposure</v>
      </c>
    </row>
    <row r="2195" spans="1:20" x14ac:dyDescent="0.25">
      <c r="A2195" t="s">
        <v>31</v>
      </c>
      <c r="B2195">
        <v>95888</v>
      </c>
      <c r="C2195" s="1">
        <v>15</v>
      </c>
      <c r="D2195" t="s">
        <v>25</v>
      </c>
      <c r="E2195" s="7">
        <v>0.82</v>
      </c>
      <c r="F2195" s="2">
        <v>0.68</v>
      </c>
      <c r="G2195" s="7">
        <v>0.14000000000000001</v>
      </c>
      <c r="H2195" s="9" t="s">
        <v>23</v>
      </c>
      <c r="I2195">
        <v>0.13</v>
      </c>
      <c r="J2195">
        <v>0.57999999999999996</v>
      </c>
      <c r="K2195">
        <v>0.34</v>
      </c>
      <c r="L2195">
        <v>0.68</v>
      </c>
      <c r="M2195">
        <v>0.74</v>
      </c>
      <c r="N2195">
        <v>0.57999999999999996</v>
      </c>
      <c r="O2195">
        <v>0.28000000000000003</v>
      </c>
      <c r="P2195">
        <v>0.51</v>
      </c>
      <c r="Q2195">
        <v>0.25</v>
      </c>
      <c r="R2195" s="2">
        <v>0.9</v>
      </c>
      <c r="S2195" t="str">
        <f>IF(Table1[[#This Row],[Years_Experience]]&lt;=5,"Early Career",
IF(Table1[[#This Row],[Years_Experience]]&lt;=15,"Mid Career","Senior Level"))</f>
        <v>Mid Career</v>
      </c>
      <c r="T2195" t="str">
        <f>IF(Table1[[#This Row],[AI_Exposure_Index]]&gt;=0.7,"High Exposure", IF(Table1[[#This Row],[AI_Exposure_Index]]&gt;=0.3,"Medium Exposure","Low Exposure"))</f>
        <v>Medium Exposure</v>
      </c>
    </row>
    <row r="2196" spans="1:20" x14ac:dyDescent="0.25">
      <c r="A2196" t="s">
        <v>39</v>
      </c>
      <c r="B2196">
        <v>84150</v>
      </c>
      <c r="C2196" s="1">
        <v>23</v>
      </c>
      <c r="D2196" t="s">
        <v>38</v>
      </c>
      <c r="E2196" s="7">
        <v>1.05</v>
      </c>
      <c r="F2196" s="2">
        <v>0.97</v>
      </c>
      <c r="G2196" s="7">
        <v>0.78</v>
      </c>
      <c r="H2196" s="9" t="s">
        <v>20</v>
      </c>
      <c r="I2196">
        <v>0.1</v>
      </c>
      <c r="J2196">
        <v>0.54</v>
      </c>
      <c r="K2196">
        <v>0.86</v>
      </c>
      <c r="L2196">
        <v>0.87</v>
      </c>
      <c r="M2196">
        <v>0.6</v>
      </c>
      <c r="N2196">
        <v>0.39</v>
      </c>
      <c r="O2196">
        <v>0.65</v>
      </c>
      <c r="P2196">
        <v>0.76</v>
      </c>
      <c r="Q2196">
        <v>0.41</v>
      </c>
      <c r="R2196" s="2">
        <v>0.48</v>
      </c>
      <c r="S2196" t="str">
        <f>IF(Table1[[#This Row],[Years_Experience]]&lt;=5,"Early Career",
IF(Table1[[#This Row],[Years_Experience]]&lt;=15,"Mid Career","Senior Level"))</f>
        <v>Senior Level</v>
      </c>
      <c r="T2196" t="str">
        <f>IF(Table1[[#This Row],[AI_Exposure_Index]]&gt;=0.7,"High Exposure", IF(Table1[[#This Row],[AI_Exposure_Index]]&gt;=0.3,"Medium Exposure","Low Exposure"))</f>
        <v>High Exposure</v>
      </c>
    </row>
    <row r="2197" spans="1:20" x14ac:dyDescent="0.25">
      <c r="A2197" t="s">
        <v>30</v>
      </c>
      <c r="B2197">
        <v>87026</v>
      </c>
      <c r="C2197" s="1">
        <v>4</v>
      </c>
      <c r="D2197" t="s">
        <v>19</v>
      </c>
      <c r="E2197" s="7">
        <v>1.29</v>
      </c>
      <c r="F2197" s="2">
        <v>0.88</v>
      </c>
      <c r="G2197" s="7">
        <v>0.31</v>
      </c>
      <c r="H2197" s="9" t="s">
        <v>27</v>
      </c>
      <c r="I2197">
        <v>0.12</v>
      </c>
      <c r="J2197">
        <v>0.85</v>
      </c>
      <c r="K2197">
        <v>0.83</v>
      </c>
      <c r="L2197">
        <v>0.39</v>
      </c>
      <c r="M2197">
        <v>0.57999999999999996</v>
      </c>
      <c r="N2197">
        <v>0.91</v>
      </c>
      <c r="O2197">
        <v>0.91</v>
      </c>
      <c r="P2197">
        <v>0.78</v>
      </c>
      <c r="Q2197">
        <v>0.21</v>
      </c>
      <c r="R2197" s="2">
        <v>0.73</v>
      </c>
      <c r="S2197" t="str">
        <f>IF(Table1[[#This Row],[Years_Experience]]&lt;=5,"Early Career",
IF(Table1[[#This Row],[Years_Experience]]&lt;=15,"Mid Career","Senior Level"))</f>
        <v>Early Career</v>
      </c>
      <c r="T2197" t="str">
        <f>IF(Table1[[#This Row],[AI_Exposure_Index]]&gt;=0.7,"High Exposure", IF(Table1[[#This Row],[AI_Exposure_Index]]&gt;=0.3,"Medium Exposure","Low Exposure"))</f>
        <v>High Exposure</v>
      </c>
    </row>
    <row r="2198" spans="1:20" x14ac:dyDescent="0.25">
      <c r="A2198" t="s">
        <v>31</v>
      </c>
      <c r="B2198">
        <v>133992</v>
      </c>
      <c r="C2198" s="1">
        <v>1</v>
      </c>
      <c r="D2198" t="s">
        <v>25</v>
      </c>
      <c r="E2198" s="7">
        <v>0.65</v>
      </c>
      <c r="F2198" s="2">
        <v>0.89</v>
      </c>
      <c r="G2198" s="7">
        <v>0.22</v>
      </c>
      <c r="H2198" s="9" t="s">
        <v>23</v>
      </c>
      <c r="I2198">
        <v>0.61</v>
      </c>
      <c r="J2198">
        <v>0.78</v>
      </c>
      <c r="K2198">
        <v>0.55000000000000004</v>
      </c>
      <c r="L2198">
        <v>0.06</v>
      </c>
      <c r="M2198">
        <v>0.71</v>
      </c>
      <c r="N2198">
        <v>0.38</v>
      </c>
      <c r="O2198">
        <v>0.32</v>
      </c>
      <c r="P2198">
        <v>0.99</v>
      </c>
      <c r="Q2198">
        <v>0.59</v>
      </c>
      <c r="R2198" s="2">
        <v>0.71</v>
      </c>
      <c r="S2198" t="str">
        <f>IF(Table1[[#This Row],[Years_Experience]]&lt;=5,"Early Career",
IF(Table1[[#This Row],[Years_Experience]]&lt;=15,"Mid Career","Senior Level"))</f>
        <v>Early Career</v>
      </c>
      <c r="T2198" t="str">
        <f>IF(Table1[[#This Row],[AI_Exposure_Index]]&gt;=0.7,"High Exposure", IF(Table1[[#This Row],[AI_Exposure_Index]]&gt;=0.3,"Medium Exposure","Low Exposure"))</f>
        <v>High Exposure</v>
      </c>
    </row>
    <row r="2199" spans="1:20" x14ac:dyDescent="0.25">
      <c r="A2199" t="s">
        <v>26</v>
      </c>
      <c r="B2199">
        <v>115847</v>
      </c>
      <c r="C2199" s="1">
        <v>18</v>
      </c>
      <c r="D2199" t="s">
        <v>38</v>
      </c>
      <c r="E2199" s="7">
        <v>1.25</v>
      </c>
      <c r="F2199" s="2">
        <v>0.77</v>
      </c>
      <c r="G2199" s="7">
        <v>0.56000000000000005</v>
      </c>
      <c r="H2199" s="9" t="s">
        <v>27</v>
      </c>
      <c r="I2199">
        <v>1</v>
      </c>
      <c r="J2199">
        <v>0.46</v>
      </c>
      <c r="K2199">
        <v>0.71</v>
      </c>
      <c r="L2199">
        <v>0.8</v>
      </c>
      <c r="M2199">
        <v>0.38</v>
      </c>
      <c r="N2199">
        <v>0.46</v>
      </c>
      <c r="O2199">
        <v>0.97</v>
      </c>
      <c r="P2199">
        <v>0.03</v>
      </c>
      <c r="Q2199">
        <v>0.34</v>
      </c>
      <c r="R2199" s="2">
        <v>0.49</v>
      </c>
      <c r="S2199" t="str">
        <f>IF(Table1[[#This Row],[Years_Experience]]&lt;=5,"Early Career",
IF(Table1[[#This Row],[Years_Experience]]&lt;=15,"Mid Career","Senior Level"))</f>
        <v>Senior Level</v>
      </c>
      <c r="T2199" t="str">
        <f>IF(Table1[[#This Row],[AI_Exposure_Index]]&gt;=0.7,"High Exposure", IF(Table1[[#This Row],[AI_Exposure_Index]]&gt;=0.3,"Medium Exposure","Low Exposure"))</f>
        <v>High Exposure</v>
      </c>
    </row>
    <row r="2200" spans="1:20" x14ac:dyDescent="0.25">
      <c r="A2200" t="s">
        <v>36</v>
      </c>
      <c r="B2200">
        <v>30645</v>
      </c>
      <c r="C2200" s="1">
        <v>4</v>
      </c>
      <c r="D2200" t="s">
        <v>25</v>
      </c>
      <c r="E2200" s="7">
        <v>0.79</v>
      </c>
      <c r="F2200" s="2">
        <v>0.9</v>
      </c>
      <c r="G2200" s="7">
        <v>0.4</v>
      </c>
      <c r="H2200" s="9" t="s">
        <v>27</v>
      </c>
      <c r="I2200">
        <v>0.82</v>
      </c>
      <c r="J2200">
        <v>0.28000000000000003</v>
      </c>
      <c r="K2200">
        <v>0.66</v>
      </c>
      <c r="L2200">
        <v>0.82</v>
      </c>
      <c r="M2200">
        <v>0.79</v>
      </c>
      <c r="N2200">
        <v>0.78</v>
      </c>
      <c r="O2200">
        <v>0.09</v>
      </c>
      <c r="P2200">
        <v>0.08</v>
      </c>
      <c r="Q2200">
        <v>0.31</v>
      </c>
      <c r="R2200" s="2">
        <v>0.04</v>
      </c>
      <c r="S2200" t="str">
        <f>IF(Table1[[#This Row],[Years_Experience]]&lt;=5,"Early Career",
IF(Table1[[#This Row],[Years_Experience]]&lt;=15,"Mid Career","Senior Level"))</f>
        <v>Early Career</v>
      </c>
      <c r="T2200" t="str">
        <f>IF(Table1[[#This Row],[AI_Exposure_Index]]&gt;=0.7,"High Exposure", IF(Table1[[#This Row],[AI_Exposure_Index]]&gt;=0.3,"Medium Exposure","Low Exposure"))</f>
        <v>High Exposure</v>
      </c>
    </row>
    <row r="2201" spans="1:20" x14ac:dyDescent="0.25">
      <c r="A2201" t="s">
        <v>31</v>
      </c>
      <c r="B2201">
        <v>40704</v>
      </c>
      <c r="C2201" s="1">
        <v>23</v>
      </c>
      <c r="D2201" t="s">
        <v>22</v>
      </c>
      <c r="E2201" s="7">
        <v>1.06</v>
      </c>
      <c r="F2201" s="2">
        <v>0.39</v>
      </c>
      <c r="G2201" s="7">
        <v>0.12</v>
      </c>
      <c r="H2201" s="9" t="s">
        <v>23</v>
      </c>
      <c r="I2201">
        <v>0.49</v>
      </c>
      <c r="J2201">
        <v>0.33</v>
      </c>
      <c r="K2201">
        <v>0.2</v>
      </c>
      <c r="L2201">
        <v>0.65</v>
      </c>
      <c r="M2201">
        <v>0.67</v>
      </c>
      <c r="N2201">
        <v>0.83</v>
      </c>
      <c r="O2201">
        <v>0.87</v>
      </c>
      <c r="P2201">
        <v>0.7</v>
      </c>
      <c r="Q2201">
        <v>0.69</v>
      </c>
      <c r="R2201" s="2">
        <v>0.06</v>
      </c>
      <c r="S2201" t="str">
        <f>IF(Table1[[#This Row],[Years_Experience]]&lt;=5,"Early Career",
IF(Table1[[#This Row],[Years_Experience]]&lt;=15,"Mid Career","Senior Level"))</f>
        <v>Senior Level</v>
      </c>
      <c r="T2201" t="str">
        <f>IF(Table1[[#This Row],[AI_Exposure_Index]]&gt;=0.7,"High Exposure", IF(Table1[[#This Row],[AI_Exposure_Index]]&gt;=0.3,"Medium Exposure","Low Exposure"))</f>
        <v>Medium Exposure</v>
      </c>
    </row>
    <row r="2202" spans="1:20" x14ac:dyDescent="0.25">
      <c r="A2202" t="s">
        <v>35</v>
      </c>
      <c r="B2202">
        <v>62256</v>
      </c>
      <c r="C2202" s="1">
        <v>7</v>
      </c>
      <c r="D2202" t="s">
        <v>38</v>
      </c>
      <c r="E2202" s="7">
        <v>0.73</v>
      </c>
      <c r="F2202" s="2">
        <v>0.81</v>
      </c>
      <c r="G2202" s="7">
        <v>0.44</v>
      </c>
      <c r="H2202" s="9" t="s">
        <v>27</v>
      </c>
      <c r="I2202">
        <v>0.15</v>
      </c>
      <c r="J2202">
        <v>0.2</v>
      </c>
      <c r="K2202">
        <v>0.78</v>
      </c>
      <c r="L2202">
        <v>0.26</v>
      </c>
      <c r="M2202">
        <v>0.45</v>
      </c>
      <c r="N2202">
        <v>0.15</v>
      </c>
      <c r="O2202">
        <v>0.68</v>
      </c>
      <c r="P2202">
        <v>0.73</v>
      </c>
      <c r="Q2202">
        <v>0.36</v>
      </c>
      <c r="R2202" s="2">
        <v>0.78</v>
      </c>
      <c r="S2202" t="str">
        <f>IF(Table1[[#This Row],[Years_Experience]]&lt;=5,"Early Career",
IF(Table1[[#This Row],[Years_Experience]]&lt;=15,"Mid Career","Senior Level"))</f>
        <v>Mid Career</v>
      </c>
      <c r="T2202" t="str">
        <f>IF(Table1[[#This Row],[AI_Exposure_Index]]&gt;=0.7,"High Exposure", IF(Table1[[#This Row],[AI_Exposure_Index]]&gt;=0.3,"Medium Exposure","Low Exposure"))</f>
        <v>High Exposure</v>
      </c>
    </row>
    <row r="2203" spans="1:20" x14ac:dyDescent="0.25">
      <c r="A2203" t="s">
        <v>26</v>
      </c>
      <c r="B2203">
        <v>64224</v>
      </c>
      <c r="C2203" s="1">
        <v>11</v>
      </c>
      <c r="D2203" t="s">
        <v>25</v>
      </c>
      <c r="E2203" s="7">
        <v>1.23</v>
      </c>
      <c r="F2203" s="2">
        <v>0.69</v>
      </c>
      <c r="G2203" s="7">
        <v>0.69</v>
      </c>
      <c r="H2203" s="9" t="s">
        <v>27</v>
      </c>
      <c r="I2203">
        <v>0.23</v>
      </c>
      <c r="J2203">
        <v>0.09</v>
      </c>
      <c r="K2203">
        <v>0.26</v>
      </c>
      <c r="L2203">
        <v>0.12</v>
      </c>
      <c r="M2203">
        <v>0.17</v>
      </c>
      <c r="N2203">
        <v>0.33</v>
      </c>
      <c r="O2203">
        <v>0.41</v>
      </c>
      <c r="P2203">
        <v>0.9</v>
      </c>
      <c r="Q2203">
        <v>0.2</v>
      </c>
      <c r="R2203" s="2">
        <v>0.97</v>
      </c>
      <c r="S2203" t="str">
        <f>IF(Table1[[#This Row],[Years_Experience]]&lt;=5,"Early Career",
IF(Table1[[#This Row],[Years_Experience]]&lt;=15,"Mid Career","Senior Level"))</f>
        <v>Mid Career</v>
      </c>
      <c r="T2203" t="str">
        <f>IF(Table1[[#This Row],[AI_Exposure_Index]]&gt;=0.7,"High Exposure", IF(Table1[[#This Row],[AI_Exposure_Index]]&gt;=0.3,"Medium Exposure","Low Exposure"))</f>
        <v>Medium Exposure</v>
      </c>
    </row>
    <row r="2204" spans="1:20" x14ac:dyDescent="0.25">
      <c r="A2204" t="s">
        <v>42</v>
      </c>
      <c r="B2204">
        <v>43167</v>
      </c>
      <c r="C2204" s="1">
        <v>11</v>
      </c>
      <c r="D2204" t="s">
        <v>19</v>
      </c>
      <c r="E2204" s="7">
        <v>1.43</v>
      </c>
      <c r="F2204" s="2">
        <v>0.88</v>
      </c>
      <c r="G2204" s="7">
        <v>0.6</v>
      </c>
      <c r="H2204" s="9" t="s">
        <v>27</v>
      </c>
      <c r="I2204">
        <v>0.79</v>
      </c>
      <c r="J2204">
        <v>0.44</v>
      </c>
      <c r="K2204">
        <v>0.51</v>
      </c>
      <c r="L2204">
        <v>0.93</v>
      </c>
      <c r="M2204">
        <v>0.38</v>
      </c>
      <c r="N2204">
        <v>0.04</v>
      </c>
      <c r="O2204">
        <v>0.76</v>
      </c>
      <c r="P2204">
        <v>0.56999999999999995</v>
      </c>
      <c r="Q2204">
        <v>0.81</v>
      </c>
      <c r="R2204" s="2">
        <v>0.08</v>
      </c>
      <c r="S2204" t="str">
        <f>IF(Table1[[#This Row],[Years_Experience]]&lt;=5,"Early Career",
IF(Table1[[#This Row],[Years_Experience]]&lt;=15,"Mid Career","Senior Level"))</f>
        <v>Mid Career</v>
      </c>
      <c r="T2204" t="str">
        <f>IF(Table1[[#This Row],[AI_Exposure_Index]]&gt;=0.7,"High Exposure", IF(Table1[[#This Row],[AI_Exposure_Index]]&gt;=0.3,"Medium Exposure","Low Exposure"))</f>
        <v>High Exposure</v>
      </c>
    </row>
    <row r="2205" spans="1:20" x14ac:dyDescent="0.25">
      <c r="A2205" t="s">
        <v>42</v>
      </c>
      <c r="B2205">
        <v>99459</v>
      </c>
      <c r="C2205" s="1">
        <v>6</v>
      </c>
      <c r="D2205" t="s">
        <v>25</v>
      </c>
      <c r="E2205" s="7">
        <v>1.4</v>
      </c>
      <c r="F2205" s="2">
        <v>0.25</v>
      </c>
      <c r="G2205" s="7">
        <v>0.34</v>
      </c>
      <c r="H2205" s="9" t="s">
        <v>27</v>
      </c>
      <c r="I2205">
        <v>0.84</v>
      </c>
      <c r="J2205">
        <v>0.09</v>
      </c>
      <c r="K2205">
        <v>0.03</v>
      </c>
      <c r="L2205">
        <v>0.24</v>
      </c>
      <c r="M2205">
        <v>0.33</v>
      </c>
      <c r="N2205">
        <v>0.63</v>
      </c>
      <c r="O2205">
        <v>0.13</v>
      </c>
      <c r="P2205">
        <v>0.44</v>
      </c>
      <c r="Q2205">
        <v>0.2</v>
      </c>
      <c r="R2205" s="2">
        <v>0.86</v>
      </c>
      <c r="S2205" t="str">
        <f>IF(Table1[[#This Row],[Years_Experience]]&lt;=5,"Early Career",
IF(Table1[[#This Row],[Years_Experience]]&lt;=15,"Mid Career","Senior Level"))</f>
        <v>Mid Career</v>
      </c>
      <c r="T2205" t="str">
        <f>IF(Table1[[#This Row],[AI_Exposure_Index]]&gt;=0.7,"High Exposure", IF(Table1[[#This Row],[AI_Exposure_Index]]&gt;=0.3,"Medium Exposure","Low Exposure"))</f>
        <v>Low Exposure</v>
      </c>
    </row>
    <row r="2206" spans="1:20" x14ac:dyDescent="0.25">
      <c r="A2206" t="s">
        <v>39</v>
      </c>
      <c r="B2206">
        <v>90628</v>
      </c>
      <c r="C2206" s="1">
        <v>24</v>
      </c>
      <c r="D2206" t="s">
        <v>19</v>
      </c>
      <c r="E2206" s="7">
        <v>1.1299999999999999</v>
      </c>
      <c r="F2206" s="2">
        <v>0.36</v>
      </c>
      <c r="G2206" s="7">
        <v>0.93</v>
      </c>
      <c r="H2206" s="9" t="s">
        <v>20</v>
      </c>
      <c r="I2206">
        <v>0.87</v>
      </c>
      <c r="J2206">
        <v>0.9</v>
      </c>
      <c r="K2206">
        <v>0.06</v>
      </c>
      <c r="L2206">
        <v>0.84</v>
      </c>
      <c r="M2206">
        <v>0.78</v>
      </c>
      <c r="N2206">
        <v>0.9</v>
      </c>
      <c r="O2206">
        <v>0.31</v>
      </c>
      <c r="P2206">
        <v>0.91</v>
      </c>
      <c r="Q2206">
        <v>0.4</v>
      </c>
      <c r="R2206" s="2">
        <v>0.63</v>
      </c>
      <c r="S2206" t="str">
        <f>IF(Table1[[#This Row],[Years_Experience]]&lt;=5,"Early Career",
IF(Table1[[#This Row],[Years_Experience]]&lt;=15,"Mid Career","Senior Level"))</f>
        <v>Senior Level</v>
      </c>
      <c r="T2206" t="str">
        <f>IF(Table1[[#This Row],[AI_Exposure_Index]]&gt;=0.7,"High Exposure", IF(Table1[[#This Row],[AI_Exposure_Index]]&gt;=0.3,"Medium Exposure","Low Exposure"))</f>
        <v>Medium Exposure</v>
      </c>
    </row>
    <row r="2207" spans="1:20" x14ac:dyDescent="0.25">
      <c r="A2207" t="s">
        <v>34</v>
      </c>
      <c r="B2207">
        <v>95162</v>
      </c>
      <c r="C2207" s="1">
        <v>25</v>
      </c>
      <c r="D2207" t="s">
        <v>22</v>
      </c>
      <c r="E2207" s="7">
        <v>1.05</v>
      </c>
      <c r="F2207" s="2">
        <v>0.43</v>
      </c>
      <c r="G2207" s="7">
        <v>0.44</v>
      </c>
      <c r="H2207" s="9" t="s">
        <v>27</v>
      </c>
      <c r="I2207">
        <v>0.79</v>
      </c>
      <c r="J2207">
        <v>0.63</v>
      </c>
      <c r="K2207">
        <v>0.69</v>
      </c>
      <c r="L2207">
        <v>0.23</v>
      </c>
      <c r="M2207">
        <v>0.97</v>
      </c>
      <c r="N2207">
        <v>0.66</v>
      </c>
      <c r="O2207">
        <v>0.2</v>
      </c>
      <c r="P2207">
        <v>0.75</v>
      </c>
      <c r="Q2207">
        <v>0.17</v>
      </c>
      <c r="R2207" s="2">
        <v>0.06</v>
      </c>
      <c r="S2207" t="str">
        <f>IF(Table1[[#This Row],[Years_Experience]]&lt;=5,"Early Career",
IF(Table1[[#This Row],[Years_Experience]]&lt;=15,"Mid Career","Senior Level"))</f>
        <v>Senior Level</v>
      </c>
      <c r="T2207" t="str">
        <f>IF(Table1[[#This Row],[AI_Exposure_Index]]&gt;=0.7,"High Exposure", IF(Table1[[#This Row],[AI_Exposure_Index]]&gt;=0.3,"Medium Exposure","Low Exposure"))</f>
        <v>Medium Exposure</v>
      </c>
    </row>
    <row r="2208" spans="1:20" x14ac:dyDescent="0.25">
      <c r="A2208" t="s">
        <v>43</v>
      </c>
      <c r="B2208">
        <v>144009</v>
      </c>
      <c r="C2208" s="1">
        <v>2</v>
      </c>
      <c r="D2208" t="s">
        <v>19</v>
      </c>
      <c r="E2208" s="7">
        <v>0.69</v>
      </c>
      <c r="F2208" s="2">
        <v>0.55000000000000004</v>
      </c>
      <c r="G2208" s="7">
        <v>0.14000000000000001</v>
      </c>
      <c r="H2208" s="9" t="s">
        <v>23</v>
      </c>
      <c r="I2208">
        <v>0.95</v>
      </c>
      <c r="J2208">
        <v>0.28999999999999998</v>
      </c>
      <c r="K2208">
        <v>0.16</v>
      </c>
      <c r="L2208">
        <v>0.99</v>
      </c>
      <c r="M2208">
        <v>0.3</v>
      </c>
      <c r="N2208">
        <v>0.68</v>
      </c>
      <c r="O2208">
        <v>0.23</v>
      </c>
      <c r="P2208">
        <v>0.55000000000000004</v>
      </c>
      <c r="Q2208">
        <v>0.39</v>
      </c>
      <c r="R2208" s="2">
        <v>0.96</v>
      </c>
      <c r="S2208" t="str">
        <f>IF(Table1[[#This Row],[Years_Experience]]&lt;=5,"Early Career",
IF(Table1[[#This Row],[Years_Experience]]&lt;=15,"Mid Career","Senior Level"))</f>
        <v>Early Career</v>
      </c>
      <c r="T2208" t="str">
        <f>IF(Table1[[#This Row],[AI_Exposure_Index]]&gt;=0.7,"High Exposure", IF(Table1[[#This Row],[AI_Exposure_Index]]&gt;=0.3,"Medium Exposure","Low Exposure"))</f>
        <v>Medium Exposure</v>
      </c>
    </row>
    <row r="2209" spans="1:20" x14ac:dyDescent="0.25">
      <c r="A2209" t="s">
        <v>43</v>
      </c>
      <c r="B2209">
        <v>53978</v>
      </c>
      <c r="C2209" s="1">
        <v>11</v>
      </c>
      <c r="D2209" t="s">
        <v>22</v>
      </c>
      <c r="E2209" s="7">
        <v>1.44</v>
      </c>
      <c r="F2209" s="2">
        <v>0.57999999999999996</v>
      </c>
      <c r="G2209" s="7">
        <v>0.3</v>
      </c>
      <c r="H2209" s="9" t="s">
        <v>23</v>
      </c>
      <c r="I2209">
        <v>0.1</v>
      </c>
      <c r="J2209">
        <v>0.83</v>
      </c>
      <c r="K2209">
        <v>0.38</v>
      </c>
      <c r="L2209">
        <v>0.59</v>
      </c>
      <c r="M2209">
        <v>0.38</v>
      </c>
      <c r="N2209">
        <v>0.4</v>
      </c>
      <c r="O2209">
        <v>0.16</v>
      </c>
      <c r="P2209">
        <v>0.56999999999999995</v>
      </c>
      <c r="Q2209">
        <v>0.55000000000000004</v>
      </c>
      <c r="R2209" s="2">
        <v>0.19</v>
      </c>
      <c r="S2209" t="str">
        <f>IF(Table1[[#This Row],[Years_Experience]]&lt;=5,"Early Career",
IF(Table1[[#This Row],[Years_Experience]]&lt;=15,"Mid Career","Senior Level"))</f>
        <v>Mid Career</v>
      </c>
      <c r="T2209" t="str">
        <f>IF(Table1[[#This Row],[AI_Exposure_Index]]&gt;=0.7,"High Exposure", IF(Table1[[#This Row],[AI_Exposure_Index]]&gt;=0.3,"Medium Exposure","Low Exposure"))</f>
        <v>Medium Exposure</v>
      </c>
    </row>
    <row r="2210" spans="1:20" x14ac:dyDescent="0.25">
      <c r="A2210" t="s">
        <v>32</v>
      </c>
      <c r="B2210">
        <v>85419</v>
      </c>
      <c r="C2210" s="1">
        <v>21</v>
      </c>
      <c r="D2210" t="s">
        <v>25</v>
      </c>
      <c r="E2210" s="7">
        <v>1.21</v>
      </c>
      <c r="F2210" s="2">
        <v>0.97</v>
      </c>
      <c r="G2210" s="7">
        <v>0.49</v>
      </c>
      <c r="H2210" s="9" t="s">
        <v>27</v>
      </c>
      <c r="I2210">
        <v>0.92</v>
      </c>
      <c r="J2210">
        <v>0.57999999999999996</v>
      </c>
      <c r="K2210">
        <v>0.14000000000000001</v>
      </c>
      <c r="L2210">
        <v>0.55000000000000004</v>
      </c>
      <c r="M2210">
        <v>0.18</v>
      </c>
      <c r="N2210">
        <v>0.77</v>
      </c>
      <c r="O2210">
        <v>0.97</v>
      </c>
      <c r="P2210">
        <v>0.36</v>
      </c>
      <c r="Q2210">
        <v>0.43</v>
      </c>
      <c r="R2210" s="2">
        <v>0.42</v>
      </c>
      <c r="S2210" t="str">
        <f>IF(Table1[[#This Row],[Years_Experience]]&lt;=5,"Early Career",
IF(Table1[[#This Row],[Years_Experience]]&lt;=15,"Mid Career","Senior Level"))</f>
        <v>Senior Level</v>
      </c>
      <c r="T2210" t="str">
        <f>IF(Table1[[#This Row],[AI_Exposure_Index]]&gt;=0.7,"High Exposure", IF(Table1[[#This Row],[AI_Exposure_Index]]&gt;=0.3,"Medium Exposure","Low Exposure"))</f>
        <v>High Exposure</v>
      </c>
    </row>
    <row r="2211" spans="1:20" x14ac:dyDescent="0.25">
      <c r="A2211" t="s">
        <v>36</v>
      </c>
      <c r="B2211">
        <v>123004</v>
      </c>
      <c r="C2211" s="1">
        <v>16</v>
      </c>
      <c r="D2211" t="s">
        <v>38</v>
      </c>
      <c r="E2211" s="7">
        <v>1.1200000000000001</v>
      </c>
      <c r="F2211" s="2">
        <v>0.79</v>
      </c>
      <c r="G2211" s="7">
        <v>0.33</v>
      </c>
      <c r="H2211" s="9" t="s">
        <v>27</v>
      </c>
      <c r="I2211">
        <v>0.84</v>
      </c>
      <c r="J2211">
        <v>0.19</v>
      </c>
      <c r="K2211">
        <v>0.98</v>
      </c>
      <c r="L2211">
        <v>0.38</v>
      </c>
      <c r="M2211">
        <v>0.62</v>
      </c>
      <c r="N2211">
        <v>0.08</v>
      </c>
      <c r="O2211">
        <v>0.34</v>
      </c>
      <c r="P2211">
        <v>0.8</v>
      </c>
      <c r="Q2211">
        <v>0.48</v>
      </c>
      <c r="R2211" s="2">
        <v>0.9</v>
      </c>
      <c r="S2211" t="str">
        <f>IF(Table1[[#This Row],[Years_Experience]]&lt;=5,"Early Career",
IF(Table1[[#This Row],[Years_Experience]]&lt;=15,"Mid Career","Senior Level"))</f>
        <v>Senior Level</v>
      </c>
      <c r="T2211" t="str">
        <f>IF(Table1[[#This Row],[AI_Exposure_Index]]&gt;=0.7,"High Exposure", IF(Table1[[#This Row],[AI_Exposure_Index]]&gt;=0.3,"Medium Exposure","Low Exposure"))</f>
        <v>High Exposure</v>
      </c>
    </row>
    <row r="2212" spans="1:20" x14ac:dyDescent="0.25">
      <c r="A2212" t="s">
        <v>26</v>
      </c>
      <c r="B2212">
        <v>47874</v>
      </c>
      <c r="C2212" s="1">
        <v>25</v>
      </c>
      <c r="D2212" t="s">
        <v>38</v>
      </c>
      <c r="E2212" s="7">
        <v>1.48</v>
      </c>
      <c r="F2212" s="2">
        <v>0.93</v>
      </c>
      <c r="G2212" s="7">
        <v>0.48</v>
      </c>
      <c r="H2212" s="9" t="s">
        <v>27</v>
      </c>
      <c r="I2212">
        <v>0.56999999999999995</v>
      </c>
      <c r="J2212">
        <v>0.83</v>
      </c>
      <c r="K2212">
        <v>0.22</v>
      </c>
      <c r="L2212">
        <v>0.86</v>
      </c>
      <c r="M2212">
        <v>0.59</v>
      </c>
      <c r="N2212">
        <v>0.73</v>
      </c>
      <c r="O2212">
        <v>0.08</v>
      </c>
      <c r="P2212">
        <v>0.77</v>
      </c>
      <c r="Q2212">
        <v>0.31</v>
      </c>
      <c r="R2212" s="2">
        <v>0.81</v>
      </c>
      <c r="S2212" t="str">
        <f>IF(Table1[[#This Row],[Years_Experience]]&lt;=5,"Early Career",
IF(Table1[[#This Row],[Years_Experience]]&lt;=15,"Mid Career","Senior Level"))</f>
        <v>Senior Level</v>
      </c>
      <c r="T2212" t="str">
        <f>IF(Table1[[#This Row],[AI_Exposure_Index]]&gt;=0.7,"High Exposure", IF(Table1[[#This Row],[AI_Exposure_Index]]&gt;=0.3,"Medium Exposure","Low Exposure"))</f>
        <v>High Exposure</v>
      </c>
    </row>
    <row r="2213" spans="1:20" x14ac:dyDescent="0.25">
      <c r="A2213" t="s">
        <v>26</v>
      </c>
      <c r="B2213">
        <v>149318</v>
      </c>
      <c r="C2213" s="1">
        <v>17</v>
      </c>
      <c r="D2213" t="s">
        <v>25</v>
      </c>
      <c r="E2213" s="7">
        <v>1.45</v>
      </c>
      <c r="F2213" s="2">
        <v>0.27</v>
      </c>
      <c r="G2213" s="7">
        <v>0.61</v>
      </c>
      <c r="H2213" s="9" t="s">
        <v>27</v>
      </c>
      <c r="I2213">
        <v>0.99</v>
      </c>
      <c r="J2213">
        <v>0.36</v>
      </c>
      <c r="K2213">
        <v>0.65</v>
      </c>
      <c r="L2213">
        <v>0.61</v>
      </c>
      <c r="M2213">
        <v>0.69</v>
      </c>
      <c r="N2213">
        <v>0.04</v>
      </c>
      <c r="O2213">
        <v>0.28999999999999998</v>
      </c>
      <c r="P2213">
        <v>0.91</v>
      </c>
      <c r="Q2213">
        <v>0.42</v>
      </c>
      <c r="R2213" s="2">
        <v>0.96</v>
      </c>
      <c r="S2213" t="str">
        <f>IF(Table1[[#This Row],[Years_Experience]]&lt;=5,"Early Career",
IF(Table1[[#This Row],[Years_Experience]]&lt;=15,"Mid Career","Senior Level"))</f>
        <v>Senior Level</v>
      </c>
      <c r="T2213" t="str">
        <f>IF(Table1[[#This Row],[AI_Exposure_Index]]&gt;=0.7,"High Exposure", IF(Table1[[#This Row],[AI_Exposure_Index]]&gt;=0.3,"Medium Exposure","Low Exposure"))</f>
        <v>Low Exposure</v>
      </c>
    </row>
    <row r="2214" spans="1:20" x14ac:dyDescent="0.25">
      <c r="A2214" t="s">
        <v>30</v>
      </c>
      <c r="B2214">
        <v>39413</v>
      </c>
      <c r="C2214" s="1">
        <v>1</v>
      </c>
      <c r="D2214" t="s">
        <v>19</v>
      </c>
      <c r="E2214" s="7">
        <v>1.2</v>
      </c>
      <c r="F2214" s="2">
        <v>1</v>
      </c>
      <c r="G2214" s="7">
        <v>0.61</v>
      </c>
      <c r="H2214" s="9" t="s">
        <v>27</v>
      </c>
      <c r="I2214">
        <v>0.4</v>
      </c>
      <c r="J2214">
        <v>0.91</v>
      </c>
      <c r="K2214">
        <v>0.55000000000000004</v>
      </c>
      <c r="L2214">
        <v>0.68</v>
      </c>
      <c r="M2214">
        <v>0.09</v>
      </c>
      <c r="N2214">
        <v>0.63</v>
      </c>
      <c r="O2214">
        <v>0.88</v>
      </c>
      <c r="P2214">
        <v>0.18</v>
      </c>
      <c r="Q2214">
        <v>0.74</v>
      </c>
      <c r="R2214" s="2">
        <v>0.03</v>
      </c>
      <c r="S2214" t="str">
        <f>IF(Table1[[#This Row],[Years_Experience]]&lt;=5,"Early Career",
IF(Table1[[#This Row],[Years_Experience]]&lt;=15,"Mid Career","Senior Level"))</f>
        <v>Early Career</v>
      </c>
      <c r="T2214" t="str">
        <f>IF(Table1[[#This Row],[AI_Exposure_Index]]&gt;=0.7,"High Exposure", IF(Table1[[#This Row],[AI_Exposure_Index]]&gt;=0.3,"Medium Exposure","Low Exposure"))</f>
        <v>High Exposure</v>
      </c>
    </row>
    <row r="2215" spans="1:20" x14ac:dyDescent="0.25">
      <c r="A2215" t="s">
        <v>21</v>
      </c>
      <c r="B2215">
        <v>137541</v>
      </c>
      <c r="C2215" s="1">
        <v>1</v>
      </c>
      <c r="D2215" t="s">
        <v>19</v>
      </c>
      <c r="E2215" s="7">
        <v>0.85</v>
      </c>
      <c r="F2215" s="2">
        <v>0.98</v>
      </c>
      <c r="G2215" s="7">
        <v>0.08</v>
      </c>
      <c r="H2215" s="9" t="s">
        <v>23</v>
      </c>
      <c r="I2215">
        <v>0.66</v>
      </c>
      <c r="J2215">
        <v>0.03</v>
      </c>
      <c r="K2215">
        <v>0.48</v>
      </c>
      <c r="L2215">
        <v>0.27</v>
      </c>
      <c r="M2215">
        <v>0.47</v>
      </c>
      <c r="N2215">
        <v>0.02</v>
      </c>
      <c r="O2215">
        <v>0.05</v>
      </c>
      <c r="P2215">
        <v>0.02</v>
      </c>
      <c r="Q2215">
        <v>0.62</v>
      </c>
      <c r="R2215" s="2">
        <v>0.56000000000000005</v>
      </c>
      <c r="S2215" t="str">
        <f>IF(Table1[[#This Row],[Years_Experience]]&lt;=5,"Early Career",
IF(Table1[[#This Row],[Years_Experience]]&lt;=15,"Mid Career","Senior Level"))</f>
        <v>Early Career</v>
      </c>
      <c r="T2215" t="str">
        <f>IF(Table1[[#This Row],[AI_Exposure_Index]]&gt;=0.7,"High Exposure", IF(Table1[[#This Row],[AI_Exposure_Index]]&gt;=0.3,"Medium Exposure","Low Exposure"))</f>
        <v>High Exposure</v>
      </c>
    </row>
    <row r="2216" spans="1:20" x14ac:dyDescent="0.25">
      <c r="A2216" t="s">
        <v>36</v>
      </c>
      <c r="B2216">
        <v>45890</v>
      </c>
      <c r="C2216" s="1">
        <v>19</v>
      </c>
      <c r="D2216" t="s">
        <v>22</v>
      </c>
      <c r="E2216" s="7">
        <v>0.6</v>
      </c>
      <c r="F2216" s="2">
        <v>0.59</v>
      </c>
      <c r="G2216" s="7">
        <v>0.43</v>
      </c>
      <c r="H2216" s="9" t="s">
        <v>27</v>
      </c>
      <c r="I2216">
        <v>0.6</v>
      </c>
      <c r="J2216">
        <v>0.01</v>
      </c>
      <c r="K2216">
        <v>0.04</v>
      </c>
      <c r="L2216">
        <v>0.68</v>
      </c>
      <c r="M2216">
        <v>0.89</v>
      </c>
      <c r="N2216">
        <v>0.86</v>
      </c>
      <c r="O2216">
        <v>0.17</v>
      </c>
      <c r="P2216">
        <v>0.91</v>
      </c>
      <c r="Q2216">
        <v>0.7</v>
      </c>
      <c r="R2216" s="2">
        <v>0.72</v>
      </c>
      <c r="S2216" t="str">
        <f>IF(Table1[[#This Row],[Years_Experience]]&lt;=5,"Early Career",
IF(Table1[[#This Row],[Years_Experience]]&lt;=15,"Mid Career","Senior Level"))</f>
        <v>Senior Level</v>
      </c>
      <c r="T2216" t="str">
        <f>IF(Table1[[#This Row],[AI_Exposure_Index]]&gt;=0.7,"High Exposure", IF(Table1[[#This Row],[AI_Exposure_Index]]&gt;=0.3,"Medium Exposure","Low Exposure"))</f>
        <v>Medium Exposure</v>
      </c>
    </row>
    <row r="2217" spans="1:20" x14ac:dyDescent="0.25">
      <c r="A2217" t="s">
        <v>44</v>
      </c>
      <c r="B2217">
        <v>137747</v>
      </c>
      <c r="C2217" s="1">
        <v>8</v>
      </c>
      <c r="D2217" t="s">
        <v>25</v>
      </c>
      <c r="E2217" s="7">
        <v>1.21</v>
      </c>
      <c r="F2217" s="2">
        <v>0.72</v>
      </c>
      <c r="G2217" s="7">
        <v>0.54</v>
      </c>
      <c r="H2217" s="9" t="s">
        <v>27</v>
      </c>
      <c r="I2217">
        <v>0.36</v>
      </c>
      <c r="J2217">
        <v>0.81</v>
      </c>
      <c r="K2217">
        <v>0.94</v>
      </c>
      <c r="L2217">
        <v>0.87</v>
      </c>
      <c r="M2217">
        <v>0.24</v>
      </c>
      <c r="N2217">
        <v>0.45</v>
      </c>
      <c r="O2217">
        <v>0.34</v>
      </c>
      <c r="P2217">
        <v>0.71</v>
      </c>
      <c r="Q2217">
        <v>0.83</v>
      </c>
      <c r="R2217" s="2">
        <v>0.22</v>
      </c>
      <c r="S2217" t="str">
        <f>IF(Table1[[#This Row],[Years_Experience]]&lt;=5,"Early Career",
IF(Table1[[#This Row],[Years_Experience]]&lt;=15,"Mid Career","Senior Level"))</f>
        <v>Mid Career</v>
      </c>
      <c r="T2217" t="str">
        <f>IF(Table1[[#This Row],[AI_Exposure_Index]]&gt;=0.7,"High Exposure", IF(Table1[[#This Row],[AI_Exposure_Index]]&gt;=0.3,"Medium Exposure","Low Exposure"))</f>
        <v>High Exposure</v>
      </c>
    </row>
    <row r="2218" spans="1:20" x14ac:dyDescent="0.25">
      <c r="A2218" t="s">
        <v>21</v>
      </c>
      <c r="B2218">
        <v>72582</v>
      </c>
      <c r="C2218" s="1">
        <v>22</v>
      </c>
      <c r="D2218" t="s">
        <v>19</v>
      </c>
      <c r="E2218" s="7">
        <v>0.72</v>
      </c>
      <c r="F2218" s="2">
        <v>0.68</v>
      </c>
      <c r="G2218" s="7">
        <v>0.14000000000000001</v>
      </c>
      <c r="H2218" s="9" t="s">
        <v>23</v>
      </c>
      <c r="I2218">
        <v>0.1</v>
      </c>
      <c r="J2218">
        <v>0.6</v>
      </c>
      <c r="K2218">
        <v>0.17</v>
      </c>
      <c r="L2218">
        <v>0.69</v>
      </c>
      <c r="M2218">
        <v>0.74</v>
      </c>
      <c r="N2218">
        <v>0.48</v>
      </c>
      <c r="O2218">
        <v>0.09</v>
      </c>
      <c r="P2218">
        <v>0.61</v>
      </c>
      <c r="Q2218">
        <v>0.37</v>
      </c>
      <c r="R2218" s="2">
        <v>0.95</v>
      </c>
      <c r="S2218" t="str">
        <f>IF(Table1[[#This Row],[Years_Experience]]&lt;=5,"Early Career",
IF(Table1[[#This Row],[Years_Experience]]&lt;=15,"Mid Career","Senior Level"))</f>
        <v>Senior Level</v>
      </c>
      <c r="T2218" t="str">
        <f>IF(Table1[[#This Row],[AI_Exposure_Index]]&gt;=0.7,"High Exposure", IF(Table1[[#This Row],[AI_Exposure_Index]]&gt;=0.3,"Medium Exposure","Low Exposure"))</f>
        <v>Medium Exposure</v>
      </c>
    </row>
    <row r="2219" spans="1:20" x14ac:dyDescent="0.25">
      <c r="A2219" t="s">
        <v>37</v>
      </c>
      <c r="B2219">
        <v>124964</v>
      </c>
      <c r="C2219" s="1">
        <v>2</v>
      </c>
      <c r="D2219" t="s">
        <v>22</v>
      </c>
      <c r="E2219" s="7">
        <v>1.1399999999999999</v>
      </c>
      <c r="F2219" s="2">
        <v>7.0000000000000007E-2</v>
      </c>
      <c r="G2219" s="7">
        <v>0.61</v>
      </c>
      <c r="H2219" s="9" t="s">
        <v>27</v>
      </c>
      <c r="I2219">
        <v>0.16</v>
      </c>
      <c r="J2219">
        <v>0.45</v>
      </c>
      <c r="K2219">
        <v>0.74</v>
      </c>
      <c r="L2219">
        <v>0.02</v>
      </c>
      <c r="M2219">
        <v>0.03</v>
      </c>
      <c r="N2219">
        <v>0.68</v>
      </c>
      <c r="O2219">
        <v>0.73</v>
      </c>
      <c r="P2219">
        <v>0.85</v>
      </c>
      <c r="Q2219">
        <v>0.4</v>
      </c>
      <c r="R2219" s="2">
        <v>0.39</v>
      </c>
      <c r="S2219" t="str">
        <f>IF(Table1[[#This Row],[Years_Experience]]&lt;=5,"Early Career",
IF(Table1[[#This Row],[Years_Experience]]&lt;=15,"Mid Career","Senior Level"))</f>
        <v>Early Career</v>
      </c>
      <c r="T2219" t="str">
        <f>IF(Table1[[#This Row],[AI_Exposure_Index]]&gt;=0.7,"High Exposure", IF(Table1[[#This Row],[AI_Exposure_Index]]&gt;=0.3,"Medium Exposure","Low Exposure"))</f>
        <v>Low Exposure</v>
      </c>
    </row>
    <row r="2220" spans="1:20" x14ac:dyDescent="0.25">
      <c r="A2220" t="s">
        <v>40</v>
      </c>
      <c r="B2220">
        <v>64091</v>
      </c>
      <c r="C2220" s="1">
        <v>8</v>
      </c>
      <c r="D2220" t="s">
        <v>19</v>
      </c>
      <c r="E2220" s="7">
        <v>0.84</v>
      </c>
      <c r="F2220" s="2">
        <v>0.26</v>
      </c>
      <c r="G2220" s="7">
        <v>0.09</v>
      </c>
      <c r="H2220" s="9" t="s">
        <v>23</v>
      </c>
      <c r="I2220">
        <v>0.4</v>
      </c>
      <c r="J2220">
        <v>0.9</v>
      </c>
      <c r="K2220">
        <v>0.22</v>
      </c>
      <c r="L2220">
        <v>0.68</v>
      </c>
      <c r="M2220">
        <v>0.14000000000000001</v>
      </c>
      <c r="N2220">
        <v>0.35</v>
      </c>
      <c r="O2220">
        <v>0.32</v>
      </c>
      <c r="P2220">
        <v>0.94</v>
      </c>
      <c r="Q2220">
        <v>0.43</v>
      </c>
      <c r="R2220" s="2">
        <v>0.69</v>
      </c>
      <c r="S2220" t="str">
        <f>IF(Table1[[#This Row],[Years_Experience]]&lt;=5,"Early Career",
IF(Table1[[#This Row],[Years_Experience]]&lt;=15,"Mid Career","Senior Level"))</f>
        <v>Mid Career</v>
      </c>
      <c r="T2220" t="str">
        <f>IF(Table1[[#This Row],[AI_Exposure_Index]]&gt;=0.7,"High Exposure", IF(Table1[[#This Row],[AI_Exposure_Index]]&gt;=0.3,"Medium Exposure","Low Exposure"))</f>
        <v>Low Exposure</v>
      </c>
    </row>
    <row r="2221" spans="1:20" x14ac:dyDescent="0.25">
      <c r="A2221" t="s">
        <v>41</v>
      </c>
      <c r="B2221">
        <v>95707</v>
      </c>
      <c r="C2221" s="1">
        <v>29</v>
      </c>
      <c r="D2221" t="s">
        <v>38</v>
      </c>
      <c r="E2221" s="7">
        <v>1.44</v>
      </c>
      <c r="F2221" s="2">
        <v>0.14000000000000001</v>
      </c>
      <c r="G2221" s="7">
        <v>0.79</v>
      </c>
      <c r="H2221" s="9" t="s">
        <v>20</v>
      </c>
      <c r="I2221">
        <v>0.04</v>
      </c>
      <c r="J2221">
        <v>0.3</v>
      </c>
      <c r="K2221">
        <v>0.34</v>
      </c>
      <c r="L2221">
        <v>0.09</v>
      </c>
      <c r="M2221">
        <v>0.62</v>
      </c>
      <c r="N2221">
        <v>0.35</v>
      </c>
      <c r="O2221">
        <v>0.63</v>
      </c>
      <c r="P2221">
        <v>0.01</v>
      </c>
      <c r="Q2221">
        <v>0.98</v>
      </c>
      <c r="R2221" s="2">
        <v>0.17</v>
      </c>
      <c r="S2221" t="str">
        <f>IF(Table1[[#This Row],[Years_Experience]]&lt;=5,"Early Career",
IF(Table1[[#This Row],[Years_Experience]]&lt;=15,"Mid Career","Senior Level"))</f>
        <v>Senior Level</v>
      </c>
      <c r="T2221" t="str">
        <f>IF(Table1[[#This Row],[AI_Exposure_Index]]&gt;=0.7,"High Exposure", IF(Table1[[#This Row],[AI_Exposure_Index]]&gt;=0.3,"Medium Exposure","Low Exposure"))</f>
        <v>Low Exposure</v>
      </c>
    </row>
    <row r="2222" spans="1:20" x14ac:dyDescent="0.25">
      <c r="A2222" t="s">
        <v>40</v>
      </c>
      <c r="B2222">
        <v>82892</v>
      </c>
      <c r="C2222" s="1">
        <v>1</v>
      </c>
      <c r="D2222" t="s">
        <v>19</v>
      </c>
      <c r="E2222" s="7">
        <v>1.31</v>
      </c>
      <c r="F2222" s="2">
        <v>0.92</v>
      </c>
      <c r="G2222" s="7">
        <v>0.22</v>
      </c>
      <c r="H2222" s="9" t="s">
        <v>23</v>
      </c>
      <c r="I2222">
        <v>0.03</v>
      </c>
      <c r="J2222">
        <v>0.53</v>
      </c>
      <c r="K2222">
        <v>0.65</v>
      </c>
      <c r="L2222">
        <v>0.76</v>
      </c>
      <c r="M2222">
        <v>0.47</v>
      </c>
      <c r="N2222">
        <v>0.95</v>
      </c>
      <c r="O2222">
        <v>0.24</v>
      </c>
      <c r="P2222">
        <v>7.0000000000000007E-2</v>
      </c>
      <c r="Q2222">
        <v>0.33</v>
      </c>
      <c r="R2222" s="2">
        <v>0.66</v>
      </c>
      <c r="S2222" t="str">
        <f>IF(Table1[[#This Row],[Years_Experience]]&lt;=5,"Early Career",
IF(Table1[[#This Row],[Years_Experience]]&lt;=15,"Mid Career","Senior Level"))</f>
        <v>Early Career</v>
      </c>
      <c r="T2222" t="str">
        <f>IF(Table1[[#This Row],[AI_Exposure_Index]]&gt;=0.7,"High Exposure", IF(Table1[[#This Row],[AI_Exposure_Index]]&gt;=0.3,"Medium Exposure","Low Exposure"))</f>
        <v>High Exposure</v>
      </c>
    </row>
    <row r="2223" spans="1:20" x14ac:dyDescent="0.25">
      <c r="A2223" t="s">
        <v>36</v>
      </c>
      <c r="B2223">
        <v>51946</v>
      </c>
      <c r="C2223" s="1">
        <v>13</v>
      </c>
      <c r="D2223" t="s">
        <v>25</v>
      </c>
      <c r="E2223" s="7">
        <v>0.61</v>
      </c>
      <c r="F2223" s="2">
        <v>0.74</v>
      </c>
      <c r="G2223" s="7">
        <v>0.65</v>
      </c>
      <c r="H2223" s="9" t="s">
        <v>27</v>
      </c>
      <c r="I2223">
        <v>0.28000000000000003</v>
      </c>
      <c r="J2223">
        <v>0.21</v>
      </c>
      <c r="K2223">
        <v>0.61</v>
      </c>
      <c r="L2223">
        <v>0.21</v>
      </c>
      <c r="M2223">
        <v>0.51</v>
      </c>
      <c r="N2223">
        <v>0.41</v>
      </c>
      <c r="O2223">
        <v>0.23</v>
      </c>
      <c r="P2223">
        <v>0.28999999999999998</v>
      </c>
      <c r="Q2223">
        <v>0.43</v>
      </c>
      <c r="R2223" s="2">
        <v>0.35</v>
      </c>
      <c r="S2223" t="str">
        <f>IF(Table1[[#This Row],[Years_Experience]]&lt;=5,"Early Career",
IF(Table1[[#This Row],[Years_Experience]]&lt;=15,"Mid Career","Senior Level"))</f>
        <v>Mid Career</v>
      </c>
      <c r="T2223" t="str">
        <f>IF(Table1[[#This Row],[AI_Exposure_Index]]&gt;=0.7,"High Exposure", IF(Table1[[#This Row],[AI_Exposure_Index]]&gt;=0.3,"Medium Exposure","Low Exposure"))</f>
        <v>High Exposure</v>
      </c>
    </row>
    <row r="2224" spans="1:20" x14ac:dyDescent="0.25">
      <c r="A2224" t="s">
        <v>33</v>
      </c>
      <c r="B2224">
        <v>92294</v>
      </c>
      <c r="C2224" s="1">
        <v>11</v>
      </c>
      <c r="D2224" t="s">
        <v>19</v>
      </c>
      <c r="E2224" s="7">
        <v>0.67</v>
      </c>
      <c r="F2224" s="2">
        <v>0.74</v>
      </c>
      <c r="G2224" s="7">
        <v>0.86</v>
      </c>
      <c r="H2224" s="9" t="s">
        <v>20</v>
      </c>
      <c r="I2224">
        <v>0.68</v>
      </c>
      <c r="J2224">
        <v>0.8</v>
      </c>
      <c r="K2224">
        <v>0.85</v>
      </c>
      <c r="L2224">
        <v>0.16</v>
      </c>
      <c r="M2224">
        <v>0.14000000000000001</v>
      </c>
      <c r="N2224">
        <v>0.61</v>
      </c>
      <c r="O2224">
        <v>0.76</v>
      </c>
      <c r="P2224">
        <v>0.27</v>
      </c>
      <c r="Q2224">
        <v>0.53</v>
      </c>
      <c r="R2224" s="2">
        <v>0.77</v>
      </c>
      <c r="S2224" t="str">
        <f>IF(Table1[[#This Row],[Years_Experience]]&lt;=5,"Early Career",
IF(Table1[[#This Row],[Years_Experience]]&lt;=15,"Mid Career","Senior Level"))</f>
        <v>Mid Career</v>
      </c>
      <c r="T2224" t="str">
        <f>IF(Table1[[#This Row],[AI_Exposure_Index]]&gt;=0.7,"High Exposure", IF(Table1[[#This Row],[AI_Exposure_Index]]&gt;=0.3,"Medium Exposure","Low Exposure"))</f>
        <v>High Exposure</v>
      </c>
    </row>
    <row r="2225" spans="1:20" x14ac:dyDescent="0.25">
      <c r="A2225" t="s">
        <v>31</v>
      </c>
      <c r="B2225">
        <v>101022</v>
      </c>
      <c r="C2225" s="1">
        <v>17</v>
      </c>
      <c r="D2225" t="s">
        <v>22</v>
      </c>
      <c r="E2225" s="7">
        <v>0.57999999999999996</v>
      </c>
      <c r="F2225" s="2">
        <v>0.65</v>
      </c>
      <c r="G2225" s="7">
        <v>0.06</v>
      </c>
      <c r="H2225" s="9" t="s">
        <v>23</v>
      </c>
      <c r="I2225">
        <v>0.39</v>
      </c>
      <c r="J2225">
        <v>0.03</v>
      </c>
      <c r="K2225">
        <v>0.9</v>
      </c>
      <c r="L2225">
        <v>0.02</v>
      </c>
      <c r="M2225">
        <v>0.03</v>
      </c>
      <c r="N2225">
        <v>0.17</v>
      </c>
      <c r="O2225">
        <v>0.63</v>
      </c>
      <c r="P2225">
        <v>0.54</v>
      </c>
      <c r="Q2225">
        <v>0.66</v>
      </c>
      <c r="R2225" s="2">
        <v>0.89</v>
      </c>
      <c r="S2225" t="str">
        <f>IF(Table1[[#This Row],[Years_Experience]]&lt;=5,"Early Career",
IF(Table1[[#This Row],[Years_Experience]]&lt;=15,"Mid Career","Senior Level"))</f>
        <v>Senior Level</v>
      </c>
      <c r="T2225" t="str">
        <f>IF(Table1[[#This Row],[AI_Exposure_Index]]&gt;=0.7,"High Exposure", IF(Table1[[#This Row],[AI_Exposure_Index]]&gt;=0.3,"Medium Exposure","Low Exposure"))</f>
        <v>Medium Exposure</v>
      </c>
    </row>
    <row r="2226" spans="1:20" x14ac:dyDescent="0.25">
      <c r="A2226" t="s">
        <v>42</v>
      </c>
      <c r="B2226">
        <v>116377</v>
      </c>
      <c r="C2226" s="1">
        <v>14</v>
      </c>
      <c r="D2226" t="s">
        <v>22</v>
      </c>
      <c r="E2226" s="7">
        <v>1.26</v>
      </c>
      <c r="F2226" s="2">
        <v>0.04</v>
      </c>
      <c r="G2226" s="7">
        <v>0.62</v>
      </c>
      <c r="H2226" s="9" t="s">
        <v>27</v>
      </c>
      <c r="I2226">
        <v>0.05</v>
      </c>
      <c r="J2226">
        <v>0.24</v>
      </c>
      <c r="K2226">
        <v>0.77</v>
      </c>
      <c r="L2226">
        <v>0.38</v>
      </c>
      <c r="M2226">
        <v>0.47</v>
      </c>
      <c r="N2226">
        <v>0.82</v>
      </c>
      <c r="O2226">
        <v>0.09</v>
      </c>
      <c r="P2226">
        <v>0.68</v>
      </c>
      <c r="Q2226">
        <v>0.21</v>
      </c>
      <c r="R2226" s="2">
        <v>0.06</v>
      </c>
      <c r="S2226" t="str">
        <f>IF(Table1[[#This Row],[Years_Experience]]&lt;=5,"Early Career",
IF(Table1[[#This Row],[Years_Experience]]&lt;=15,"Mid Career","Senior Level"))</f>
        <v>Mid Career</v>
      </c>
      <c r="T2226" t="str">
        <f>IF(Table1[[#This Row],[AI_Exposure_Index]]&gt;=0.7,"High Exposure", IF(Table1[[#This Row],[AI_Exposure_Index]]&gt;=0.3,"Medium Exposure","Low Exposure"))</f>
        <v>Low Exposure</v>
      </c>
    </row>
    <row r="2227" spans="1:20" x14ac:dyDescent="0.25">
      <c r="A2227" t="s">
        <v>30</v>
      </c>
      <c r="B2227">
        <v>125614</v>
      </c>
      <c r="C2227" s="1">
        <v>8</v>
      </c>
      <c r="D2227" t="s">
        <v>25</v>
      </c>
      <c r="E2227" s="7">
        <v>1.25</v>
      </c>
      <c r="F2227" s="2">
        <v>0.12</v>
      </c>
      <c r="G2227" s="7">
        <v>0.38</v>
      </c>
      <c r="H2227" s="9" t="s">
        <v>27</v>
      </c>
      <c r="I2227">
        <v>0.05</v>
      </c>
      <c r="J2227">
        <v>0.1</v>
      </c>
      <c r="K2227">
        <v>0.84</v>
      </c>
      <c r="L2227">
        <v>0.37</v>
      </c>
      <c r="M2227">
        <v>0.3</v>
      </c>
      <c r="N2227">
        <v>0.49</v>
      </c>
      <c r="O2227">
        <v>0.63</v>
      </c>
      <c r="P2227">
        <v>0.04</v>
      </c>
      <c r="Q2227">
        <v>0.9</v>
      </c>
      <c r="R2227" s="2">
        <v>0.96</v>
      </c>
      <c r="S2227" t="str">
        <f>IF(Table1[[#This Row],[Years_Experience]]&lt;=5,"Early Career",
IF(Table1[[#This Row],[Years_Experience]]&lt;=15,"Mid Career","Senior Level"))</f>
        <v>Mid Career</v>
      </c>
      <c r="T2227" t="str">
        <f>IF(Table1[[#This Row],[AI_Exposure_Index]]&gt;=0.7,"High Exposure", IF(Table1[[#This Row],[AI_Exposure_Index]]&gt;=0.3,"Medium Exposure","Low Exposure"))</f>
        <v>Low Exposure</v>
      </c>
    </row>
    <row r="2228" spans="1:20" x14ac:dyDescent="0.25">
      <c r="A2228" t="s">
        <v>34</v>
      </c>
      <c r="B2228">
        <v>70577</v>
      </c>
      <c r="C2228" s="1">
        <v>22</v>
      </c>
      <c r="D2228" t="s">
        <v>19</v>
      </c>
      <c r="E2228" s="7">
        <v>1.38</v>
      </c>
      <c r="F2228" s="2">
        <v>0.41</v>
      </c>
      <c r="G2228" s="7">
        <v>0.47</v>
      </c>
      <c r="H2228" s="9" t="s">
        <v>27</v>
      </c>
      <c r="I2228">
        <v>0.86</v>
      </c>
      <c r="J2228">
        <v>0.03</v>
      </c>
      <c r="K2228">
        <v>0.49</v>
      </c>
      <c r="L2228">
        <v>0.95</v>
      </c>
      <c r="M2228">
        <v>0.25</v>
      </c>
      <c r="N2228">
        <v>0.27</v>
      </c>
      <c r="O2228">
        <v>0.63</v>
      </c>
      <c r="P2228">
        <v>0.93</v>
      </c>
      <c r="Q2228">
        <v>0.2</v>
      </c>
      <c r="R2228" s="2">
        <v>0.92</v>
      </c>
      <c r="S2228" t="str">
        <f>IF(Table1[[#This Row],[Years_Experience]]&lt;=5,"Early Career",
IF(Table1[[#This Row],[Years_Experience]]&lt;=15,"Mid Career","Senior Level"))</f>
        <v>Senior Level</v>
      </c>
      <c r="T2228" t="str">
        <f>IF(Table1[[#This Row],[AI_Exposure_Index]]&gt;=0.7,"High Exposure", IF(Table1[[#This Row],[AI_Exposure_Index]]&gt;=0.3,"Medium Exposure","Low Exposure"))</f>
        <v>Medium Exposure</v>
      </c>
    </row>
    <row r="2229" spans="1:20" x14ac:dyDescent="0.25">
      <c r="A2229" t="s">
        <v>35</v>
      </c>
      <c r="B2229">
        <v>70214</v>
      </c>
      <c r="C2229" s="1">
        <v>21</v>
      </c>
      <c r="D2229" t="s">
        <v>19</v>
      </c>
      <c r="E2229" s="7">
        <v>1.24</v>
      </c>
      <c r="F2229" s="2">
        <v>0.99</v>
      </c>
      <c r="G2229" s="7">
        <v>0.56999999999999995</v>
      </c>
      <c r="H2229" s="9" t="s">
        <v>27</v>
      </c>
      <c r="I2229">
        <v>0.81</v>
      </c>
      <c r="J2229">
        <v>0.18</v>
      </c>
      <c r="K2229">
        <v>0.95</v>
      </c>
      <c r="L2229">
        <v>0.17</v>
      </c>
      <c r="M2229">
        <v>0.03</v>
      </c>
      <c r="N2229">
        <v>0.7</v>
      </c>
      <c r="O2229">
        <v>0.18</v>
      </c>
      <c r="P2229">
        <v>0.76</v>
      </c>
      <c r="Q2229">
        <v>0.8</v>
      </c>
      <c r="R2229" s="2">
        <v>0.24</v>
      </c>
      <c r="S2229" t="str">
        <f>IF(Table1[[#This Row],[Years_Experience]]&lt;=5,"Early Career",
IF(Table1[[#This Row],[Years_Experience]]&lt;=15,"Mid Career","Senior Level"))</f>
        <v>Senior Level</v>
      </c>
      <c r="T2229" t="str">
        <f>IF(Table1[[#This Row],[AI_Exposure_Index]]&gt;=0.7,"High Exposure", IF(Table1[[#This Row],[AI_Exposure_Index]]&gt;=0.3,"Medium Exposure","Low Exposure"))</f>
        <v>High Exposure</v>
      </c>
    </row>
    <row r="2230" spans="1:20" x14ac:dyDescent="0.25">
      <c r="A2230" t="s">
        <v>44</v>
      </c>
      <c r="B2230">
        <v>115416</v>
      </c>
      <c r="C2230" s="1">
        <v>29</v>
      </c>
      <c r="D2230" t="s">
        <v>38</v>
      </c>
      <c r="E2230" s="7">
        <v>1.39</v>
      </c>
      <c r="F2230" s="2">
        <v>0.5</v>
      </c>
      <c r="G2230" s="7">
        <v>0.64</v>
      </c>
      <c r="H2230" s="9" t="s">
        <v>27</v>
      </c>
      <c r="I2230">
        <v>0.12</v>
      </c>
      <c r="J2230">
        <v>0.96</v>
      </c>
      <c r="K2230">
        <v>0.26</v>
      </c>
      <c r="L2230">
        <v>0.35</v>
      </c>
      <c r="M2230">
        <v>0.15</v>
      </c>
      <c r="N2230">
        <v>0.38</v>
      </c>
      <c r="O2230">
        <v>0.64</v>
      </c>
      <c r="P2230">
        <v>0.51</v>
      </c>
      <c r="Q2230">
        <v>0.83</v>
      </c>
      <c r="R2230" s="2">
        <v>0.64</v>
      </c>
      <c r="S2230" t="str">
        <f>IF(Table1[[#This Row],[Years_Experience]]&lt;=5,"Early Career",
IF(Table1[[#This Row],[Years_Experience]]&lt;=15,"Mid Career","Senior Level"))</f>
        <v>Senior Level</v>
      </c>
      <c r="T2230" t="str">
        <f>IF(Table1[[#This Row],[AI_Exposure_Index]]&gt;=0.7,"High Exposure", IF(Table1[[#This Row],[AI_Exposure_Index]]&gt;=0.3,"Medium Exposure","Low Exposure"))</f>
        <v>Medium Exposure</v>
      </c>
    </row>
    <row r="2231" spans="1:20" x14ac:dyDescent="0.25">
      <c r="A2231" t="s">
        <v>32</v>
      </c>
      <c r="B2231">
        <v>138176</v>
      </c>
      <c r="C2231" s="1">
        <v>7</v>
      </c>
      <c r="D2231" t="s">
        <v>19</v>
      </c>
      <c r="E2231" s="7">
        <v>0.56000000000000005</v>
      </c>
      <c r="F2231" s="2">
        <v>0.56000000000000005</v>
      </c>
      <c r="G2231" s="7">
        <v>0.53</v>
      </c>
      <c r="H2231" s="9" t="s">
        <v>27</v>
      </c>
      <c r="I2231">
        <v>0.39</v>
      </c>
      <c r="J2231">
        <v>0.1</v>
      </c>
      <c r="K2231">
        <v>0.31</v>
      </c>
      <c r="L2231">
        <v>0.9</v>
      </c>
      <c r="M2231">
        <v>0.59</v>
      </c>
      <c r="N2231">
        <v>0.9</v>
      </c>
      <c r="O2231">
        <v>0.41</v>
      </c>
      <c r="P2231">
        <v>0.98</v>
      </c>
      <c r="Q2231">
        <v>0.36</v>
      </c>
      <c r="R2231" s="2">
        <v>0.76</v>
      </c>
      <c r="S2231" t="str">
        <f>IF(Table1[[#This Row],[Years_Experience]]&lt;=5,"Early Career",
IF(Table1[[#This Row],[Years_Experience]]&lt;=15,"Mid Career","Senior Level"))</f>
        <v>Mid Career</v>
      </c>
      <c r="T2231" t="str">
        <f>IF(Table1[[#This Row],[AI_Exposure_Index]]&gt;=0.7,"High Exposure", IF(Table1[[#This Row],[AI_Exposure_Index]]&gt;=0.3,"Medium Exposure","Low Exposure"))</f>
        <v>Medium Exposure</v>
      </c>
    </row>
    <row r="2232" spans="1:20" x14ac:dyDescent="0.25">
      <c r="A2232" t="s">
        <v>41</v>
      </c>
      <c r="B2232">
        <v>88744</v>
      </c>
      <c r="C2232" s="1">
        <v>15</v>
      </c>
      <c r="D2232" t="s">
        <v>25</v>
      </c>
      <c r="E2232" s="7">
        <v>1.33</v>
      </c>
      <c r="F2232" s="2">
        <v>0.11</v>
      </c>
      <c r="G2232" s="7">
        <v>0.89</v>
      </c>
      <c r="H2232" s="9" t="s">
        <v>20</v>
      </c>
      <c r="I2232">
        <v>0.82</v>
      </c>
      <c r="J2232">
        <v>0.3</v>
      </c>
      <c r="K2232">
        <v>0.7</v>
      </c>
      <c r="L2232">
        <v>0.22</v>
      </c>
      <c r="M2232">
        <v>0.01</v>
      </c>
      <c r="N2232">
        <v>0.87</v>
      </c>
      <c r="O2232">
        <v>0.52</v>
      </c>
      <c r="P2232">
        <v>0.98</v>
      </c>
      <c r="Q2232">
        <v>0.39</v>
      </c>
      <c r="R2232" s="2">
        <v>0.96</v>
      </c>
      <c r="S2232" t="str">
        <f>IF(Table1[[#This Row],[Years_Experience]]&lt;=5,"Early Career",
IF(Table1[[#This Row],[Years_Experience]]&lt;=15,"Mid Career","Senior Level"))</f>
        <v>Mid Career</v>
      </c>
      <c r="T2232" t="str">
        <f>IF(Table1[[#This Row],[AI_Exposure_Index]]&gt;=0.7,"High Exposure", IF(Table1[[#This Row],[AI_Exposure_Index]]&gt;=0.3,"Medium Exposure","Low Exposure"))</f>
        <v>Low Exposure</v>
      </c>
    </row>
    <row r="2233" spans="1:20" x14ac:dyDescent="0.25">
      <c r="A2233" t="s">
        <v>42</v>
      </c>
      <c r="B2233">
        <v>55759</v>
      </c>
      <c r="C2233" s="1">
        <v>24</v>
      </c>
      <c r="D2233" t="s">
        <v>19</v>
      </c>
      <c r="E2233" s="7">
        <v>0.8</v>
      </c>
      <c r="F2233" s="2">
        <v>0.51</v>
      </c>
      <c r="G2233" s="7">
        <v>0.63</v>
      </c>
      <c r="H2233" s="9" t="s">
        <v>27</v>
      </c>
      <c r="I2233">
        <v>0.83</v>
      </c>
      <c r="J2233">
        <v>0.42</v>
      </c>
      <c r="K2233">
        <v>0.73</v>
      </c>
      <c r="L2233">
        <v>0.45</v>
      </c>
      <c r="M2233">
        <v>0.74</v>
      </c>
      <c r="N2233">
        <v>0.99</v>
      </c>
      <c r="O2233">
        <v>0.26</v>
      </c>
      <c r="P2233">
        <v>0.63</v>
      </c>
      <c r="Q2233">
        <v>0.38</v>
      </c>
      <c r="R2233" s="2">
        <v>0.55000000000000004</v>
      </c>
      <c r="S2233" t="str">
        <f>IF(Table1[[#This Row],[Years_Experience]]&lt;=5,"Early Career",
IF(Table1[[#This Row],[Years_Experience]]&lt;=15,"Mid Career","Senior Level"))</f>
        <v>Senior Level</v>
      </c>
      <c r="T2233" t="str">
        <f>IF(Table1[[#This Row],[AI_Exposure_Index]]&gt;=0.7,"High Exposure", IF(Table1[[#This Row],[AI_Exposure_Index]]&gt;=0.3,"Medium Exposure","Low Exposure"))</f>
        <v>Medium Exposure</v>
      </c>
    </row>
    <row r="2234" spans="1:20" x14ac:dyDescent="0.25">
      <c r="A2234" t="s">
        <v>18</v>
      </c>
      <c r="B2234">
        <v>37589</v>
      </c>
      <c r="C2234" s="1">
        <v>18</v>
      </c>
      <c r="D2234" t="s">
        <v>38</v>
      </c>
      <c r="E2234" s="7">
        <v>0.95</v>
      </c>
      <c r="F2234" s="2">
        <v>0.5</v>
      </c>
      <c r="G2234" s="7">
        <v>0.9</v>
      </c>
      <c r="H2234" s="9" t="s">
        <v>20</v>
      </c>
      <c r="I2234">
        <v>0.05</v>
      </c>
      <c r="J2234">
        <v>0.09</v>
      </c>
      <c r="K2234">
        <v>0.02</v>
      </c>
      <c r="L2234">
        <v>0.69</v>
      </c>
      <c r="M2234">
        <v>0.53</v>
      </c>
      <c r="N2234">
        <v>0.88</v>
      </c>
      <c r="O2234">
        <v>0.5</v>
      </c>
      <c r="P2234">
        <v>0.22</v>
      </c>
      <c r="Q2234">
        <v>0.81</v>
      </c>
      <c r="R2234" s="2">
        <v>0.28999999999999998</v>
      </c>
      <c r="S2234" t="str">
        <f>IF(Table1[[#This Row],[Years_Experience]]&lt;=5,"Early Career",
IF(Table1[[#This Row],[Years_Experience]]&lt;=15,"Mid Career","Senior Level"))</f>
        <v>Senior Level</v>
      </c>
      <c r="T2234" t="str">
        <f>IF(Table1[[#This Row],[AI_Exposure_Index]]&gt;=0.7,"High Exposure", IF(Table1[[#This Row],[AI_Exposure_Index]]&gt;=0.3,"Medium Exposure","Low Exposure"))</f>
        <v>Medium Exposure</v>
      </c>
    </row>
    <row r="2235" spans="1:20" x14ac:dyDescent="0.25">
      <c r="A2235" t="s">
        <v>41</v>
      </c>
      <c r="B2235">
        <v>119485</v>
      </c>
      <c r="C2235" s="1">
        <v>21</v>
      </c>
      <c r="D2235" t="s">
        <v>25</v>
      </c>
      <c r="E2235" s="7">
        <v>0.67</v>
      </c>
      <c r="F2235" s="2">
        <v>0.25</v>
      </c>
      <c r="G2235" s="7">
        <v>0.82</v>
      </c>
      <c r="H2235" s="9" t="s">
        <v>20</v>
      </c>
      <c r="I2235">
        <v>0.05</v>
      </c>
      <c r="J2235">
        <v>0.04</v>
      </c>
      <c r="K2235">
        <v>0.5</v>
      </c>
      <c r="L2235">
        <v>0.22</v>
      </c>
      <c r="M2235">
        <v>0.01</v>
      </c>
      <c r="N2235">
        <v>0.3</v>
      </c>
      <c r="O2235">
        <v>0.48</v>
      </c>
      <c r="P2235">
        <v>0.39</v>
      </c>
      <c r="Q2235">
        <v>0.14000000000000001</v>
      </c>
      <c r="R2235" s="2">
        <v>0.57999999999999996</v>
      </c>
      <c r="S2235" t="str">
        <f>IF(Table1[[#This Row],[Years_Experience]]&lt;=5,"Early Career",
IF(Table1[[#This Row],[Years_Experience]]&lt;=15,"Mid Career","Senior Level"))</f>
        <v>Senior Level</v>
      </c>
      <c r="T2235" t="str">
        <f>IF(Table1[[#This Row],[AI_Exposure_Index]]&gt;=0.7,"High Exposure", IF(Table1[[#This Row],[AI_Exposure_Index]]&gt;=0.3,"Medium Exposure","Low Exposure"))</f>
        <v>Low Exposure</v>
      </c>
    </row>
    <row r="2236" spans="1:20" x14ac:dyDescent="0.25">
      <c r="A2236" t="s">
        <v>18</v>
      </c>
      <c r="B2236">
        <v>55090</v>
      </c>
      <c r="C2236" s="1">
        <v>8</v>
      </c>
      <c r="D2236" t="s">
        <v>38</v>
      </c>
      <c r="E2236" s="7">
        <v>0.89</v>
      </c>
      <c r="F2236" s="2">
        <v>0.68</v>
      </c>
      <c r="G2236" s="7">
        <v>0.73</v>
      </c>
      <c r="H2236" s="9" t="s">
        <v>20</v>
      </c>
      <c r="I2236">
        <v>0.5</v>
      </c>
      <c r="J2236">
        <v>0.89</v>
      </c>
      <c r="K2236">
        <v>0.47</v>
      </c>
      <c r="L2236">
        <v>0.2</v>
      </c>
      <c r="M2236">
        <v>0.09</v>
      </c>
      <c r="N2236">
        <v>0.94</v>
      </c>
      <c r="O2236">
        <v>0.74</v>
      </c>
      <c r="P2236">
        <v>0.31</v>
      </c>
      <c r="Q2236">
        <v>0.3</v>
      </c>
      <c r="R2236" s="2">
        <v>0.9</v>
      </c>
      <c r="S2236" t="str">
        <f>IF(Table1[[#This Row],[Years_Experience]]&lt;=5,"Early Career",
IF(Table1[[#This Row],[Years_Experience]]&lt;=15,"Mid Career","Senior Level"))</f>
        <v>Mid Career</v>
      </c>
      <c r="T2236" t="str">
        <f>IF(Table1[[#This Row],[AI_Exposure_Index]]&gt;=0.7,"High Exposure", IF(Table1[[#This Row],[AI_Exposure_Index]]&gt;=0.3,"Medium Exposure","Low Exposure"))</f>
        <v>Medium Exposure</v>
      </c>
    </row>
    <row r="2237" spans="1:20" x14ac:dyDescent="0.25">
      <c r="A2237" t="s">
        <v>42</v>
      </c>
      <c r="B2237">
        <v>102889</v>
      </c>
      <c r="C2237" s="1">
        <v>19</v>
      </c>
      <c r="D2237" t="s">
        <v>25</v>
      </c>
      <c r="E2237" s="7">
        <v>1.21</v>
      </c>
      <c r="F2237" s="2">
        <v>0.54</v>
      </c>
      <c r="G2237" s="7">
        <v>0.46</v>
      </c>
      <c r="H2237" s="9" t="s">
        <v>27</v>
      </c>
      <c r="I2237">
        <v>0.04</v>
      </c>
      <c r="J2237">
        <v>0.23</v>
      </c>
      <c r="K2237">
        <v>0.9</v>
      </c>
      <c r="L2237">
        <v>0.52</v>
      </c>
      <c r="M2237">
        <v>0.82</v>
      </c>
      <c r="N2237">
        <v>0.56000000000000005</v>
      </c>
      <c r="O2237">
        <v>0.94</v>
      </c>
      <c r="P2237">
        <v>0.91</v>
      </c>
      <c r="Q2237">
        <v>0.48</v>
      </c>
      <c r="R2237" s="2">
        <v>0.32</v>
      </c>
      <c r="S2237" t="str">
        <f>IF(Table1[[#This Row],[Years_Experience]]&lt;=5,"Early Career",
IF(Table1[[#This Row],[Years_Experience]]&lt;=15,"Mid Career","Senior Level"))</f>
        <v>Senior Level</v>
      </c>
      <c r="T2237" t="str">
        <f>IF(Table1[[#This Row],[AI_Exposure_Index]]&gt;=0.7,"High Exposure", IF(Table1[[#This Row],[AI_Exposure_Index]]&gt;=0.3,"Medium Exposure","Low Exposure"))</f>
        <v>Medium Exposure</v>
      </c>
    </row>
    <row r="2238" spans="1:20" x14ac:dyDescent="0.25">
      <c r="A2238" t="s">
        <v>42</v>
      </c>
      <c r="B2238">
        <v>93282</v>
      </c>
      <c r="C2238" s="1">
        <v>29</v>
      </c>
      <c r="D2238" t="s">
        <v>19</v>
      </c>
      <c r="E2238" s="7">
        <v>1</v>
      </c>
      <c r="F2238" s="2">
        <v>0.67</v>
      </c>
      <c r="G2238" s="7">
        <v>0.63</v>
      </c>
      <c r="H2238" s="9" t="s">
        <v>27</v>
      </c>
      <c r="I2238">
        <v>0.18</v>
      </c>
      <c r="J2238">
        <v>0.33</v>
      </c>
      <c r="K2238">
        <v>0.69</v>
      </c>
      <c r="L2238">
        <v>0.25</v>
      </c>
      <c r="M2238">
        <v>0.44</v>
      </c>
      <c r="N2238">
        <v>0.96</v>
      </c>
      <c r="O2238">
        <v>0.63</v>
      </c>
      <c r="P2238">
        <v>0.95</v>
      </c>
      <c r="Q2238">
        <v>0.72</v>
      </c>
      <c r="R2238" s="2">
        <v>0.72</v>
      </c>
      <c r="S2238" t="str">
        <f>IF(Table1[[#This Row],[Years_Experience]]&lt;=5,"Early Career",
IF(Table1[[#This Row],[Years_Experience]]&lt;=15,"Mid Career","Senior Level"))</f>
        <v>Senior Level</v>
      </c>
      <c r="T2238" t="str">
        <f>IF(Table1[[#This Row],[AI_Exposure_Index]]&gt;=0.7,"High Exposure", IF(Table1[[#This Row],[AI_Exposure_Index]]&gt;=0.3,"Medium Exposure","Low Exposure"))</f>
        <v>Medium Exposure</v>
      </c>
    </row>
    <row r="2239" spans="1:20" x14ac:dyDescent="0.25">
      <c r="A2239" t="s">
        <v>31</v>
      </c>
      <c r="B2239">
        <v>40892</v>
      </c>
      <c r="C2239" s="1">
        <v>19</v>
      </c>
      <c r="D2239" t="s">
        <v>22</v>
      </c>
      <c r="E2239" s="7">
        <v>0.83</v>
      </c>
      <c r="F2239" s="2">
        <v>0.5</v>
      </c>
      <c r="G2239" s="7">
        <v>0.14000000000000001</v>
      </c>
      <c r="H2239" s="9" t="s">
        <v>23</v>
      </c>
      <c r="I2239">
        <v>0.26</v>
      </c>
      <c r="J2239">
        <v>0.06</v>
      </c>
      <c r="K2239">
        <v>0.79</v>
      </c>
      <c r="L2239">
        <v>0.62</v>
      </c>
      <c r="M2239">
        <v>0.83</v>
      </c>
      <c r="N2239">
        <v>0.5</v>
      </c>
      <c r="O2239">
        <v>0.98</v>
      </c>
      <c r="P2239">
        <v>0.96</v>
      </c>
      <c r="Q2239">
        <v>0.27</v>
      </c>
      <c r="R2239" s="2">
        <v>0.39</v>
      </c>
      <c r="S2239" t="str">
        <f>IF(Table1[[#This Row],[Years_Experience]]&lt;=5,"Early Career",
IF(Table1[[#This Row],[Years_Experience]]&lt;=15,"Mid Career","Senior Level"))</f>
        <v>Senior Level</v>
      </c>
      <c r="T2239" t="str">
        <f>IF(Table1[[#This Row],[AI_Exposure_Index]]&gt;=0.7,"High Exposure", IF(Table1[[#This Row],[AI_Exposure_Index]]&gt;=0.3,"Medium Exposure","Low Exposure"))</f>
        <v>Medium Exposure</v>
      </c>
    </row>
    <row r="2240" spans="1:20" x14ac:dyDescent="0.25">
      <c r="A2240" t="s">
        <v>36</v>
      </c>
      <c r="B2240">
        <v>132524</v>
      </c>
      <c r="C2240" s="1">
        <v>8</v>
      </c>
      <c r="D2240" t="s">
        <v>25</v>
      </c>
      <c r="E2240" s="7">
        <v>1.41</v>
      </c>
      <c r="F2240" s="2">
        <v>0.78</v>
      </c>
      <c r="G2240" s="7">
        <v>0.56000000000000005</v>
      </c>
      <c r="H2240" s="9" t="s">
        <v>27</v>
      </c>
      <c r="I2240">
        <v>0.48</v>
      </c>
      <c r="J2240">
        <v>0.38</v>
      </c>
      <c r="K2240">
        <v>0.42</v>
      </c>
      <c r="L2240">
        <v>0.85</v>
      </c>
      <c r="M2240">
        <v>0.98</v>
      </c>
      <c r="N2240">
        <v>0.05</v>
      </c>
      <c r="O2240">
        <v>0.57999999999999996</v>
      </c>
      <c r="P2240">
        <v>0.52</v>
      </c>
      <c r="Q2240">
        <v>0.38</v>
      </c>
      <c r="R2240" s="2">
        <v>0.85</v>
      </c>
      <c r="S2240" t="str">
        <f>IF(Table1[[#This Row],[Years_Experience]]&lt;=5,"Early Career",
IF(Table1[[#This Row],[Years_Experience]]&lt;=15,"Mid Career","Senior Level"))</f>
        <v>Mid Career</v>
      </c>
      <c r="T2240" t="str">
        <f>IF(Table1[[#This Row],[AI_Exposure_Index]]&gt;=0.7,"High Exposure", IF(Table1[[#This Row],[AI_Exposure_Index]]&gt;=0.3,"Medium Exposure","Low Exposure"))</f>
        <v>High Exposure</v>
      </c>
    </row>
    <row r="2241" spans="1:20" x14ac:dyDescent="0.25">
      <c r="A2241" t="s">
        <v>31</v>
      </c>
      <c r="B2241">
        <v>56006</v>
      </c>
      <c r="C2241" s="1">
        <v>13</v>
      </c>
      <c r="D2241" t="s">
        <v>19</v>
      </c>
      <c r="E2241" s="7">
        <v>0.52</v>
      </c>
      <c r="F2241" s="2">
        <v>0.47</v>
      </c>
      <c r="G2241" s="7">
        <v>0.25</v>
      </c>
      <c r="H2241" s="9" t="s">
        <v>23</v>
      </c>
      <c r="I2241">
        <v>0.11</v>
      </c>
      <c r="J2241">
        <v>0.46</v>
      </c>
      <c r="K2241">
        <v>0.57999999999999996</v>
      </c>
      <c r="L2241">
        <v>0.71</v>
      </c>
      <c r="M2241">
        <v>0.41</v>
      </c>
      <c r="N2241">
        <v>0.74</v>
      </c>
      <c r="O2241">
        <v>0.13</v>
      </c>
      <c r="P2241">
        <v>0.65</v>
      </c>
      <c r="Q2241">
        <v>0.83</v>
      </c>
      <c r="R2241" s="2">
        <v>0.89</v>
      </c>
      <c r="S2241" t="str">
        <f>IF(Table1[[#This Row],[Years_Experience]]&lt;=5,"Early Career",
IF(Table1[[#This Row],[Years_Experience]]&lt;=15,"Mid Career","Senior Level"))</f>
        <v>Mid Career</v>
      </c>
      <c r="T2241" t="str">
        <f>IF(Table1[[#This Row],[AI_Exposure_Index]]&gt;=0.7,"High Exposure", IF(Table1[[#This Row],[AI_Exposure_Index]]&gt;=0.3,"Medium Exposure","Low Exposure"))</f>
        <v>Medium Exposure</v>
      </c>
    </row>
    <row r="2242" spans="1:20" x14ac:dyDescent="0.25">
      <c r="A2242" t="s">
        <v>41</v>
      </c>
      <c r="B2242">
        <v>60805</v>
      </c>
      <c r="C2242" s="1">
        <v>20</v>
      </c>
      <c r="D2242" t="s">
        <v>38</v>
      </c>
      <c r="E2242" s="7">
        <v>0.66</v>
      </c>
      <c r="F2242" s="2">
        <v>0.31</v>
      </c>
      <c r="G2242" s="7">
        <v>0.79</v>
      </c>
      <c r="H2242" s="9" t="s">
        <v>20</v>
      </c>
      <c r="I2242">
        <v>0.54</v>
      </c>
      <c r="J2242">
        <v>0.2</v>
      </c>
      <c r="K2242">
        <v>0.95</v>
      </c>
      <c r="L2242">
        <v>0.9</v>
      </c>
      <c r="M2242">
        <v>0.03</v>
      </c>
      <c r="N2242">
        <v>0.56000000000000005</v>
      </c>
      <c r="O2242">
        <v>0.79</v>
      </c>
      <c r="P2242">
        <v>0.25</v>
      </c>
      <c r="Q2242">
        <v>0.52</v>
      </c>
      <c r="R2242" s="2">
        <v>0.41</v>
      </c>
      <c r="S2242" t="str">
        <f>IF(Table1[[#This Row],[Years_Experience]]&lt;=5,"Early Career",
IF(Table1[[#This Row],[Years_Experience]]&lt;=15,"Mid Career","Senior Level"))</f>
        <v>Senior Level</v>
      </c>
      <c r="T2242" t="str">
        <f>IF(Table1[[#This Row],[AI_Exposure_Index]]&gt;=0.7,"High Exposure", IF(Table1[[#This Row],[AI_Exposure_Index]]&gt;=0.3,"Medium Exposure","Low Exposure"))</f>
        <v>Medium Exposure</v>
      </c>
    </row>
    <row r="2243" spans="1:20" x14ac:dyDescent="0.25">
      <c r="A2243" t="s">
        <v>35</v>
      </c>
      <c r="B2243">
        <v>86121</v>
      </c>
      <c r="C2243" s="1">
        <v>28</v>
      </c>
      <c r="D2243" t="s">
        <v>19</v>
      </c>
      <c r="E2243" s="7">
        <v>1.49</v>
      </c>
      <c r="F2243" s="2">
        <v>0.61</v>
      </c>
      <c r="G2243" s="7">
        <v>0.45</v>
      </c>
      <c r="H2243" s="9" t="s">
        <v>27</v>
      </c>
      <c r="I2243">
        <v>0.55000000000000004</v>
      </c>
      <c r="J2243">
        <v>0.33</v>
      </c>
      <c r="K2243">
        <v>0.88</v>
      </c>
      <c r="L2243">
        <v>0.86</v>
      </c>
      <c r="M2243">
        <v>0.18</v>
      </c>
      <c r="N2243">
        <v>0.9</v>
      </c>
      <c r="O2243">
        <v>0.15</v>
      </c>
      <c r="P2243">
        <v>0.1</v>
      </c>
      <c r="Q2243">
        <v>0.65</v>
      </c>
      <c r="R2243" s="2">
        <v>0.39</v>
      </c>
      <c r="S2243" t="str">
        <f>IF(Table1[[#This Row],[Years_Experience]]&lt;=5,"Early Career",
IF(Table1[[#This Row],[Years_Experience]]&lt;=15,"Mid Career","Senior Level"))</f>
        <v>Senior Level</v>
      </c>
      <c r="T2243" t="str">
        <f>IF(Table1[[#This Row],[AI_Exposure_Index]]&gt;=0.7,"High Exposure", IF(Table1[[#This Row],[AI_Exposure_Index]]&gt;=0.3,"Medium Exposure","Low Exposure"))</f>
        <v>Medium Exposure</v>
      </c>
    </row>
    <row r="2244" spans="1:20" x14ac:dyDescent="0.25">
      <c r="A2244" t="s">
        <v>36</v>
      </c>
      <c r="B2244">
        <v>70344</v>
      </c>
      <c r="C2244" s="1">
        <v>14</v>
      </c>
      <c r="D2244" t="s">
        <v>25</v>
      </c>
      <c r="E2244" s="7">
        <v>0.55000000000000004</v>
      </c>
      <c r="F2244" s="2">
        <v>0.65</v>
      </c>
      <c r="G2244" s="7">
        <v>0.42</v>
      </c>
      <c r="H2244" s="9" t="s">
        <v>27</v>
      </c>
      <c r="I2244">
        <v>0.46</v>
      </c>
      <c r="J2244">
        <v>0.27</v>
      </c>
      <c r="K2244">
        <v>0.05</v>
      </c>
      <c r="L2244">
        <v>0.09</v>
      </c>
      <c r="M2244">
        <v>0.8</v>
      </c>
      <c r="N2244">
        <v>0.91</v>
      </c>
      <c r="O2244">
        <v>0.15</v>
      </c>
      <c r="P2244">
        <v>0.25</v>
      </c>
      <c r="Q2244">
        <v>0.65</v>
      </c>
      <c r="R2244" s="2">
        <v>0.95</v>
      </c>
      <c r="S2244" t="str">
        <f>IF(Table1[[#This Row],[Years_Experience]]&lt;=5,"Early Career",
IF(Table1[[#This Row],[Years_Experience]]&lt;=15,"Mid Career","Senior Level"))</f>
        <v>Mid Career</v>
      </c>
      <c r="T2244" t="str">
        <f>IF(Table1[[#This Row],[AI_Exposure_Index]]&gt;=0.7,"High Exposure", IF(Table1[[#This Row],[AI_Exposure_Index]]&gt;=0.3,"Medium Exposure","Low Exposure"))</f>
        <v>Medium Exposure</v>
      </c>
    </row>
    <row r="2245" spans="1:20" x14ac:dyDescent="0.25">
      <c r="A2245" t="s">
        <v>41</v>
      </c>
      <c r="B2245">
        <v>62185</v>
      </c>
      <c r="C2245" s="1">
        <v>5</v>
      </c>
      <c r="D2245" t="s">
        <v>25</v>
      </c>
      <c r="E2245" s="7">
        <v>0.59</v>
      </c>
      <c r="F2245" s="2">
        <v>0.87</v>
      </c>
      <c r="G2245" s="7">
        <v>0.76</v>
      </c>
      <c r="H2245" s="9" t="s">
        <v>20</v>
      </c>
      <c r="I2245">
        <v>0.09</v>
      </c>
      <c r="J2245">
        <v>0.1</v>
      </c>
      <c r="K2245">
        <v>0.52</v>
      </c>
      <c r="L2245">
        <v>0.69</v>
      </c>
      <c r="M2245">
        <v>0.79</v>
      </c>
      <c r="N2245">
        <v>0.7</v>
      </c>
      <c r="O2245">
        <v>0.36</v>
      </c>
      <c r="P2245">
        <v>0.56000000000000005</v>
      </c>
      <c r="Q2245">
        <v>0.93</v>
      </c>
      <c r="R2245" s="2">
        <v>0.39</v>
      </c>
      <c r="S2245" t="str">
        <f>IF(Table1[[#This Row],[Years_Experience]]&lt;=5,"Early Career",
IF(Table1[[#This Row],[Years_Experience]]&lt;=15,"Mid Career","Senior Level"))</f>
        <v>Early Career</v>
      </c>
      <c r="T2245" t="str">
        <f>IF(Table1[[#This Row],[AI_Exposure_Index]]&gt;=0.7,"High Exposure", IF(Table1[[#This Row],[AI_Exposure_Index]]&gt;=0.3,"Medium Exposure","Low Exposure"))</f>
        <v>High Exposure</v>
      </c>
    </row>
    <row r="2246" spans="1:20" x14ac:dyDescent="0.25">
      <c r="A2246" t="s">
        <v>32</v>
      </c>
      <c r="B2246">
        <v>133060</v>
      </c>
      <c r="C2246" s="1">
        <v>9</v>
      </c>
      <c r="D2246" t="s">
        <v>25</v>
      </c>
      <c r="E2246" s="7">
        <v>0.8</v>
      </c>
      <c r="F2246" s="2">
        <v>0.52</v>
      </c>
      <c r="G2246" s="7">
        <v>0.4</v>
      </c>
      <c r="H2246" s="9" t="s">
        <v>27</v>
      </c>
      <c r="I2246">
        <v>0.78</v>
      </c>
      <c r="J2246">
        <v>0.89</v>
      </c>
      <c r="K2246">
        <v>0.5</v>
      </c>
      <c r="L2246">
        <v>0.78</v>
      </c>
      <c r="M2246">
        <v>0.19</v>
      </c>
      <c r="N2246">
        <v>0.55000000000000004</v>
      </c>
      <c r="O2246">
        <v>0.64</v>
      </c>
      <c r="P2246">
        <v>0.49</v>
      </c>
      <c r="Q2246">
        <v>0.12</v>
      </c>
      <c r="R2246" s="2">
        <v>0.73</v>
      </c>
      <c r="S2246" t="str">
        <f>IF(Table1[[#This Row],[Years_Experience]]&lt;=5,"Early Career",
IF(Table1[[#This Row],[Years_Experience]]&lt;=15,"Mid Career","Senior Level"))</f>
        <v>Mid Career</v>
      </c>
      <c r="T2246" t="str">
        <f>IF(Table1[[#This Row],[AI_Exposure_Index]]&gt;=0.7,"High Exposure", IF(Table1[[#This Row],[AI_Exposure_Index]]&gt;=0.3,"Medium Exposure","Low Exposure"))</f>
        <v>Medium Exposure</v>
      </c>
    </row>
    <row r="2247" spans="1:20" x14ac:dyDescent="0.25">
      <c r="A2247" t="s">
        <v>40</v>
      </c>
      <c r="B2247">
        <v>149756</v>
      </c>
      <c r="C2247" s="1">
        <v>8</v>
      </c>
      <c r="D2247" t="s">
        <v>25</v>
      </c>
      <c r="E2247" s="7">
        <v>0.67</v>
      </c>
      <c r="F2247" s="2">
        <v>0.64</v>
      </c>
      <c r="G2247" s="7">
        <v>7.0000000000000007E-2</v>
      </c>
      <c r="H2247" s="9" t="s">
        <v>23</v>
      </c>
      <c r="I2247">
        <v>0.3</v>
      </c>
      <c r="J2247">
        <v>0.04</v>
      </c>
      <c r="K2247">
        <v>0.84</v>
      </c>
      <c r="L2247">
        <v>0.7</v>
      </c>
      <c r="M2247">
        <v>0.56000000000000005</v>
      </c>
      <c r="N2247">
        <v>0.89</v>
      </c>
      <c r="O2247">
        <v>0.11</v>
      </c>
      <c r="P2247">
        <v>0.71</v>
      </c>
      <c r="Q2247">
        <v>0.15</v>
      </c>
      <c r="R2247" s="2">
        <v>0.06</v>
      </c>
      <c r="S2247" t="str">
        <f>IF(Table1[[#This Row],[Years_Experience]]&lt;=5,"Early Career",
IF(Table1[[#This Row],[Years_Experience]]&lt;=15,"Mid Career","Senior Level"))</f>
        <v>Mid Career</v>
      </c>
      <c r="T2247" t="str">
        <f>IF(Table1[[#This Row],[AI_Exposure_Index]]&gt;=0.7,"High Exposure", IF(Table1[[#This Row],[AI_Exposure_Index]]&gt;=0.3,"Medium Exposure","Low Exposure"))</f>
        <v>Medium Exposure</v>
      </c>
    </row>
    <row r="2248" spans="1:20" x14ac:dyDescent="0.25">
      <c r="A2248" t="s">
        <v>39</v>
      </c>
      <c r="B2248">
        <v>31981</v>
      </c>
      <c r="C2248" s="1">
        <v>7</v>
      </c>
      <c r="D2248" t="s">
        <v>19</v>
      </c>
      <c r="E2248" s="7">
        <v>0.94</v>
      </c>
      <c r="F2248" s="2">
        <v>0.95</v>
      </c>
      <c r="G2248" s="7">
        <v>0.71</v>
      </c>
      <c r="H2248" s="9" t="s">
        <v>20</v>
      </c>
      <c r="I2248">
        <v>0.57999999999999996</v>
      </c>
      <c r="J2248">
        <v>0.2</v>
      </c>
      <c r="K2248">
        <v>0.01</v>
      </c>
      <c r="L2248">
        <v>0.76</v>
      </c>
      <c r="M2248">
        <v>0.15</v>
      </c>
      <c r="N2248">
        <v>0.94</v>
      </c>
      <c r="O2248">
        <v>0.59</v>
      </c>
      <c r="P2248">
        <v>0.09</v>
      </c>
      <c r="Q2248">
        <v>0.22</v>
      </c>
      <c r="R2248" s="2">
        <v>0.61</v>
      </c>
      <c r="S2248" t="str">
        <f>IF(Table1[[#This Row],[Years_Experience]]&lt;=5,"Early Career",
IF(Table1[[#This Row],[Years_Experience]]&lt;=15,"Mid Career","Senior Level"))</f>
        <v>Mid Career</v>
      </c>
      <c r="T2248" t="str">
        <f>IF(Table1[[#This Row],[AI_Exposure_Index]]&gt;=0.7,"High Exposure", IF(Table1[[#This Row],[AI_Exposure_Index]]&gt;=0.3,"Medium Exposure","Low Exposure"))</f>
        <v>High Exposure</v>
      </c>
    </row>
    <row r="2249" spans="1:20" x14ac:dyDescent="0.25">
      <c r="A2249" t="s">
        <v>34</v>
      </c>
      <c r="B2249">
        <v>66443</v>
      </c>
      <c r="C2249" s="1">
        <v>3</v>
      </c>
      <c r="D2249" t="s">
        <v>25</v>
      </c>
      <c r="E2249" s="7">
        <v>1.3</v>
      </c>
      <c r="F2249" s="2">
        <v>0.53</v>
      </c>
      <c r="G2249" s="7">
        <v>0.62</v>
      </c>
      <c r="H2249" s="9" t="s">
        <v>27</v>
      </c>
      <c r="I2249">
        <v>0.7</v>
      </c>
      <c r="J2249">
        <v>0.89</v>
      </c>
      <c r="K2249">
        <v>0.2</v>
      </c>
      <c r="L2249">
        <v>0.18</v>
      </c>
      <c r="M2249">
        <v>0.8</v>
      </c>
      <c r="N2249">
        <v>0.32</v>
      </c>
      <c r="O2249">
        <v>0.51</v>
      </c>
      <c r="P2249">
        <v>0.74</v>
      </c>
      <c r="Q2249">
        <v>0.4</v>
      </c>
      <c r="R2249" s="2">
        <v>0.13</v>
      </c>
      <c r="S2249" t="str">
        <f>IF(Table1[[#This Row],[Years_Experience]]&lt;=5,"Early Career",
IF(Table1[[#This Row],[Years_Experience]]&lt;=15,"Mid Career","Senior Level"))</f>
        <v>Early Career</v>
      </c>
      <c r="T2249" t="str">
        <f>IF(Table1[[#This Row],[AI_Exposure_Index]]&gt;=0.7,"High Exposure", IF(Table1[[#This Row],[AI_Exposure_Index]]&gt;=0.3,"Medium Exposure","Low Exposure"))</f>
        <v>Medium Exposure</v>
      </c>
    </row>
    <row r="2250" spans="1:20" x14ac:dyDescent="0.25">
      <c r="A2250" t="s">
        <v>24</v>
      </c>
      <c r="B2250">
        <v>89434</v>
      </c>
      <c r="C2250" s="1">
        <v>5</v>
      </c>
      <c r="D2250" t="s">
        <v>22</v>
      </c>
      <c r="E2250" s="7">
        <v>0.51</v>
      </c>
      <c r="F2250" s="2">
        <v>0.82</v>
      </c>
      <c r="G2250" s="7">
        <v>0.84</v>
      </c>
      <c r="H2250" s="9" t="s">
        <v>20</v>
      </c>
      <c r="I2250">
        <v>0.47</v>
      </c>
      <c r="J2250">
        <v>0.26</v>
      </c>
      <c r="K2250">
        <v>0.16</v>
      </c>
      <c r="L2250">
        <v>0.19</v>
      </c>
      <c r="M2250">
        <v>0.72</v>
      </c>
      <c r="N2250">
        <v>0.54</v>
      </c>
      <c r="O2250">
        <v>0.98</v>
      </c>
      <c r="P2250">
        <v>0.24</v>
      </c>
      <c r="Q2250">
        <v>0.96</v>
      </c>
      <c r="R2250" s="2">
        <v>0.52</v>
      </c>
      <c r="S2250" t="str">
        <f>IF(Table1[[#This Row],[Years_Experience]]&lt;=5,"Early Career",
IF(Table1[[#This Row],[Years_Experience]]&lt;=15,"Mid Career","Senior Level"))</f>
        <v>Early Career</v>
      </c>
      <c r="T2250" t="str">
        <f>IF(Table1[[#This Row],[AI_Exposure_Index]]&gt;=0.7,"High Exposure", IF(Table1[[#This Row],[AI_Exposure_Index]]&gt;=0.3,"Medium Exposure","Low Exposure"))</f>
        <v>High Exposure</v>
      </c>
    </row>
    <row r="2251" spans="1:20" x14ac:dyDescent="0.25">
      <c r="A2251" t="s">
        <v>43</v>
      </c>
      <c r="B2251">
        <v>73159</v>
      </c>
      <c r="C2251" s="1">
        <v>20</v>
      </c>
      <c r="D2251" t="s">
        <v>38</v>
      </c>
      <c r="E2251" s="7">
        <v>0.56000000000000005</v>
      </c>
      <c r="F2251" s="2">
        <v>0.02</v>
      </c>
      <c r="G2251" s="7">
        <v>0.08</v>
      </c>
      <c r="H2251" s="9" t="s">
        <v>23</v>
      </c>
      <c r="I2251">
        <v>0.34</v>
      </c>
      <c r="J2251">
        <v>0.12</v>
      </c>
      <c r="K2251">
        <v>0.43</v>
      </c>
      <c r="L2251">
        <v>0.18</v>
      </c>
      <c r="M2251">
        <v>0.78</v>
      </c>
      <c r="N2251">
        <v>0.87</v>
      </c>
      <c r="O2251">
        <v>0.39</v>
      </c>
      <c r="P2251">
        <v>0.51</v>
      </c>
      <c r="Q2251">
        <v>0.95</v>
      </c>
      <c r="R2251" s="2">
        <v>0.54</v>
      </c>
      <c r="S2251" t="str">
        <f>IF(Table1[[#This Row],[Years_Experience]]&lt;=5,"Early Career",
IF(Table1[[#This Row],[Years_Experience]]&lt;=15,"Mid Career","Senior Level"))</f>
        <v>Senior Level</v>
      </c>
      <c r="T2251" t="str">
        <f>IF(Table1[[#This Row],[AI_Exposure_Index]]&gt;=0.7,"High Exposure", IF(Table1[[#This Row],[AI_Exposure_Index]]&gt;=0.3,"Medium Exposure","Low Exposure"))</f>
        <v>Low Exposure</v>
      </c>
    </row>
    <row r="2252" spans="1:20" x14ac:dyDescent="0.25">
      <c r="A2252" t="s">
        <v>36</v>
      </c>
      <c r="B2252">
        <v>103298</v>
      </c>
      <c r="C2252" s="1">
        <v>14</v>
      </c>
      <c r="D2252" t="s">
        <v>19</v>
      </c>
      <c r="E2252" s="7">
        <v>1.36</v>
      </c>
      <c r="F2252" s="2">
        <v>0.14000000000000001</v>
      </c>
      <c r="G2252" s="7">
        <v>0.5</v>
      </c>
      <c r="H2252" s="9" t="s">
        <v>27</v>
      </c>
      <c r="I2252">
        <v>0.02</v>
      </c>
      <c r="J2252">
        <v>0.97</v>
      </c>
      <c r="K2252">
        <v>0.97</v>
      </c>
      <c r="L2252">
        <v>0.38</v>
      </c>
      <c r="M2252">
        <v>0.95</v>
      </c>
      <c r="N2252">
        <v>0.14000000000000001</v>
      </c>
      <c r="O2252">
        <v>0.68</v>
      </c>
      <c r="P2252">
        <v>0.19</v>
      </c>
      <c r="Q2252">
        <v>0.25</v>
      </c>
      <c r="R2252" s="2">
        <v>0.78</v>
      </c>
      <c r="S2252" t="str">
        <f>IF(Table1[[#This Row],[Years_Experience]]&lt;=5,"Early Career",
IF(Table1[[#This Row],[Years_Experience]]&lt;=15,"Mid Career","Senior Level"))</f>
        <v>Mid Career</v>
      </c>
      <c r="T2252" t="str">
        <f>IF(Table1[[#This Row],[AI_Exposure_Index]]&gt;=0.7,"High Exposure", IF(Table1[[#This Row],[AI_Exposure_Index]]&gt;=0.3,"Medium Exposure","Low Exposure"))</f>
        <v>Low Exposure</v>
      </c>
    </row>
    <row r="2253" spans="1:20" x14ac:dyDescent="0.25">
      <c r="A2253" t="s">
        <v>31</v>
      </c>
      <c r="B2253">
        <v>65357</v>
      </c>
      <c r="C2253" s="1">
        <v>3</v>
      </c>
      <c r="D2253" t="s">
        <v>38</v>
      </c>
      <c r="E2253" s="7">
        <v>0.91</v>
      </c>
      <c r="F2253" s="2">
        <v>0.01</v>
      </c>
      <c r="G2253" s="7">
        <v>0.11</v>
      </c>
      <c r="H2253" s="9" t="s">
        <v>23</v>
      </c>
      <c r="I2253">
        <v>0.68</v>
      </c>
      <c r="J2253">
        <v>0.19</v>
      </c>
      <c r="K2253">
        <v>0.84</v>
      </c>
      <c r="L2253">
        <v>0.27</v>
      </c>
      <c r="M2253">
        <v>0.39</v>
      </c>
      <c r="N2253">
        <v>0.3</v>
      </c>
      <c r="O2253">
        <v>0.64</v>
      </c>
      <c r="P2253">
        <v>0.1</v>
      </c>
      <c r="Q2253">
        <v>0.48</v>
      </c>
      <c r="R2253" s="2">
        <v>0.33</v>
      </c>
      <c r="S2253" t="str">
        <f>IF(Table1[[#This Row],[Years_Experience]]&lt;=5,"Early Career",
IF(Table1[[#This Row],[Years_Experience]]&lt;=15,"Mid Career","Senior Level"))</f>
        <v>Early Career</v>
      </c>
      <c r="T2253" t="str">
        <f>IF(Table1[[#This Row],[AI_Exposure_Index]]&gt;=0.7,"High Exposure", IF(Table1[[#This Row],[AI_Exposure_Index]]&gt;=0.3,"Medium Exposure","Low Exposure"))</f>
        <v>Low Exposure</v>
      </c>
    </row>
    <row r="2254" spans="1:20" x14ac:dyDescent="0.25">
      <c r="A2254" t="s">
        <v>31</v>
      </c>
      <c r="B2254">
        <v>86735</v>
      </c>
      <c r="C2254" s="1">
        <v>6</v>
      </c>
      <c r="D2254" t="s">
        <v>25</v>
      </c>
      <c r="E2254" s="7">
        <v>1.33</v>
      </c>
      <c r="F2254" s="2">
        <v>7.0000000000000007E-2</v>
      </c>
      <c r="G2254" s="7">
        <v>0.09</v>
      </c>
      <c r="H2254" s="9" t="s">
        <v>23</v>
      </c>
      <c r="I2254">
        <v>0.09</v>
      </c>
      <c r="J2254">
        <v>0.2</v>
      </c>
      <c r="K2254">
        <v>0.1</v>
      </c>
      <c r="L2254">
        <v>0.52</v>
      </c>
      <c r="M2254">
        <v>0.99</v>
      </c>
      <c r="N2254">
        <v>0.03</v>
      </c>
      <c r="O2254">
        <v>0.46</v>
      </c>
      <c r="P2254">
        <v>0.39</v>
      </c>
      <c r="Q2254">
        <v>0.34</v>
      </c>
      <c r="R2254" s="2">
        <v>0.33</v>
      </c>
      <c r="S2254" t="str">
        <f>IF(Table1[[#This Row],[Years_Experience]]&lt;=5,"Early Career",
IF(Table1[[#This Row],[Years_Experience]]&lt;=15,"Mid Career","Senior Level"))</f>
        <v>Mid Career</v>
      </c>
      <c r="T2254" t="str">
        <f>IF(Table1[[#This Row],[AI_Exposure_Index]]&gt;=0.7,"High Exposure", IF(Table1[[#This Row],[AI_Exposure_Index]]&gt;=0.3,"Medium Exposure","Low Exposure"))</f>
        <v>Low Exposure</v>
      </c>
    </row>
    <row r="2255" spans="1:20" x14ac:dyDescent="0.25">
      <c r="A2255" t="s">
        <v>35</v>
      </c>
      <c r="B2255">
        <v>131977</v>
      </c>
      <c r="C2255" s="1">
        <v>0</v>
      </c>
      <c r="D2255" t="s">
        <v>19</v>
      </c>
      <c r="E2255" s="7">
        <v>1.27</v>
      </c>
      <c r="F2255" s="2">
        <v>0.02</v>
      </c>
      <c r="G2255" s="7">
        <v>0.4</v>
      </c>
      <c r="H2255" s="9" t="s">
        <v>27</v>
      </c>
      <c r="I2255">
        <v>0.38</v>
      </c>
      <c r="J2255">
        <v>0.42</v>
      </c>
      <c r="K2255">
        <v>0.3</v>
      </c>
      <c r="L2255">
        <v>0.09</v>
      </c>
      <c r="M2255">
        <v>0.11</v>
      </c>
      <c r="N2255">
        <v>0.3</v>
      </c>
      <c r="O2255">
        <v>0.82</v>
      </c>
      <c r="P2255">
        <v>0.13</v>
      </c>
      <c r="Q2255">
        <v>0.74</v>
      </c>
      <c r="R2255" s="2">
        <v>0.28999999999999998</v>
      </c>
      <c r="S2255" t="str">
        <f>IF(Table1[[#This Row],[Years_Experience]]&lt;=5,"Early Career",
IF(Table1[[#This Row],[Years_Experience]]&lt;=15,"Mid Career","Senior Level"))</f>
        <v>Early Career</v>
      </c>
      <c r="T2255" t="str">
        <f>IF(Table1[[#This Row],[AI_Exposure_Index]]&gt;=0.7,"High Exposure", IF(Table1[[#This Row],[AI_Exposure_Index]]&gt;=0.3,"Medium Exposure","Low Exposure"))</f>
        <v>Low Exposure</v>
      </c>
    </row>
    <row r="2256" spans="1:20" x14ac:dyDescent="0.25">
      <c r="A2256" t="s">
        <v>43</v>
      </c>
      <c r="B2256">
        <v>79684</v>
      </c>
      <c r="C2256" s="1">
        <v>7</v>
      </c>
      <c r="D2256" t="s">
        <v>19</v>
      </c>
      <c r="E2256" s="7">
        <v>0.67</v>
      </c>
      <c r="F2256" s="2">
        <v>0.43</v>
      </c>
      <c r="G2256" s="7">
        <v>0.3</v>
      </c>
      <c r="H2256" s="9" t="s">
        <v>23</v>
      </c>
      <c r="I2256">
        <v>0.18</v>
      </c>
      <c r="J2256">
        <v>0.56999999999999995</v>
      </c>
      <c r="K2256">
        <v>0.56999999999999995</v>
      </c>
      <c r="L2256">
        <v>0.37</v>
      </c>
      <c r="M2256">
        <v>0.95</v>
      </c>
      <c r="N2256">
        <v>0.84</v>
      </c>
      <c r="O2256">
        <v>0.83</v>
      </c>
      <c r="P2256">
        <v>0.97</v>
      </c>
      <c r="Q2256">
        <v>0.46</v>
      </c>
      <c r="R2256" s="2">
        <v>0.1</v>
      </c>
      <c r="S2256" t="str">
        <f>IF(Table1[[#This Row],[Years_Experience]]&lt;=5,"Early Career",
IF(Table1[[#This Row],[Years_Experience]]&lt;=15,"Mid Career","Senior Level"))</f>
        <v>Mid Career</v>
      </c>
      <c r="T2256" t="str">
        <f>IF(Table1[[#This Row],[AI_Exposure_Index]]&gt;=0.7,"High Exposure", IF(Table1[[#This Row],[AI_Exposure_Index]]&gt;=0.3,"Medium Exposure","Low Exposure"))</f>
        <v>Medium Exposure</v>
      </c>
    </row>
    <row r="2257" spans="1:20" x14ac:dyDescent="0.25">
      <c r="A2257" t="s">
        <v>21</v>
      </c>
      <c r="B2257">
        <v>90273</v>
      </c>
      <c r="C2257" s="1">
        <v>25</v>
      </c>
      <c r="D2257" t="s">
        <v>38</v>
      </c>
      <c r="E2257" s="7">
        <v>0.69</v>
      </c>
      <c r="F2257" s="2">
        <v>0.38</v>
      </c>
      <c r="G2257" s="7">
        <v>0.17</v>
      </c>
      <c r="H2257" s="9" t="s">
        <v>23</v>
      </c>
      <c r="I2257">
        <v>0.93</v>
      </c>
      <c r="J2257">
        <v>0.17</v>
      </c>
      <c r="K2257">
        <v>0.85</v>
      </c>
      <c r="L2257">
        <v>0.42</v>
      </c>
      <c r="M2257">
        <v>0.14000000000000001</v>
      </c>
      <c r="N2257">
        <v>0.85</v>
      </c>
      <c r="O2257">
        <v>0.97</v>
      </c>
      <c r="P2257">
        <v>0.28999999999999998</v>
      </c>
      <c r="Q2257">
        <v>0.3</v>
      </c>
      <c r="R2257" s="2">
        <v>0.39</v>
      </c>
      <c r="S2257" t="str">
        <f>IF(Table1[[#This Row],[Years_Experience]]&lt;=5,"Early Career",
IF(Table1[[#This Row],[Years_Experience]]&lt;=15,"Mid Career","Senior Level"))</f>
        <v>Senior Level</v>
      </c>
      <c r="T2257" t="str">
        <f>IF(Table1[[#This Row],[AI_Exposure_Index]]&gt;=0.7,"High Exposure", IF(Table1[[#This Row],[AI_Exposure_Index]]&gt;=0.3,"Medium Exposure","Low Exposure"))</f>
        <v>Medium Exposure</v>
      </c>
    </row>
    <row r="2258" spans="1:20" x14ac:dyDescent="0.25">
      <c r="A2258" t="s">
        <v>33</v>
      </c>
      <c r="B2258">
        <v>85547</v>
      </c>
      <c r="C2258" s="1">
        <v>1</v>
      </c>
      <c r="D2258" t="s">
        <v>22</v>
      </c>
      <c r="E2258" s="7">
        <v>0.72</v>
      </c>
      <c r="F2258" s="2">
        <v>0.01</v>
      </c>
      <c r="G2258" s="7">
        <v>0.88</v>
      </c>
      <c r="H2258" s="9" t="s">
        <v>20</v>
      </c>
      <c r="I2258">
        <v>0.41</v>
      </c>
      <c r="J2258">
        <v>0.33</v>
      </c>
      <c r="K2258">
        <v>0.87</v>
      </c>
      <c r="L2258">
        <v>0.92</v>
      </c>
      <c r="M2258">
        <v>0.95</v>
      </c>
      <c r="N2258">
        <v>0.27</v>
      </c>
      <c r="O2258">
        <v>0.91</v>
      </c>
      <c r="P2258">
        <v>0.74</v>
      </c>
      <c r="Q2258">
        <v>0.15</v>
      </c>
      <c r="R2258" s="2">
        <v>0.61</v>
      </c>
      <c r="S2258" t="str">
        <f>IF(Table1[[#This Row],[Years_Experience]]&lt;=5,"Early Career",
IF(Table1[[#This Row],[Years_Experience]]&lt;=15,"Mid Career","Senior Level"))</f>
        <v>Early Career</v>
      </c>
      <c r="T2258" t="str">
        <f>IF(Table1[[#This Row],[AI_Exposure_Index]]&gt;=0.7,"High Exposure", IF(Table1[[#This Row],[AI_Exposure_Index]]&gt;=0.3,"Medium Exposure","Low Exposure"))</f>
        <v>Low Exposure</v>
      </c>
    </row>
    <row r="2259" spans="1:20" x14ac:dyDescent="0.25">
      <c r="A2259" t="s">
        <v>35</v>
      </c>
      <c r="B2259">
        <v>117429</v>
      </c>
      <c r="C2259" s="1">
        <v>26</v>
      </c>
      <c r="D2259" t="s">
        <v>22</v>
      </c>
      <c r="E2259" s="7">
        <v>0.72</v>
      </c>
      <c r="F2259" s="2">
        <v>0.63</v>
      </c>
      <c r="G2259" s="7">
        <v>0.4</v>
      </c>
      <c r="H2259" s="9" t="s">
        <v>27</v>
      </c>
      <c r="I2259">
        <v>0.79</v>
      </c>
      <c r="J2259">
        <v>0.69</v>
      </c>
      <c r="K2259">
        <v>0.88</v>
      </c>
      <c r="L2259">
        <v>0.4</v>
      </c>
      <c r="M2259">
        <v>0.55000000000000004</v>
      </c>
      <c r="N2259">
        <v>0.74</v>
      </c>
      <c r="O2259">
        <v>0.97</v>
      </c>
      <c r="P2259">
        <v>0.99</v>
      </c>
      <c r="Q2259">
        <v>1</v>
      </c>
      <c r="R2259" s="2">
        <v>0.89</v>
      </c>
      <c r="S2259" t="str">
        <f>IF(Table1[[#This Row],[Years_Experience]]&lt;=5,"Early Career",
IF(Table1[[#This Row],[Years_Experience]]&lt;=15,"Mid Career","Senior Level"))</f>
        <v>Senior Level</v>
      </c>
      <c r="T2259" t="str">
        <f>IF(Table1[[#This Row],[AI_Exposure_Index]]&gt;=0.7,"High Exposure", IF(Table1[[#This Row],[AI_Exposure_Index]]&gt;=0.3,"Medium Exposure","Low Exposure"))</f>
        <v>Medium Exposure</v>
      </c>
    </row>
    <row r="2260" spans="1:20" x14ac:dyDescent="0.25">
      <c r="A2260" t="s">
        <v>21</v>
      </c>
      <c r="B2260">
        <v>40208</v>
      </c>
      <c r="C2260" s="1">
        <v>23</v>
      </c>
      <c r="D2260" t="s">
        <v>38</v>
      </c>
      <c r="E2260" s="7">
        <v>1.2</v>
      </c>
      <c r="F2260" s="2">
        <v>0.01</v>
      </c>
      <c r="G2260" s="7">
        <v>0.11</v>
      </c>
      <c r="H2260" s="9" t="s">
        <v>23</v>
      </c>
      <c r="I2260">
        <v>0.06</v>
      </c>
      <c r="J2260">
        <v>0.7</v>
      </c>
      <c r="K2260">
        <v>0.76</v>
      </c>
      <c r="L2260">
        <v>0.66</v>
      </c>
      <c r="M2260">
        <v>0.37</v>
      </c>
      <c r="N2260">
        <v>0.51</v>
      </c>
      <c r="O2260">
        <v>0.93</v>
      </c>
      <c r="P2260">
        <v>0.73</v>
      </c>
      <c r="Q2260">
        <v>0.5</v>
      </c>
      <c r="R2260" s="2">
        <v>0.59</v>
      </c>
      <c r="S2260" t="str">
        <f>IF(Table1[[#This Row],[Years_Experience]]&lt;=5,"Early Career",
IF(Table1[[#This Row],[Years_Experience]]&lt;=15,"Mid Career","Senior Level"))</f>
        <v>Senior Level</v>
      </c>
      <c r="T2260" t="str">
        <f>IF(Table1[[#This Row],[AI_Exposure_Index]]&gt;=0.7,"High Exposure", IF(Table1[[#This Row],[AI_Exposure_Index]]&gt;=0.3,"Medium Exposure","Low Exposure"))</f>
        <v>Low Exposure</v>
      </c>
    </row>
    <row r="2261" spans="1:20" x14ac:dyDescent="0.25">
      <c r="A2261" t="s">
        <v>24</v>
      </c>
      <c r="B2261">
        <v>74056</v>
      </c>
      <c r="C2261" s="1">
        <v>23</v>
      </c>
      <c r="D2261" t="s">
        <v>38</v>
      </c>
      <c r="E2261" s="7">
        <v>0.6</v>
      </c>
      <c r="F2261" s="2">
        <v>0.39</v>
      </c>
      <c r="G2261" s="7">
        <v>0.78</v>
      </c>
      <c r="H2261" s="9" t="s">
        <v>20</v>
      </c>
      <c r="I2261">
        <v>0.42</v>
      </c>
      <c r="J2261">
        <v>0.27</v>
      </c>
      <c r="K2261">
        <v>0.53</v>
      </c>
      <c r="L2261">
        <v>0.3</v>
      </c>
      <c r="M2261">
        <v>0.1</v>
      </c>
      <c r="N2261">
        <v>0.19</v>
      </c>
      <c r="O2261">
        <v>0.92</v>
      </c>
      <c r="P2261">
        <v>0.63</v>
      </c>
      <c r="Q2261">
        <v>0.31</v>
      </c>
      <c r="R2261" s="2">
        <v>0.37</v>
      </c>
      <c r="S2261" t="str">
        <f>IF(Table1[[#This Row],[Years_Experience]]&lt;=5,"Early Career",
IF(Table1[[#This Row],[Years_Experience]]&lt;=15,"Mid Career","Senior Level"))</f>
        <v>Senior Level</v>
      </c>
      <c r="T2261" t="str">
        <f>IF(Table1[[#This Row],[AI_Exposure_Index]]&gt;=0.7,"High Exposure", IF(Table1[[#This Row],[AI_Exposure_Index]]&gt;=0.3,"Medium Exposure","Low Exposure"))</f>
        <v>Medium Exposure</v>
      </c>
    </row>
    <row r="2262" spans="1:20" x14ac:dyDescent="0.25">
      <c r="A2262" t="s">
        <v>29</v>
      </c>
      <c r="B2262">
        <v>53553</v>
      </c>
      <c r="C2262" s="1">
        <v>8</v>
      </c>
      <c r="D2262" t="s">
        <v>38</v>
      </c>
      <c r="E2262" s="7">
        <v>1.08</v>
      </c>
      <c r="F2262" s="2">
        <v>0.67</v>
      </c>
      <c r="G2262" s="7">
        <v>0.28000000000000003</v>
      </c>
      <c r="H2262" s="9" t="s">
        <v>23</v>
      </c>
      <c r="I2262">
        <v>0.63</v>
      </c>
      <c r="J2262">
        <v>0.91</v>
      </c>
      <c r="K2262">
        <v>0.01</v>
      </c>
      <c r="L2262">
        <v>0.89</v>
      </c>
      <c r="M2262">
        <v>0.72</v>
      </c>
      <c r="N2262">
        <v>0.17</v>
      </c>
      <c r="O2262">
        <v>0.26</v>
      </c>
      <c r="P2262">
        <v>0.54</v>
      </c>
      <c r="Q2262">
        <v>0.12</v>
      </c>
      <c r="R2262" s="2">
        <v>0.79</v>
      </c>
      <c r="S2262" t="str">
        <f>IF(Table1[[#This Row],[Years_Experience]]&lt;=5,"Early Career",
IF(Table1[[#This Row],[Years_Experience]]&lt;=15,"Mid Career","Senior Level"))</f>
        <v>Mid Career</v>
      </c>
      <c r="T2262" t="str">
        <f>IF(Table1[[#This Row],[AI_Exposure_Index]]&gt;=0.7,"High Exposure", IF(Table1[[#This Row],[AI_Exposure_Index]]&gt;=0.3,"Medium Exposure","Low Exposure"))</f>
        <v>Medium Exposure</v>
      </c>
    </row>
    <row r="2263" spans="1:20" x14ac:dyDescent="0.25">
      <c r="A2263" t="s">
        <v>39</v>
      </c>
      <c r="B2263">
        <v>54287</v>
      </c>
      <c r="C2263" s="1">
        <v>4</v>
      </c>
      <c r="D2263" t="s">
        <v>25</v>
      </c>
      <c r="E2263" s="7">
        <v>0.56999999999999995</v>
      </c>
      <c r="F2263" s="2">
        <v>0.3</v>
      </c>
      <c r="G2263" s="7">
        <v>0.95</v>
      </c>
      <c r="H2263" s="9" t="s">
        <v>20</v>
      </c>
      <c r="I2263">
        <v>0.25</v>
      </c>
      <c r="J2263">
        <v>7.0000000000000007E-2</v>
      </c>
      <c r="K2263">
        <v>0.33</v>
      </c>
      <c r="L2263">
        <v>0.97</v>
      </c>
      <c r="M2263">
        <v>0.79</v>
      </c>
      <c r="N2263">
        <v>0.48</v>
      </c>
      <c r="O2263">
        <v>0.31</v>
      </c>
      <c r="P2263">
        <v>0.42</v>
      </c>
      <c r="Q2263">
        <v>0.02</v>
      </c>
      <c r="R2263" s="2">
        <v>0.72</v>
      </c>
      <c r="S2263" t="str">
        <f>IF(Table1[[#This Row],[Years_Experience]]&lt;=5,"Early Career",
IF(Table1[[#This Row],[Years_Experience]]&lt;=15,"Mid Career","Senior Level"))</f>
        <v>Early Career</v>
      </c>
      <c r="T2263" t="str">
        <f>IF(Table1[[#This Row],[AI_Exposure_Index]]&gt;=0.7,"High Exposure", IF(Table1[[#This Row],[AI_Exposure_Index]]&gt;=0.3,"Medium Exposure","Low Exposure"))</f>
        <v>Medium Exposure</v>
      </c>
    </row>
    <row r="2264" spans="1:20" x14ac:dyDescent="0.25">
      <c r="A2264" t="s">
        <v>32</v>
      </c>
      <c r="B2264">
        <v>48803</v>
      </c>
      <c r="C2264" s="1">
        <v>27</v>
      </c>
      <c r="D2264" t="s">
        <v>22</v>
      </c>
      <c r="E2264" s="7">
        <v>1.07</v>
      </c>
      <c r="F2264" s="2">
        <v>0.52</v>
      </c>
      <c r="G2264" s="7">
        <v>0.3</v>
      </c>
      <c r="H2264" s="9" t="s">
        <v>23</v>
      </c>
      <c r="I2264">
        <v>0.98</v>
      </c>
      <c r="J2264">
        <v>0.3</v>
      </c>
      <c r="K2264">
        <v>0.08</v>
      </c>
      <c r="L2264">
        <v>0.85</v>
      </c>
      <c r="M2264">
        <v>0.15</v>
      </c>
      <c r="N2264">
        <v>0.02</v>
      </c>
      <c r="O2264">
        <v>0.49</v>
      </c>
      <c r="P2264">
        <v>0.13</v>
      </c>
      <c r="Q2264">
        <v>0.98</v>
      </c>
      <c r="R2264" s="2">
        <v>0.01</v>
      </c>
      <c r="S2264" t="str">
        <f>IF(Table1[[#This Row],[Years_Experience]]&lt;=5,"Early Career",
IF(Table1[[#This Row],[Years_Experience]]&lt;=15,"Mid Career","Senior Level"))</f>
        <v>Senior Level</v>
      </c>
      <c r="T2264" t="str">
        <f>IF(Table1[[#This Row],[AI_Exposure_Index]]&gt;=0.7,"High Exposure", IF(Table1[[#This Row],[AI_Exposure_Index]]&gt;=0.3,"Medium Exposure","Low Exposure"))</f>
        <v>Medium Exposure</v>
      </c>
    </row>
    <row r="2265" spans="1:20" x14ac:dyDescent="0.25">
      <c r="A2265" t="s">
        <v>31</v>
      </c>
      <c r="B2265">
        <v>113192</v>
      </c>
      <c r="C2265" s="1">
        <v>28</v>
      </c>
      <c r="D2265" t="s">
        <v>25</v>
      </c>
      <c r="E2265" s="7">
        <v>0.74</v>
      </c>
      <c r="F2265" s="2">
        <v>0.83</v>
      </c>
      <c r="G2265" s="7">
        <v>0.28000000000000003</v>
      </c>
      <c r="H2265" s="9" t="s">
        <v>23</v>
      </c>
      <c r="I2265">
        <v>0.31</v>
      </c>
      <c r="J2265">
        <v>7.0000000000000007E-2</v>
      </c>
      <c r="K2265">
        <v>0.01</v>
      </c>
      <c r="L2265">
        <v>0.28000000000000003</v>
      </c>
      <c r="M2265">
        <v>0.47</v>
      </c>
      <c r="N2265">
        <v>0</v>
      </c>
      <c r="O2265">
        <v>0.57999999999999996</v>
      </c>
      <c r="P2265">
        <v>0.33</v>
      </c>
      <c r="Q2265">
        <v>0.39</v>
      </c>
      <c r="R2265" s="2">
        <v>0.26</v>
      </c>
      <c r="S2265" t="str">
        <f>IF(Table1[[#This Row],[Years_Experience]]&lt;=5,"Early Career",
IF(Table1[[#This Row],[Years_Experience]]&lt;=15,"Mid Career","Senior Level"))</f>
        <v>Senior Level</v>
      </c>
      <c r="T2265" t="str">
        <f>IF(Table1[[#This Row],[AI_Exposure_Index]]&gt;=0.7,"High Exposure", IF(Table1[[#This Row],[AI_Exposure_Index]]&gt;=0.3,"Medium Exposure","Low Exposure"))</f>
        <v>High Exposure</v>
      </c>
    </row>
    <row r="2266" spans="1:20" x14ac:dyDescent="0.25">
      <c r="A2266" t="s">
        <v>31</v>
      </c>
      <c r="B2266">
        <v>128740</v>
      </c>
      <c r="C2266" s="1">
        <v>9</v>
      </c>
      <c r="D2266" t="s">
        <v>38</v>
      </c>
      <c r="E2266" s="7">
        <v>0.63</v>
      </c>
      <c r="F2266" s="2">
        <v>0.23</v>
      </c>
      <c r="G2266" s="7">
        <v>0.27</v>
      </c>
      <c r="H2266" s="9" t="s">
        <v>23</v>
      </c>
      <c r="I2266">
        <v>0.39</v>
      </c>
      <c r="J2266">
        <v>0.08</v>
      </c>
      <c r="K2266">
        <v>0.23</v>
      </c>
      <c r="L2266">
        <v>0.31</v>
      </c>
      <c r="M2266">
        <v>0.77</v>
      </c>
      <c r="N2266">
        <v>0.02</v>
      </c>
      <c r="O2266">
        <v>0.48</v>
      </c>
      <c r="P2266">
        <v>0.41</v>
      </c>
      <c r="Q2266">
        <v>0.97</v>
      </c>
      <c r="R2266" s="2">
        <v>0.18</v>
      </c>
      <c r="S2266" t="str">
        <f>IF(Table1[[#This Row],[Years_Experience]]&lt;=5,"Early Career",
IF(Table1[[#This Row],[Years_Experience]]&lt;=15,"Mid Career","Senior Level"))</f>
        <v>Mid Career</v>
      </c>
      <c r="T2266" t="str">
        <f>IF(Table1[[#This Row],[AI_Exposure_Index]]&gt;=0.7,"High Exposure", IF(Table1[[#This Row],[AI_Exposure_Index]]&gt;=0.3,"Medium Exposure","Low Exposure"))</f>
        <v>Low Exposure</v>
      </c>
    </row>
    <row r="2267" spans="1:20" x14ac:dyDescent="0.25">
      <c r="A2267" t="s">
        <v>30</v>
      </c>
      <c r="B2267">
        <v>38996</v>
      </c>
      <c r="C2267" s="1">
        <v>20</v>
      </c>
      <c r="D2267" t="s">
        <v>19</v>
      </c>
      <c r="E2267" s="7">
        <v>1.05</v>
      </c>
      <c r="F2267" s="2">
        <v>0.2</v>
      </c>
      <c r="G2267" s="7">
        <v>0.52</v>
      </c>
      <c r="H2267" s="9" t="s">
        <v>27</v>
      </c>
      <c r="I2267">
        <v>0.08</v>
      </c>
      <c r="J2267">
        <v>0.46</v>
      </c>
      <c r="K2267">
        <v>0.46</v>
      </c>
      <c r="L2267">
        <v>0.32</v>
      </c>
      <c r="M2267">
        <v>0.28000000000000003</v>
      </c>
      <c r="N2267">
        <v>0.22</v>
      </c>
      <c r="O2267">
        <v>0.01</v>
      </c>
      <c r="P2267">
        <v>0</v>
      </c>
      <c r="Q2267">
        <v>0.59</v>
      </c>
      <c r="R2267" s="2">
        <v>0.28999999999999998</v>
      </c>
      <c r="S2267" t="str">
        <f>IF(Table1[[#This Row],[Years_Experience]]&lt;=5,"Early Career",
IF(Table1[[#This Row],[Years_Experience]]&lt;=15,"Mid Career","Senior Level"))</f>
        <v>Senior Level</v>
      </c>
      <c r="T2267" t="str">
        <f>IF(Table1[[#This Row],[AI_Exposure_Index]]&gt;=0.7,"High Exposure", IF(Table1[[#This Row],[AI_Exposure_Index]]&gt;=0.3,"Medium Exposure","Low Exposure"))</f>
        <v>Low Exposure</v>
      </c>
    </row>
    <row r="2268" spans="1:20" x14ac:dyDescent="0.25">
      <c r="A2268" t="s">
        <v>37</v>
      </c>
      <c r="B2268">
        <v>79210</v>
      </c>
      <c r="C2268" s="1">
        <v>8</v>
      </c>
      <c r="D2268" t="s">
        <v>25</v>
      </c>
      <c r="E2268" s="7">
        <v>1.03</v>
      </c>
      <c r="F2268" s="2">
        <v>0.68</v>
      </c>
      <c r="G2268" s="7">
        <v>0.67</v>
      </c>
      <c r="H2268" s="9" t="s">
        <v>27</v>
      </c>
      <c r="I2268">
        <v>0.83</v>
      </c>
      <c r="J2268">
        <v>0.73</v>
      </c>
      <c r="K2268">
        <v>0.13</v>
      </c>
      <c r="L2268">
        <v>0.67</v>
      </c>
      <c r="M2268">
        <v>0.69</v>
      </c>
      <c r="N2268">
        <v>0.76</v>
      </c>
      <c r="O2268">
        <v>0.26</v>
      </c>
      <c r="P2268">
        <v>0.64</v>
      </c>
      <c r="Q2268">
        <v>0.62</v>
      </c>
      <c r="R2268" s="2">
        <v>0.39</v>
      </c>
      <c r="S2268" t="str">
        <f>IF(Table1[[#This Row],[Years_Experience]]&lt;=5,"Early Career",
IF(Table1[[#This Row],[Years_Experience]]&lt;=15,"Mid Career","Senior Level"))</f>
        <v>Mid Career</v>
      </c>
      <c r="T2268" t="str">
        <f>IF(Table1[[#This Row],[AI_Exposure_Index]]&gt;=0.7,"High Exposure", IF(Table1[[#This Row],[AI_Exposure_Index]]&gt;=0.3,"Medium Exposure","Low Exposure"))</f>
        <v>Medium Exposure</v>
      </c>
    </row>
    <row r="2269" spans="1:20" x14ac:dyDescent="0.25">
      <c r="A2269" t="s">
        <v>43</v>
      </c>
      <c r="B2269">
        <v>134439</v>
      </c>
      <c r="C2269" s="1">
        <v>13</v>
      </c>
      <c r="D2269" t="s">
        <v>38</v>
      </c>
      <c r="E2269" s="7">
        <v>1.1399999999999999</v>
      </c>
      <c r="F2269" s="2">
        <v>0.09</v>
      </c>
      <c r="G2269" s="7">
        <v>0.2</v>
      </c>
      <c r="H2269" s="9" t="s">
        <v>23</v>
      </c>
      <c r="I2269">
        <v>0.21</v>
      </c>
      <c r="J2269">
        <v>0.82</v>
      </c>
      <c r="K2269">
        <v>0.87</v>
      </c>
      <c r="L2269">
        <v>0.21</v>
      </c>
      <c r="M2269">
        <v>0.08</v>
      </c>
      <c r="N2269">
        <v>0.6</v>
      </c>
      <c r="O2269">
        <v>0.48</v>
      </c>
      <c r="P2269">
        <v>0.43</v>
      </c>
      <c r="Q2269">
        <v>0.76</v>
      </c>
      <c r="R2269" s="2">
        <v>0.97</v>
      </c>
      <c r="S2269" t="str">
        <f>IF(Table1[[#This Row],[Years_Experience]]&lt;=5,"Early Career",
IF(Table1[[#This Row],[Years_Experience]]&lt;=15,"Mid Career","Senior Level"))</f>
        <v>Mid Career</v>
      </c>
      <c r="T2269" t="str">
        <f>IF(Table1[[#This Row],[AI_Exposure_Index]]&gt;=0.7,"High Exposure", IF(Table1[[#This Row],[AI_Exposure_Index]]&gt;=0.3,"Medium Exposure","Low Exposure"))</f>
        <v>Low Exposure</v>
      </c>
    </row>
    <row r="2270" spans="1:20" x14ac:dyDescent="0.25">
      <c r="A2270" t="s">
        <v>30</v>
      </c>
      <c r="B2270">
        <v>41135</v>
      </c>
      <c r="C2270" s="1">
        <v>22</v>
      </c>
      <c r="D2270" t="s">
        <v>38</v>
      </c>
      <c r="E2270" s="7">
        <v>1.1000000000000001</v>
      </c>
      <c r="F2270" s="2">
        <v>0.01</v>
      </c>
      <c r="G2270" s="7">
        <v>0.56000000000000005</v>
      </c>
      <c r="H2270" s="9" t="s">
        <v>27</v>
      </c>
      <c r="I2270">
        <v>0.83</v>
      </c>
      <c r="J2270">
        <v>0.2</v>
      </c>
      <c r="K2270">
        <v>0.52</v>
      </c>
      <c r="L2270">
        <v>0.45</v>
      </c>
      <c r="M2270">
        <v>0.66</v>
      </c>
      <c r="N2270">
        <v>0.06</v>
      </c>
      <c r="O2270">
        <v>0.88</v>
      </c>
      <c r="P2270">
        <v>0.51</v>
      </c>
      <c r="Q2270">
        <v>0.88</v>
      </c>
      <c r="R2270" s="2">
        <v>0.34</v>
      </c>
      <c r="S2270" t="str">
        <f>IF(Table1[[#This Row],[Years_Experience]]&lt;=5,"Early Career",
IF(Table1[[#This Row],[Years_Experience]]&lt;=15,"Mid Career","Senior Level"))</f>
        <v>Senior Level</v>
      </c>
      <c r="T2270" t="str">
        <f>IF(Table1[[#This Row],[AI_Exposure_Index]]&gt;=0.7,"High Exposure", IF(Table1[[#This Row],[AI_Exposure_Index]]&gt;=0.3,"Medium Exposure","Low Exposure"))</f>
        <v>Low Exposure</v>
      </c>
    </row>
    <row r="2271" spans="1:20" x14ac:dyDescent="0.25">
      <c r="A2271" t="s">
        <v>37</v>
      </c>
      <c r="B2271">
        <v>110709</v>
      </c>
      <c r="C2271" s="1">
        <v>6</v>
      </c>
      <c r="D2271" t="s">
        <v>25</v>
      </c>
      <c r="E2271" s="7">
        <v>1.44</v>
      </c>
      <c r="F2271" s="2">
        <v>0.96</v>
      </c>
      <c r="G2271" s="7">
        <v>0.68</v>
      </c>
      <c r="H2271" s="9" t="s">
        <v>27</v>
      </c>
      <c r="I2271">
        <v>0.04</v>
      </c>
      <c r="J2271">
        <v>0.4</v>
      </c>
      <c r="K2271">
        <v>0.06</v>
      </c>
      <c r="L2271">
        <v>0.31</v>
      </c>
      <c r="M2271">
        <v>0.17</v>
      </c>
      <c r="N2271">
        <v>0.62</v>
      </c>
      <c r="O2271">
        <v>0.78</v>
      </c>
      <c r="P2271">
        <v>0.51</v>
      </c>
      <c r="Q2271">
        <v>0.8</v>
      </c>
      <c r="R2271" s="2">
        <v>0.01</v>
      </c>
      <c r="S2271" t="str">
        <f>IF(Table1[[#This Row],[Years_Experience]]&lt;=5,"Early Career",
IF(Table1[[#This Row],[Years_Experience]]&lt;=15,"Mid Career","Senior Level"))</f>
        <v>Mid Career</v>
      </c>
      <c r="T2271" t="str">
        <f>IF(Table1[[#This Row],[AI_Exposure_Index]]&gt;=0.7,"High Exposure", IF(Table1[[#This Row],[AI_Exposure_Index]]&gt;=0.3,"Medium Exposure","Low Exposure"))</f>
        <v>High Exposure</v>
      </c>
    </row>
    <row r="2272" spans="1:20" x14ac:dyDescent="0.25">
      <c r="A2272" t="s">
        <v>34</v>
      </c>
      <c r="B2272">
        <v>78416</v>
      </c>
      <c r="C2272" s="1">
        <v>13</v>
      </c>
      <c r="D2272" t="s">
        <v>38</v>
      </c>
      <c r="E2272" s="7">
        <v>0.96</v>
      </c>
      <c r="F2272" s="2">
        <v>0.18</v>
      </c>
      <c r="G2272" s="7">
        <v>0.48</v>
      </c>
      <c r="H2272" s="9" t="s">
        <v>27</v>
      </c>
      <c r="I2272">
        <v>0.87</v>
      </c>
      <c r="J2272">
        <v>0.97</v>
      </c>
      <c r="K2272">
        <v>0.26</v>
      </c>
      <c r="L2272">
        <v>7.0000000000000007E-2</v>
      </c>
      <c r="M2272">
        <v>0.65</v>
      </c>
      <c r="N2272">
        <v>0.5</v>
      </c>
      <c r="O2272">
        <v>0.56999999999999995</v>
      </c>
      <c r="P2272">
        <v>0.05</v>
      </c>
      <c r="Q2272">
        <v>0.78</v>
      </c>
      <c r="R2272" s="2">
        <v>0.23</v>
      </c>
      <c r="S2272" t="str">
        <f>IF(Table1[[#This Row],[Years_Experience]]&lt;=5,"Early Career",
IF(Table1[[#This Row],[Years_Experience]]&lt;=15,"Mid Career","Senior Level"))</f>
        <v>Mid Career</v>
      </c>
      <c r="T2272" t="str">
        <f>IF(Table1[[#This Row],[AI_Exposure_Index]]&gt;=0.7,"High Exposure", IF(Table1[[#This Row],[AI_Exposure_Index]]&gt;=0.3,"Medium Exposure","Low Exposure"))</f>
        <v>Low Exposure</v>
      </c>
    </row>
    <row r="2273" spans="1:20" x14ac:dyDescent="0.25">
      <c r="A2273" t="s">
        <v>29</v>
      </c>
      <c r="B2273">
        <v>57309</v>
      </c>
      <c r="C2273" s="1">
        <v>7</v>
      </c>
      <c r="D2273" t="s">
        <v>38</v>
      </c>
      <c r="E2273" s="7">
        <v>1.45</v>
      </c>
      <c r="F2273" s="2">
        <v>0.23</v>
      </c>
      <c r="G2273" s="7">
        <v>0.09</v>
      </c>
      <c r="H2273" s="9" t="s">
        <v>23</v>
      </c>
      <c r="I2273">
        <v>0.73</v>
      </c>
      <c r="J2273">
        <v>0.25</v>
      </c>
      <c r="K2273">
        <v>0.42</v>
      </c>
      <c r="L2273">
        <v>1</v>
      </c>
      <c r="M2273">
        <v>0.1</v>
      </c>
      <c r="N2273">
        <v>0.88</v>
      </c>
      <c r="O2273">
        <v>0.95</v>
      </c>
      <c r="P2273">
        <v>0.7</v>
      </c>
      <c r="Q2273">
        <v>0.01</v>
      </c>
      <c r="R2273" s="2">
        <v>0.82</v>
      </c>
      <c r="S2273" t="str">
        <f>IF(Table1[[#This Row],[Years_Experience]]&lt;=5,"Early Career",
IF(Table1[[#This Row],[Years_Experience]]&lt;=15,"Mid Career","Senior Level"))</f>
        <v>Mid Career</v>
      </c>
      <c r="T2273" t="str">
        <f>IF(Table1[[#This Row],[AI_Exposure_Index]]&gt;=0.7,"High Exposure", IF(Table1[[#This Row],[AI_Exposure_Index]]&gt;=0.3,"Medium Exposure","Low Exposure"))</f>
        <v>Low Exposure</v>
      </c>
    </row>
    <row r="2274" spans="1:20" x14ac:dyDescent="0.25">
      <c r="A2274" t="s">
        <v>29</v>
      </c>
      <c r="B2274">
        <v>67542</v>
      </c>
      <c r="C2274" s="1">
        <v>17</v>
      </c>
      <c r="D2274" t="s">
        <v>22</v>
      </c>
      <c r="E2274" s="7">
        <v>1.34</v>
      </c>
      <c r="F2274" s="2">
        <v>0.98</v>
      </c>
      <c r="G2274" s="7">
        <v>0.16</v>
      </c>
      <c r="H2274" s="9" t="s">
        <v>23</v>
      </c>
      <c r="I2274">
        <v>0.69</v>
      </c>
      <c r="J2274">
        <v>0.49</v>
      </c>
      <c r="K2274">
        <v>0.35</v>
      </c>
      <c r="L2274">
        <v>0.63</v>
      </c>
      <c r="M2274">
        <v>0.77</v>
      </c>
      <c r="N2274">
        <v>0.64</v>
      </c>
      <c r="O2274">
        <v>0.83</v>
      </c>
      <c r="P2274">
        <v>0.18</v>
      </c>
      <c r="Q2274">
        <v>0.37</v>
      </c>
      <c r="R2274" s="2">
        <v>0.31</v>
      </c>
      <c r="S2274" t="str">
        <f>IF(Table1[[#This Row],[Years_Experience]]&lt;=5,"Early Career",
IF(Table1[[#This Row],[Years_Experience]]&lt;=15,"Mid Career","Senior Level"))</f>
        <v>Senior Level</v>
      </c>
      <c r="T2274" t="str">
        <f>IF(Table1[[#This Row],[AI_Exposure_Index]]&gt;=0.7,"High Exposure", IF(Table1[[#This Row],[AI_Exposure_Index]]&gt;=0.3,"Medium Exposure","Low Exposure"))</f>
        <v>High Exposure</v>
      </c>
    </row>
    <row r="2275" spans="1:20" x14ac:dyDescent="0.25">
      <c r="A2275" t="s">
        <v>35</v>
      </c>
      <c r="B2275">
        <v>50723</v>
      </c>
      <c r="C2275" s="1">
        <v>7</v>
      </c>
      <c r="D2275" t="s">
        <v>38</v>
      </c>
      <c r="E2275" s="7">
        <v>1.45</v>
      </c>
      <c r="F2275" s="2">
        <v>0.44</v>
      </c>
      <c r="G2275" s="7">
        <v>0.52</v>
      </c>
      <c r="H2275" s="9" t="s">
        <v>27</v>
      </c>
      <c r="I2275">
        <v>0.28999999999999998</v>
      </c>
      <c r="J2275">
        <v>0.35</v>
      </c>
      <c r="K2275">
        <v>0.61</v>
      </c>
      <c r="L2275">
        <v>0.35</v>
      </c>
      <c r="M2275">
        <v>0.54</v>
      </c>
      <c r="N2275">
        <v>0.27</v>
      </c>
      <c r="O2275">
        <v>0.35</v>
      </c>
      <c r="P2275">
        <v>0.71</v>
      </c>
      <c r="Q2275">
        <v>0.57999999999999996</v>
      </c>
      <c r="R2275" s="2">
        <v>0.09</v>
      </c>
      <c r="S2275" t="str">
        <f>IF(Table1[[#This Row],[Years_Experience]]&lt;=5,"Early Career",
IF(Table1[[#This Row],[Years_Experience]]&lt;=15,"Mid Career","Senior Level"))</f>
        <v>Mid Career</v>
      </c>
      <c r="T2275" t="str">
        <f>IF(Table1[[#This Row],[AI_Exposure_Index]]&gt;=0.7,"High Exposure", IF(Table1[[#This Row],[AI_Exposure_Index]]&gt;=0.3,"Medium Exposure","Low Exposure"))</f>
        <v>Medium Exposure</v>
      </c>
    </row>
    <row r="2276" spans="1:20" x14ac:dyDescent="0.25">
      <c r="A2276" t="s">
        <v>28</v>
      </c>
      <c r="B2276">
        <v>62081</v>
      </c>
      <c r="C2276" s="1">
        <v>26</v>
      </c>
      <c r="D2276" t="s">
        <v>22</v>
      </c>
      <c r="E2276" s="7">
        <v>0.57999999999999996</v>
      </c>
      <c r="F2276" s="2">
        <v>0.05</v>
      </c>
      <c r="G2276" s="7">
        <v>0.57999999999999996</v>
      </c>
      <c r="H2276" s="9" t="s">
        <v>27</v>
      </c>
      <c r="I2276">
        <v>0.71</v>
      </c>
      <c r="J2276">
        <v>0.02</v>
      </c>
      <c r="K2276">
        <v>0.64</v>
      </c>
      <c r="L2276">
        <v>0.03</v>
      </c>
      <c r="M2276">
        <v>0.96</v>
      </c>
      <c r="N2276">
        <v>0.7</v>
      </c>
      <c r="O2276">
        <v>0.19</v>
      </c>
      <c r="P2276">
        <v>0.16</v>
      </c>
      <c r="Q2276">
        <v>0.56999999999999995</v>
      </c>
      <c r="R2276" s="2">
        <v>0.63</v>
      </c>
      <c r="S2276" t="str">
        <f>IF(Table1[[#This Row],[Years_Experience]]&lt;=5,"Early Career",
IF(Table1[[#This Row],[Years_Experience]]&lt;=15,"Mid Career","Senior Level"))</f>
        <v>Senior Level</v>
      </c>
      <c r="T2276" t="str">
        <f>IF(Table1[[#This Row],[AI_Exposure_Index]]&gt;=0.7,"High Exposure", IF(Table1[[#This Row],[AI_Exposure_Index]]&gt;=0.3,"Medium Exposure","Low Exposure"))</f>
        <v>Low Exposure</v>
      </c>
    </row>
    <row r="2277" spans="1:20" x14ac:dyDescent="0.25">
      <c r="A2277" t="s">
        <v>35</v>
      </c>
      <c r="B2277">
        <v>129443</v>
      </c>
      <c r="C2277" s="1">
        <v>7</v>
      </c>
      <c r="D2277" t="s">
        <v>22</v>
      </c>
      <c r="E2277" s="7">
        <v>0.53</v>
      </c>
      <c r="F2277" s="2">
        <v>0.3</v>
      </c>
      <c r="G2277" s="7">
        <v>0.61</v>
      </c>
      <c r="H2277" s="9" t="s">
        <v>27</v>
      </c>
      <c r="I2277">
        <v>0.05</v>
      </c>
      <c r="J2277">
        <v>0.75</v>
      </c>
      <c r="K2277">
        <v>0.05</v>
      </c>
      <c r="L2277">
        <v>0.25</v>
      </c>
      <c r="M2277">
        <v>0.84</v>
      </c>
      <c r="N2277">
        <v>0.95</v>
      </c>
      <c r="O2277">
        <v>0.41</v>
      </c>
      <c r="P2277">
        <v>0.97</v>
      </c>
      <c r="Q2277">
        <v>0.63</v>
      </c>
      <c r="R2277" s="2">
        <v>0.42</v>
      </c>
      <c r="S2277" t="str">
        <f>IF(Table1[[#This Row],[Years_Experience]]&lt;=5,"Early Career",
IF(Table1[[#This Row],[Years_Experience]]&lt;=15,"Mid Career","Senior Level"))</f>
        <v>Mid Career</v>
      </c>
      <c r="T2277" t="str">
        <f>IF(Table1[[#This Row],[AI_Exposure_Index]]&gt;=0.7,"High Exposure", IF(Table1[[#This Row],[AI_Exposure_Index]]&gt;=0.3,"Medium Exposure","Low Exposure"))</f>
        <v>Medium Exposure</v>
      </c>
    </row>
    <row r="2278" spans="1:20" x14ac:dyDescent="0.25">
      <c r="A2278" t="s">
        <v>36</v>
      </c>
      <c r="B2278">
        <v>55482</v>
      </c>
      <c r="C2278" s="1">
        <v>13</v>
      </c>
      <c r="D2278" t="s">
        <v>25</v>
      </c>
      <c r="E2278" s="7">
        <v>0.77</v>
      </c>
      <c r="F2278" s="2">
        <v>0.3</v>
      </c>
      <c r="G2278" s="7">
        <v>0.56000000000000005</v>
      </c>
      <c r="H2278" s="9" t="s">
        <v>27</v>
      </c>
      <c r="I2278">
        <v>0.39</v>
      </c>
      <c r="J2278">
        <v>0.14000000000000001</v>
      </c>
      <c r="K2278">
        <v>7.0000000000000007E-2</v>
      </c>
      <c r="L2278">
        <v>0.79</v>
      </c>
      <c r="M2278">
        <v>0.68</v>
      </c>
      <c r="N2278">
        <v>0.41</v>
      </c>
      <c r="O2278">
        <v>0.9</v>
      </c>
      <c r="P2278">
        <v>0.41</v>
      </c>
      <c r="Q2278">
        <v>0.71</v>
      </c>
      <c r="R2278" s="2">
        <v>0.91</v>
      </c>
      <c r="S2278" t="str">
        <f>IF(Table1[[#This Row],[Years_Experience]]&lt;=5,"Early Career",
IF(Table1[[#This Row],[Years_Experience]]&lt;=15,"Mid Career","Senior Level"))</f>
        <v>Mid Career</v>
      </c>
      <c r="T2278" t="str">
        <f>IF(Table1[[#This Row],[AI_Exposure_Index]]&gt;=0.7,"High Exposure", IF(Table1[[#This Row],[AI_Exposure_Index]]&gt;=0.3,"Medium Exposure","Low Exposure"))</f>
        <v>Medium Exposure</v>
      </c>
    </row>
    <row r="2279" spans="1:20" x14ac:dyDescent="0.25">
      <c r="A2279" t="s">
        <v>37</v>
      </c>
      <c r="B2279">
        <v>103933</v>
      </c>
      <c r="C2279" s="1">
        <v>8</v>
      </c>
      <c r="D2279" t="s">
        <v>22</v>
      </c>
      <c r="E2279" s="7">
        <v>1.18</v>
      </c>
      <c r="F2279" s="2">
        <v>0.51</v>
      </c>
      <c r="G2279" s="7">
        <v>0.47</v>
      </c>
      <c r="H2279" s="9" t="s">
        <v>27</v>
      </c>
      <c r="I2279">
        <v>0.65</v>
      </c>
      <c r="J2279">
        <v>0.26</v>
      </c>
      <c r="K2279">
        <v>0.43</v>
      </c>
      <c r="L2279">
        <v>0.21</v>
      </c>
      <c r="M2279">
        <v>0.04</v>
      </c>
      <c r="N2279">
        <v>0.59</v>
      </c>
      <c r="O2279">
        <v>0.86</v>
      </c>
      <c r="P2279">
        <v>0.03</v>
      </c>
      <c r="Q2279">
        <v>0.2</v>
      </c>
      <c r="R2279" s="2">
        <v>0.46</v>
      </c>
      <c r="S2279" t="str">
        <f>IF(Table1[[#This Row],[Years_Experience]]&lt;=5,"Early Career",
IF(Table1[[#This Row],[Years_Experience]]&lt;=15,"Mid Career","Senior Level"))</f>
        <v>Mid Career</v>
      </c>
      <c r="T2279" t="str">
        <f>IF(Table1[[#This Row],[AI_Exposure_Index]]&gt;=0.7,"High Exposure", IF(Table1[[#This Row],[AI_Exposure_Index]]&gt;=0.3,"Medium Exposure","Low Exposure"))</f>
        <v>Medium Exposure</v>
      </c>
    </row>
    <row r="2280" spans="1:20" x14ac:dyDescent="0.25">
      <c r="A2280" t="s">
        <v>34</v>
      </c>
      <c r="B2280">
        <v>43997</v>
      </c>
      <c r="C2280" s="1">
        <v>29</v>
      </c>
      <c r="D2280" t="s">
        <v>22</v>
      </c>
      <c r="E2280" s="7">
        <v>0.63</v>
      </c>
      <c r="F2280" s="2">
        <v>0.34</v>
      </c>
      <c r="G2280" s="7">
        <v>0.55000000000000004</v>
      </c>
      <c r="H2280" s="9" t="s">
        <v>27</v>
      </c>
      <c r="I2280">
        <v>0.57999999999999996</v>
      </c>
      <c r="J2280">
        <v>0.47</v>
      </c>
      <c r="K2280">
        <v>0.86</v>
      </c>
      <c r="L2280">
        <v>0.27</v>
      </c>
      <c r="M2280">
        <v>0.01</v>
      </c>
      <c r="N2280">
        <v>0.32</v>
      </c>
      <c r="O2280">
        <v>0.01</v>
      </c>
      <c r="P2280">
        <v>0.54</v>
      </c>
      <c r="Q2280">
        <v>0.38</v>
      </c>
      <c r="R2280" s="2">
        <v>0.81</v>
      </c>
      <c r="S2280" t="str">
        <f>IF(Table1[[#This Row],[Years_Experience]]&lt;=5,"Early Career",
IF(Table1[[#This Row],[Years_Experience]]&lt;=15,"Mid Career","Senior Level"))</f>
        <v>Senior Level</v>
      </c>
      <c r="T2280" t="str">
        <f>IF(Table1[[#This Row],[AI_Exposure_Index]]&gt;=0.7,"High Exposure", IF(Table1[[#This Row],[AI_Exposure_Index]]&gt;=0.3,"Medium Exposure","Low Exposure"))</f>
        <v>Medium Exposure</v>
      </c>
    </row>
    <row r="2281" spans="1:20" x14ac:dyDescent="0.25">
      <c r="A2281" t="s">
        <v>35</v>
      </c>
      <c r="B2281">
        <v>66258</v>
      </c>
      <c r="C2281" s="1">
        <v>11</v>
      </c>
      <c r="D2281" t="s">
        <v>22</v>
      </c>
      <c r="E2281" s="7">
        <v>0.72</v>
      </c>
      <c r="F2281" s="2">
        <v>0.43</v>
      </c>
      <c r="G2281" s="7">
        <v>0.47</v>
      </c>
      <c r="H2281" s="9" t="s">
        <v>27</v>
      </c>
      <c r="I2281">
        <v>0.64</v>
      </c>
      <c r="J2281">
        <v>0.19</v>
      </c>
      <c r="K2281">
        <v>0.77</v>
      </c>
      <c r="L2281">
        <v>0.33</v>
      </c>
      <c r="M2281">
        <v>0.93</v>
      </c>
      <c r="N2281">
        <v>0.51</v>
      </c>
      <c r="O2281">
        <v>0.85</v>
      </c>
      <c r="P2281">
        <v>0.62</v>
      </c>
      <c r="Q2281">
        <v>0.55000000000000004</v>
      </c>
      <c r="R2281" s="2">
        <v>0.68</v>
      </c>
      <c r="S2281" t="str">
        <f>IF(Table1[[#This Row],[Years_Experience]]&lt;=5,"Early Career",
IF(Table1[[#This Row],[Years_Experience]]&lt;=15,"Mid Career","Senior Level"))</f>
        <v>Mid Career</v>
      </c>
      <c r="T2281" t="str">
        <f>IF(Table1[[#This Row],[AI_Exposure_Index]]&gt;=0.7,"High Exposure", IF(Table1[[#This Row],[AI_Exposure_Index]]&gt;=0.3,"Medium Exposure","Low Exposure"))</f>
        <v>Medium Exposure</v>
      </c>
    </row>
    <row r="2282" spans="1:20" x14ac:dyDescent="0.25">
      <c r="A2282" t="s">
        <v>42</v>
      </c>
      <c r="B2282">
        <v>132495</v>
      </c>
      <c r="C2282" s="1">
        <v>23</v>
      </c>
      <c r="D2282" t="s">
        <v>22</v>
      </c>
      <c r="E2282" s="7">
        <v>1.2</v>
      </c>
      <c r="F2282" s="2">
        <v>0.92</v>
      </c>
      <c r="G2282" s="7">
        <v>0.55000000000000004</v>
      </c>
      <c r="H2282" s="9" t="s">
        <v>27</v>
      </c>
      <c r="I2282">
        <v>0.53</v>
      </c>
      <c r="J2282">
        <v>0.18</v>
      </c>
      <c r="K2282">
        <v>0.12</v>
      </c>
      <c r="L2282">
        <v>0.49</v>
      </c>
      <c r="M2282">
        <v>0.16</v>
      </c>
      <c r="N2282">
        <v>0.57999999999999996</v>
      </c>
      <c r="O2282">
        <v>0.65</v>
      </c>
      <c r="P2282">
        <v>0.53</v>
      </c>
      <c r="Q2282">
        <v>0.04</v>
      </c>
      <c r="R2282" s="2">
        <v>0.06</v>
      </c>
      <c r="S2282" t="str">
        <f>IF(Table1[[#This Row],[Years_Experience]]&lt;=5,"Early Career",
IF(Table1[[#This Row],[Years_Experience]]&lt;=15,"Mid Career","Senior Level"))</f>
        <v>Senior Level</v>
      </c>
      <c r="T2282" t="str">
        <f>IF(Table1[[#This Row],[AI_Exposure_Index]]&gt;=0.7,"High Exposure", IF(Table1[[#This Row],[AI_Exposure_Index]]&gt;=0.3,"Medium Exposure","Low Exposure"))</f>
        <v>High Exposure</v>
      </c>
    </row>
    <row r="2283" spans="1:20" x14ac:dyDescent="0.25">
      <c r="A2283" t="s">
        <v>36</v>
      </c>
      <c r="B2283">
        <v>135071</v>
      </c>
      <c r="C2283" s="1">
        <v>26</v>
      </c>
      <c r="D2283" t="s">
        <v>25</v>
      </c>
      <c r="E2283" s="7">
        <v>0.91</v>
      </c>
      <c r="F2283" s="2">
        <v>0.86</v>
      </c>
      <c r="G2283" s="7">
        <v>0.49</v>
      </c>
      <c r="H2283" s="9" t="s">
        <v>27</v>
      </c>
      <c r="I2283">
        <v>0.85</v>
      </c>
      <c r="J2283">
        <v>0.09</v>
      </c>
      <c r="K2283">
        <v>0.39</v>
      </c>
      <c r="L2283">
        <v>0.4</v>
      </c>
      <c r="M2283">
        <v>0.5</v>
      </c>
      <c r="N2283">
        <v>0.11</v>
      </c>
      <c r="O2283">
        <v>0.1</v>
      </c>
      <c r="P2283">
        <v>0.42</v>
      </c>
      <c r="Q2283">
        <v>0.03</v>
      </c>
      <c r="R2283" s="2">
        <v>0.25</v>
      </c>
      <c r="S2283" t="str">
        <f>IF(Table1[[#This Row],[Years_Experience]]&lt;=5,"Early Career",
IF(Table1[[#This Row],[Years_Experience]]&lt;=15,"Mid Career","Senior Level"))</f>
        <v>Senior Level</v>
      </c>
      <c r="T2283" t="str">
        <f>IF(Table1[[#This Row],[AI_Exposure_Index]]&gt;=0.7,"High Exposure", IF(Table1[[#This Row],[AI_Exposure_Index]]&gt;=0.3,"Medium Exposure","Low Exposure"))</f>
        <v>High Exposure</v>
      </c>
    </row>
    <row r="2284" spans="1:20" x14ac:dyDescent="0.25">
      <c r="A2284" t="s">
        <v>44</v>
      </c>
      <c r="B2284">
        <v>50954</v>
      </c>
      <c r="C2284" s="1">
        <v>29</v>
      </c>
      <c r="D2284" t="s">
        <v>38</v>
      </c>
      <c r="E2284" s="7">
        <v>0.51</v>
      </c>
      <c r="F2284" s="2">
        <v>0.49</v>
      </c>
      <c r="G2284" s="7">
        <v>0.56999999999999995</v>
      </c>
      <c r="H2284" s="9" t="s">
        <v>27</v>
      </c>
      <c r="I2284">
        <v>0.86</v>
      </c>
      <c r="J2284">
        <v>0.71</v>
      </c>
      <c r="K2284">
        <v>0.82</v>
      </c>
      <c r="L2284">
        <v>0.64</v>
      </c>
      <c r="M2284">
        <v>0.51</v>
      </c>
      <c r="N2284">
        <v>0.22</v>
      </c>
      <c r="O2284">
        <v>0.28000000000000003</v>
      </c>
      <c r="P2284">
        <v>0.32</v>
      </c>
      <c r="Q2284">
        <v>0.04</v>
      </c>
      <c r="R2284" s="2">
        <v>0.91</v>
      </c>
      <c r="S2284" t="str">
        <f>IF(Table1[[#This Row],[Years_Experience]]&lt;=5,"Early Career",
IF(Table1[[#This Row],[Years_Experience]]&lt;=15,"Mid Career","Senior Level"))</f>
        <v>Senior Level</v>
      </c>
      <c r="T2284" t="str">
        <f>IF(Table1[[#This Row],[AI_Exposure_Index]]&gt;=0.7,"High Exposure", IF(Table1[[#This Row],[AI_Exposure_Index]]&gt;=0.3,"Medium Exposure","Low Exposure"))</f>
        <v>Medium Exposure</v>
      </c>
    </row>
    <row r="2285" spans="1:20" x14ac:dyDescent="0.25">
      <c r="A2285" t="s">
        <v>18</v>
      </c>
      <c r="B2285">
        <v>45590</v>
      </c>
      <c r="C2285" s="1">
        <v>11</v>
      </c>
      <c r="D2285" t="s">
        <v>22</v>
      </c>
      <c r="E2285" s="7">
        <v>1.06</v>
      </c>
      <c r="F2285" s="2">
        <v>0.11</v>
      </c>
      <c r="G2285" s="7">
        <v>0.82</v>
      </c>
      <c r="H2285" s="9" t="s">
        <v>20</v>
      </c>
      <c r="I2285">
        <v>0.68</v>
      </c>
      <c r="J2285">
        <v>0.6</v>
      </c>
      <c r="K2285">
        <v>0.12</v>
      </c>
      <c r="L2285">
        <v>0.66</v>
      </c>
      <c r="M2285">
        <v>0.61</v>
      </c>
      <c r="N2285">
        <v>0.53</v>
      </c>
      <c r="O2285">
        <v>0.4</v>
      </c>
      <c r="P2285">
        <v>0.95</v>
      </c>
      <c r="Q2285">
        <v>0.85</v>
      </c>
      <c r="R2285" s="2">
        <v>0.59</v>
      </c>
      <c r="S2285" t="str">
        <f>IF(Table1[[#This Row],[Years_Experience]]&lt;=5,"Early Career",
IF(Table1[[#This Row],[Years_Experience]]&lt;=15,"Mid Career","Senior Level"))</f>
        <v>Mid Career</v>
      </c>
      <c r="T2285" t="str">
        <f>IF(Table1[[#This Row],[AI_Exposure_Index]]&gt;=0.7,"High Exposure", IF(Table1[[#This Row],[AI_Exposure_Index]]&gt;=0.3,"Medium Exposure","Low Exposure"))</f>
        <v>Low Exposure</v>
      </c>
    </row>
    <row r="2286" spans="1:20" x14ac:dyDescent="0.25">
      <c r="A2286" t="s">
        <v>32</v>
      </c>
      <c r="B2286">
        <v>118035</v>
      </c>
      <c r="C2286" s="1">
        <v>16</v>
      </c>
      <c r="D2286" t="s">
        <v>38</v>
      </c>
      <c r="E2286" s="7">
        <v>0.69</v>
      </c>
      <c r="F2286" s="2">
        <v>0.78</v>
      </c>
      <c r="G2286" s="7">
        <v>0.57999999999999996</v>
      </c>
      <c r="H2286" s="9" t="s">
        <v>27</v>
      </c>
      <c r="I2286">
        <v>0.86</v>
      </c>
      <c r="J2286">
        <v>0.96</v>
      </c>
      <c r="K2286">
        <v>0.47</v>
      </c>
      <c r="L2286">
        <v>0.97</v>
      </c>
      <c r="M2286">
        <v>0.41</v>
      </c>
      <c r="N2286">
        <v>0.22</v>
      </c>
      <c r="O2286">
        <v>0.51</v>
      </c>
      <c r="P2286">
        <v>0.65</v>
      </c>
      <c r="Q2286">
        <v>0.46</v>
      </c>
      <c r="R2286" s="2">
        <v>0.56999999999999995</v>
      </c>
      <c r="S2286" t="str">
        <f>IF(Table1[[#This Row],[Years_Experience]]&lt;=5,"Early Career",
IF(Table1[[#This Row],[Years_Experience]]&lt;=15,"Mid Career","Senior Level"))</f>
        <v>Senior Level</v>
      </c>
      <c r="T2286" t="str">
        <f>IF(Table1[[#This Row],[AI_Exposure_Index]]&gt;=0.7,"High Exposure", IF(Table1[[#This Row],[AI_Exposure_Index]]&gt;=0.3,"Medium Exposure","Low Exposure"))</f>
        <v>High Exposure</v>
      </c>
    </row>
    <row r="2287" spans="1:20" x14ac:dyDescent="0.25">
      <c r="A2287" t="s">
        <v>41</v>
      </c>
      <c r="B2287">
        <v>147488</v>
      </c>
      <c r="C2287" s="1">
        <v>2</v>
      </c>
      <c r="D2287" t="s">
        <v>38</v>
      </c>
      <c r="E2287" s="7">
        <v>1.45</v>
      </c>
      <c r="F2287" s="2">
        <v>0.52</v>
      </c>
      <c r="G2287" s="7">
        <v>0.82</v>
      </c>
      <c r="H2287" s="9" t="s">
        <v>20</v>
      </c>
      <c r="I2287">
        <v>0.25</v>
      </c>
      <c r="J2287">
        <v>0.76</v>
      </c>
      <c r="K2287">
        <v>0.34</v>
      </c>
      <c r="L2287">
        <v>0.82</v>
      </c>
      <c r="M2287">
        <v>0.06</v>
      </c>
      <c r="N2287">
        <v>0.33</v>
      </c>
      <c r="O2287">
        <v>0.09</v>
      </c>
      <c r="P2287">
        <v>0.09</v>
      </c>
      <c r="Q2287">
        <v>0.66</v>
      </c>
      <c r="R2287" s="2">
        <v>0.39</v>
      </c>
      <c r="S2287" t="str">
        <f>IF(Table1[[#This Row],[Years_Experience]]&lt;=5,"Early Career",
IF(Table1[[#This Row],[Years_Experience]]&lt;=15,"Mid Career","Senior Level"))</f>
        <v>Early Career</v>
      </c>
      <c r="T2287" t="str">
        <f>IF(Table1[[#This Row],[AI_Exposure_Index]]&gt;=0.7,"High Exposure", IF(Table1[[#This Row],[AI_Exposure_Index]]&gt;=0.3,"Medium Exposure","Low Exposure"))</f>
        <v>Medium Exposure</v>
      </c>
    </row>
    <row r="2288" spans="1:20" x14ac:dyDescent="0.25">
      <c r="A2288" t="s">
        <v>32</v>
      </c>
      <c r="B2288">
        <v>111506</v>
      </c>
      <c r="C2288" s="1">
        <v>23</v>
      </c>
      <c r="D2288" t="s">
        <v>38</v>
      </c>
      <c r="E2288" s="7">
        <v>0.8</v>
      </c>
      <c r="F2288" s="2">
        <v>0.52</v>
      </c>
      <c r="G2288" s="7">
        <v>0.59</v>
      </c>
      <c r="H2288" s="9" t="s">
        <v>27</v>
      </c>
      <c r="I2288">
        <v>0.62</v>
      </c>
      <c r="J2288">
        <v>0.8</v>
      </c>
      <c r="K2288">
        <v>0.64</v>
      </c>
      <c r="L2288">
        <v>0.17</v>
      </c>
      <c r="M2288">
        <v>0.67</v>
      </c>
      <c r="N2288">
        <v>0.39</v>
      </c>
      <c r="O2288">
        <v>0.46</v>
      </c>
      <c r="P2288">
        <v>0.92</v>
      </c>
      <c r="Q2288">
        <v>0.36</v>
      </c>
      <c r="R2288" s="2">
        <v>0.61</v>
      </c>
      <c r="S2288" t="str">
        <f>IF(Table1[[#This Row],[Years_Experience]]&lt;=5,"Early Career",
IF(Table1[[#This Row],[Years_Experience]]&lt;=15,"Mid Career","Senior Level"))</f>
        <v>Senior Level</v>
      </c>
      <c r="T2288" t="str">
        <f>IF(Table1[[#This Row],[AI_Exposure_Index]]&gt;=0.7,"High Exposure", IF(Table1[[#This Row],[AI_Exposure_Index]]&gt;=0.3,"Medium Exposure","Low Exposure"))</f>
        <v>Medium Exposure</v>
      </c>
    </row>
    <row r="2289" spans="1:20" x14ac:dyDescent="0.25">
      <c r="A2289" t="s">
        <v>44</v>
      </c>
      <c r="B2289">
        <v>104644</v>
      </c>
      <c r="C2289" s="1">
        <v>7</v>
      </c>
      <c r="D2289" t="s">
        <v>19</v>
      </c>
      <c r="E2289" s="7">
        <v>0.5</v>
      </c>
      <c r="F2289" s="2">
        <v>0.86</v>
      </c>
      <c r="G2289" s="7">
        <v>0.54</v>
      </c>
      <c r="H2289" s="9" t="s">
        <v>27</v>
      </c>
      <c r="I2289">
        <v>0.01</v>
      </c>
      <c r="J2289">
        <v>0.71</v>
      </c>
      <c r="K2289">
        <v>0.23</v>
      </c>
      <c r="L2289">
        <v>0.38</v>
      </c>
      <c r="M2289">
        <v>0.38</v>
      </c>
      <c r="N2289">
        <v>0.85</v>
      </c>
      <c r="O2289">
        <v>0.1</v>
      </c>
      <c r="P2289">
        <v>0.67</v>
      </c>
      <c r="Q2289">
        <v>0.98</v>
      </c>
      <c r="R2289" s="2">
        <v>0.02</v>
      </c>
      <c r="S2289" t="str">
        <f>IF(Table1[[#This Row],[Years_Experience]]&lt;=5,"Early Career",
IF(Table1[[#This Row],[Years_Experience]]&lt;=15,"Mid Career","Senior Level"))</f>
        <v>Mid Career</v>
      </c>
      <c r="T2289" t="str">
        <f>IF(Table1[[#This Row],[AI_Exposure_Index]]&gt;=0.7,"High Exposure", IF(Table1[[#This Row],[AI_Exposure_Index]]&gt;=0.3,"Medium Exposure","Low Exposure"))</f>
        <v>High Exposure</v>
      </c>
    </row>
    <row r="2290" spans="1:20" x14ac:dyDescent="0.25">
      <c r="A2290" t="s">
        <v>39</v>
      </c>
      <c r="B2290">
        <v>85197</v>
      </c>
      <c r="C2290" s="1">
        <v>4</v>
      </c>
      <c r="D2290" t="s">
        <v>19</v>
      </c>
      <c r="E2290" s="7">
        <v>1.34</v>
      </c>
      <c r="F2290" s="2">
        <v>0.02</v>
      </c>
      <c r="G2290" s="7">
        <v>0.94</v>
      </c>
      <c r="H2290" s="9" t="s">
        <v>20</v>
      </c>
      <c r="I2290">
        <v>0.99</v>
      </c>
      <c r="J2290">
        <v>0.46</v>
      </c>
      <c r="K2290">
        <v>0.87</v>
      </c>
      <c r="L2290">
        <v>0.12</v>
      </c>
      <c r="M2290">
        <v>0.43</v>
      </c>
      <c r="N2290">
        <v>0.31</v>
      </c>
      <c r="O2290">
        <v>0.4</v>
      </c>
      <c r="P2290">
        <v>0.7</v>
      </c>
      <c r="Q2290">
        <v>0.09</v>
      </c>
      <c r="R2290" s="2">
        <v>1</v>
      </c>
      <c r="S2290" t="str">
        <f>IF(Table1[[#This Row],[Years_Experience]]&lt;=5,"Early Career",
IF(Table1[[#This Row],[Years_Experience]]&lt;=15,"Mid Career","Senior Level"))</f>
        <v>Early Career</v>
      </c>
      <c r="T2290" t="str">
        <f>IF(Table1[[#This Row],[AI_Exposure_Index]]&gt;=0.7,"High Exposure", IF(Table1[[#This Row],[AI_Exposure_Index]]&gt;=0.3,"Medium Exposure","Low Exposure"))</f>
        <v>Low Exposure</v>
      </c>
    </row>
    <row r="2291" spans="1:20" x14ac:dyDescent="0.25">
      <c r="A2291" t="s">
        <v>42</v>
      </c>
      <c r="B2291">
        <v>145435</v>
      </c>
      <c r="C2291" s="1">
        <v>22</v>
      </c>
      <c r="D2291" t="s">
        <v>22</v>
      </c>
      <c r="E2291" s="7">
        <v>1.33</v>
      </c>
      <c r="F2291" s="2">
        <v>0.87</v>
      </c>
      <c r="G2291" s="7">
        <v>0.61</v>
      </c>
      <c r="H2291" s="9" t="s">
        <v>27</v>
      </c>
      <c r="I2291">
        <v>0.04</v>
      </c>
      <c r="J2291">
        <v>0.52</v>
      </c>
      <c r="K2291">
        <v>0.33</v>
      </c>
      <c r="L2291">
        <v>0.11</v>
      </c>
      <c r="M2291">
        <v>0.34</v>
      </c>
      <c r="N2291">
        <v>0.64</v>
      </c>
      <c r="O2291">
        <v>0.23</v>
      </c>
      <c r="P2291">
        <v>0.44</v>
      </c>
      <c r="Q2291">
        <v>0.4</v>
      </c>
      <c r="R2291" s="2">
        <v>0.05</v>
      </c>
      <c r="S2291" t="str">
        <f>IF(Table1[[#This Row],[Years_Experience]]&lt;=5,"Early Career",
IF(Table1[[#This Row],[Years_Experience]]&lt;=15,"Mid Career","Senior Level"))</f>
        <v>Senior Level</v>
      </c>
      <c r="T2291" t="str">
        <f>IF(Table1[[#This Row],[AI_Exposure_Index]]&gt;=0.7,"High Exposure", IF(Table1[[#This Row],[AI_Exposure_Index]]&gt;=0.3,"Medium Exposure","Low Exposure"))</f>
        <v>High Exposure</v>
      </c>
    </row>
    <row r="2292" spans="1:20" x14ac:dyDescent="0.25">
      <c r="A2292" t="s">
        <v>34</v>
      </c>
      <c r="B2292">
        <v>31113</v>
      </c>
      <c r="C2292" s="1">
        <v>3</v>
      </c>
      <c r="D2292" t="s">
        <v>25</v>
      </c>
      <c r="E2292" s="7">
        <v>1.47</v>
      </c>
      <c r="F2292" s="2">
        <v>0.62</v>
      </c>
      <c r="G2292" s="7">
        <v>0.42</v>
      </c>
      <c r="H2292" s="9" t="s">
        <v>27</v>
      </c>
      <c r="I2292">
        <v>0.42</v>
      </c>
      <c r="J2292">
        <v>0.4</v>
      </c>
      <c r="K2292">
        <v>0.92</v>
      </c>
      <c r="L2292">
        <v>0.41</v>
      </c>
      <c r="M2292">
        <v>0.44</v>
      </c>
      <c r="N2292">
        <v>0.25</v>
      </c>
      <c r="O2292">
        <v>0</v>
      </c>
      <c r="P2292">
        <v>0.11</v>
      </c>
      <c r="Q2292">
        <v>0.7</v>
      </c>
      <c r="R2292" s="2">
        <v>0.68</v>
      </c>
      <c r="S2292" t="str">
        <f>IF(Table1[[#This Row],[Years_Experience]]&lt;=5,"Early Career",
IF(Table1[[#This Row],[Years_Experience]]&lt;=15,"Mid Career","Senior Level"))</f>
        <v>Early Career</v>
      </c>
      <c r="T2292" t="str">
        <f>IF(Table1[[#This Row],[AI_Exposure_Index]]&gt;=0.7,"High Exposure", IF(Table1[[#This Row],[AI_Exposure_Index]]&gt;=0.3,"Medium Exposure","Low Exposure"))</f>
        <v>Medium Exposure</v>
      </c>
    </row>
    <row r="2293" spans="1:20" x14ac:dyDescent="0.25">
      <c r="A2293" t="s">
        <v>39</v>
      </c>
      <c r="B2293">
        <v>119374</v>
      </c>
      <c r="C2293" s="1">
        <v>27</v>
      </c>
      <c r="D2293" t="s">
        <v>38</v>
      </c>
      <c r="E2293" s="7">
        <v>0.8</v>
      </c>
      <c r="F2293" s="2">
        <v>0.47</v>
      </c>
      <c r="G2293" s="7">
        <v>0.88</v>
      </c>
      <c r="H2293" s="9" t="s">
        <v>20</v>
      </c>
      <c r="I2293">
        <v>0.84</v>
      </c>
      <c r="J2293">
        <v>0.9</v>
      </c>
      <c r="K2293">
        <v>0.17</v>
      </c>
      <c r="L2293">
        <v>0.7</v>
      </c>
      <c r="M2293">
        <v>0.96</v>
      </c>
      <c r="N2293">
        <v>0.65</v>
      </c>
      <c r="O2293">
        <v>0.35</v>
      </c>
      <c r="P2293">
        <v>0.64</v>
      </c>
      <c r="Q2293">
        <v>0.69</v>
      </c>
      <c r="R2293" s="2">
        <v>0.4</v>
      </c>
      <c r="S2293" t="str">
        <f>IF(Table1[[#This Row],[Years_Experience]]&lt;=5,"Early Career",
IF(Table1[[#This Row],[Years_Experience]]&lt;=15,"Mid Career","Senior Level"))</f>
        <v>Senior Level</v>
      </c>
      <c r="T2293" t="str">
        <f>IF(Table1[[#This Row],[AI_Exposure_Index]]&gt;=0.7,"High Exposure", IF(Table1[[#This Row],[AI_Exposure_Index]]&gt;=0.3,"Medium Exposure","Low Exposure"))</f>
        <v>Medium Exposure</v>
      </c>
    </row>
    <row r="2294" spans="1:20" x14ac:dyDescent="0.25">
      <c r="A2294" t="s">
        <v>39</v>
      </c>
      <c r="B2294">
        <v>105450</v>
      </c>
      <c r="C2294" s="1">
        <v>27</v>
      </c>
      <c r="D2294" t="s">
        <v>22</v>
      </c>
      <c r="E2294" s="7">
        <v>1.3</v>
      </c>
      <c r="F2294" s="2">
        <v>0.61</v>
      </c>
      <c r="G2294" s="7">
        <v>0.95</v>
      </c>
      <c r="H2294" s="9" t="s">
        <v>20</v>
      </c>
      <c r="I2294">
        <v>0.22</v>
      </c>
      <c r="J2294">
        <v>0.7</v>
      </c>
      <c r="K2294">
        <v>0.03</v>
      </c>
      <c r="L2294">
        <v>0.97</v>
      </c>
      <c r="M2294">
        <v>0.01</v>
      </c>
      <c r="N2294">
        <v>0.36</v>
      </c>
      <c r="O2294">
        <v>0.08</v>
      </c>
      <c r="P2294">
        <v>0.62</v>
      </c>
      <c r="Q2294">
        <v>0.34</v>
      </c>
      <c r="R2294" s="2">
        <v>0.73</v>
      </c>
      <c r="S2294" t="str">
        <f>IF(Table1[[#This Row],[Years_Experience]]&lt;=5,"Early Career",
IF(Table1[[#This Row],[Years_Experience]]&lt;=15,"Mid Career","Senior Level"))</f>
        <v>Senior Level</v>
      </c>
      <c r="T2294" t="str">
        <f>IF(Table1[[#This Row],[AI_Exposure_Index]]&gt;=0.7,"High Exposure", IF(Table1[[#This Row],[AI_Exposure_Index]]&gt;=0.3,"Medium Exposure","Low Exposure"))</f>
        <v>Medium Exposure</v>
      </c>
    </row>
    <row r="2295" spans="1:20" x14ac:dyDescent="0.25">
      <c r="A2295" t="s">
        <v>21</v>
      </c>
      <c r="B2295">
        <v>113453</v>
      </c>
      <c r="C2295" s="1">
        <v>18</v>
      </c>
      <c r="D2295" t="s">
        <v>22</v>
      </c>
      <c r="E2295" s="7">
        <v>0.85</v>
      </c>
      <c r="F2295" s="2">
        <v>0.42</v>
      </c>
      <c r="G2295" s="7">
        <v>7.0000000000000007E-2</v>
      </c>
      <c r="H2295" s="9" t="s">
        <v>23</v>
      </c>
      <c r="I2295">
        <v>0.2</v>
      </c>
      <c r="J2295">
        <v>0.64</v>
      </c>
      <c r="K2295">
        <v>0.5</v>
      </c>
      <c r="L2295">
        <v>7.0000000000000007E-2</v>
      </c>
      <c r="M2295">
        <v>0.54</v>
      </c>
      <c r="N2295">
        <v>0.05</v>
      </c>
      <c r="O2295">
        <v>0.51</v>
      </c>
      <c r="P2295">
        <v>0.96</v>
      </c>
      <c r="Q2295">
        <v>0.31</v>
      </c>
      <c r="R2295" s="2">
        <v>0.72</v>
      </c>
      <c r="S2295" t="str">
        <f>IF(Table1[[#This Row],[Years_Experience]]&lt;=5,"Early Career",
IF(Table1[[#This Row],[Years_Experience]]&lt;=15,"Mid Career","Senior Level"))</f>
        <v>Senior Level</v>
      </c>
      <c r="T2295" t="str">
        <f>IF(Table1[[#This Row],[AI_Exposure_Index]]&gt;=0.7,"High Exposure", IF(Table1[[#This Row],[AI_Exposure_Index]]&gt;=0.3,"Medium Exposure","Low Exposure"))</f>
        <v>Medium Exposure</v>
      </c>
    </row>
    <row r="2296" spans="1:20" x14ac:dyDescent="0.25">
      <c r="A2296" t="s">
        <v>30</v>
      </c>
      <c r="B2296">
        <v>62656</v>
      </c>
      <c r="C2296" s="1">
        <v>1</v>
      </c>
      <c r="D2296" t="s">
        <v>25</v>
      </c>
      <c r="E2296" s="7">
        <v>1.02</v>
      </c>
      <c r="F2296" s="2">
        <v>0.73</v>
      </c>
      <c r="G2296" s="7">
        <v>0.62</v>
      </c>
      <c r="H2296" s="9" t="s">
        <v>27</v>
      </c>
      <c r="I2296">
        <v>0.7</v>
      </c>
      <c r="J2296">
        <v>0.24</v>
      </c>
      <c r="K2296">
        <v>0.53</v>
      </c>
      <c r="L2296">
        <v>0.56000000000000005</v>
      </c>
      <c r="M2296">
        <v>0.45</v>
      </c>
      <c r="N2296">
        <v>0.18</v>
      </c>
      <c r="O2296">
        <v>0.22</v>
      </c>
      <c r="P2296">
        <v>0.28000000000000003</v>
      </c>
      <c r="Q2296">
        <v>0.01</v>
      </c>
      <c r="R2296" s="2">
        <v>0.92</v>
      </c>
      <c r="S2296" t="str">
        <f>IF(Table1[[#This Row],[Years_Experience]]&lt;=5,"Early Career",
IF(Table1[[#This Row],[Years_Experience]]&lt;=15,"Mid Career","Senior Level"))</f>
        <v>Early Career</v>
      </c>
      <c r="T2296" t="str">
        <f>IF(Table1[[#This Row],[AI_Exposure_Index]]&gt;=0.7,"High Exposure", IF(Table1[[#This Row],[AI_Exposure_Index]]&gt;=0.3,"Medium Exposure","Low Exposure"))</f>
        <v>High Exposure</v>
      </c>
    </row>
    <row r="2297" spans="1:20" x14ac:dyDescent="0.25">
      <c r="A2297" t="s">
        <v>39</v>
      </c>
      <c r="B2297">
        <v>50823</v>
      </c>
      <c r="C2297" s="1">
        <v>4</v>
      </c>
      <c r="D2297" t="s">
        <v>22</v>
      </c>
      <c r="E2297" s="7">
        <v>1.1499999999999999</v>
      </c>
      <c r="F2297" s="2">
        <v>0.31</v>
      </c>
      <c r="G2297" s="7">
        <v>0.84</v>
      </c>
      <c r="H2297" s="9" t="s">
        <v>20</v>
      </c>
      <c r="I2297">
        <v>0.65</v>
      </c>
      <c r="J2297">
        <v>0.43</v>
      </c>
      <c r="K2297">
        <v>0.41</v>
      </c>
      <c r="L2297">
        <v>0.12</v>
      </c>
      <c r="M2297">
        <v>0.62</v>
      </c>
      <c r="N2297">
        <v>0.18</v>
      </c>
      <c r="O2297">
        <v>0.67</v>
      </c>
      <c r="P2297">
        <v>0.97</v>
      </c>
      <c r="Q2297">
        <v>0.26</v>
      </c>
      <c r="R2297" s="2">
        <v>0.14000000000000001</v>
      </c>
      <c r="S2297" t="str">
        <f>IF(Table1[[#This Row],[Years_Experience]]&lt;=5,"Early Career",
IF(Table1[[#This Row],[Years_Experience]]&lt;=15,"Mid Career","Senior Level"))</f>
        <v>Early Career</v>
      </c>
      <c r="T2297" t="str">
        <f>IF(Table1[[#This Row],[AI_Exposure_Index]]&gt;=0.7,"High Exposure", IF(Table1[[#This Row],[AI_Exposure_Index]]&gt;=0.3,"Medium Exposure","Low Exposure"))</f>
        <v>Medium Exposure</v>
      </c>
    </row>
    <row r="2298" spans="1:20" x14ac:dyDescent="0.25">
      <c r="A2298" t="s">
        <v>18</v>
      </c>
      <c r="B2298">
        <v>52879</v>
      </c>
      <c r="C2298" s="1">
        <v>25</v>
      </c>
      <c r="D2298" t="s">
        <v>22</v>
      </c>
      <c r="E2298" s="7">
        <v>0.71</v>
      </c>
      <c r="F2298" s="2">
        <v>0.38</v>
      </c>
      <c r="G2298" s="7">
        <v>0.82</v>
      </c>
      <c r="H2298" s="9" t="s">
        <v>20</v>
      </c>
      <c r="I2298">
        <v>0.52</v>
      </c>
      <c r="J2298">
        <v>0.35</v>
      </c>
      <c r="K2298">
        <v>0.75</v>
      </c>
      <c r="L2298">
        <v>0.9</v>
      </c>
      <c r="M2298">
        <v>0.21</v>
      </c>
      <c r="N2298">
        <v>0.84</v>
      </c>
      <c r="O2298">
        <v>0.13</v>
      </c>
      <c r="P2298">
        <v>0.23</v>
      </c>
      <c r="Q2298">
        <v>0.56000000000000005</v>
      </c>
      <c r="R2298" s="2">
        <v>0.31</v>
      </c>
      <c r="S2298" t="str">
        <f>IF(Table1[[#This Row],[Years_Experience]]&lt;=5,"Early Career",
IF(Table1[[#This Row],[Years_Experience]]&lt;=15,"Mid Career","Senior Level"))</f>
        <v>Senior Level</v>
      </c>
      <c r="T2298" t="str">
        <f>IF(Table1[[#This Row],[AI_Exposure_Index]]&gt;=0.7,"High Exposure", IF(Table1[[#This Row],[AI_Exposure_Index]]&gt;=0.3,"Medium Exposure","Low Exposure"))</f>
        <v>Medium Exposure</v>
      </c>
    </row>
    <row r="2299" spans="1:20" x14ac:dyDescent="0.25">
      <c r="A2299" t="s">
        <v>31</v>
      </c>
      <c r="B2299">
        <v>132132</v>
      </c>
      <c r="C2299" s="1">
        <v>29</v>
      </c>
      <c r="D2299" t="s">
        <v>22</v>
      </c>
      <c r="E2299" s="7">
        <v>1.4</v>
      </c>
      <c r="F2299" s="2">
        <v>0.28999999999999998</v>
      </c>
      <c r="G2299" s="7">
        <v>0.09</v>
      </c>
      <c r="H2299" s="9" t="s">
        <v>23</v>
      </c>
      <c r="I2299">
        <v>0.76</v>
      </c>
      <c r="J2299">
        <v>0.72</v>
      </c>
      <c r="K2299">
        <v>0.11</v>
      </c>
      <c r="L2299">
        <v>0.33</v>
      </c>
      <c r="M2299">
        <v>0.19</v>
      </c>
      <c r="N2299">
        <v>0.02</v>
      </c>
      <c r="O2299">
        <v>0.17</v>
      </c>
      <c r="P2299">
        <v>0.2</v>
      </c>
      <c r="Q2299">
        <v>0.17</v>
      </c>
      <c r="R2299" s="2">
        <v>0.09</v>
      </c>
      <c r="S2299" t="str">
        <f>IF(Table1[[#This Row],[Years_Experience]]&lt;=5,"Early Career",
IF(Table1[[#This Row],[Years_Experience]]&lt;=15,"Mid Career","Senior Level"))</f>
        <v>Senior Level</v>
      </c>
      <c r="T2299" t="str">
        <f>IF(Table1[[#This Row],[AI_Exposure_Index]]&gt;=0.7,"High Exposure", IF(Table1[[#This Row],[AI_Exposure_Index]]&gt;=0.3,"Medium Exposure","Low Exposure"))</f>
        <v>Low Exposure</v>
      </c>
    </row>
    <row r="2300" spans="1:20" x14ac:dyDescent="0.25">
      <c r="A2300" t="s">
        <v>21</v>
      </c>
      <c r="B2300">
        <v>32693</v>
      </c>
      <c r="C2300" s="1">
        <v>27</v>
      </c>
      <c r="D2300" t="s">
        <v>38</v>
      </c>
      <c r="E2300" s="7">
        <v>1.25</v>
      </c>
      <c r="F2300" s="2">
        <v>0.14000000000000001</v>
      </c>
      <c r="G2300" s="7">
        <v>0.13</v>
      </c>
      <c r="H2300" s="9" t="s">
        <v>23</v>
      </c>
      <c r="I2300">
        <v>0.51</v>
      </c>
      <c r="J2300">
        <v>0.77</v>
      </c>
      <c r="K2300">
        <v>0.75</v>
      </c>
      <c r="L2300">
        <v>0.17</v>
      </c>
      <c r="M2300">
        <v>0.1</v>
      </c>
      <c r="N2300">
        <v>0.59</v>
      </c>
      <c r="O2300">
        <v>0.74</v>
      </c>
      <c r="P2300">
        <v>0.15</v>
      </c>
      <c r="Q2300">
        <v>0.37</v>
      </c>
      <c r="R2300" s="2">
        <v>0.87</v>
      </c>
      <c r="S2300" t="str">
        <f>IF(Table1[[#This Row],[Years_Experience]]&lt;=5,"Early Career",
IF(Table1[[#This Row],[Years_Experience]]&lt;=15,"Mid Career","Senior Level"))</f>
        <v>Senior Level</v>
      </c>
      <c r="T2300" t="str">
        <f>IF(Table1[[#This Row],[AI_Exposure_Index]]&gt;=0.7,"High Exposure", IF(Table1[[#This Row],[AI_Exposure_Index]]&gt;=0.3,"Medium Exposure","Low Exposure"))</f>
        <v>Low Exposure</v>
      </c>
    </row>
    <row r="2301" spans="1:20" x14ac:dyDescent="0.25">
      <c r="A2301" t="s">
        <v>40</v>
      </c>
      <c r="B2301">
        <v>69812</v>
      </c>
      <c r="C2301" s="1">
        <v>26</v>
      </c>
      <c r="D2301" t="s">
        <v>22</v>
      </c>
      <c r="E2301" s="7">
        <v>0.51</v>
      </c>
      <c r="F2301" s="2">
        <v>0.67</v>
      </c>
      <c r="G2301" s="7">
        <v>0.27</v>
      </c>
      <c r="H2301" s="9" t="s">
        <v>23</v>
      </c>
      <c r="I2301">
        <v>0.4</v>
      </c>
      <c r="J2301">
        <v>0.65</v>
      </c>
      <c r="K2301">
        <v>0.4</v>
      </c>
      <c r="L2301">
        <v>0.88</v>
      </c>
      <c r="M2301">
        <v>0.65</v>
      </c>
      <c r="N2301">
        <v>0.57999999999999996</v>
      </c>
      <c r="O2301">
        <v>0.98</v>
      </c>
      <c r="P2301">
        <v>0.28000000000000003</v>
      </c>
      <c r="Q2301">
        <v>7.0000000000000007E-2</v>
      </c>
      <c r="R2301" s="2">
        <v>0.52</v>
      </c>
      <c r="S2301" t="str">
        <f>IF(Table1[[#This Row],[Years_Experience]]&lt;=5,"Early Career",
IF(Table1[[#This Row],[Years_Experience]]&lt;=15,"Mid Career","Senior Level"))</f>
        <v>Senior Level</v>
      </c>
      <c r="T2301" t="str">
        <f>IF(Table1[[#This Row],[AI_Exposure_Index]]&gt;=0.7,"High Exposure", IF(Table1[[#This Row],[AI_Exposure_Index]]&gt;=0.3,"Medium Exposure","Low Exposure"))</f>
        <v>Medium Exposure</v>
      </c>
    </row>
    <row r="2302" spans="1:20" x14ac:dyDescent="0.25">
      <c r="A2302" t="s">
        <v>43</v>
      </c>
      <c r="B2302">
        <v>58353</v>
      </c>
      <c r="C2302" s="1">
        <v>24</v>
      </c>
      <c r="D2302" t="s">
        <v>22</v>
      </c>
      <c r="E2302" s="7">
        <v>1.1200000000000001</v>
      </c>
      <c r="F2302" s="2">
        <v>0.45</v>
      </c>
      <c r="G2302" s="7">
        <v>0.2</v>
      </c>
      <c r="H2302" s="9" t="s">
        <v>23</v>
      </c>
      <c r="I2302">
        <v>0.39</v>
      </c>
      <c r="J2302">
        <v>0.86</v>
      </c>
      <c r="K2302">
        <v>0.65</v>
      </c>
      <c r="L2302">
        <v>0.89</v>
      </c>
      <c r="M2302">
        <v>0.91</v>
      </c>
      <c r="N2302">
        <v>0.17</v>
      </c>
      <c r="O2302">
        <v>0.68</v>
      </c>
      <c r="P2302">
        <v>0.32</v>
      </c>
      <c r="Q2302">
        <v>0.84</v>
      </c>
      <c r="R2302" s="2">
        <v>0.73</v>
      </c>
      <c r="S2302" t="str">
        <f>IF(Table1[[#This Row],[Years_Experience]]&lt;=5,"Early Career",
IF(Table1[[#This Row],[Years_Experience]]&lt;=15,"Mid Career","Senior Level"))</f>
        <v>Senior Level</v>
      </c>
      <c r="T2302" t="str">
        <f>IF(Table1[[#This Row],[AI_Exposure_Index]]&gt;=0.7,"High Exposure", IF(Table1[[#This Row],[AI_Exposure_Index]]&gt;=0.3,"Medium Exposure","Low Exposure"))</f>
        <v>Medium Exposure</v>
      </c>
    </row>
    <row r="2303" spans="1:20" x14ac:dyDescent="0.25">
      <c r="A2303" t="s">
        <v>24</v>
      </c>
      <c r="B2303">
        <v>103969</v>
      </c>
      <c r="C2303" s="1">
        <v>16</v>
      </c>
      <c r="D2303" t="s">
        <v>22</v>
      </c>
      <c r="E2303" s="7">
        <v>1.18</v>
      </c>
      <c r="F2303" s="2">
        <v>0.94</v>
      </c>
      <c r="G2303" s="7">
        <v>0.94</v>
      </c>
      <c r="H2303" s="9" t="s">
        <v>20</v>
      </c>
      <c r="I2303">
        <v>0.2</v>
      </c>
      <c r="J2303">
        <v>0.87</v>
      </c>
      <c r="K2303">
        <v>0.67</v>
      </c>
      <c r="L2303">
        <v>0.55000000000000004</v>
      </c>
      <c r="M2303">
        <v>0.82</v>
      </c>
      <c r="N2303">
        <v>0.63</v>
      </c>
      <c r="O2303">
        <v>0.67</v>
      </c>
      <c r="P2303">
        <v>0.25</v>
      </c>
      <c r="Q2303">
        <v>0.82</v>
      </c>
      <c r="R2303" s="2">
        <v>0.65</v>
      </c>
      <c r="S2303" t="str">
        <f>IF(Table1[[#This Row],[Years_Experience]]&lt;=5,"Early Career",
IF(Table1[[#This Row],[Years_Experience]]&lt;=15,"Mid Career","Senior Level"))</f>
        <v>Senior Level</v>
      </c>
      <c r="T2303" t="str">
        <f>IF(Table1[[#This Row],[AI_Exposure_Index]]&gt;=0.7,"High Exposure", IF(Table1[[#This Row],[AI_Exposure_Index]]&gt;=0.3,"Medium Exposure","Low Exposure"))</f>
        <v>High Exposure</v>
      </c>
    </row>
    <row r="2304" spans="1:20" x14ac:dyDescent="0.25">
      <c r="A2304" t="s">
        <v>34</v>
      </c>
      <c r="B2304">
        <v>34110</v>
      </c>
      <c r="C2304" s="1">
        <v>14</v>
      </c>
      <c r="D2304" t="s">
        <v>38</v>
      </c>
      <c r="E2304" s="7">
        <v>1.48</v>
      </c>
      <c r="F2304" s="2">
        <v>0.65</v>
      </c>
      <c r="G2304" s="7">
        <v>0.54</v>
      </c>
      <c r="H2304" s="9" t="s">
        <v>27</v>
      </c>
      <c r="I2304">
        <v>0.69</v>
      </c>
      <c r="J2304">
        <v>0.56000000000000005</v>
      </c>
      <c r="K2304">
        <v>0.78</v>
      </c>
      <c r="L2304">
        <v>0.98</v>
      </c>
      <c r="M2304">
        <v>0.54</v>
      </c>
      <c r="N2304">
        <v>0.42</v>
      </c>
      <c r="O2304">
        <v>0.86</v>
      </c>
      <c r="P2304">
        <v>0.97</v>
      </c>
      <c r="Q2304">
        <v>0.13</v>
      </c>
      <c r="R2304" s="2">
        <v>0.57999999999999996</v>
      </c>
      <c r="S2304" t="str">
        <f>IF(Table1[[#This Row],[Years_Experience]]&lt;=5,"Early Career",
IF(Table1[[#This Row],[Years_Experience]]&lt;=15,"Mid Career","Senior Level"))</f>
        <v>Mid Career</v>
      </c>
      <c r="T2304" t="str">
        <f>IF(Table1[[#This Row],[AI_Exposure_Index]]&gt;=0.7,"High Exposure", IF(Table1[[#This Row],[AI_Exposure_Index]]&gt;=0.3,"Medium Exposure","Low Exposure"))</f>
        <v>Medium Exposure</v>
      </c>
    </row>
    <row r="2305" spans="1:20" x14ac:dyDescent="0.25">
      <c r="A2305" t="s">
        <v>39</v>
      </c>
      <c r="B2305">
        <v>73105</v>
      </c>
      <c r="C2305" s="1">
        <v>23</v>
      </c>
      <c r="D2305" t="s">
        <v>22</v>
      </c>
      <c r="E2305" s="7">
        <v>0.91</v>
      </c>
      <c r="F2305" s="2">
        <v>0.53</v>
      </c>
      <c r="G2305" s="7">
        <v>0.86</v>
      </c>
      <c r="H2305" s="9" t="s">
        <v>20</v>
      </c>
      <c r="I2305">
        <v>0.27</v>
      </c>
      <c r="J2305">
        <v>0.35</v>
      </c>
      <c r="K2305">
        <v>0.99</v>
      </c>
      <c r="L2305">
        <v>0.64</v>
      </c>
      <c r="M2305">
        <v>0.87</v>
      </c>
      <c r="N2305">
        <v>0.81</v>
      </c>
      <c r="O2305">
        <v>0.65</v>
      </c>
      <c r="P2305">
        <v>0.84</v>
      </c>
      <c r="Q2305">
        <v>0.28999999999999998</v>
      </c>
      <c r="R2305" s="2">
        <v>0.64</v>
      </c>
      <c r="S2305" t="str">
        <f>IF(Table1[[#This Row],[Years_Experience]]&lt;=5,"Early Career",
IF(Table1[[#This Row],[Years_Experience]]&lt;=15,"Mid Career","Senior Level"))</f>
        <v>Senior Level</v>
      </c>
      <c r="T2305" t="str">
        <f>IF(Table1[[#This Row],[AI_Exposure_Index]]&gt;=0.7,"High Exposure", IF(Table1[[#This Row],[AI_Exposure_Index]]&gt;=0.3,"Medium Exposure","Low Exposure"))</f>
        <v>Medium Exposure</v>
      </c>
    </row>
    <row r="2306" spans="1:20" x14ac:dyDescent="0.25">
      <c r="A2306" t="s">
        <v>18</v>
      </c>
      <c r="B2306">
        <v>147323</v>
      </c>
      <c r="C2306" s="1">
        <v>9</v>
      </c>
      <c r="D2306" t="s">
        <v>19</v>
      </c>
      <c r="E2306" s="7">
        <v>0.67</v>
      </c>
      <c r="F2306" s="2">
        <v>0.62</v>
      </c>
      <c r="G2306" s="7">
        <v>0.77</v>
      </c>
      <c r="H2306" s="9" t="s">
        <v>20</v>
      </c>
      <c r="I2306">
        <v>0.28999999999999998</v>
      </c>
      <c r="J2306">
        <v>0.6</v>
      </c>
      <c r="K2306">
        <v>0.97</v>
      </c>
      <c r="L2306">
        <v>0.95</v>
      </c>
      <c r="M2306">
        <v>0.23</v>
      </c>
      <c r="N2306">
        <v>0.3</v>
      </c>
      <c r="O2306">
        <v>0.04</v>
      </c>
      <c r="P2306">
        <v>0.4</v>
      </c>
      <c r="Q2306">
        <v>0.83</v>
      </c>
      <c r="R2306" s="2">
        <v>0.92</v>
      </c>
      <c r="S2306" t="str">
        <f>IF(Table1[[#This Row],[Years_Experience]]&lt;=5,"Early Career",
IF(Table1[[#This Row],[Years_Experience]]&lt;=15,"Mid Career","Senior Level"))</f>
        <v>Mid Career</v>
      </c>
      <c r="T2306" t="str">
        <f>IF(Table1[[#This Row],[AI_Exposure_Index]]&gt;=0.7,"High Exposure", IF(Table1[[#This Row],[AI_Exposure_Index]]&gt;=0.3,"Medium Exposure","Low Exposure"))</f>
        <v>Medium Exposure</v>
      </c>
    </row>
    <row r="2307" spans="1:20" x14ac:dyDescent="0.25">
      <c r="A2307" t="s">
        <v>26</v>
      </c>
      <c r="B2307">
        <v>97720</v>
      </c>
      <c r="C2307" s="1">
        <v>13</v>
      </c>
      <c r="D2307" t="s">
        <v>19</v>
      </c>
      <c r="E2307" s="7">
        <v>0.72</v>
      </c>
      <c r="F2307" s="2">
        <v>0.27</v>
      </c>
      <c r="G2307" s="7">
        <v>0.44</v>
      </c>
      <c r="H2307" s="9" t="s">
        <v>27</v>
      </c>
      <c r="I2307">
        <v>0.8</v>
      </c>
      <c r="J2307">
        <v>0.65</v>
      </c>
      <c r="K2307">
        <v>0.79</v>
      </c>
      <c r="L2307">
        <v>0.57999999999999996</v>
      </c>
      <c r="M2307">
        <v>0.26</v>
      </c>
      <c r="N2307">
        <v>0.23</v>
      </c>
      <c r="O2307">
        <v>0.01</v>
      </c>
      <c r="P2307">
        <v>0.78</v>
      </c>
      <c r="Q2307">
        <v>0.85</v>
      </c>
      <c r="R2307" s="2">
        <v>0.77</v>
      </c>
      <c r="S2307" t="str">
        <f>IF(Table1[[#This Row],[Years_Experience]]&lt;=5,"Early Career",
IF(Table1[[#This Row],[Years_Experience]]&lt;=15,"Mid Career","Senior Level"))</f>
        <v>Mid Career</v>
      </c>
      <c r="T2307" t="str">
        <f>IF(Table1[[#This Row],[AI_Exposure_Index]]&gt;=0.7,"High Exposure", IF(Table1[[#This Row],[AI_Exposure_Index]]&gt;=0.3,"Medium Exposure","Low Exposure"))</f>
        <v>Low Exposure</v>
      </c>
    </row>
    <row r="2308" spans="1:20" x14ac:dyDescent="0.25">
      <c r="A2308" t="s">
        <v>28</v>
      </c>
      <c r="B2308">
        <v>30877</v>
      </c>
      <c r="C2308" s="1">
        <v>20</v>
      </c>
      <c r="D2308" t="s">
        <v>25</v>
      </c>
      <c r="E2308" s="7">
        <v>0.61</v>
      </c>
      <c r="F2308" s="2">
        <v>0.05</v>
      </c>
      <c r="G2308" s="7">
        <v>0.48</v>
      </c>
      <c r="H2308" s="9" t="s">
        <v>27</v>
      </c>
      <c r="I2308">
        <v>0.48</v>
      </c>
      <c r="J2308">
        <v>0.82</v>
      </c>
      <c r="K2308">
        <v>0.68</v>
      </c>
      <c r="L2308">
        <v>0.15</v>
      </c>
      <c r="M2308">
        <v>0.23</v>
      </c>
      <c r="N2308">
        <v>0.28999999999999998</v>
      </c>
      <c r="O2308">
        <v>0.12</v>
      </c>
      <c r="P2308">
        <v>0.28999999999999998</v>
      </c>
      <c r="Q2308">
        <v>0.73</v>
      </c>
      <c r="R2308" s="2">
        <v>0.24</v>
      </c>
      <c r="S2308" t="str">
        <f>IF(Table1[[#This Row],[Years_Experience]]&lt;=5,"Early Career",
IF(Table1[[#This Row],[Years_Experience]]&lt;=15,"Mid Career","Senior Level"))</f>
        <v>Senior Level</v>
      </c>
      <c r="T2308" t="str">
        <f>IF(Table1[[#This Row],[AI_Exposure_Index]]&gt;=0.7,"High Exposure", IF(Table1[[#This Row],[AI_Exposure_Index]]&gt;=0.3,"Medium Exposure","Low Exposure"))</f>
        <v>Low Exposure</v>
      </c>
    </row>
    <row r="2309" spans="1:20" x14ac:dyDescent="0.25">
      <c r="A2309" t="s">
        <v>29</v>
      </c>
      <c r="B2309">
        <v>38499</v>
      </c>
      <c r="C2309" s="1">
        <v>9</v>
      </c>
      <c r="D2309" t="s">
        <v>19</v>
      </c>
      <c r="E2309" s="7">
        <v>0.82</v>
      </c>
      <c r="F2309" s="2">
        <v>0.47</v>
      </c>
      <c r="G2309" s="7">
        <v>0.15</v>
      </c>
      <c r="H2309" s="9" t="s">
        <v>23</v>
      </c>
      <c r="I2309">
        <v>0.71</v>
      </c>
      <c r="J2309">
        <v>0.52</v>
      </c>
      <c r="K2309">
        <v>0.01</v>
      </c>
      <c r="L2309">
        <v>0.92</v>
      </c>
      <c r="M2309">
        <v>7.0000000000000007E-2</v>
      </c>
      <c r="N2309">
        <v>0.94</v>
      </c>
      <c r="O2309">
        <v>0.03</v>
      </c>
      <c r="P2309">
        <v>0.77</v>
      </c>
      <c r="Q2309">
        <v>0.53</v>
      </c>
      <c r="R2309" s="2">
        <v>0.51</v>
      </c>
      <c r="S2309" t="str">
        <f>IF(Table1[[#This Row],[Years_Experience]]&lt;=5,"Early Career",
IF(Table1[[#This Row],[Years_Experience]]&lt;=15,"Mid Career","Senior Level"))</f>
        <v>Mid Career</v>
      </c>
      <c r="T2309" t="str">
        <f>IF(Table1[[#This Row],[AI_Exposure_Index]]&gt;=0.7,"High Exposure", IF(Table1[[#This Row],[AI_Exposure_Index]]&gt;=0.3,"Medium Exposure","Low Exposure"))</f>
        <v>Medium Exposure</v>
      </c>
    </row>
    <row r="2310" spans="1:20" x14ac:dyDescent="0.25">
      <c r="A2310" t="s">
        <v>26</v>
      </c>
      <c r="B2310">
        <v>135634</v>
      </c>
      <c r="C2310" s="1">
        <v>0</v>
      </c>
      <c r="D2310" t="s">
        <v>25</v>
      </c>
      <c r="E2310" s="7">
        <v>1.28</v>
      </c>
      <c r="F2310" s="2">
        <v>0.24</v>
      </c>
      <c r="G2310" s="7">
        <v>0.66</v>
      </c>
      <c r="H2310" s="9" t="s">
        <v>27</v>
      </c>
      <c r="I2310">
        <v>0.53</v>
      </c>
      <c r="J2310">
        <v>0.35</v>
      </c>
      <c r="K2310">
        <v>0.06</v>
      </c>
      <c r="L2310">
        <v>0.68</v>
      </c>
      <c r="M2310">
        <v>0.28000000000000003</v>
      </c>
      <c r="N2310">
        <v>0.06</v>
      </c>
      <c r="O2310">
        <v>0.67</v>
      </c>
      <c r="P2310">
        <v>0.49</v>
      </c>
      <c r="Q2310">
        <v>0.01</v>
      </c>
      <c r="R2310" s="2">
        <v>0.11</v>
      </c>
      <c r="S2310" t="str">
        <f>IF(Table1[[#This Row],[Years_Experience]]&lt;=5,"Early Career",
IF(Table1[[#This Row],[Years_Experience]]&lt;=15,"Mid Career","Senior Level"))</f>
        <v>Early Career</v>
      </c>
      <c r="T2310" t="str">
        <f>IF(Table1[[#This Row],[AI_Exposure_Index]]&gt;=0.7,"High Exposure", IF(Table1[[#This Row],[AI_Exposure_Index]]&gt;=0.3,"Medium Exposure","Low Exposure"))</f>
        <v>Low Exposure</v>
      </c>
    </row>
    <row r="2311" spans="1:20" x14ac:dyDescent="0.25">
      <c r="A2311" t="s">
        <v>31</v>
      </c>
      <c r="B2311">
        <v>88843</v>
      </c>
      <c r="C2311" s="1">
        <v>24</v>
      </c>
      <c r="D2311" t="s">
        <v>22</v>
      </c>
      <c r="E2311" s="7">
        <v>1.37</v>
      </c>
      <c r="F2311" s="2">
        <v>0.06</v>
      </c>
      <c r="G2311" s="7">
        <v>0.13</v>
      </c>
      <c r="H2311" s="9" t="s">
        <v>23</v>
      </c>
      <c r="I2311">
        <v>0.09</v>
      </c>
      <c r="J2311">
        <v>0.76</v>
      </c>
      <c r="K2311">
        <v>0.52</v>
      </c>
      <c r="L2311">
        <v>0.31</v>
      </c>
      <c r="M2311">
        <v>0.41</v>
      </c>
      <c r="N2311">
        <v>0.02</v>
      </c>
      <c r="O2311">
        <v>0.66</v>
      </c>
      <c r="P2311">
        <v>0.37</v>
      </c>
      <c r="Q2311">
        <v>0.71</v>
      </c>
      <c r="R2311" s="2">
        <v>0.63</v>
      </c>
      <c r="S2311" t="str">
        <f>IF(Table1[[#This Row],[Years_Experience]]&lt;=5,"Early Career",
IF(Table1[[#This Row],[Years_Experience]]&lt;=15,"Mid Career","Senior Level"))</f>
        <v>Senior Level</v>
      </c>
      <c r="T2311" t="str">
        <f>IF(Table1[[#This Row],[AI_Exposure_Index]]&gt;=0.7,"High Exposure", IF(Table1[[#This Row],[AI_Exposure_Index]]&gt;=0.3,"Medium Exposure","Low Exposure"))</f>
        <v>Low Exposure</v>
      </c>
    </row>
    <row r="2312" spans="1:20" x14ac:dyDescent="0.25">
      <c r="A2312" t="s">
        <v>43</v>
      </c>
      <c r="B2312">
        <v>68966</v>
      </c>
      <c r="C2312" s="1">
        <v>22</v>
      </c>
      <c r="D2312" t="s">
        <v>38</v>
      </c>
      <c r="E2312" s="7">
        <v>1.1299999999999999</v>
      </c>
      <c r="F2312" s="2">
        <v>0.79</v>
      </c>
      <c r="G2312" s="7">
        <v>0.15</v>
      </c>
      <c r="H2312" s="9" t="s">
        <v>23</v>
      </c>
      <c r="I2312">
        <v>0.39</v>
      </c>
      <c r="J2312">
        <v>0.12</v>
      </c>
      <c r="K2312">
        <v>0.78</v>
      </c>
      <c r="L2312">
        <v>0.76</v>
      </c>
      <c r="M2312">
        <v>0.25</v>
      </c>
      <c r="N2312">
        <v>0.86</v>
      </c>
      <c r="O2312">
        <v>0.59</v>
      </c>
      <c r="P2312">
        <v>0.48</v>
      </c>
      <c r="Q2312">
        <v>0.02</v>
      </c>
      <c r="R2312" s="2">
        <v>0.38</v>
      </c>
      <c r="S2312" t="str">
        <f>IF(Table1[[#This Row],[Years_Experience]]&lt;=5,"Early Career",
IF(Table1[[#This Row],[Years_Experience]]&lt;=15,"Mid Career","Senior Level"))</f>
        <v>Senior Level</v>
      </c>
      <c r="T2312" t="str">
        <f>IF(Table1[[#This Row],[AI_Exposure_Index]]&gt;=0.7,"High Exposure", IF(Table1[[#This Row],[AI_Exposure_Index]]&gt;=0.3,"Medium Exposure","Low Exposure"))</f>
        <v>High Exposure</v>
      </c>
    </row>
    <row r="2313" spans="1:20" x14ac:dyDescent="0.25">
      <c r="A2313" t="s">
        <v>37</v>
      </c>
      <c r="B2313">
        <v>95490</v>
      </c>
      <c r="C2313" s="1">
        <v>17</v>
      </c>
      <c r="D2313" t="s">
        <v>25</v>
      </c>
      <c r="E2313" s="7">
        <v>0.96</v>
      </c>
      <c r="F2313" s="2">
        <v>0.09</v>
      </c>
      <c r="G2313" s="7">
        <v>0.7</v>
      </c>
      <c r="H2313" s="9" t="s">
        <v>27</v>
      </c>
      <c r="I2313">
        <v>0.72</v>
      </c>
      <c r="J2313">
        <v>0.55000000000000004</v>
      </c>
      <c r="K2313">
        <v>0.53</v>
      </c>
      <c r="L2313">
        <v>0.04</v>
      </c>
      <c r="M2313">
        <v>0.96</v>
      </c>
      <c r="N2313">
        <v>0.93</v>
      </c>
      <c r="O2313">
        <v>0.68</v>
      </c>
      <c r="P2313">
        <v>0.1</v>
      </c>
      <c r="Q2313">
        <v>0.21</v>
      </c>
      <c r="R2313" s="2">
        <v>0.18</v>
      </c>
      <c r="S2313" t="str">
        <f>IF(Table1[[#This Row],[Years_Experience]]&lt;=5,"Early Career",
IF(Table1[[#This Row],[Years_Experience]]&lt;=15,"Mid Career","Senior Level"))</f>
        <v>Senior Level</v>
      </c>
      <c r="T2313" t="str">
        <f>IF(Table1[[#This Row],[AI_Exposure_Index]]&gt;=0.7,"High Exposure", IF(Table1[[#This Row],[AI_Exposure_Index]]&gt;=0.3,"Medium Exposure","Low Exposure"))</f>
        <v>Low Exposure</v>
      </c>
    </row>
    <row r="2314" spans="1:20" x14ac:dyDescent="0.25">
      <c r="A2314" t="s">
        <v>37</v>
      </c>
      <c r="B2314">
        <v>101786</v>
      </c>
      <c r="C2314" s="1">
        <v>2</v>
      </c>
      <c r="D2314" t="s">
        <v>22</v>
      </c>
      <c r="E2314" s="7">
        <v>1.2</v>
      </c>
      <c r="F2314" s="2">
        <v>0.21</v>
      </c>
      <c r="G2314" s="7">
        <v>0.52</v>
      </c>
      <c r="H2314" s="9" t="s">
        <v>27</v>
      </c>
      <c r="I2314">
        <v>0.02</v>
      </c>
      <c r="J2314">
        <v>0.74</v>
      </c>
      <c r="K2314">
        <v>0.19</v>
      </c>
      <c r="L2314">
        <v>0.82</v>
      </c>
      <c r="M2314">
        <v>0.36</v>
      </c>
      <c r="N2314">
        <v>0.34</v>
      </c>
      <c r="O2314">
        <v>0.01</v>
      </c>
      <c r="P2314">
        <v>0.99</v>
      </c>
      <c r="Q2314">
        <v>0.61</v>
      </c>
      <c r="R2314" s="2">
        <v>0.42</v>
      </c>
      <c r="S2314" t="str">
        <f>IF(Table1[[#This Row],[Years_Experience]]&lt;=5,"Early Career",
IF(Table1[[#This Row],[Years_Experience]]&lt;=15,"Mid Career","Senior Level"))</f>
        <v>Early Career</v>
      </c>
      <c r="T2314" t="str">
        <f>IF(Table1[[#This Row],[AI_Exposure_Index]]&gt;=0.7,"High Exposure", IF(Table1[[#This Row],[AI_Exposure_Index]]&gt;=0.3,"Medium Exposure","Low Exposure"))</f>
        <v>Low Exposure</v>
      </c>
    </row>
    <row r="2315" spans="1:20" x14ac:dyDescent="0.25">
      <c r="A2315" t="s">
        <v>21</v>
      </c>
      <c r="B2315">
        <v>41808</v>
      </c>
      <c r="C2315" s="1">
        <v>24</v>
      </c>
      <c r="D2315" t="s">
        <v>38</v>
      </c>
      <c r="E2315" s="7">
        <v>0.78</v>
      </c>
      <c r="F2315" s="2">
        <v>0.7</v>
      </c>
      <c r="G2315" s="7">
        <v>0.3</v>
      </c>
      <c r="H2315" s="9" t="s">
        <v>23</v>
      </c>
      <c r="I2315">
        <v>0.95</v>
      </c>
      <c r="J2315">
        <v>0.74</v>
      </c>
      <c r="K2315">
        <v>0.97</v>
      </c>
      <c r="L2315">
        <v>0.11</v>
      </c>
      <c r="M2315">
        <v>0.28000000000000003</v>
      </c>
      <c r="N2315">
        <v>0.25</v>
      </c>
      <c r="O2315">
        <v>7.0000000000000007E-2</v>
      </c>
      <c r="P2315">
        <v>0.97</v>
      </c>
      <c r="Q2315">
        <v>0.06</v>
      </c>
      <c r="R2315" s="2">
        <v>0.86</v>
      </c>
      <c r="S2315" t="str">
        <f>IF(Table1[[#This Row],[Years_Experience]]&lt;=5,"Early Career",
IF(Table1[[#This Row],[Years_Experience]]&lt;=15,"Mid Career","Senior Level"))</f>
        <v>Senior Level</v>
      </c>
      <c r="T2315" t="str">
        <f>IF(Table1[[#This Row],[AI_Exposure_Index]]&gt;=0.7,"High Exposure", IF(Table1[[#This Row],[AI_Exposure_Index]]&gt;=0.3,"Medium Exposure","Low Exposure"))</f>
        <v>High Exposure</v>
      </c>
    </row>
    <row r="2316" spans="1:20" x14ac:dyDescent="0.25">
      <c r="A2316" t="s">
        <v>26</v>
      </c>
      <c r="B2316">
        <v>44903</v>
      </c>
      <c r="C2316" s="1">
        <v>18</v>
      </c>
      <c r="D2316" t="s">
        <v>19</v>
      </c>
      <c r="E2316" s="7">
        <v>0.52</v>
      </c>
      <c r="F2316" s="2">
        <v>0.38</v>
      </c>
      <c r="G2316" s="7">
        <v>0.3</v>
      </c>
      <c r="H2316" s="9" t="s">
        <v>23</v>
      </c>
      <c r="I2316">
        <v>0.2</v>
      </c>
      <c r="J2316">
        <v>0.49</v>
      </c>
      <c r="K2316">
        <v>0.46</v>
      </c>
      <c r="L2316">
        <v>0.59</v>
      </c>
      <c r="M2316">
        <v>0.77</v>
      </c>
      <c r="N2316">
        <v>0.38</v>
      </c>
      <c r="O2316">
        <v>0.16</v>
      </c>
      <c r="P2316">
        <v>0.8</v>
      </c>
      <c r="Q2316">
        <v>0.33</v>
      </c>
      <c r="R2316" s="2">
        <v>0.28999999999999998</v>
      </c>
      <c r="S2316" t="str">
        <f>IF(Table1[[#This Row],[Years_Experience]]&lt;=5,"Early Career",
IF(Table1[[#This Row],[Years_Experience]]&lt;=15,"Mid Career","Senior Level"))</f>
        <v>Senior Level</v>
      </c>
      <c r="T2316" t="str">
        <f>IF(Table1[[#This Row],[AI_Exposure_Index]]&gt;=0.7,"High Exposure", IF(Table1[[#This Row],[AI_Exposure_Index]]&gt;=0.3,"Medium Exposure","Low Exposure"))</f>
        <v>Medium Exposure</v>
      </c>
    </row>
    <row r="2317" spans="1:20" x14ac:dyDescent="0.25">
      <c r="A2317" t="s">
        <v>34</v>
      </c>
      <c r="B2317">
        <v>93615</v>
      </c>
      <c r="C2317" s="1">
        <v>16</v>
      </c>
      <c r="D2317" t="s">
        <v>25</v>
      </c>
      <c r="E2317" s="7">
        <v>0.98</v>
      </c>
      <c r="F2317" s="2">
        <v>0.01</v>
      </c>
      <c r="G2317" s="7">
        <v>0.35</v>
      </c>
      <c r="H2317" s="9" t="s">
        <v>27</v>
      </c>
      <c r="I2317">
        <v>0.18</v>
      </c>
      <c r="J2317">
        <v>0.48</v>
      </c>
      <c r="K2317">
        <v>0.87</v>
      </c>
      <c r="L2317">
        <v>0.84</v>
      </c>
      <c r="M2317">
        <v>0.97</v>
      </c>
      <c r="N2317">
        <v>0.48</v>
      </c>
      <c r="O2317">
        <v>0.55000000000000004</v>
      </c>
      <c r="P2317">
        <v>0.82</v>
      </c>
      <c r="Q2317">
        <v>0.7</v>
      </c>
      <c r="R2317" s="2">
        <v>0.18</v>
      </c>
      <c r="S2317" t="str">
        <f>IF(Table1[[#This Row],[Years_Experience]]&lt;=5,"Early Career",
IF(Table1[[#This Row],[Years_Experience]]&lt;=15,"Mid Career","Senior Level"))</f>
        <v>Senior Level</v>
      </c>
      <c r="T2317" t="str">
        <f>IF(Table1[[#This Row],[AI_Exposure_Index]]&gt;=0.7,"High Exposure", IF(Table1[[#This Row],[AI_Exposure_Index]]&gt;=0.3,"Medium Exposure","Low Exposure"))</f>
        <v>Low Exposure</v>
      </c>
    </row>
    <row r="2318" spans="1:20" x14ac:dyDescent="0.25">
      <c r="A2318" t="s">
        <v>29</v>
      </c>
      <c r="B2318">
        <v>81141</v>
      </c>
      <c r="C2318" s="1">
        <v>10</v>
      </c>
      <c r="D2318" t="s">
        <v>38</v>
      </c>
      <c r="E2318" s="7">
        <v>0.67</v>
      </c>
      <c r="F2318" s="2">
        <v>0.13</v>
      </c>
      <c r="G2318" s="7">
        <v>0.27</v>
      </c>
      <c r="H2318" s="9" t="s">
        <v>23</v>
      </c>
      <c r="I2318">
        <v>0.53</v>
      </c>
      <c r="J2318">
        <v>0.71</v>
      </c>
      <c r="K2318">
        <v>0.37</v>
      </c>
      <c r="L2318">
        <v>0.53</v>
      </c>
      <c r="M2318">
        <v>0.98</v>
      </c>
      <c r="N2318">
        <v>0.33</v>
      </c>
      <c r="O2318">
        <v>0.67</v>
      </c>
      <c r="P2318">
        <v>0.17</v>
      </c>
      <c r="Q2318">
        <v>0.12</v>
      </c>
      <c r="R2318" s="2">
        <v>0.78</v>
      </c>
      <c r="S2318" t="str">
        <f>IF(Table1[[#This Row],[Years_Experience]]&lt;=5,"Early Career",
IF(Table1[[#This Row],[Years_Experience]]&lt;=15,"Mid Career","Senior Level"))</f>
        <v>Mid Career</v>
      </c>
      <c r="T2318" t="str">
        <f>IF(Table1[[#This Row],[AI_Exposure_Index]]&gt;=0.7,"High Exposure", IF(Table1[[#This Row],[AI_Exposure_Index]]&gt;=0.3,"Medium Exposure","Low Exposure"))</f>
        <v>Low Exposure</v>
      </c>
    </row>
    <row r="2319" spans="1:20" x14ac:dyDescent="0.25">
      <c r="A2319" t="s">
        <v>41</v>
      </c>
      <c r="B2319">
        <v>126705</v>
      </c>
      <c r="C2319" s="1">
        <v>27</v>
      </c>
      <c r="D2319" t="s">
        <v>19</v>
      </c>
      <c r="E2319" s="7">
        <v>0.66</v>
      </c>
      <c r="F2319" s="2">
        <v>0.67</v>
      </c>
      <c r="G2319" s="7">
        <v>0.76</v>
      </c>
      <c r="H2319" s="9" t="s">
        <v>20</v>
      </c>
      <c r="I2319">
        <v>0.91</v>
      </c>
      <c r="J2319">
        <v>0.28999999999999998</v>
      </c>
      <c r="K2319">
        <v>0.82</v>
      </c>
      <c r="L2319">
        <v>0.28999999999999998</v>
      </c>
      <c r="M2319">
        <v>0.94</v>
      </c>
      <c r="N2319">
        <v>0.91</v>
      </c>
      <c r="O2319">
        <v>0.04</v>
      </c>
      <c r="P2319">
        <v>0.77</v>
      </c>
      <c r="Q2319">
        <v>0.17</v>
      </c>
      <c r="R2319" s="2">
        <v>0.22</v>
      </c>
      <c r="S2319" t="str">
        <f>IF(Table1[[#This Row],[Years_Experience]]&lt;=5,"Early Career",
IF(Table1[[#This Row],[Years_Experience]]&lt;=15,"Mid Career","Senior Level"))</f>
        <v>Senior Level</v>
      </c>
      <c r="T2319" t="str">
        <f>IF(Table1[[#This Row],[AI_Exposure_Index]]&gt;=0.7,"High Exposure", IF(Table1[[#This Row],[AI_Exposure_Index]]&gt;=0.3,"Medium Exposure","Low Exposure"))</f>
        <v>Medium Exposure</v>
      </c>
    </row>
    <row r="2320" spans="1:20" x14ac:dyDescent="0.25">
      <c r="A2320" t="s">
        <v>33</v>
      </c>
      <c r="B2320">
        <v>57254</v>
      </c>
      <c r="C2320" s="1">
        <v>8</v>
      </c>
      <c r="D2320" t="s">
        <v>38</v>
      </c>
      <c r="E2320" s="7">
        <v>0.83</v>
      </c>
      <c r="F2320" s="2">
        <v>0.57999999999999996</v>
      </c>
      <c r="G2320" s="7">
        <v>0.84</v>
      </c>
      <c r="H2320" s="9" t="s">
        <v>20</v>
      </c>
      <c r="I2320">
        <v>0.17</v>
      </c>
      <c r="J2320">
        <v>0.02</v>
      </c>
      <c r="K2320">
        <v>0.56999999999999995</v>
      </c>
      <c r="L2320">
        <v>0.52</v>
      </c>
      <c r="M2320">
        <v>0.69</v>
      </c>
      <c r="N2320">
        <v>0.65</v>
      </c>
      <c r="O2320">
        <v>0.9</v>
      </c>
      <c r="P2320">
        <v>0.46</v>
      </c>
      <c r="Q2320">
        <v>0.01</v>
      </c>
      <c r="R2320" s="2">
        <v>0.63</v>
      </c>
      <c r="S2320" t="str">
        <f>IF(Table1[[#This Row],[Years_Experience]]&lt;=5,"Early Career",
IF(Table1[[#This Row],[Years_Experience]]&lt;=15,"Mid Career","Senior Level"))</f>
        <v>Mid Career</v>
      </c>
      <c r="T2320" t="str">
        <f>IF(Table1[[#This Row],[AI_Exposure_Index]]&gt;=0.7,"High Exposure", IF(Table1[[#This Row],[AI_Exposure_Index]]&gt;=0.3,"Medium Exposure","Low Exposure"))</f>
        <v>Medium Exposure</v>
      </c>
    </row>
    <row r="2321" spans="1:20" x14ac:dyDescent="0.25">
      <c r="A2321" t="s">
        <v>30</v>
      </c>
      <c r="B2321">
        <v>126923</v>
      </c>
      <c r="C2321" s="1">
        <v>28</v>
      </c>
      <c r="D2321" t="s">
        <v>22</v>
      </c>
      <c r="E2321" s="7">
        <v>1.08</v>
      </c>
      <c r="F2321" s="2">
        <v>0.64</v>
      </c>
      <c r="G2321" s="7">
        <v>0.39</v>
      </c>
      <c r="H2321" s="9" t="s">
        <v>27</v>
      </c>
      <c r="I2321">
        <v>0.36</v>
      </c>
      <c r="J2321">
        <v>0.91</v>
      </c>
      <c r="K2321">
        <v>0.47</v>
      </c>
      <c r="L2321">
        <v>0.59</v>
      </c>
      <c r="M2321">
        <v>0.94</v>
      </c>
      <c r="N2321">
        <v>0.47</v>
      </c>
      <c r="O2321">
        <v>0.39</v>
      </c>
      <c r="P2321">
        <v>0.89</v>
      </c>
      <c r="Q2321">
        <v>0.91</v>
      </c>
      <c r="R2321" s="2">
        <v>0.35</v>
      </c>
      <c r="S2321" t="str">
        <f>IF(Table1[[#This Row],[Years_Experience]]&lt;=5,"Early Career",
IF(Table1[[#This Row],[Years_Experience]]&lt;=15,"Mid Career","Senior Level"))</f>
        <v>Senior Level</v>
      </c>
      <c r="T2321" t="str">
        <f>IF(Table1[[#This Row],[AI_Exposure_Index]]&gt;=0.7,"High Exposure", IF(Table1[[#This Row],[AI_Exposure_Index]]&gt;=0.3,"Medium Exposure","Low Exposure"))</f>
        <v>Medium Exposure</v>
      </c>
    </row>
    <row r="2322" spans="1:20" x14ac:dyDescent="0.25">
      <c r="A2322" t="s">
        <v>41</v>
      </c>
      <c r="B2322">
        <v>71689</v>
      </c>
      <c r="C2322" s="1">
        <v>28</v>
      </c>
      <c r="D2322" t="s">
        <v>38</v>
      </c>
      <c r="E2322" s="7">
        <v>0.56000000000000005</v>
      </c>
      <c r="F2322" s="2">
        <v>0.96</v>
      </c>
      <c r="G2322" s="7">
        <v>0.71</v>
      </c>
      <c r="H2322" s="9" t="s">
        <v>20</v>
      </c>
      <c r="I2322">
        <v>0.52</v>
      </c>
      <c r="J2322">
        <v>0.28999999999999998</v>
      </c>
      <c r="K2322">
        <v>0.57999999999999996</v>
      </c>
      <c r="L2322">
        <v>0.72</v>
      </c>
      <c r="M2322">
        <v>7.0000000000000007E-2</v>
      </c>
      <c r="N2322">
        <v>0.88</v>
      </c>
      <c r="O2322">
        <v>0.28000000000000003</v>
      </c>
      <c r="P2322">
        <v>0.38</v>
      </c>
      <c r="Q2322">
        <v>0.34</v>
      </c>
      <c r="R2322" s="2">
        <v>0.84</v>
      </c>
      <c r="S2322" t="str">
        <f>IF(Table1[[#This Row],[Years_Experience]]&lt;=5,"Early Career",
IF(Table1[[#This Row],[Years_Experience]]&lt;=15,"Mid Career","Senior Level"))</f>
        <v>Senior Level</v>
      </c>
      <c r="T2322" t="str">
        <f>IF(Table1[[#This Row],[AI_Exposure_Index]]&gt;=0.7,"High Exposure", IF(Table1[[#This Row],[AI_Exposure_Index]]&gt;=0.3,"Medium Exposure","Low Exposure"))</f>
        <v>High Exposure</v>
      </c>
    </row>
    <row r="2323" spans="1:20" x14ac:dyDescent="0.25">
      <c r="A2323" t="s">
        <v>29</v>
      </c>
      <c r="B2323">
        <v>49546</v>
      </c>
      <c r="C2323" s="1">
        <v>5</v>
      </c>
      <c r="D2323" t="s">
        <v>25</v>
      </c>
      <c r="E2323" s="7">
        <v>0.89</v>
      </c>
      <c r="F2323" s="2">
        <v>0.22</v>
      </c>
      <c r="G2323" s="7">
        <v>0.26</v>
      </c>
      <c r="H2323" s="9" t="s">
        <v>23</v>
      </c>
      <c r="I2323">
        <v>0.15</v>
      </c>
      <c r="J2323">
        <v>0.43</v>
      </c>
      <c r="K2323">
        <v>0.93</v>
      </c>
      <c r="L2323">
        <v>0.5</v>
      </c>
      <c r="M2323">
        <v>0.73</v>
      </c>
      <c r="N2323">
        <v>0.83</v>
      </c>
      <c r="O2323">
        <v>0.2</v>
      </c>
      <c r="P2323">
        <v>0.22</v>
      </c>
      <c r="Q2323">
        <v>0.76</v>
      </c>
      <c r="R2323" s="2">
        <v>0.75</v>
      </c>
      <c r="S2323" t="str">
        <f>IF(Table1[[#This Row],[Years_Experience]]&lt;=5,"Early Career",
IF(Table1[[#This Row],[Years_Experience]]&lt;=15,"Mid Career","Senior Level"))</f>
        <v>Early Career</v>
      </c>
      <c r="T2323" t="str">
        <f>IF(Table1[[#This Row],[AI_Exposure_Index]]&gt;=0.7,"High Exposure", IF(Table1[[#This Row],[AI_Exposure_Index]]&gt;=0.3,"Medium Exposure","Low Exposure"))</f>
        <v>Low Exposure</v>
      </c>
    </row>
    <row r="2324" spans="1:20" x14ac:dyDescent="0.25">
      <c r="A2324" t="s">
        <v>41</v>
      </c>
      <c r="B2324">
        <v>41398</v>
      </c>
      <c r="C2324" s="1">
        <v>22</v>
      </c>
      <c r="D2324" t="s">
        <v>25</v>
      </c>
      <c r="E2324" s="7">
        <v>0.9</v>
      </c>
      <c r="F2324" s="2">
        <v>0.32</v>
      </c>
      <c r="G2324" s="7">
        <v>0.91</v>
      </c>
      <c r="H2324" s="9" t="s">
        <v>20</v>
      </c>
      <c r="I2324">
        <v>0.42</v>
      </c>
      <c r="J2324">
        <v>0.93</v>
      </c>
      <c r="K2324">
        <v>1</v>
      </c>
      <c r="L2324">
        <v>0.78</v>
      </c>
      <c r="M2324">
        <v>0.67</v>
      </c>
      <c r="N2324">
        <v>0.39</v>
      </c>
      <c r="O2324">
        <v>7.0000000000000007E-2</v>
      </c>
      <c r="P2324">
        <v>0.56999999999999995</v>
      </c>
      <c r="Q2324">
        <v>0.36</v>
      </c>
      <c r="R2324" s="2">
        <v>0.35</v>
      </c>
      <c r="S2324" t="str">
        <f>IF(Table1[[#This Row],[Years_Experience]]&lt;=5,"Early Career",
IF(Table1[[#This Row],[Years_Experience]]&lt;=15,"Mid Career","Senior Level"))</f>
        <v>Senior Level</v>
      </c>
      <c r="T2324" t="str">
        <f>IF(Table1[[#This Row],[AI_Exposure_Index]]&gt;=0.7,"High Exposure", IF(Table1[[#This Row],[AI_Exposure_Index]]&gt;=0.3,"Medium Exposure","Low Exposure"))</f>
        <v>Medium Exposure</v>
      </c>
    </row>
    <row r="2325" spans="1:20" x14ac:dyDescent="0.25">
      <c r="A2325" t="s">
        <v>44</v>
      </c>
      <c r="B2325">
        <v>142301</v>
      </c>
      <c r="C2325" s="1">
        <v>27</v>
      </c>
      <c r="D2325" t="s">
        <v>38</v>
      </c>
      <c r="E2325" s="7">
        <v>1.25</v>
      </c>
      <c r="F2325" s="2">
        <v>0.46</v>
      </c>
      <c r="G2325" s="7">
        <v>0.46</v>
      </c>
      <c r="H2325" s="9" t="s">
        <v>27</v>
      </c>
      <c r="I2325">
        <v>0.15</v>
      </c>
      <c r="J2325">
        <v>0.46</v>
      </c>
      <c r="K2325">
        <v>0.95</v>
      </c>
      <c r="L2325">
        <v>0.8</v>
      </c>
      <c r="M2325">
        <v>0.21</v>
      </c>
      <c r="N2325">
        <v>0.39</v>
      </c>
      <c r="O2325">
        <v>0.93</v>
      </c>
      <c r="P2325">
        <v>0.12</v>
      </c>
      <c r="Q2325">
        <v>0.25</v>
      </c>
      <c r="R2325" s="2">
        <v>0.26</v>
      </c>
      <c r="S2325" t="str">
        <f>IF(Table1[[#This Row],[Years_Experience]]&lt;=5,"Early Career",
IF(Table1[[#This Row],[Years_Experience]]&lt;=15,"Mid Career","Senior Level"))</f>
        <v>Senior Level</v>
      </c>
      <c r="T2325" t="str">
        <f>IF(Table1[[#This Row],[AI_Exposure_Index]]&gt;=0.7,"High Exposure", IF(Table1[[#This Row],[AI_Exposure_Index]]&gt;=0.3,"Medium Exposure","Low Exposure"))</f>
        <v>Medium Exposure</v>
      </c>
    </row>
    <row r="2326" spans="1:20" x14ac:dyDescent="0.25">
      <c r="A2326" t="s">
        <v>34</v>
      </c>
      <c r="B2326">
        <v>73042</v>
      </c>
      <c r="C2326" s="1">
        <v>28</v>
      </c>
      <c r="D2326" t="s">
        <v>19</v>
      </c>
      <c r="E2326" s="7">
        <v>0.57999999999999996</v>
      </c>
      <c r="F2326" s="2">
        <v>0.41</v>
      </c>
      <c r="G2326" s="7">
        <v>0.55000000000000004</v>
      </c>
      <c r="H2326" s="9" t="s">
        <v>27</v>
      </c>
      <c r="I2326">
        <v>0.1</v>
      </c>
      <c r="J2326">
        <v>0.61</v>
      </c>
      <c r="K2326">
        <v>0.51</v>
      </c>
      <c r="L2326">
        <v>0.49</v>
      </c>
      <c r="M2326">
        <v>7.0000000000000007E-2</v>
      </c>
      <c r="N2326">
        <v>0.64</v>
      </c>
      <c r="O2326">
        <v>0.43</v>
      </c>
      <c r="P2326">
        <v>0.41</v>
      </c>
      <c r="Q2326">
        <v>0.6</v>
      </c>
      <c r="R2326" s="2">
        <v>0.61</v>
      </c>
      <c r="S2326" t="str">
        <f>IF(Table1[[#This Row],[Years_Experience]]&lt;=5,"Early Career",
IF(Table1[[#This Row],[Years_Experience]]&lt;=15,"Mid Career","Senior Level"))</f>
        <v>Senior Level</v>
      </c>
      <c r="T2326" t="str">
        <f>IF(Table1[[#This Row],[AI_Exposure_Index]]&gt;=0.7,"High Exposure", IF(Table1[[#This Row],[AI_Exposure_Index]]&gt;=0.3,"Medium Exposure","Low Exposure"))</f>
        <v>Medium Exposure</v>
      </c>
    </row>
    <row r="2327" spans="1:20" x14ac:dyDescent="0.25">
      <c r="A2327" t="s">
        <v>30</v>
      </c>
      <c r="B2327">
        <v>110094</v>
      </c>
      <c r="C2327" s="1">
        <v>10</v>
      </c>
      <c r="D2327" t="s">
        <v>22</v>
      </c>
      <c r="E2327" s="7">
        <v>0.74</v>
      </c>
      <c r="F2327" s="2">
        <v>0.13</v>
      </c>
      <c r="G2327" s="7">
        <v>0.56999999999999995</v>
      </c>
      <c r="H2327" s="9" t="s">
        <v>27</v>
      </c>
      <c r="I2327">
        <v>0.57999999999999996</v>
      </c>
      <c r="J2327">
        <v>0.76</v>
      </c>
      <c r="K2327">
        <v>0.74</v>
      </c>
      <c r="L2327">
        <v>0.85</v>
      </c>
      <c r="M2327">
        <v>0.38</v>
      </c>
      <c r="N2327">
        <v>0.35</v>
      </c>
      <c r="O2327">
        <v>0.83</v>
      </c>
      <c r="P2327">
        <v>0.24</v>
      </c>
      <c r="Q2327">
        <v>0.46</v>
      </c>
      <c r="R2327" s="2">
        <v>0.19</v>
      </c>
      <c r="S2327" t="str">
        <f>IF(Table1[[#This Row],[Years_Experience]]&lt;=5,"Early Career",
IF(Table1[[#This Row],[Years_Experience]]&lt;=15,"Mid Career","Senior Level"))</f>
        <v>Mid Career</v>
      </c>
      <c r="T2327" t="str">
        <f>IF(Table1[[#This Row],[AI_Exposure_Index]]&gt;=0.7,"High Exposure", IF(Table1[[#This Row],[AI_Exposure_Index]]&gt;=0.3,"Medium Exposure","Low Exposure"))</f>
        <v>Low Exposure</v>
      </c>
    </row>
    <row r="2328" spans="1:20" x14ac:dyDescent="0.25">
      <c r="A2328" t="s">
        <v>34</v>
      </c>
      <c r="B2328">
        <v>126155</v>
      </c>
      <c r="C2328" s="1">
        <v>9</v>
      </c>
      <c r="D2328" t="s">
        <v>25</v>
      </c>
      <c r="E2328" s="7">
        <v>0.71</v>
      </c>
      <c r="F2328" s="2">
        <v>0.41</v>
      </c>
      <c r="G2328" s="7">
        <v>0.57999999999999996</v>
      </c>
      <c r="H2328" s="9" t="s">
        <v>27</v>
      </c>
      <c r="I2328">
        <v>0.24</v>
      </c>
      <c r="J2328">
        <v>0.94</v>
      </c>
      <c r="K2328">
        <v>0.37</v>
      </c>
      <c r="L2328">
        <v>0.66</v>
      </c>
      <c r="M2328">
        <v>0.35</v>
      </c>
      <c r="N2328">
        <v>0.81</v>
      </c>
      <c r="O2328">
        <v>0.9</v>
      </c>
      <c r="P2328">
        <v>0.79</v>
      </c>
      <c r="Q2328">
        <v>0.85</v>
      </c>
      <c r="R2328" s="2">
        <v>0.1</v>
      </c>
      <c r="S2328" t="str">
        <f>IF(Table1[[#This Row],[Years_Experience]]&lt;=5,"Early Career",
IF(Table1[[#This Row],[Years_Experience]]&lt;=15,"Mid Career","Senior Level"))</f>
        <v>Mid Career</v>
      </c>
      <c r="T2328" t="str">
        <f>IF(Table1[[#This Row],[AI_Exposure_Index]]&gt;=0.7,"High Exposure", IF(Table1[[#This Row],[AI_Exposure_Index]]&gt;=0.3,"Medium Exposure","Low Exposure"))</f>
        <v>Medium Exposure</v>
      </c>
    </row>
    <row r="2329" spans="1:20" x14ac:dyDescent="0.25">
      <c r="A2329" t="s">
        <v>43</v>
      </c>
      <c r="B2329">
        <v>128464</v>
      </c>
      <c r="C2329" s="1">
        <v>15</v>
      </c>
      <c r="D2329" t="s">
        <v>19</v>
      </c>
      <c r="E2329" s="7">
        <v>1.37</v>
      </c>
      <c r="F2329" s="2">
        <v>0.62</v>
      </c>
      <c r="G2329" s="7">
        <v>0.22</v>
      </c>
      <c r="H2329" s="9" t="s">
        <v>23</v>
      </c>
      <c r="I2329">
        <v>0.2</v>
      </c>
      <c r="J2329">
        <v>0.61</v>
      </c>
      <c r="K2329">
        <v>0.09</v>
      </c>
      <c r="L2329">
        <v>0.7</v>
      </c>
      <c r="M2329">
        <v>0.41</v>
      </c>
      <c r="N2329">
        <v>0.15</v>
      </c>
      <c r="O2329">
        <v>0.98</v>
      </c>
      <c r="P2329">
        <v>0.9</v>
      </c>
      <c r="Q2329">
        <v>0.89</v>
      </c>
      <c r="R2329" s="2">
        <v>0.79</v>
      </c>
      <c r="S2329" t="str">
        <f>IF(Table1[[#This Row],[Years_Experience]]&lt;=5,"Early Career",
IF(Table1[[#This Row],[Years_Experience]]&lt;=15,"Mid Career","Senior Level"))</f>
        <v>Mid Career</v>
      </c>
      <c r="T2329" t="str">
        <f>IF(Table1[[#This Row],[AI_Exposure_Index]]&gt;=0.7,"High Exposure", IF(Table1[[#This Row],[AI_Exposure_Index]]&gt;=0.3,"Medium Exposure","Low Exposure"))</f>
        <v>Medium Exposure</v>
      </c>
    </row>
    <row r="2330" spans="1:20" x14ac:dyDescent="0.25">
      <c r="A2330" t="s">
        <v>35</v>
      </c>
      <c r="B2330">
        <v>139791</v>
      </c>
      <c r="C2330" s="1">
        <v>4</v>
      </c>
      <c r="D2330" t="s">
        <v>22</v>
      </c>
      <c r="E2330" s="7">
        <v>0.61</v>
      </c>
      <c r="F2330" s="2">
        <v>0.66</v>
      </c>
      <c r="G2330" s="7">
        <v>0.66</v>
      </c>
      <c r="H2330" s="9" t="s">
        <v>27</v>
      </c>
      <c r="I2330">
        <v>0.88</v>
      </c>
      <c r="J2330">
        <v>0.75</v>
      </c>
      <c r="K2330">
        <v>0.93</v>
      </c>
      <c r="L2330">
        <v>0.55000000000000004</v>
      </c>
      <c r="M2330">
        <v>0.45</v>
      </c>
      <c r="N2330">
        <v>0.97</v>
      </c>
      <c r="O2330">
        <v>0.46</v>
      </c>
      <c r="P2330">
        <v>0.64</v>
      </c>
      <c r="Q2330">
        <v>0.37</v>
      </c>
      <c r="R2330" s="2">
        <v>0.64</v>
      </c>
      <c r="S2330" t="str">
        <f>IF(Table1[[#This Row],[Years_Experience]]&lt;=5,"Early Career",
IF(Table1[[#This Row],[Years_Experience]]&lt;=15,"Mid Career","Senior Level"))</f>
        <v>Early Career</v>
      </c>
      <c r="T2330" t="str">
        <f>IF(Table1[[#This Row],[AI_Exposure_Index]]&gt;=0.7,"High Exposure", IF(Table1[[#This Row],[AI_Exposure_Index]]&gt;=0.3,"Medium Exposure","Low Exposure"))</f>
        <v>Medium Exposure</v>
      </c>
    </row>
    <row r="2331" spans="1:20" x14ac:dyDescent="0.25">
      <c r="A2331" t="s">
        <v>18</v>
      </c>
      <c r="B2331">
        <v>56745</v>
      </c>
      <c r="C2331" s="1">
        <v>1</v>
      </c>
      <c r="D2331" t="s">
        <v>22</v>
      </c>
      <c r="E2331" s="7">
        <v>1.01</v>
      </c>
      <c r="F2331" s="2">
        <v>0.62</v>
      </c>
      <c r="G2331" s="7">
        <v>0.78</v>
      </c>
      <c r="H2331" s="9" t="s">
        <v>20</v>
      </c>
      <c r="I2331">
        <v>0.64</v>
      </c>
      <c r="J2331">
        <v>0.91</v>
      </c>
      <c r="K2331">
        <v>0.01</v>
      </c>
      <c r="L2331">
        <v>0.13</v>
      </c>
      <c r="M2331">
        <v>0.12</v>
      </c>
      <c r="N2331">
        <v>0.92</v>
      </c>
      <c r="O2331">
        <v>0.66</v>
      </c>
      <c r="P2331">
        <v>0.95</v>
      </c>
      <c r="Q2331">
        <v>0.57999999999999996</v>
      </c>
      <c r="R2331" s="2">
        <v>0.46</v>
      </c>
      <c r="S2331" t="str">
        <f>IF(Table1[[#This Row],[Years_Experience]]&lt;=5,"Early Career",
IF(Table1[[#This Row],[Years_Experience]]&lt;=15,"Mid Career","Senior Level"))</f>
        <v>Early Career</v>
      </c>
      <c r="T2331" t="str">
        <f>IF(Table1[[#This Row],[AI_Exposure_Index]]&gt;=0.7,"High Exposure", IF(Table1[[#This Row],[AI_Exposure_Index]]&gt;=0.3,"Medium Exposure","Low Exposure"))</f>
        <v>Medium Exposure</v>
      </c>
    </row>
    <row r="2332" spans="1:20" x14ac:dyDescent="0.25">
      <c r="A2332" t="s">
        <v>34</v>
      </c>
      <c r="B2332">
        <v>94558</v>
      </c>
      <c r="C2332" s="1">
        <v>25</v>
      </c>
      <c r="D2332" t="s">
        <v>25</v>
      </c>
      <c r="E2332" s="7">
        <v>0.88</v>
      </c>
      <c r="F2332" s="2">
        <v>0.16</v>
      </c>
      <c r="G2332" s="7">
        <v>0.49</v>
      </c>
      <c r="H2332" s="9" t="s">
        <v>27</v>
      </c>
      <c r="I2332">
        <v>0.3</v>
      </c>
      <c r="J2332">
        <v>0.37</v>
      </c>
      <c r="K2332">
        <v>0.08</v>
      </c>
      <c r="L2332">
        <v>0.2</v>
      </c>
      <c r="M2332">
        <v>0.34</v>
      </c>
      <c r="N2332">
        <v>0.8</v>
      </c>
      <c r="O2332">
        <v>0.18</v>
      </c>
      <c r="P2332">
        <v>0.35</v>
      </c>
      <c r="Q2332">
        <v>0.06</v>
      </c>
      <c r="R2332" s="2">
        <v>0.56000000000000005</v>
      </c>
      <c r="S2332" t="str">
        <f>IF(Table1[[#This Row],[Years_Experience]]&lt;=5,"Early Career",
IF(Table1[[#This Row],[Years_Experience]]&lt;=15,"Mid Career","Senior Level"))</f>
        <v>Senior Level</v>
      </c>
      <c r="T2332" t="str">
        <f>IF(Table1[[#This Row],[AI_Exposure_Index]]&gt;=0.7,"High Exposure", IF(Table1[[#This Row],[AI_Exposure_Index]]&gt;=0.3,"Medium Exposure","Low Exposure"))</f>
        <v>Low Exposure</v>
      </c>
    </row>
    <row r="2333" spans="1:20" x14ac:dyDescent="0.25">
      <c r="A2333" t="s">
        <v>30</v>
      </c>
      <c r="B2333">
        <v>91478</v>
      </c>
      <c r="C2333" s="1">
        <v>11</v>
      </c>
      <c r="D2333" t="s">
        <v>19</v>
      </c>
      <c r="E2333" s="7">
        <v>1.32</v>
      </c>
      <c r="F2333" s="2">
        <v>0.87</v>
      </c>
      <c r="G2333" s="7">
        <v>0.41</v>
      </c>
      <c r="H2333" s="9" t="s">
        <v>27</v>
      </c>
      <c r="I2333">
        <v>0.14000000000000001</v>
      </c>
      <c r="J2333">
        <v>0.16</v>
      </c>
      <c r="K2333">
        <v>0.97</v>
      </c>
      <c r="L2333">
        <v>0.67</v>
      </c>
      <c r="M2333">
        <v>0.04</v>
      </c>
      <c r="N2333">
        <v>0.14000000000000001</v>
      </c>
      <c r="O2333">
        <v>0.49</v>
      </c>
      <c r="P2333">
        <v>0.21</v>
      </c>
      <c r="Q2333">
        <v>0.8</v>
      </c>
      <c r="R2333" s="2">
        <v>0.56999999999999995</v>
      </c>
      <c r="S2333" t="str">
        <f>IF(Table1[[#This Row],[Years_Experience]]&lt;=5,"Early Career",
IF(Table1[[#This Row],[Years_Experience]]&lt;=15,"Mid Career","Senior Level"))</f>
        <v>Mid Career</v>
      </c>
      <c r="T2333" t="str">
        <f>IF(Table1[[#This Row],[AI_Exposure_Index]]&gt;=0.7,"High Exposure", IF(Table1[[#This Row],[AI_Exposure_Index]]&gt;=0.3,"Medium Exposure","Low Exposure"))</f>
        <v>High Exposure</v>
      </c>
    </row>
    <row r="2334" spans="1:20" x14ac:dyDescent="0.25">
      <c r="A2334" t="s">
        <v>44</v>
      </c>
      <c r="B2334">
        <v>125980</v>
      </c>
      <c r="C2334" s="1">
        <v>1</v>
      </c>
      <c r="D2334" t="s">
        <v>25</v>
      </c>
      <c r="E2334" s="7">
        <v>0.76</v>
      </c>
      <c r="F2334" s="2">
        <v>0.46</v>
      </c>
      <c r="G2334" s="7">
        <v>0.54</v>
      </c>
      <c r="H2334" s="9" t="s">
        <v>27</v>
      </c>
      <c r="I2334">
        <v>0.72</v>
      </c>
      <c r="J2334">
        <v>0.37</v>
      </c>
      <c r="K2334">
        <v>0.5</v>
      </c>
      <c r="L2334">
        <v>0.84</v>
      </c>
      <c r="M2334">
        <v>0.15</v>
      </c>
      <c r="N2334">
        <v>0.55000000000000004</v>
      </c>
      <c r="O2334">
        <v>0.35</v>
      </c>
      <c r="P2334">
        <v>0.7</v>
      </c>
      <c r="Q2334">
        <v>0.02</v>
      </c>
      <c r="R2334" s="2">
        <v>0.67</v>
      </c>
      <c r="S2334" t="str">
        <f>IF(Table1[[#This Row],[Years_Experience]]&lt;=5,"Early Career",
IF(Table1[[#This Row],[Years_Experience]]&lt;=15,"Mid Career","Senior Level"))</f>
        <v>Early Career</v>
      </c>
      <c r="T2334" t="str">
        <f>IF(Table1[[#This Row],[AI_Exposure_Index]]&gt;=0.7,"High Exposure", IF(Table1[[#This Row],[AI_Exposure_Index]]&gt;=0.3,"Medium Exposure","Low Exposure"))</f>
        <v>Medium Exposure</v>
      </c>
    </row>
    <row r="2335" spans="1:20" x14ac:dyDescent="0.25">
      <c r="A2335" t="s">
        <v>39</v>
      </c>
      <c r="B2335">
        <v>128708</v>
      </c>
      <c r="C2335" s="1">
        <v>15</v>
      </c>
      <c r="D2335" t="s">
        <v>22</v>
      </c>
      <c r="E2335" s="7">
        <v>1.22</v>
      </c>
      <c r="F2335" s="2">
        <v>0.06</v>
      </c>
      <c r="G2335" s="7">
        <v>0.86</v>
      </c>
      <c r="H2335" s="9" t="s">
        <v>20</v>
      </c>
      <c r="I2335">
        <v>0.89</v>
      </c>
      <c r="J2335">
        <v>0.52</v>
      </c>
      <c r="K2335">
        <v>0.53</v>
      </c>
      <c r="L2335">
        <v>0.71</v>
      </c>
      <c r="M2335">
        <v>0.32</v>
      </c>
      <c r="N2335">
        <v>0.04</v>
      </c>
      <c r="O2335">
        <v>0.23</v>
      </c>
      <c r="P2335">
        <v>0.24</v>
      </c>
      <c r="Q2335">
        <v>0.34</v>
      </c>
      <c r="R2335" s="2">
        <v>0.94</v>
      </c>
      <c r="S2335" t="str">
        <f>IF(Table1[[#This Row],[Years_Experience]]&lt;=5,"Early Career",
IF(Table1[[#This Row],[Years_Experience]]&lt;=15,"Mid Career","Senior Level"))</f>
        <v>Mid Career</v>
      </c>
      <c r="T2335" t="str">
        <f>IF(Table1[[#This Row],[AI_Exposure_Index]]&gt;=0.7,"High Exposure", IF(Table1[[#This Row],[AI_Exposure_Index]]&gt;=0.3,"Medium Exposure","Low Exposure"))</f>
        <v>Low Exposure</v>
      </c>
    </row>
    <row r="2336" spans="1:20" x14ac:dyDescent="0.25">
      <c r="A2336" t="s">
        <v>18</v>
      </c>
      <c r="B2336">
        <v>41638</v>
      </c>
      <c r="C2336" s="1">
        <v>26</v>
      </c>
      <c r="D2336" t="s">
        <v>25</v>
      </c>
      <c r="E2336" s="7">
        <v>1.5</v>
      </c>
      <c r="F2336" s="2">
        <v>0.94</v>
      </c>
      <c r="G2336" s="7">
        <v>0.81</v>
      </c>
      <c r="H2336" s="9" t="s">
        <v>20</v>
      </c>
      <c r="I2336">
        <v>0.23</v>
      </c>
      <c r="J2336">
        <v>0.56000000000000005</v>
      </c>
      <c r="K2336">
        <v>0.88</v>
      </c>
      <c r="L2336">
        <v>0.47</v>
      </c>
      <c r="M2336">
        <v>0.51</v>
      </c>
      <c r="N2336">
        <v>0.13</v>
      </c>
      <c r="O2336">
        <v>0.42</v>
      </c>
      <c r="P2336">
        <v>0.39</v>
      </c>
      <c r="Q2336">
        <v>0.35</v>
      </c>
      <c r="R2336" s="2">
        <v>0.89</v>
      </c>
      <c r="S2336" t="str">
        <f>IF(Table1[[#This Row],[Years_Experience]]&lt;=5,"Early Career",
IF(Table1[[#This Row],[Years_Experience]]&lt;=15,"Mid Career","Senior Level"))</f>
        <v>Senior Level</v>
      </c>
      <c r="T2336" t="str">
        <f>IF(Table1[[#This Row],[AI_Exposure_Index]]&gt;=0.7,"High Exposure", IF(Table1[[#This Row],[AI_Exposure_Index]]&gt;=0.3,"Medium Exposure","Low Exposure"))</f>
        <v>High Exposure</v>
      </c>
    </row>
    <row r="2337" spans="1:20" x14ac:dyDescent="0.25">
      <c r="A2337" t="s">
        <v>21</v>
      </c>
      <c r="B2337">
        <v>54829</v>
      </c>
      <c r="C2337" s="1">
        <v>26</v>
      </c>
      <c r="D2337" t="s">
        <v>22</v>
      </c>
      <c r="E2337" s="7">
        <v>0.51</v>
      </c>
      <c r="F2337" s="2">
        <v>0.97</v>
      </c>
      <c r="G2337" s="7">
        <v>0.28999999999999998</v>
      </c>
      <c r="H2337" s="9" t="s">
        <v>23</v>
      </c>
      <c r="I2337">
        <v>0.55000000000000004</v>
      </c>
      <c r="J2337">
        <v>0.7</v>
      </c>
      <c r="K2337">
        <v>0.19</v>
      </c>
      <c r="L2337">
        <v>0.65</v>
      </c>
      <c r="M2337">
        <v>0.88</v>
      </c>
      <c r="N2337">
        <v>0.14000000000000001</v>
      </c>
      <c r="O2337">
        <v>0.13</v>
      </c>
      <c r="P2337">
        <v>0.3</v>
      </c>
      <c r="Q2337">
        <v>0.16</v>
      </c>
      <c r="R2337" s="2">
        <v>0.11</v>
      </c>
      <c r="S2337" t="str">
        <f>IF(Table1[[#This Row],[Years_Experience]]&lt;=5,"Early Career",
IF(Table1[[#This Row],[Years_Experience]]&lt;=15,"Mid Career","Senior Level"))</f>
        <v>Senior Level</v>
      </c>
      <c r="T2337" t="str">
        <f>IF(Table1[[#This Row],[AI_Exposure_Index]]&gt;=0.7,"High Exposure", IF(Table1[[#This Row],[AI_Exposure_Index]]&gt;=0.3,"Medium Exposure","Low Exposure"))</f>
        <v>High Exposure</v>
      </c>
    </row>
    <row r="2338" spans="1:20" x14ac:dyDescent="0.25">
      <c r="A2338" t="s">
        <v>37</v>
      </c>
      <c r="B2338">
        <v>50720</v>
      </c>
      <c r="C2338" s="1">
        <v>28</v>
      </c>
      <c r="D2338" t="s">
        <v>19</v>
      </c>
      <c r="E2338" s="7">
        <v>1.17</v>
      </c>
      <c r="F2338" s="2">
        <v>0.21</v>
      </c>
      <c r="G2338" s="7">
        <v>0.64</v>
      </c>
      <c r="H2338" s="9" t="s">
        <v>27</v>
      </c>
      <c r="I2338">
        <v>0.65</v>
      </c>
      <c r="J2338">
        <v>0.12</v>
      </c>
      <c r="K2338">
        <v>0.56999999999999995</v>
      </c>
      <c r="L2338">
        <v>0.39</v>
      </c>
      <c r="M2338">
        <v>0.34</v>
      </c>
      <c r="N2338">
        <v>0.32</v>
      </c>
      <c r="O2338">
        <v>0.93</v>
      </c>
      <c r="P2338">
        <v>0.74</v>
      </c>
      <c r="Q2338">
        <v>0.13</v>
      </c>
      <c r="R2338" s="2">
        <v>0.48</v>
      </c>
      <c r="S2338" t="str">
        <f>IF(Table1[[#This Row],[Years_Experience]]&lt;=5,"Early Career",
IF(Table1[[#This Row],[Years_Experience]]&lt;=15,"Mid Career","Senior Level"))</f>
        <v>Senior Level</v>
      </c>
      <c r="T2338" t="str">
        <f>IF(Table1[[#This Row],[AI_Exposure_Index]]&gt;=0.7,"High Exposure", IF(Table1[[#This Row],[AI_Exposure_Index]]&gt;=0.3,"Medium Exposure","Low Exposure"))</f>
        <v>Low Exposure</v>
      </c>
    </row>
    <row r="2339" spans="1:20" x14ac:dyDescent="0.25">
      <c r="A2339" t="s">
        <v>31</v>
      </c>
      <c r="B2339">
        <v>99981</v>
      </c>
      <c r="C2339" s="1">
        <v>2</v>
      </c>
      <c r="D2339" t="s">
        <v>25</v>
      </c>
      <c r="E2339" s="7">
        <v>1.17</v>
      </c>
      <c r="F2339" s="2">
        <v>0.43</v>
      </c>
      <c r="G2339" s="7">
        <v>0.09</v>
      </c>
      <c r="H2339" s="9" t="s">
        <v>23</v>
      </c>
      <c r="I2339">
        <v>0.45</v>
      </c>
      <c r="J2339">
        <v>0.01</v>
      </c>
      <c r="K2339">
        <v>0.48</v>
      </c>
      <c r="L2339">
        <v>0.9</v>
      </c>
      <c r="M2339">
        <v>0.6</v>
      </c>
      <c r="N2339">
        <v>0.44</v>
      </c>
      <c r="O2339">
        <v>0.16</v>
      </c>
      <c r="P2339">
        <v>0.2</v>
      </c>
      <c r="Q2339">
        <v>0.08</v>
      </c>
      <c r="R2339" s="2">
        <v>0.74</v>
      </c>
      <c r="S2339" t="str">
        <f>IF(Table1[[#This Row],[Years_Experience]]&lt;=5,"Early Career",
IF(Table1[[#This Row],[Years_Experience]]&lt;=15,"Mid Career","Senior Level"))</f>
        <v>Early Career</v>
      </c>
      <c r="T2339" t="str">
        <f>IF(Table1[[#This Row],[AI_Exposure_Index]]&gt;=0.7,"High Exposure", IF(Table1[[#This Row],[AI_Exposure_Index]]&gt;=0.3,"Medium Exposure","Low Exposure"))</f>
        <v>Medium Exposure</v>
      </c>
    </row>
    <row r="2340" spans="1:20" x14ac:dyDescent="0.25">
      <c r="A2340" t="s">
        <v>41</v>
      </c>
      <c r="B2340">
        <v>104541</v>
      </c>
      <c r="C2340" s="1">
        <v>22</v>
      </c>
      <c r="D2340" t="s">
        <v>19</v>
      </c>
      <c r="E2340" s="7">
        <v>1.25</v>
      </c>
      <c r="F2340" s="2">
        <v>0.38</v>
      </c>
      <c r="G2340" s="7">
        <v>0.88</v>
      </c>
      <c r="H2340" s="9" t="s">
        <v>20</v>
      </c>
      <c r="I2340">
        <v>0.57999999999999996</v>
      </c>
      <c r="J2340">
        <v>0.56999999999999995</v>
      </c>
      <c r="K2340">
        <v>0.09</v>
      </c>
      <c r="L2340">
        <v>0.17</v>
      </c>
      <c r="M2340">
        <v>0.53</v>
      </c>
      <c r="N2340">
        <v>0.35</v>
      </c>
      <c r="O2340">
        <v>0.02</v>
      </c>
      <c r="P2340">
        <v>0.8</v>
      </c>
      <c r="Q2340">
        <v>0.65</v>
      </c>
      <c r="R2340" s="2">
        <v>0.33</v>
      </c>
      <c r="S2340" t="str">
        <f>IF(Table1[[#This Row],[Years_Experience]]&lt;=5,"Early Career",
IF(Table1[[#This Row],[Years_Experience]]&lt;=15,"Mid Career","Senior Level"))</f>
        <v>Senior Level</v>
      </c>
      <c r="T2340" t="str">
        <f>IF(Table1[[#This Row],[AI_Exposure_Index]]&gt;=0.7,"High Exposure", IF(Table1[[#This Row],[AI_Exposure_Index]]&gt;=0.3,"Medium Exposure","Low Exposure"))</f>
        <v>Medium Exposure</v>
      </c>
    </row>
    <row r="2341" spans="1:20" x14ac:dyDescent="0.25">
      <c r="A2341" t="s">
        <v>43</v>
      </c>
      <c r="B2341">
        <v>30733</v>
      </c>
      <c r="C2341" s="1">
        <v>7</v>
      </c>
      <c r="D2341" t="s">
        <v>38</v>
      </c>
      <c r="E2341" s="7">
        <v>0.69</v>
      </c>
      <c r="F2341" s="2">
        <v>0.89</v>
      </c>
      <c r="G2341" s="7">
        <v>0.19</v>
      </c>
      <c r="H2341" s="9" t="s">
        <v>23</v>
      </c>
      <c r="I2341">
        <v>0.96</v>
      </c>
      <c r="J2341">
        <v>0.64</v>
      </c>
      <c r="K2341">
        <v>0.44</v>
      </c>
      <c r="L2341">
        <v>0.72</v>
      </c>
      <c r="M2341">
        <v>0.82</v>
      </c>
      <c r="N2341">
        <v>0.59</v>
      </c>
      <c r="O2341">
        <v>0.87</v>
      </c>
      <c r="P2341">
        <v>0.51</v>
      </c>
      <c r="Q2341">
        <v>0.83</v>
      </c>
      <c r="R2341" s="2">
        <v>0.95</v>
      </c>
      <c r="S2341" t="str">
        <f>IF(Table1[[#This Row],[Years_Experience]]&lt;=5,"Early Career",
IF(Table1[[#This Row],[Years_Experience]]&lt;=15,"Mid Career","Senior Level"))</f>
        <v>Mid Career</v>
      </c>
      <c r="T2341" t="str">
        <f>IF(Table1[[#This Row],[AI_Exposure_Index]]&gt;=0.7,"High Exposure", IF(Table1[[#This Row],[AI_Exposure_Index]]&gt;=0.3,"Medium Exposure","Low Exposure"))</f>
        <v>High Exposure</v>
      </c>
    </row>
    <row r="2342" spans="1:20" x14ac:dyDescent="0.25">
      <c r="A2342" t="s">
        <v>32</v>
      </c>
      <c r="B2342">
        <v>127760</v>
      </c>
      <c r="C2342" s="1">
        <v>27</v>
      </c>
      <c r="D2342" t="s">
        <v>25</v>
      </c>
      <c r="E2342" s="7">
        <v>1.1100000000000001</v>
      </c>
      <c r="F2342" s="2">
        <v>0.61</v>
      </c>
      <c r="G2342" s="7">
        <v>0.61</v>
      </c>
      <c r="H2342" s="9" t="s">
        <v>27</v>
      </c>
      <c r="I2342">
        <v>0.82</v>
      </c>
      <c r="J2342">
        <v>0.03</v>
      </c>
      <c r="K2342">
        <v>0.73</v>
      </c>
      <c r="L2342">
        <v>0.78</v>
      </c>
      <c r="M2342">
        <v>0.7</v>
      </c>
      <c r="N2342">
        <v>0.71</v>
      </c>
      <c r="O2342">
        <v>0.04</v>
      </c>
      <c r="P2342">
        <v>0.44</v>
      </c>
      <c r="Q2342">
        <v>0.82</v>
      </c>
      <c r="R2342" s="2">
        <v>0.93</v>
      </c>
      <c r="S2342" t="str">
        <f>IF(Table1[[#This Row],[Years_Experience]]&lt;=5,"Early Career",
IF(Table1[[#This Row],[Years_Experience]]&lt;=15,"Mid Career","Senior Level"))</f>
        <v>Senior Level</v>
      </c>
      <c r="T2342" t="str">
        <f>IF(Table1[[#This Row],[AI_Exposure_Index]]&gt;=0.7,"High Exposure", IF(Table1[[#This Row],[AI_Exposure_Index]]&gt;=0.3,"Medium Exposure","Low Exposure"))</f>
        <v>Medium Exposure</v>
      </c>
    </row>
    <row r="2343" spans="1:20" x14ac:dyDescent="0.25">
      <c r="A2343" t="s">
        <v>41</v>
      </c>
      <c r="B2343">
        <v>56819</v>
      </c>
      <c r="C2343" s="1">
        <v>1</v>
      </c>
      <c r="D2343" t="s">
        <v>22</v>
      </c>
      <c r="E2343" s="7">
        <v>1.3</v>
      </c>
      <c r="F2343" s="2">
        <v>0.57999999999999996</v>
      </c>
      <c r="G2343" s="7">
        <v>0.89</v>
      </c>
      <c r="H2343" s="9" t="s">
        <v>20</v>
      </c>
      <c r="I2343">
        <v>0.62</v>
      </c>
      <c r="J2343">
        <v>0.02</v>
      </c>
      <c r="K2343">
        <v>0.72</v>
      </c>
      <c r="L2343">
        <v>0.77</v>
      </c>
      <c r="M2343">
        <v>0.72</v>
      </c>
      <c r="N2343">
        <v>0.77</v>
      </c>
      <c r="O2343">
        <v>0.43</v>
      </c>
      <c r="P2343">
        <v>0.99</v>
      </c>
      <c r="Q2343">
        <v>0.77</v>
      </c>
      <c r="R2343" s="2">
        <v>0.57999999999999996</v>
      </c>
      <c r="S2343" t="str">
        <f>IF(Table1[[#This Row],[Years_Experience]]&lt;=5,"Early Career",
IF(Table1[[#This Row],[Years_Experience]]&lt;=15,"Mid Career","Senior Level"))</f>
        <v>Early Career</v>
      </c>
      <c r="T2343" t="str">
        <f>IF(Table1[[#This Row],[AI_Exposure_Index]]&gt;=0.7,"High Exposure", IF(Table1[[#This Row],[AI_Exposure_Index]]&gt;=0.3,"Medium Exposure","Low Exposure"))</f>
        <v>Medium Exposure</v>
      </c>
    </row>
    <row r="2344" spans="1:20" x14ac:dyDescent="0.25">
      <c r="A2344" t="s">
        <v>33</v>
      </c>
      <c r="B2344">
        <v>105954</v>
      </c>
      <c r="C2344" s="1">
        <v>27</v>
      </c>
      <c r="D2344" t="s">
        <v>19</v>
      </c>
      <c r="E2344" s="7">
        <v>1.31</v>
      </c>
      <c r="F2344" s="2">
        <v>0.91</v>
      </c>
      <c r="G2344" s="7">
        <v>0.84</v>
      </c>
      <c r="H2344" s="9" t="s">
        <v>20</v>
      </c>
      <c r="I2344">
        <v>0.53</v>
      </c>
      <c r="J2344">
        <v>0.33</v>
      </c>
      <c r="K2344">
        <v>0.25</v>
      </c>
      <c r="L2344">
        <v>0.51</v>
      </c>
      <c r="M2344">
        <v>0.57999999999999996</v>
      </c>
      <c r="N2344">
        <v>0.24</v>
      </c>
      <c r="O2344">
        <v>0.92</v>
      </c>
      <c r="P2344">
        <v>0.56000000000000005</v>
      </c>
      <c r="Q2344">
        <v>0.53</v>
      </c>
      <c r="R2344" s="2">
        <v>0.44</v>
      </c>
      <c r="S2344" t="str">
        <f>IF(Table1[[#This Row],[Years_Experience]]&lt;=5,"Early Career",
IF(Table1[[#This Row],[Years_Experience]]&lt;=15,"Mid Career","Senior Level"))</f>
        <v>Senior Level</v>
      </c>
      <c r="T2344" t="str">
        <f>IF(Table1[[#This Row],[AI_Exposure_Index]]&gt;=0.7,"High Exposure", IF(Table1[[#This Row],[AI_Exposure_Index]]&gt;=0.3,"Medium Exposure","Low Exposure"))</f>
        <v>High Exposure</v>
      </c>
    </row>
    <row r="2345" spans="1:20" x14ac:dyDescent="0.25">
      <c r="A2345" t="s">
        <v>21</v>
      </c>
      <c r="B2345">
        <v>145386</v>
      </c>
      <c r="C2345" s="1">
        <v>21</v>
      </c>
      <c r="D2345" t="s">
        <v>19</v>
      </c>
      <c r="E2345" s="7">
        <v>0.82</v>
      </c>
      <c r="F2345" s="2">
        <v>0.88</v>
      </c>
      <c r="G2345" s="7">
        <v>0.21</v>
      </c>
      <c r="H2345" s="9" t="s">
        <v>23</v>
      </c>
      <c r="I2345">
        <v>0.61</v>
      </c>
      <c r="J2345">
        <v>0.57999999999999996</v>
      </c>
      <c r="K2345">
        <v>0.53</v>
      </c>
      <c r="L2345">
        <v>0.18</v>
      </c>
      <c r="M2345">
        <v>0.28000000000000003</v>
      </c>
      <c r="N2345">
        <v>0.52</v>
      </c>
      <c r="O2345">
        <v>0.79</v>
      </c>
      <c r="P2345">
        <v>0.43</v>
      </c>
      <c r="Q2345">
        <v>0.2</v>
      </c>
      <c r="R2345" s="2">
        <v>0.09</v>
      </c>
      <c r="S2345" t="str">
        <f>IF(Table1[[#This Row],[Years_Experience]]&lt;=5,"Early Career",
IF(Table1[[#This Row],[Years_Experience]]&lt;=15,"Mid Career","Senior Level"))</f>
        <v>Senior Level</v>
      </c>
      <c r="T2345" t="str">
        <f>IF(Table1[[#This Row],[AI_Exposure_Index]]&gt;=0.7,"High Exposure", IF(Table1[[#This Row],[AI_Exposure_Index]]&gt;=0.3,"Medium Exposure","Low Exposure"))</f>
        <v>High Exposure</v>
      </c>
    </row>
    <row r="2346" spans="1:20" x14ac:dyDescent="0.25">
      <c r="A2346" t="s">
        <v>43</v>
      </c>
      <c r="B2346">
        <v>101360</v>
      </c>
      <c r="C2346" s="1">
        <v>9</v>
      </c>
      <c r="D2346" t="s">
        <v>25</v>
      </c>
      <c r="E2346" s="7">
        <v>0.63</v>
      </c>
      <c r="F2346" s="2">
        <v>0.42</v>
      </c>
      <c r="G2346" s="7">
        <v>0.22</v>
      </c>
      <c r="H2346" s="9" t="s">
        <v>23</v>
      </c>
      <c r="I2346">
        <v>0.21</v>
      </c>
      <c r="J2346">
        <v>0.51</v>
      </c>
      <c r="K2346">
        <v>0.31</v>
      </c>
      <c r="L2346">
        <v>0.93</v>
      </c>
      <c r="M2346">
        <v>0.23</v>
      </c>
      <c r="N2346">
        <v>0.42</v>
      </c>
      <c r="O2346">
        <v>0.96</v>
      </c>
      <c r="P2346">
        <v>0.32</v>
      </c>
      <c r="Q2346">
        <v>0.64</v>
      </c>
      <c r="R2346" s="2">
        <v>0.32</v>
      </c>
      <c r="S2346" t="str">
        <f>IF(Table1[[#This Row],[Years_Experience]]&lt;=5,"Early Career",
IF(Table1[[#This Row],[Years_Experience]]&lt;=15,"Mid Career","Senior Level"))</f>
        <v>Mid Career</v>
      </c>
      <c r="T2346" t="str">
        <f>IF(Table1[[#This Row],[AI_Exposure_Index]]&gt;=0.7,"High Exposure", IF(Table1[[#This Row],[AI_Exposure_Index]]&gt;=0.3,"Medium Exposure","Low Exposure"))</f>
        <v>Medium Exposure</v>
      </c>
    </row>
    <row r="2347" spans="1:20" x14ac:dyDescent="0.25">
      <c r="A2347" t="s">
        <v>24</v>
      </c>
      <c r="B2347">
        <v>108349</v>
      </c>
      <c r="C2347" s="1">
        <v>1</v>
      </c>
      <c r="D2347" t="s">
        <v>25</v>
      </c>
      <c r="E2347" s="7">
        <v>1.42</v>
      </c>
      <c r="F2347" s="2">
        <v>0.63</v>
      </c>
      <c r="G2347" s="7">
        <v>0.81</v>
      </c>
      <c r="H2347" s="9" t="s">
        <v>20</v>
      </c>
      <c r="I2347">
        <v>0.63</v>
      </c>
      <c r="J2347">
        <v>0.61</v>
      </c>
      <c r="K2347">
        <v>0.42</v>
      </c>
      <c r="L2347">
        <v>0.61</v>
      </c>
      <c r="M2347">
        <v>0.26</v>
      </c>
      <c r="N2347">
        <v>0.38</v>
      </c>
      <c r="O2347">
        <v>0.44</v>
      </c>
      <c r="P2347">
        <v>0.86</v>
      </c>
      <c r="Q2347">
        <v>0.35</v>
      </c>
      <c r="R2347" s="2">
        <v>0.64</v>
      </c>
      <c r="S2347" t="str">
        <f>IF(Table1[[#This Row],[Years_Experience]]&lt;=5,"Early Career",
IF(Table1[[#This Row],[Years_Experience]]&lt;=15,"Mid Career","Senior Level"))</f>
        <v>Early Career</v>
      </c>
      <c r="T2347" t="str">
        <f>IF(Table1[[#This Row],[AI_Exposure_Index]]&gt;=0.7,"High Exposure", IF(Table1[[#This Row],[AI_Exposure_Index]]&gt;=0.3,"Medium Exposure","Low Exposure"))</f>
        <v>Medium Exposure</v>
      </c>
    </row>
    <row r="2348" spans="1:20" x14ac:dyDescent="0.25">
      <c r="A2348" t="s">
        <v>41</v>
      </c>
      <c r="B2348">
        <v>137102</v>
      </c>
      <c r="C2348" s="1">
        <v>19</v>
      </c>
      <c r="D2348" t="s">
        <v>19</v>
      </c>
      <c r="E2348" s="7">
        <v>1.1499999999999999</v>
      </c>
      <c r="F2348" s="2">
        <v>0.25</v>
      </c>
      <c r="G2348" s="7">
        <v>0.89</v>
      </c>
      <c r="H2348" s="9" t="s">
        <v>20</v>
      </c>
      <c r="I2348">
        <v>0.46</v>
      </c>
      <c r="J2348">
        <v>0.34</v>
      </c>
      <c r="K2348">
        <v>0.91</v>
      </c>
      <c r="L2348">
        <v>0.14000000000000001</v>
      </c>
      <c r="M2348">
        <v>0.72</v>
      </c>
      <c r="N2348">
        <v>0.69</v>
      </c>
      <c r="O2348">
        <v>0.69</v>
      </c>
      <c r="P2348">
        <v>0.94</v>
      </c>
      <c r="Q2348">
        <v>0.73</v>
      </c>
      <c r="R2348" s="2">
        <v>0.3</v>
      </c>
      <c r="S2348" t="str">
        <f>IF(Table1[[#This Row],[Years_Experience]]&lt;=5,"Early Career",
IF(Table1[[#This Row],[Years_Experience]]&lt;=15,"Mid Career","Senior Level"))</f>
        <v>Senior Level</v>
      </c>
      <c r="T2348" t="str">
        <f>IF(Table1[[#This Row],[AI_Exposure_Index]]&gt;=0.7,"High Exposure", IF(Table1[[#This Row],[AI_Exposure_Index]]&gt;=0.3,"Medium Exposure","Low Exposure"))</f>
        <v>Low Exposure</v>
      </c>
    </row>
    <row r="2349" spans="1:20" x14ac:dyDescent="0.25">
      <c r="A2349" t="s">
        <v>33</v>
      </c>
      <c r="B2349">
        <v>97310</v>
      </c>
      <c r="C2349" s="1">
        <v>29</v>
      </c>
      <c r="D2349" t="s">
        <v>22</v>
      </c>
      <c r="E2349" s="7">
        <v>0.53</v>
      </c>
      <c r="F2349" s="2">
        <v>0.39</v>
      </c>
      <c r="G2349" s="7">
        <v>0.93</v>
      </c>
      <c r="H2349" s="9" t="s">
        <v>20</v>
      </c>
      <c r="I2349">
        <v>7.0000000000000007E-2</v>
      </c>
      <c r="J2349">
        <v>0.7</v>
      </c>
      <c r="K2349">
        <v>0.73</v>
      </c>
      <c r="L2349">
        <v>0.84</v>
      </c>
      <c r="M2349">
        <v>0.55000000000000004</v>
      </c>
      <c r="N2349">
        <v>0.73</v>
      </c>
      <c r="O2349">
        <v>0.3</v>
      </c>
      <c r="P2349">
        <v>0.75</v>
      </c>
      <c r="Q2349">
        <v>0.34</v>
      </c>
      <c r="R2349" s="2">
        <v>0.9</v>
      </c>
      <c r="S2349" t="str">
        <f>IF(Table1[[#This Row],[Years_Experience]]&lt;=5,"Early Career",
IF(Table1[[#This Row],[Years_Experience]]&lt;=15,"Mid Career","Senior Level"))</f>
        <v>Senior Level</v>
      </c>
      <c r="T2349" t="str">
        <f>IF(Table1[[#This Row],[AI_Exposure_Index]]&gt;=0.7,"High Exposure", IF(Table1[[#This Row],[AI_Exposure_Index]]&gt;=0.3,"Medium Exposure","Low Exposure"))</f>
        <v>Medium Exposure</v>
      </c>
    </row>
    <row r="2350" spans="1:20" x14ac:dyDescent="0.25">
      <c r="A2350" t="s">
        <v>33</v>
      </c>
      <c r="B2350">
        <v>121111</v>
      </c>
      <c r="C2350" s="1">
        <v>6</v>
      </c>
      <c r="D2350" t="s">
        <v>38</v>
      </c>
      <c r="E2350" s="7">
        <v>1</v>
      </c>
      <c r="F2350" s="2">
        <v>0.32</v>
      </c>
      <c r="G2350" s="7">
        <v>0.89</v>
      </c>
      <c r="H2350" s="9" t="s">
        <v>20</v>
      </c>
      <c r="I2350">
        <v>0.75</v>
      </c>
      <c r="J2350">
        <v>0.21</v>
      </c>
      <c r="K2350">
        <v>0.14000000000000001</v>
      </c>
      <c r="L2350">
        <v>0.3</v>
      </c>
      <c r="M2350">
        <v>0.48</v>
      </c>
      <c r="N2350">
        <v>0.54</v>
      </c>
      <c r="O2350">
        <v>0.43</v>
      </c>
      <c r="P2350">
        <v>0.66</v>
      </c>
      <c r="Q2350">
        <v>0.43</v>
      </c>
      <c r="R2350" s="2">
        <v>0.95</v>
      </c>
      <c r="S2350" t="str">
        <f>IF(Table1[[#This Row],[Years_Experience]]&lt;=5,"Early Career",
IF(Table1[[#This Row],[Years_Experience]]&lt;=15,"Mid Career","Senior Level"))</f>
        <v>Mid Career</v>
      </c>
      <c r="T2350" t="str">
        <f>IF(Table1[[#This Row],[AI_Exposure_Index]]&gt;=0.7,"High Exposure", IF(Table1[[#This Row],[AI_Exposure_Index]]&gt;=0.3,"Medium Exposure","Low Exposure"))</f>
        <v>Medium Exposure</v>
      </c>
    </row>
    <row r="2351" spans="1:20" x14ac:dyDescent="0.25">
      <c r="A2351" t="s">
        <v>21</v>
      </c>
      <c r="B2351">
        <v>85983</v>
      </c>
      <c r="C2351" s="1">
        <v>11</v>
      </c>
      <c r="D2351" t="s">
        <v>38</v>
      </c>
      <c r="E2351" s="7">
        <v>1.1100000000000001</v>
      </c>
      <c r="F2351" s="2">
        <v>0.63</v>
      </c>
      <c r="G2351" s="7">
        <v>0.12</v>
      </c>
      <c r="H2351" s="9" t="s">
        <v>23</v>
      </c>
      <c r="I2351">
        <v>0.41</v>
      </c>
      <c r="J2351">
        <v>0.37</v>
      </c>
      <c r="K2351">
        <v>0.17</v>
      </c>
      <c r="L2351">
        <v>0.48</v>
      </c>
      <c r="M2351">
        <v>0.39</v>
      </c>
      <c r="N2351">
        <v>0.18</v>
      </c>
      <c r="O2351">
        <v>0.45</v>
      </c>
      <c r="P2351">
        <v>0.42</v>
      </c>
      <c r="Q2351">
        <v>0.13</v>
      </c>
      <c r="R2351" s="2">
        <v>0.13</v>
      </c>
      <c r="S2351" t="str">
        <f>IF(Table1[[#This Row],[Years_Experience]]&lt;=5,"Early Career",
IF(Table1[[#This Row],[Years_Experience]]&lt;=15,"Mid Career","Senior Level"))</f>
        <v>Mid Career</v>
      </c>
      <c r="T2351" t="str">
        <f>IF(Table1[[#This Row],[AI_Exposure_Index]]&gt;=0.7,"High Exposure", IF(Table1[[#This Row],[AI_Exposure_Index]]&gt;=0.3,"Medium Exposure","Low Exposure"))</f>
        <v>Medium Exposure</v>
      </c>
    </row>
    <row r="2352" spans="1:20" x14ac:dyDescent="0.25">
      <c r="A2352" t="s">
        <v>37</v>
      </c>
      <c r="B2352">
        <v>98407</v>
      </c>
      <c r="C2352" s="1">
        <v>13</v>
      </c>
      <c r="D2352" t="s">
        <v>19</v>
      </c>
      <c r="E2352" s="7">
        <v>1.44</v>
      </c>
      <c r="F2352" s="2">
        <v>0.71</v>
      </c>
      <c r="G2352" s="7">
        <v>0.33</v>
      </c>
      <c r="H2352" s="9" t="s">
        <v>27</v>
      </c>
      <c r="I2352">
        <v>0.12</v>
      </c>
      <c r="J2352">
        <v>0.05</v>
      </c>
      <c r="K2352">
        <v>0.53</v>
      </c>
      <c r="L2352">
        <v>0.62</v>
      </c>
      <c r="M2352">
        <v>0.4</v>
      </c>
      <c r="N2352">
        <v>0.8</v>
      </c>
      <c r="O2352">
        <v>0.69</v>
      </c>
      <c r="P2352">
        <v>0.99</v>
      </c>
      <c r="Q2352">
        <v>0.14000000000000001</v>
      </c>
      <c r="R2352" s="2">
        <v>0.06</v>
      </c>
      <c r="S2352" t="str">
        <f>IF(Table1[[#This Row],[Years_Experience]]&lt;=5,"Early Career",
IF(Table1[[#This Row],[Years_Experience]]&lt;=15,"Mid Career","Senior Level"))</f>
        <v>Mid Career</v>
      </c>
      <c r="T2352" t="str">
        <f>IF(Table1[[#This Row],[AI_Exposure_Index]]&gt;=0.7,"High Exposure", IF(Table1[[#This Row],[AI_Exposure_Index]]&gt;=0.3,"Medium Exposure","Low Exposure"))</f>
        <v>High Exposure</v>
      </c>
    </row>
    <row r="2353" spans="1:20" x14ac:dyDescent="0.25">
      <c r="A2353" t="s">
        <v>44</v>
      </c>
      <c r="B2353">
        <v>130641</v>
      </c>
      <c r="C2353" s="1">
        <v>19</v>
      </c>
      <c r="D2353" t="s">
        <v>19</v>
      </c>
      <c r="E2353" s="7">
        <v>1.46</v>
      </c>
      <c r="F2353" s="2">
        <v>0.93</v>
      </c>
      <c r="G2353" s="7">
        <v>0.32</v>
      </c>
      <c r="H2353" s="9" t="s">
        <v>27</v>
      </c>
      <c r="I2353">
        <v>0.89</v>
      </c>
      <c r="J2353">
        <v>0.47</v>
      </c>
      <c r="K2353">
        <v>0.77</v>
      </c>
      <c r="L2353">
        <v>0.08</v>
      </c>
      <c r="M2353">
        <v>0.96</v>
      </c>
      <c r="N2353">
        <v>0.61</v>
      </c>
      <c r="O2353">
        <v>0.9</v>
      </c>
      <c r="P2353">
        <v>0.67</v>
      </c>
      <c r="Q2353">
        <v>0.54</v>
      </c>
      <c r="R2353" s="2">
        <v>0.17</v>
      </c>
      <c r="S2353" t="str">
        <f>IF(Table1[[#This Row],[Years_Experience]]&lt;=5,"Early Career",
IF(Table1[[#This Row],[Years_Experience]]&lt;=15,"Mid Career","Senior Level"))</f>
        <v>Senior Level</v>
      </c>
      <c r="T2353" t="str">
        <f>IF(Table1[[#This Row],[AI_Exposure_Index]]&gt;=0.7,"High Exposure", IF(Table1[[#This Row],[AI_Exposure_Index]]&gt;=0.3,"Medium Exposure","Low Exposure"))</f>
        <v>High Exposure</v>
      </c>
    </row>
    <row r="2354" spans="1:20" x14ac:dyDescent="0.25">
      <c r="A2354" t="s">
        <v>34</v>
      </c>
      <c r="B2354">
        <v>56363</v>
      </c>
      <c r="C2354" s="1">
        <v>3</v>
      </c>
      <c r="D2354" t="s">
        <v>38</v>
      </c>
      <c r="E2354" s="7">
        <v>1.37</v>
      </c>
      <c r="F2354" s="2">
        <v>0.47</v>
      </c>
      <c r="G2354" s="7">
        <v>0.35</v>
      </c>
      <c r="H2354" s="9" t="s">
        <v>27</v>
      </c>
      <c r="I2354">
        <v>1</v>
      </c>
      <c r="J2354">
        <v>0.88</v>
      </c>
      <c r="K2354">
        <v>0.39</v>
      </c>
      <c r="L2354">
        <v>0.25</v>
      </c>
      <c r="M2354">
        <v>0.92</v>
      </c>
      <c r="N2354">
        <v>0.12</v>
      </c>
      <c r="O2354">
        <v>0.35</v>
      </c>
      <c r="P2354">
        <v>0.08</v>
      </c>
      <c r="Q2354">
        <v>0.95</v>
      </c>
      <c r="R2354" s="2">
        <v>0.62</v>
      </c>
      <c r="S2354" t="str">
        <f>IF(Table1[[#This Row],[Years_Experience]]&lt;=5,"Early Career",
IF(Table1[[#This Row],[Years_Experience]]&lt;=15,"Mid Career","Senior Level"))</f>
        <v>Early Career</v>
      </c>
      <c r="T2354" t="str">
        <f>IF(Table1[[#This Row],[AI_Exposure_Index]]&gt;=0.7,"High Exposure", IF(Table1[[#This Row],[AI_Exposure_Index]]&gt;=0.3,"Medium Exposure","Low Exposure"))</f>
        <v>Medium Exposure</v>
      </c>
    </row>
    <row r="2355" spans="1:20" x14ac:dyDescent="0.25">
      <c r="A2355" t="s">
        <v>42</v>
      </c>
      <c r="B2355">
        <v>56187</v>
      </c>
      <c r="C2355" s="1">
        <v>17</v>
      </c>
      <c r="D2355" t="s">
        <v>38</v>
      </c>
      <c r="E2355" s="7">
        <v>0.6</v>
      </c>
      <c r="F2355" s="2">
        <v>0.56000000000000005</v>
      </c>
      <c r="G2355" s="7">
        <v>0.53</v>
      </c>
      <c r="H2355" s="9" t="s">
        <v>27</v>
      </c>
      <c r="I2355">
        <v>0.81</v>
      </c>
      <c r="J2355">
        <v>0.54</v>
      </c>
      <c r="K2355">
        <v>0.87</v>
      </c>
      <c r="L2355">
        <v>0.8</v>
      </c>
      <c r="M2355">
        <v>0.28000000000000003</v>
      </c>
      <c r="N2355">
        <v>0.63</v>
      </c>
      <c r="O2355">
        <v>0.01</v>
      </c>
      <c r="P2355">
        <v>0.4</v>
      </c>
      <c r="Q2355">
        <v>0.24</v>
      </c>
      <c r="R2355" s="2">
        <v>0.94</v>
      </c>
      <c r="S2355" t="str">
        <f>IF(Table1[[#This Row],[Years_Experience]]&lt;=5,"Early Career",
IF(Table1[[#This Row],[Years_Experience]]&lt;=15,"Mid Career","Senior Level"))</f>
        <v>Senior Level</v>
      </c>
      <c r="T2355" t="str">
        <f>IF(Table1[[#This Row],[AI_Exposure_Index]]&gt;=0.7,"High Exposure", IF(Table1[[#This Row],[AI_Exposure_Index]]&gt;=0.3,"Medium Exposure","Low Exposure"))</f>
        <v>Medium Exposure</v>
      </c>
    </row>
    <row r="2356" spans="1:20" x14ac:dyDescent="0.25">
      <c r="A2356" t="s">
        <v>36</v>
      </c>
      <c r="B2356">
        <v>133171</v>
      </c>
      <c r="C2356" s="1">
        <v>29</v>
      </c>
      <c r="D2356" t="s">
        <v>38</v>
      </c>
      <c r="E2356" s="7">
        <v>1.23</v>
      </c>
      <c r="F2356" s="2">
        <v>0.65</v>
      </c>
      <c r="G2356" s="7">
        <v>0.61</v>
      </c>
      <c r="H2356" s="9" t="s">
        <v>27</v>
      </c>
      <c r="I2356">
        <v>0.74</v>
      </c>
      <c r="J2356">
        <v>0.28999999999999998</v>
      </c>
      <c r="K2356">
        <v>0.69</v>
      </c>
      <c r="L2356">
        <v>0.55000000000000004</v>
      </c>
      <c r="M2356">
        <v>0.6</v>
      </c>
      <c r="N2356">
        <v>0</v>
      </c>
      <c r="O2356">
        <v>0.26</v>
      </c>
      <c r="P2356">
        <v>0.93</v>
      </c>
      <c r="Q2356">
        <v>0.28999999999999998</v>
      </c>
      <c r="R2356" s="2">
        <v>0.44</v>
      </c>
      <c r="S2356" t="str">
        <f>IF(Table1[[#This Row],[Years_Experience]]&lt;=5,"Early Career",
IF(Table1[[#This Row],[Years_Experience]]&lt;=15,"Mid Career","Senior Level"))</f>
        <v>Senior Level</v>
      </c>
      <c r="T2356" t="str">
        <f>IF(Table1[[#This Row],[AI_Exposure_Index]]&gt;=0.7,"High Exposure", IF(Table1[[#This Row],[AI_Exposure_Index]]&gt;=0.3,"Medium Exposure","Low Exposure"))</f>
        <v>Medium Exposure</v>
      </c>
    </row>
    <row r="2357" spans="1:20" x14ac:dyDescent="0.25">
      <c r="A2357" t="s">
        <v>31</v>
      </c>
      <c r="B2357">
        <v>143968</v>
      </c>
      <c r="C2357" s="1">
        <v>21</v>
      </c>
      <c r="D2357" t="s">
        <v>22</v>
      </c>
      <c r="E2357" s="7">
        <v>1.37</v>
      </c>
      <c r="F2357" s="2">
        <v>0.61</v>
      </c>
      <c r="G2357" s="7">
        <v>0.2</v>
      </c>
      <c r="H2357" s="9" t="s">
        <v>23</v>
      </c>
      <c r="I2357">
        <v>0.56000000000000005</v>
      </c>
      <c r="J2357">
        <v>0.8</v>
      </c>
      <c r="K2357">
        <v>0.56000000000000005</v>
      </c>
      <c r="L2357">
        <v>0.84</v>
      </c>
      <c r="M2357">
        <v>0.05</v>
      </c>
      <c r="N2357">
        <v>0.5</v>
      </c>
      <c r="O2357">
        <v>0.81</v>
      </c>
      <c r="P2357">
        <v>0.85</v>
      </c>
      <c r="Q2357">
        <v>0.83</v>
      </c>
      <c r="R2357" s="2">
        <v>0.6</v>
      </c>
      <c r="S2357" t="str">
        <f>IF(Table1[[#This Row],[Years_Experience]]&lt;=5,"Early Career",
IF(Table1[[#This Row],[Years_Experience]]&lt;=15,"Mid Career","Senior Level"))</f>
        <v>Senior Level</v>
      </c>
      <c r="T2357" t="str">
        <f>IF(Table1[[#This Row],[AI_Exposure_Index]]&gt;=0.7,"High Exposure", IF(Table1[[#This Row],[AI_Exposure_Index]]&gt;=0.3,"Medium Exposure","Low Exposure"))</f>
        <v>Medium Exposure</v>
      </c>
    </row>
    <row r="2358" spans="1:20" x14ac:dyDescent="0.25">
      <c r="A2358" t="s">
        <v>29</v>
      </c>
      <c r="B2358">
        <v>89376</v>
      </c>
      <c r="C2358" s="1">
        <v>8</v>
      </c>
      <c r="D2358" t="s">
        <v>22</v>
      </c>
      <c r="E2358" s="7">
        <v>0.67</v>
      </c>
      <c r="F2358" s="2">
        <v>0.18</v>
      </c>
      <c r="G2358" s="7">
        <v>0.06</v>
      </c>
      <c r="H2358" s="9" t="s">
        <v>23</v>
      </c>
      <c r="I2358">
        <v>0.99</v>
      </c>
      <c r="J2358">
        <v>0.35</v>
      </c>
      <c r="K2358">
        <v>0.76</v>
      </c>
      <c r="L2358">
        <v>0.06</v>
      </c>
      <c r="M2358">
        <v>0.3</v>
      </c>
      <c r="N2358">
        <v>0.62</v>
      </c>
      <c r="O2358">
        <v>0.52</v>
      </c>
      <c r="P2358">
        <v>0.21</v>
      </c>
      <c r="Q2358">
        <v>0.46</v>
      </c>
      <c r="R2358" s="2">
        <v>0.11</v>
      </c>
      <c r="S2358" t="str">
        <f>IF(Table1[[#This Row],[Years_Experience]]&lt;=5,"Early Career",
IF(Table1[[#This Row],[Years_Experience]]&lt;=15,"Mid Career","Senior Level"))</f>
        <v>Mid Career</v>
      </c>
      <c r="T2358" t="str">
        <f>IF(Table1[[#This Row],[AI_Exposure_Index]]&gt;=0.7,"High Exposure", IF(Table1[[#This Row],[AI_Exposure_Index]]&gt;=0.3,"Medium Exposure","Low Exposure"))</f>
        <v>Low Exposure</v>
      </c>
    </row>
    <row r="2359" spans="1:20" x14ac:dyDescent="0.25">
      <c r="A2359" t="s">
        <v>32</v>
      </c>
      <c r="B2359">
        <v>70305</v>
      </c>
      <c r="C2359" s="1">
        <v>22</v>
      </c>
      <c r="D2359" t="s">
        <v>22</v>
      </c>
      <c r="E2359" s="7">
        <v>1.1399999999999999</v>
      </c>
      <c r="F2359" s="2">
        <v>0.1</v>
      </c>
      <c r="G2359" s="7">
        <v>0.36</v>
      </c>
      <c r="H2359" s="9" t="s">
        <v>27</v>
      </c>
      <c r="I2359">
        <v>0.55000000000000004</v>
      </c>
      <c r="J2359">
        <v>0.13</v>
      </c>
      <c r="K2359">
        <v>0.4</v>
      </c>
      <c r="L2359">
        <v>0.35</v>
      </c>
      <c r="M2359">
        <v>0.76</v>
      </c>
      <c r="N2359">
        <v>0.64</v>
      </c>
      <c r="O2359">
        <v>0.94</v>
      </c>
      <c r="P2359">
        <v>0.92</v>
      </c>
      <c r="Q2359">
        <v>0.72</v>
      </c>
      <c r="R2359" s="2">
        <v>0.77</v>
      </c>
      <c r="S2359" t="str">
        <f>IF(Table1[[#This Row],[Years_Experience]]&lt;=5,"Early Career",
IF(Table1[[#This Row],[Years_Experience]]&lt;=15,"Mid Career","Senior Level"))</f>
        <v>Senior Level</v>
      </c>
      <c r="T2359" t="str">
        <f>IF(Table1[[#This Row],[AI_Exposure_Index]]&gt;=0.7,"High Exposure", IF(Table1[[#This Row],[AI_Exposure_Index]]&gt;=0.3,"Medium Exposure","Low Exposure"))</f>
        <v>Low Exposure</v>
      </c>
    </row>
    <row r="2360" spans="1:20" x14ac:dyDescent="0.25">
      <c r="A2360" t="s">
        <v>28</v>
      </c>
      <c r="B2360">
        <v>47054</v>
      </c>
      <c r="C2360" s="1">
        <v>5</v>
      </c>
      <c r="D2360" t="s">
        <v>22</v>
      </c>
      <c r="E2360" s="7">
        <v>1.1200000000000001</v>
      </c>
      <c r="F2360" s="2">
        <v>0.69</v>
      </c>
      <c r="G2360" s="7">
        <v>0.42</v>
      </c>
      <c r="H2360" s="9" t="s">
        <v>27</v>
      </c>
      <c r="I2360">
        <v>0.35</v>
      </c>
      <c r="J2360">
        <v>0.56999999999999995</v>
      </c>
      <c r="K2360">
        <v>0.72</v>
      </c>
      <c r="L2360">
        <v>0.41</v>
      </c>
      <c r="M2360">
        <v>0.14000000000000001</v>
      </c>
      <c r="N2360">
        <v>0.46</v>
      </c>
      <c r="O2360">
        <v>0.96</v>
      </c>
      <c r="P2360">
        <v>0.21</v>
      </c>
      <c r="Q2360">
        <v>0.65</v>
      </c>
      <c r="R2360" s="2">
        <v>0.98</v>
      </c>
      <c r="S2360" t="str">
        <f>IF(Table1[[#This Row],[Years_Experience]]&lt;=5,"Early Career",
IF(Table1[[#This Row],[Years_Experience]]&lt;=15,"Mid Career","Senior Level"))</f>
        <v>Early Career</v>
      </c>
      <c r="T2360" t="str">
        <f>IF(Table1[[#This Row],[AI_Exposure_Index]]&gt;=0.7,"High Exposure", IF(Table1[[#This Row],[AI_Exposure_Index]]&gt;=0.3,"Medium Exposure","Low Exposure"))</f>
        <v>Medium Exposure</v>
      </c>
    </row>
    <row r="2361" spans="1:20" x14ac:dyDescent="0.25">
      <c r="A2361" t="s">
        <v>30</v>
      </c>
      <c r="B2361">
        <v>103080</v>
      </c>
      <c r="C2361" s="1">
        <v>17</v>
      </c>
      <c r="D2361" t="s">
        <v>25</v>
      </c>
      <c r="E2361" s="7">
        <v>1.49</v>
      </c>
      <c r="F2361" s="2">
        <v>0.71</v>
      </c>
      <c r="G2361" s="7">
        <v>0.34</v>
      </c>
      <c r="H2361" s="9" t="s">
        <v>27</v>
      </c>
      <c r="I2361">
        <v>0.55000000000000004</v>
      </c>
      <c r="J2361">
        <v>0.68</v>
      </c>
      <c r="K2361">
        <v>0.7</v>
      </c>
      <c r="L2361">
        <v>0.79</v>
      </c>
      <c r="M2361">
        <v>0.92</v>
      </c>
      <c r="N2361">
        <v>0.36</v>
      </c>
      <c r="O2361">
        <v>0.04</v>
      </c>
      <c r="P2361">
        <v>0.36</v>
      </c>
      <c r="Q2361">
        <v>0.67</v>
      </c>
      <c r="R2361" s="2">
        <v>0.21</v>
      </c>
      <c r="S2361" t="str">
        <f>IF(Table1[[#This Row],[Years_Experience]]&lt;=5,"Early Career",
IF(Table1[[#This Row],[Years_Experience]]&lt;=15,"Mid Career","Senior Level"))</f>
        <v>Senior Level</v>
      </c>
      <c r="T2361" t="str">
        <f>IF(Table1[[#This Row],[AI_Exposure_Index]]&gt;=0.7,"High Exposure", IF(Table1[[#This Row],[AI_Exposure_Index]]&gt;=0.3,"Medium Exposure","Low Exposure"))</f>
        <v>High Exposure</v>
      </c>
    </row>
    <row r="2362" spans="1:20" x14ac:dyDescent="0.25">
      <c r="A2362" t="s">
        <v>34</v>
      </c>
      <c r="B2362">
        <v>55401</v>
      </c>
      <c r="C2362" s="1">
        <v>21</v>
      </c>
      <c r="D2362" t="s">
        <v>38</v>
      </c>
      <c r="E2362" s="7">
        <v>0.5</v>
      </c>
      <c r="F2362" s="2">
        <v>0.21</v>
      </c>
      <c r="G2362" s="7">
        <v>0.36</v>
      </c>
      <c r="H2362" s="9" t="s">
        <v>27</v>
      </c>
      <c r="I2362">
        <v>0.59</v>
      </c>
      <c r="J2362">
        <v>0.39</v>
      </c>
      <c r="K2362">
        <v>0.72</v>
      </c>
      <c r="L2362">
        <v>0.67</v>
      </c>
      <c r="M2362">
        <v>0.8</v>
      </c>
      <c r="N2362">
        <v>0.87</v>
      </c>
      <c r="O2362">
        <v>0.82</v>
      </c>
      <c r="P2362">
        <v>0.45</v>
      </c>
      <c r="Q2362">
        <v>0.31</v>
      </c>
      <c r="R2362" s="2">
        <v>0.5</v>
      </c>
      <c r="S2362" t="str">
        <f>IF(Table1[[#This Row],[Years_Experience]]&lt;=5,"Early Career",
IF(Table1[[#This Row],[Years_Experience]]&lt;=15,"Mid Career","Senior Level"))</f>
        <v>Senior Level</v>
      </c>
      <c r="T2362" t="str">
        <f>IF(Table1[[#This Row],[AI_Exposure_Index]]&gt;=0.7,"High Exposure", IF(Table1[[#This Row],[AI_Exposure_Index]]&gt;=0.3,"Medium Exposure","Low Exposure"))</f>
        <v>Low Exposure</v>
      </c>
    </row>
    <row r="2363" spans="1:20" x14ac:dyDescent="0.25">
      <c r="A2363" t="s">
        <v>26</v>
      </c>
      <c r="B2363">
        <v>41928</v>
      </c>
      <c r="C2363" s="1">
        <v>7</v>
      </c>
      <c r="D2363" t="s">
        <v>38</v>
      </c>
      <c r="E2363" s="7">
        <v>1.04</v>
      </c>
      <c r="F2363" s="2">
        <v>0.31</v>
      </c>
      <c r="G2363" s="7">
        <v>0.34</v>
      </c>
      <c r="H2363" s="9" t="s">
        <v>27</v>
      </c>
      <c r="I2363">
        <v>0.23</v>
      </c>
      <c r="J2363">
        <v>0.75</v>
      </c>
      <c r="K2363">
        <v>0.18</v>
      </c>
      <c r="L2363">
        <v>0.14000000000000001</v>
      </c>
      <c r="M2363">
        <v>0.28999999999999998</v>
      </c>
      <c r="N2363">
        <v>0.37</v>
      </c>
      <c r="O2363">
        <v>0.33</v>
      </c>
      <c r="P2363">
        <v>0.37</v>
      </c>
      <c r="Q2363">
        <v>0.14000000000000001</v>
      </c>
      <c r="R2363" s="2">
        <v>0.17</v>
      </c>
      <c r="S2363" t="str">
        <f>IF(Table1[[#This Row],[Years_Experience]]&lt;=5,"Early Career",
IF(Table1[[#This Row],[Years_Experience]]&lt;=15,"Mid Career","Senior Level"))</f>
        <v>Mid Career</v>
      </c>
      <c r="T2363" t="str">
        <f>IF(Table1[[#This Row],[AI_Exposure_Index]]&gt;=0.7,"High Exposure", IF(Table1[[#This Row],[AI_Exposure_Index]]&gt;=0.3,"Medium Exposure","Low Exposure"))</f>
        <v>Medium Exposure</v>
      </c>
    </row>
    <row r="2364" spans="1:20" x14ac:dyDescent="0.25">
      <c r="A2364" t="s">
        <v>40</v>
      </c>
      <c r="B2364">
        <v>140177</v>
      </c>
      <c r="C2364" s="1">
        <v>24</v>
      </c>
      <c r="D2364" t="s">
        <v>38</v>
      </c>
      <c r="E2364" s="7">
        <v>0.84</v>
      </c>
      <c r="F2364" s="2">
        <v>0.4</v>
      </c>
      <c r="G2364" s="7">
        <v>0.25</v>
      </c>
      <c r="H2364" s="9" t="s">
        <v>23</v>
      </c>
      <c r="I2364">
        <v>0.53</v>
      </c>
      <c r="J2364">
        <v>0.57999999999999996</v>
      </c>
      <c r="K2364">
        <v>0.56000000000000005</v>
      </c>
      <c r="L2364">
        <v>0.4</v>
      </c>
      <c r="M2364">
        <v>0.98</v>
      </c>
      <c r="N2364">
        <v>0.04</v>
      </c>
      <c r="O2364">
        <v>0.22</v>
      </c>
      <c r="P2364">
        <v>0.28000000000000003</v>
      </c>
      <c r="Q2364">
        <v>0.88</v>
      </c>
      <c r="R2364" s="2">
        <v>0.92</v>
      </c>
      <c r="S2364" t="str">
        <f>IF(Table1[[#This Row],[Years_Experience]]&lt;=5,"Early Career",
IF(Table1[[#This Row],[Years_Experience]]&lt;=15,"Mid Career","Senior Level"))</f>
        <v>Senior Level</v>
      </c>
      <c r="T2364" t="str">
        <f>IF(Table1[[#This Row],[AI_Exposure_Index]]&gt;=0.7,"High Exposure", IF(Table1[[#This Row],[AI_Exposure_Index]]&gt;=0.3,"Medium Exposure","Low Exposure"))</f>
        <v>Medium Exposure</v>
      </c>
    </row>
    <row r="2365" spans="1:20" x14ac:dyDescent="0.25">
      <c r="A2365" t="s">
        <v>37</v>
      </c>
      <c r="B2365">
        <v>47024</v>
      </c>
      <c r="C2365" s="1">
        <v>28</v>
      </c>
      <c r="D2365" t="s">
        <v>22</v>
      </c>
      <c r="E2365" s="7">
        <v>1.41</v>
      </c>
      <c r="F2365" s="2">
        <v>0.42</v>
      </c>
      <c r="G2365" s="7">
        <v>0.34</v>
      </c>
      <c r="H2365" s="9" t="s">
        <v>27</v>
      </c>
      <c r="I2365">
        <v>0.65</v>
      </c>
      <c r="J2365">
        <v>0.94</v>
      </c>
      <c r="K2365">
        <v>0.75</v>
      </c>
      <c r="L2365">
        <v>0.28000000000000003</v>
      </c>
      <c r="M2365">
        <v>0.72</v>
      </c>
      <c r="N2365">
        <v>0.28999999999999998</v>
      </c>
      <c r="O2365">
        <v>0.11</v>
      </c>
      <c r="P2365">
        <v>0.72</v>
      </c>
      <c r="Q2365">
        <v>0.18</v>
      </c>
      <c r="R2365" s="2">
        <v>0.11</v>
      </c>
      <c r="S2365" t="str">
        <f>IF(Table1[[#This Row],[Years_Experience]]&lt;=5,"Early Career",
IF(Table1[[#This Row],[Years_Experience]]&lt;=15,"Mid Career","Senior Level"))</f>
        <v>Senior Level</v>
      </c>
      <c r="T2365" t="str">
        <f>IF(Table1[[#This Row],[AI_Exposure_Index]]&gt;=0.7,"High Exposure", IF(Table1[[#This Row],[AI_Exposure_Index]]&gt;=0.3,"Medium Exposure","Low Exposure"))</f>
        <v>Medium Exposure</v>
      </c>
    </row>
    <row r="2366" spans="1:20" x14ac:dyDescent="0.25">
      <c r="A2366" t="s">
        <v>31</v>
      </c>
      <c r="B2366">
        <v>39612</v>
      </c>
      <c r="C2366" s="1">
        <v>10</v>
      </c>
      <c r="D2366" t="s">
        <v>19</v>
      </c>
      <c r="E2366" s="7">
        <v>1</v>
      </c>
      <c r="F2366" s="2">
        <v>0.19</v>
      </c>
      <c r="G2366" s="7">
        <v>0.3</v>
      </c>
      <c r="H2366" s="9" t="s">
        <v>23</v>
      </c>
      <c r="I2366">
        <v>0.68</v>
      </c>
      <c r="J2366">
        <v>0.88</v>
      </c>
      <c r="K2366">
        <v>0.03</v>
      </c>
      <c r="L2366">
        <v>0.87</v>
      </c>
      <c r="M2366">
        <v>0.7</v>
      </c>
      <c r="N2366">
        <v>0.17</v>
      </c>
      <c r="O2366">
        <v>0.03</v>
      </c>
      <c r="P2366">
        <v>0.26</v>
      </c>
      <c r="Q2366">
        <v>0.92</v>
      </c>
      <c r="R2366" s="2">
        <v>0.67</v>
      </c>
      <c r="S2366" t="str">
        <f>IF(Table1[[#This Row],[Years_Experience]]&lt;=5,"Early Career",
IF(Table1[[#This Row],[Years_Experience]]&lt;=15,"Mid Career","Senior Level"))</f>
        <v>Mid Career</v>
      </c>
      <c r="T2366" t="str">
        <f>IF(Table1[[#This Row],[AI_Exposure_Index]]&gt;=0.7,"High Exposure", IF(Table1[[#This Row],[AI_Exposure_Index]]&gt;=0.3,"Medium Exposure","Low Exposure"))</f>
        <v>Low Exposure</v>
      </c>
    </row>
    <row r="2367" spans="1:20" x14ac:dyDescent="0.25">
      <c r="A2367" t="s">
        <v>41</v>
      </c>
      <c r="B2367">
        <v>51450</v>
      </c>
      <c r="C2367" s="1">
        <v>1</v>
      </c>
      <c r="D2367" t="s">
        <v>25</v>
      </c>
      <c r="E2367" s="7">
        <v>1.44</v>
      </c>
      <c r="F2367" s="2">
        <v>0.45</v>
      </c>
      <c r="G2367" s="7">
        <v>0.82</v>
      </c>
      <c r="H2367" s="9" t="s">
        <v>20</v>
      </c>
      <c r="I2367">
        <v>0.2</v>
      </c>
      <c r="J2367">
        <v>0.15</v>
      </c>
      <c r="K2367">
        <v>0.99</v>
      </c>
      <c r="L2367">
        <v>0.33</v>
      </c>
      <c r="M2367">
        <v>0.16</v>
      </c>
      <c r="N2367">
        <v>0.01</v>
      </c>
      <c r="O2367">
        <v>0.28999999999999998</v>
      </c>
      <c r="P2367">
        <v>0.89</v>
      </c>
      <c r="Q2367">
        <v>0.53</v>
      </c>
      <c r="R2367" s="2">
        <v>0.63</v>
      </c>
      <c r="S2367" t="str">
        <f>IF(Table1[[#This Row],[Years_Experience]]&lt;=5,"Early Career",
IF(Table1[[#This Row],[Years_Experience]]&lt;=15,"Mid Career","Senior Level"))</f>
        <v>Early Career</v>
      </c>
      <c r="T2367" t="str">
        <f>IF(Table1[[#This Row],[AI_Exposure_Index]]&gt;=0.7,"High Exposure", IF(Table1[[#This Row],[AI_Exposure_Index]]&gt;=0.3,"Medium Exposure","Low Exposure"))</f>
        <v>Medium Exposure</v>
      </c>
    </row>
    <row r="2368" spans="1:20" x14ac:dyDescent="0.25">
      <c r="A2368" t="s">
        <v>30</v>
      </c>
      <c r="B2368">
        <v>149511</v>
      </c>
      <c r="C2368" s="1">
        <v>27</v>
      </c>
      <c r="D2368" t="s">
        <v>19</v>
      </c>
      <c r="E2368" s="7">
        <v>1.34</v>
      </c>
      <c r="F2368" s="2">
        <v>0.51</v>
      </c>
      <c r="G2368" s="7">
        <v>0.43</v>
      </c>
      <c r="H2368" s="9" t="s">
        <v>27</v>
      </c>
      <c r="I2368">
        <v>0.98</v>
      </c>
      <c r="J2368">
        <v>0.08</v>
      </c>
      <c r="K2368">
        <v>0.72</v>
      </c>
      <c r="L2368">
        <v>0.66</v>
      </c>
      <c r="M2368">
        <v>0.19</v>
      </c>
      <c r="N2368">
        <v>0.39</v>
      </c>
      <c r="O2368">
        <v>0.31</v>
      </c>
      <c r="P2368">
        <v>0.09</v>
      </c>
      <c r="Q2368">
        <v>0.57999999999999996</v>
      </c>
      <c r="R2368" s="2">
        <v>0.99</v>
      </c>
      <c r="S2368" t="str">
        <f>IF(Table1[[#This Row],[Years_Experience]]&lt;=5,"Early Career",
IF(Table1[[#This Row],[Years_Experience]]&lt;=15,"Mid Career","Senior Level"))</f>
        <v>Senior Level</v>
      </c>
      <c r="T2368" t="str">
        <f>IF(Table1[[#This Row],[AI_Exposure_Index]]&gt;=0.7,"High Exposure", IF(Table1[[#This Row],[AI_Exposure_Index]]&gt;=0.3,"Medium Exposure","Low Exposure"))</f>
        <v>Medium Exposure</v>
      </c>
    </row>
    <row r="2369" spans="1:20" x14ac:dyDescent="0.25">
      <c r="A2369" t="s">
        <v>24</v>
      </c>
      <c r="B2369">
        <v>106554</v>
      </c>
      <c r="C2369" s="1">
        <v>21</v>
      </c>
      <c r="D2369" t="s">
        <v>25</v>
      </c>
      <c r="E2369" s="7">
        <v>0.54</v>
      </c>
      <c r="F2369" s="2">
        <v>0.55000000000000004</v>
      </c>
      <c r="G2369" s="7">
        <v>0.73</v>
      </c>
      <c r="H2369" s="9" t="s">
        <v>20</v>
      </c>
      <c r="I2369">
        <v>0.51</v>
      </c>
      <c r="J2369">
        <v>0.99</v>
      </c>
      <c r="K2369">
        <v>0.88</v>
      </c>
      <c r="L2369">
        <v>0.34</v>
      </c>
      <c r="M2369">
        <v>0.54</v>
      </c>
      <c r="N2369">
        <v>0.55000000000000004</v>
      </c>
      <c r="O2369">
        <v>0.69</v>
      </c>
      <c r="P2369">
        <v>0.69</v>
      </c>
      <c r="Q2369">
        <v>0.79</v>
      </c>
      <c r="R2369" s="2">
        <v>0.02</v>
      </c>
      <c r="S2369" t="str">
        <f>IF(Table1[[#This Row],[Years_Experience]]&lt;=5,"Early Career",
IF(Table1[[#This Row],[Years_Experience]]&lt;=15,"Mid Career","Senior Level"))</f>
        <v>Senior Level</v>
      </c>
      <c r="T2369" t="str">
        <f>IF(Table1[[#This Row],[AI_Exposure_Index]]&gt;=0.7,"High Exposure", IF(Table1[[#This Row],[AI_Exposure_Index]]&gt;=0.3,"Medium Exposure","Low Exposure"))</f>
        <v>Medium Exposure</v>
      </c>
    </row>
    <row r="2370" spans="1:20" x14ac:dyDescent="0.25">
      <c r="A2370" t="s">
        <v>32</v>
      </c>
      <c r="B2370">
        <v>97173</v>
      </c>
      <c r="C2370" s="1">
        <v>3</v>
      </c>
      <c r="D2370" t="s">
        <v>25</v>
      </c>
      <c r="E2370" s="7">
        <v>0.98</v>
      </c>
      <c r="F2370" s="2">
        <v>7.0000000000000007E-2</v>
      </c>
      <c r="G2370" s="7">
        <v>0.67</v>
      </c>
      <c r="H2370" s="9" t="s">
        <v>27</v>
      </c>
      <c r="I2370">
        <v>0.49</v>
      </c>
      <c r="J2370">
        <v>0.06</v>
      </c>
      <c r="K2370">
        <v>0.23</v>
      </c>
      <c r="L2370">
        <v>0.57999999999999996</v>
      </c>
      <c r="M2370">
        <v>0.09</v>
      </c>
      <c r="N2370">
        <v>0.42</v>
      </c>
      <c r="O2370">
        <v>0.33</v>
      </c>
      <c r="P2370">
        <v>0.82</v>
      </c>
      <c r="Q2370">
        <v>0.11</v>
      </c>
      <c r="R2370" s="2">
        <v>0.68</v>
      </c>
      <c r="S2370" t="str">
        <f>IF(Table1[[#This Row],[Years_Experience]]&lt;=5,"Early Career",
IF(Table1[[#This Row],[Years_Experience]]&lt;=15,"Mid Career","Senior Level"))</f>
        <v>Early Career</v>
      </c>
      <c r="T2370" t="str">
        <f>IF(Table1[[#This Row],[AI_Exposure_Index]]&gt;=0.7,"High Exposure", IF(Table1[[#This Row],[AI_Exposure_Index]]&gt;=0.3,"Medium Exposure","Low Exposure"))</f>
        <v>Low Exposure</v>
      </c>
    </row>
    <row r="2371" spans="1:20" x14ac:dyDescent="0.25">
      <c r="A2371" t="s">
        <v>26</v>
      </c>
      <c r="B2371">
        <v>44517</v>
      </c>
      <c r="C2371" s="1">
        <v>3</v>
      </c>
      <c r="D2371" t="s">
        <v>38</v>
      </c>
      <c r="E2371" s="7">
        <v>0.71</v>
      </c>
      <c r="F2371" s="2">
        <v>0.59</v>
      </c>
      <c r="G2371" s="7">
        <v>0.54</v>
      </c>
      <c r="H2371" s="9" t="s">
        <v>27</v>
      </c>
      <c r="I2371">
        <v>0.67</v>
      </c>
      <c r="J2371">
        <v>7.0000000000000007E-2</v>
      </c>
      <c r="K2371">
        <v>0.82</v>
      </c>
      <c r="L2371">
        <v>0.86</v>
      </c>
      <c r="M2371">
        <v>0.06</v>
      </c>
      <c r="N2371">
        <v>0.6</v>
      </c>
      <c r="O2371">
        <v>0.59</v>
      </c>
      <c r="P2371">
        <v>0.01</v>
      </c>
      <c r="Q2371">
        <v>0.34</v>
      </c>
      <c r="R2371" s="2">
        <v>0.97</v>
      </c>
      <c r="S2371" t="str">
        <f>IF(Table1[[#This Row],[Years_Experience]]&lt;=5,"Early Career",
IF(Table1[[#This Row],[Years_Experience]]&lt;=15,"Mid Career","Senior Level"))</f>
        <v>Early Career</v>
      </c>
      <c r="T2371" t="str">
        <f>IF(Table1[[#This Row],[AI_Exposure_Index]]&gt;=0.7,"High Exposure", IF(Table1[[#This Row],[AI_Exposure_Index]]&gt;=0.3,"Medium Exposure","Low Exposure"))</f>
        <v>Medium Exposure</v>
      </c>
    </row>
    <row r="2372" spans="1:20" x14ac:dyDescent="0.25">
      <c r="A2372" t="s">
        <v>18</v>
      </c>
      <c r="B2372">
        <v>31321</v>
      </c>
      <c r="C2372" s="1">
        <v>22</v>
      </c>
      <c r="D2372" t="s">
        <v>19</v>
      </c>
      <c r="E2372" s="7">
        <v>1.18</v>
      </c>
      <c r="F2372" s="2">
        <v>0.93</v>
      </c>
      <c r="G2372" s="7">
        <v>0.71</v>
      </c>
      <c r="H2372" s="9" t="s">
        <v>20</v>
      </c>
      <c r="I2372">
        <v>0.08</v>
      </c>
      <c r="J2372">
        <v>0.72</v>
      </c>
      <c r="K2372">
        <v>0.55000000000000004</v>
      </c>
      <c r="L2372">
        <v>0.13</v>
      </c>
      <c r="M2372">
        <v>0.61</v>
      </c>
      <c r="N2372">
        <v>0.81</v>
      </c>
      <c r="O2372">
        <v>0.75</v>
      </c>
      <c r="P2372">
        <v>0.25</v>
      </c>
      <c r="Q2372">
        <v>0.26</v>
      </c>
      <c r="R2372" s="2">
        <v>0.97</v>
      </c>
      <c r="S2372" t="str">
        <f>IF(Table1[[#This Row],[Years_Experience]]&lt;=5,"Early Career",
IF(Table1[[#This Row],[Years_Experience]]&lt;=15,"Mid Career","Senior Level"))</f>
        <v>Senior Level</v>
      </c>
      <c r="T2372" t="str">
        <f>IF(Table1[[#This Row],[AI_Exposure_Index]]&gt;=0.7,"High Exposure", IF(Table1[[#This Row],[AI_Exposure_Index]]&gt;=0.3,"Medium Exposure","Low Exposure"))</f>
        <v>High Exposure</v>
      </c>
    </row>
    <row r="2373" spans="1:20" x14ac:dyDescent="0.25">
      <c r="A2373" t="s">
        <v>29</v>
      </c>
      <c r="B2373">
        <v>93001</v>
      </c>
      <c r="C2373" s="1">
        <v>25</v>
      </c>
      <c r="D2373" t="s">
        <v>25</v>
      </c>
      <c r="E2373" s="7">
        <v>1.32</v>
      </c>
      <c r="F2373" s="2">
        <v>0.32</v>
      </c>
      <c r="G2373" s="7">
        <v>0.09</v>
      </c>
      <c r="H2373" s="9" t="s">
        <v>23</v>
      </c>
      <c r="I2373">
        <v>0.2</v>
      </c>
      <c r="J2373">
        <v>0.18</v>
      </c>
      <c r="K2373">
        <v>0.09</v>
      </c>
      <c r="L2373">
        <v>0.85</v>
      </c>
      <c r="M2373">
        <v>0.57999999999999996</v>
      </c>
      <c r="N2373">
        <v>0.26</v>
      </c>
      <c r="O2373">
        <v>0.85</v>
      </c>
      <c r="P2373">
        <v>0.8</v>
      </c>
      <c r="Q2373">
        <v>0.1</v>
      </c>
      <c r="R2373" s="2">
        <v>0.64</v>
      </c>
      <c r="S2373" t="str">
        <f>IF(Table1[[#This Row],[Years_Experience]]&lt;=5,"Early Career",
IF(Table1[[#This Row],[Years_Experience]]&lt;=15,"Mid Career","Senior Level"))</f>
        <v>Senior Level</v>
      </c>
      <c r="T2373" t="str">
        <f>IF(Table1[[#This Row],[AI_Exposure_Index]]&gt;=0.7,"High Exposure", IF(Table1[[#This Row],[AI_Exposure_Index]]&gt;=0.3,"Medium Exposure","Low Exposure"))</f>
        <v>Medium Exposure</v>
      </c>
    </row>
    <row r="2374" spans="1:20" x14ac:dyDescent="0.25">
      <c r="A2374" t="s">
        <v>42</v>
      </c>
      <c r="B2374">
        <v>35685</v>
      </c>
      <c r="C2374" s="1">
        <v>23</v>
      </c>
      <c r="D2374" t="s">
        <v>38</v>
      </c>
      <c r="E2374" s="7">
        <v>1.22</v>
      </c>
      <c r="F2374" s="2">
        <v>0.72</v>
      </c>
      <c r="G2374" s="7">
        <v>0.37</v>
      </c>
      <c r="H2374" s="9" t="s">
        <v>27</v>
      </c>
      <c r="I2374">
        <v>0.32</v>
      </c>
      <c r="J2374">
        <v>0.84</v>
      </c>
      <c r="K2374">
        <v>0.9</v>
      </c>
      <c r="L2374">
        <v>0.28000000000000003</v>
      </c>
      <c r="M2374">
        <v>0.02</v>
      </c>
      <c r="N2374">
        <v>0.86</v>
      </c>
      <c r="O2374">
        <v>0.38</v>
      </c>
      <c r="P2374">
        <v>0.33</v>
      </c>
      <c r="Q2374">
        <v>0.35</v>
      </c>
      <c r="R2374" s="2">
        <v>0.42</v>
      </c>
      <c r="S2374" t="str">
        <f>IF(Table1[[#This Row],[Years_Experience]]&lt;=5,"Early Career",
IF(Table1[[#This Row],[Years_Experience]]&lt;=15,"Mid Career","Senior Level"))</f>
        <v>Senior Level</v>
      </c>
      <c r="T2374" t="str">
        <f>IF(Table1[[#This Row],[AI_Exposure_Index]]&gt;=0.7,"High Exposure", IF(Table1[[#This Row],[AI_Exposure_Index]]&gt;=0.3,"Medium Exposure","Low Exposure"))</f>
        <v>High Exposure</v>
      </c>
    </row>
    <row r="2375" spans="1:20" x14ac:dyDescent="0.25">
      <c r="A2375" t="s">
        <v>36</v>
      </c>
      <c r="B2375">
        <v>35335</v>
      </c>
      <c r="C2375" s="1">
        <v>13</v>
      </c>
      <c r="D2375" t="s">
        <v>25</v>
      </c>
      <c r="E2375" s="7">
        <v>0.57999999999999996</v>
      </c>
      <c r="F2375" s="2">
        <v>0.56999999999999995</v>
      </c>
      <c r="G2375" s="7">
        <v>0.69</v>
      </c>
      <c r="H2375" s="9" t="s">
        <v>27</v>
      </c>
      <c r="I2375">
        <v>0.94</v>
      </c>
      <c r="J2375">
        <v>0.93</v>
      </c>
      <c r="K2375">
        <v>0.88</v>
      </c>
      <c r="L2375">
        <v>0.66</v>
      </c>
      <c r="M2375">
        <v>0.22</v>
      </c>
      <c r="N2375">
        <v>0.05</v>
      </c>
      <c r="O2375">
        <v>0.1</v>
      </c>
      <c r="P2375">
        <v>0.32</v>
      </c>
      <c r="Q2375">
        <v>0.5</v>
      </c>
      <c r="R2375" s="2">
        <v>0.99</v>
      </c>
      <c r="S2375" t="str">
        <f>IF(Table1[[#This Row],[Years_Experience]]&lt;=5,"Early Career",
IF(Table1[[#This Row],[Years_Experience]]&lt;=15,"Mid Career","Senior Level"))</f>
        <v>Mid Career</v>
      </c>
      <c r="T2375" t="str">
        <f>IF(Table1[[#This Row],[AI_Exposure_Index]]&gt;=0.7,"High Exposure", IF(Table1[[#This Row],[AI_Exposure_Index]]&gt;=0.3,"Medium Exposure","Low Exposure"))</f>
        <v>Medium Exposure</v>
      </c>
    </row>
    <row r="2376" spans="1:20" x14ac:dyDescent="0.25">
      <c r="A2376" t="s">
        <v>30</v>
      </c>
      <c r="B2376">
        <v>110286</v>
      </c>
      <c r="C2376" s="1">
        <v>26</v>
      </c>
      <c r="D2376" t="s">
        <v>38</v>
      </c>
      <c r="E2376" s="7">
        <v>1.2</v>
      </c>
      <c r="F2376" s="2">
        <v>0.52</v>
      </c>
      <c r="G2376" s="7">
        <v>0.37</v>
      </c>
      <c r="H2376" s="9" t="s">
        <v>27</v>
      </c>
      <c r="I2376">
        <v>0.93</v>
      </c>
      <c r="J2376">
        <v>0.53</v>
      </c>
      <c r="K2376">
        <v>0.28000000000000003</v>
      </c>
      <c r="L2376">
        <v>0.94</v>
      </c>
      <c r="M2376">
        <v>0.63</v>
      </c>
      <c r="N2376">
        <v>0.48</v>
      </c>
      <c r="O2376">
        <v>0.57999999999999996</v>
      </c>
      <c r="P2376">
        <v>0.75</v>
      </c>
      <c r="Q2376">
        <v>0.15</v>
      </c>
      <c r="R2376" s="2">
        <v>0.86</v>
      </c>
      <c r="S2376" t="str">
        <f>IF(Table1[[#This Row],[Years_Experience]]&lt;=5,"Early Career",
IF(Table1[[#This Row],[Years_Experience]]&lt;=15,"Mid Career","Senior Level"))</f>
        <v>Senior Level</v>
      </c>
      <c r="T2376" t="str">
        <f>IF(Table1[[#This Row],[AI_Exposure_Index]]&gt;=0.7,"High Exposure", IF(Table1[[#This Row],[AI_Exposure_Index]]&gt;=0.3,"Medium Exposure","Low Exposure"))</f>
        <v>Medium Exposure</v>
      </c>
    </row>
    <row r="2377" spans="1:20" x14ac:dyDescent="0.25">
      <c r="A2377" t="s">
        <v>40</v>
      </c>
      <c r="B2377">
        <v>45641</v>
      </c>
      <c r="C2377" s="1">
        <v>16</v>
      </c>
      <c r="D2377" t="s">
        <v>22</v>
      </c>
      <c r="E2377" s="7">
        <v>1.18</v>
      </c>
      <c r="F2377" s="2">
        <v>0.56999999999999995</v>
      </c>
      <c r="G2377" s="7">
        <v>0.26</v>
      </c>
      <c r="H2377" s="9" t="s">
        <v>23</v>
      </c>
      <c r="I2377">
        <v>0.37</v>
      </c>
      <c r="J2377">
        <v>0.99</v>
      </c>
      <c r="K2377">
        <v>0.68</v>
      </c>
      <c r="L2377">
        <v>0.42</v>
      </c>
      <c r="M2377">
        <v>0.68</v>
      </c>
      <c r="N2377">
        <v>0.52</v>
      </c>
      <c r="O2377">
        <v>0.11</v>
      </c>
      <c r="P2377">
        <v>0.8</v>
      </c>
      <c r="Q2377">
        <v>0.56000000000000005</v>
      </c>
      <c r="R2377" s="2">
        <v>0.8</v>
      </c>
      <c r="S2377" t="str">
        <f>IF(Table1[[#This Row],[Years_Experience]]&lt;=5,"Early Career",
IF(Table1[[#This Row],[Years_Experience]]&lt;=15,"Mid Career","Senior Level"))</f>
        <v>Senior Level</v>
      </c>
      <c r="T2377" t="str">
        <f>IF(Table1[[#This Row],[AI_Exposure_Index]]&gt;=0.7,"High Exposure", IF(Table1[[#This Row],[AI_Exposure_Index]]&gt;=0.3,"Medium Exposure","Low Exposure"))</f>
        <v>Medium Exposure</v>
      </c>
    </row>
    <row r="2378" spans="1:20" x14ac:dyDescent="0.25">
      <c r="A2378" t="s">
        <v>39</v>
      </c>
      <c r="B2378">
        <v>50242</v>
      </c>
      <c r="C2378" s="1">
        <v>5</v>
      </c>
      <c r="D2378" t="s">
        <v>22</v>
      </c>
      <c r="E2378" s="7">
        <v>1.27</v>
      </c>
      <c r="F2378" s="2">
        <v>0.54</v>
      </c>
      <c r="G2378" s="7">
        <v>0.95</v>
      </c>
      <c r="H2378" s="9" t="s">
        <v>20</v>
      </c>
      <c r="I2378">
        <v>0.88</v>
      </c>
      <c r="J2378">
        <v>0.86</v>
      </c>
      <c r="K2378">
        <v>0.25</v>
      </c>
      <c r="L2378">
        <v>0.84</v>
      </c>
      <c r="M2378">
        <v>0.17</v>
      </c>
      <c r="N2378">
        <v>0.2</v>
      </c>
      <c r="O2378">
        <v>0.11</v>
      </c>
      <c r="P2378">
        <v>0.86</v>
      </c>
      <c r="Q2378">
        <v>0.11</v>
      </c>
      <c r="R2378" s="2">
        <v>0.14000000000000001</v>
      </c>
      <c r="S2378" t="str">
        <f>IF(Table1[[#This Row],[Years_Experience]]&lt;=5,"Early Career",
IF(Table1[[#This Row],[Years_Experience]]&lt;=15,"Mid Career","Senior Level"))</f>
        <v>Early Career</v>
      </c>
      <c r="T2378" t="str">
        <f>IF(Table1[[#This Row],[AI_Exposure_Index]]&gt;=0.7,"High Exposure", IF(Table1[[#This Row],[AI_Exposure_Index]]&gt;=0.3,"Medium Exposure","Low Exposure"))</f>
        <v>Medium Exposure</v>
      </c>
    </row>
    <row r="2379" spans="1:20" x14ac:dyDescent="0.25">
      <c r="A2379" t="s">
        <v>31</v>
      </c>
      <c r="B2379">
        <v>60166</v>
      </c>
      <c r="C2379" s="1">
        <v>19</v>
      </c>
      <c r="D2379" t="s">
        <v>19</v>
      </c>
      <c r="E2379" s="7">
        <v>1.38</v>
      </c>
      <c r="F2379" s="2">
        <v>0.56999999999999995</v>
      </c>
      <c r="G2379" s="7">
        <v>0.15</v>
      </c>
      <c r="H2379" s="9" t="s">
        <v>23</v>
      </c>
      <c r="I2379">
        <v>0.55000000000000004</v>
      </c>
      <c r="J2379">
        <v>0.17</v>
      </c>
      <c r="K2379">
        <v>0.27</v>
      </c>
      <c r="L2379">
        <v>0.13</v>
      </c>
      <c r="M2379">
        <v>0.41</v>
      </c>
      <c r="N2379">
        <v>0.59</v>
      </c>
      <c r="O2379">
        <v>0.28000000000000003</v>
      </c>
      <c r="P2379">
        <v>0.85</v>
      </c>
      <c r="Q2379">
        <v>0.98</v>
      </c>
      <c r="R2379" s="2">
        <v>0.12</v>
      </c>
      <c r="S2379" t="str">
        <f>IF(Table1[[#This Row],[Years_Experience]]&lt;=5,"Early Career",
IF(Table1[[#This Row],[Years_Experience]]&lt;=15,"Mid Career","Senior Level"))</f>
        <v>Senior Level</v>
      </c>
      <c r="T2379" t="str">
        <f>IF(Table1[[#This Row],[AI_Exposure_Index]]&gt;=0.7,"High Exposure", IF(Table1[[#This Row],[AI_Exposure_Index]]&gt;=0.3,"Medium Exposure","Low Exposure"))</f>
        <v>Medium Exposure</v>
      </c>
    </row>
    <row r="2380" spans="1:20" x14ac:dyDescent="0.25">
      <c r="A2380" t="s">
        <v>34</v>
      </c>
      <c r="B2380">
        <v>61232</v>
      </c>
      <c r="C2380" s="1">
        <v>15</v>
      </c>
      <c r="D2380" t="s">
        <v>19</v>
      </c>
      <c r="E2380" s="7">
        <v>0.69</v>
      </c>
      <c r="F2380" s="2">
        <v>0.79</v>
      </c>
      <c r="G2380" s="7">
        <v>0.44</v>
      </c>
      <c r="H2380" s="9" t="s">
        <v>27</v>
      </c>
      <c r="I2380">
        <v>0.39</v>
      </c>
      <c r="J2380">
        <v>0.92</v>
      </c>
      <c r="K2380">
        <v>0.66</v>
      </c>
      <c r="L2380">
        <v>0.04</v>
      </c>
      <c r="M2380">
        <v>0.01</v>
      </c>
      <c r="N2380">
        <v>0.2</v>
      </c>
      <c r="O2380">
        <v>0.32</v>
      </c>
      <c r="P2380">
        <v>0.48</v>
      </c>
      <c r="Q2380">
        <v>0.84</v>
      </c>
      <c r="R2380" s="2">
        <v>0.31</v>
      </c>
      <c r="S2380" t="str">
        <f>IF(Table1[[#This Row],[Years_Experience]]&lt;=5,"Early Career",
IF(Table1[[#This Row],[Years_Experience]]&lt;=15,"Mid Career","Senior Level"))</f>
        <v>Mid Career</v>
      </c>
      <c r="T2380" t="str">
        <f>IF(Table1[[#This Row],[AI_Exposure_Index]]&gt;=0.7,"High Exposure", IF(Table1[[#This Row],[AI_Exposure_Index]]&gt;=0.3,"Medium Exposure","Low Exposure"))</f>
        <v>High Exposure</v>
      </c>
    </row>
    <row r="2381" spans="1:20" x14ac:dyDescent="0.25">
      <c r="A2381" t="s">
        <v>37</v>
      </c>
      <c r="B2381">
        <v>78720</v>
      </c>
      <c r="C2381" s="1">
        <v>29</v>
      </c>
      <c r="D2381" t="s">
        <v>22</v>
      </c>
      <c r="E2381" s="7">
        <v>0.51</v>
      </c>
      <c r="F2381" s="2">
        <v>0.33</v>
      </c>
      <c r="G2381" s="7">
        <v>0.68</v>
      </c>
      <c r="H2381" s="9" t="s">
        <v>27</v>
      </c>
      <c r="I2381">
        <v>0.14000000000000001</v>
      </c>
      <c r="J2381">
        <v>0.28999999999999998</v>
      </c>
      <c r="K2381">
        <v>0.13</v>
      </c>
      <c r="L2381">
        <v>0.49</v>
      </c>
      <c r="M2381">
        <v>0.93</v>
      </c>
      <c r="N2381">
        <v>0.1</v>
      </c>
      <c r="O2381">
        <v>0.44</v>
      </c>
      <c r="P2381">
        <v>0.02</v>
      </c>
      <c r="Q2381">
        <v>0.77</v>
      </c>
      <c r="R2381" s="2">
        <v>0.64</v>
      </c>
      <c r="S2381" t="str">
        <f>IF(Table1[[#This Row],[Years_Experience]]&lt;=5,"Early Career",
IF(Table1[[#This Row],[Years_Experience]]&lt;=15,"Mid Career","Senior Level"))</f>
        <v>Senior Level</v>
      </c>
      <c r="T2381" t="str">
        <f>IF(Table1[[#This Row],[AI_Exposure_Index]]&gt;=0.7,"High Exposure", IF(Table1[[#This Row],[AI_Exposure_Index]]&gt;=0.3,"Medium Exposure","Low Exposure"))</f>
        <v>Medium Exposure</v>
      </c>
    </row>
    <row r="2382" spans="1:20" x14ac:dyDescent="0.25">
      <c r="A2382" t="s">
        <v>24</v>
      </c>
      <c r="B2382">
        <v>125110</v>
      </c>
      <c r="C2382" s="1">
        <v>4</v>
      </c>
      <c r="D2382" t="s">
        <v>38</v>
      </c>
      <c r="E2382" s="7">
        <v>1.41</v>
      </c>
      <c r="F2382" s="2">
        <v>0.47</v>
      </c>
      <c r="G2382" s="7">
        <v>0.8</v>
      </c>
      <c r="H2382" s="9" t="s">
        <v>20</v>
      </c>
      <c r="I2382">
        <v>0.51</v>
      </c>
      <c r="J2382">
        <v>0.7</v>
      </c>
      <c r="K2382">
        <v>0.52</v>
      </c>
      <c r="L2382">
        <v>0.19</v>
      </c>
      <c r="M2382">
        <v>0.32</v>
      </c>
      <c r="N2382">
        <v>0.09</v>
      </c>
      <c r="O2382">
        <v>0.43</v>
      </c>
      <c r="P2382">
        <v>0.61</v>
      </c>
      <c r="Q2382">
        <v>0.12</v>
      </c>
      <c r="R2382" s="2">
        <v>0.63</v>
      </c>
      <c r="S2382" t="str">
        <f>IF(Table1[[#This Row],[Years_Experience]]&lt;=5,"Early Career",
IF(Table1[[#This Row],[Years_Experience]]&lt;=15,"Mid Career","Senior Level"))</f>
        <v>Early Career</v>
      </c>
      <c r="T2382" t="str">
        <f>IF(Table1[[#This Row],[AI_Exposure_Index]]&gt;=0.7,"High Exposure", IF(Table1[[#This Row],[AI_Exposure_Index]]&gt;=0.3,"Medium Exposure","Low Exposure"))</f>
        <v>Medium Exposure</v>
      </c>
    </row>
    <row r="2383" spans="1:20" x14ac:dyDescent="0.25">
      <c r="A2383" t="s">
        <v>44</v>
      </c>
      <c r="B2383">
        <v>113128</v>
      </c>
      <c r="C2383" s="1">
        <v>7</v>
      </c>
      <c r="D2383" t="s">
        <v>25</v>
      </c>
      <c r="E2383" s="7">
        <v>0.72</v>
      </c>
      <c r="F2383" s="2">
        <v>0.34</v>
      </c>
      <c r="G2383" s="7">
        <v>0.66</v>
      </c>
      <c r="H2383" s="9" t="s">
        <v>27</v>
      </c>
      <c r="I2383">
        <v>0.69</v>
      </c>
      <c r="J2383">
        <v>0.11</v>
      </c>
      <c r="K2383">
        <v>0.41</v>
      </c>
      <c r="L2383">
        <v>0.67</v>
      </c>
      <c r="M2383">
        <v>0.56999999999999995</v>
      </c>
      <c r="N2383">
        <v>0.62</v>
      </c>
      <c r="O2383">
        <v>0.56999999999999995</v>
      </c>
      <c r="P2383">
        <v>0.8</v>
      </c>
      <c r="Q2383">
        <v>0.32</v>
      </c>
      <c r="R2383" s="2">
        <v>0.71</v>
      </c>
      <c r="S2383" t="str">
        <f>IF(Table1[[#This Row],[Years_Experience]]&lt;=5,"Early Career",
IF(Table1[[#This Row],[Years_Experience]]&lt;=15,"Mid Career","Senior Level"))</f>
        <v>Mid Career</v>
      </c>
      <c r="T2383" t="str">
        <f>IF(Table1[[#This Row],[AI_Exposure_Index]]&gt;=0.7,"High Exposure", IF(Table1[[#This Row],[AI_Exposure_Index]]&gt;=0.3,"Medium Exposure","Low Exposure"))</f>
        <v>Medium Exposure</v>
      </c>
    </row>
    <row r="2384" spans="1:20" x14ac:dyDescent="0.25">
      <c r="A2384" t="s">
        <v>31</v>
      </c>
      <c r="B2384">
        <v>120605</v>
      </c>
      <c r="C2384" s="1">
        <v>29</v>
      </c>
      <c r="D2384" t="s">
        <v>22</v>
      </c>
      <c r="E2384" s="7">
        <v>1.29</v>
      </c>
      <c r="F2384" s="2">
        <v>0.39</v>
      </c>
      <c r="G2384" s="7">
        <v>0.11</v>
      </c>
      <c r="H2384" s="9" t="s">
        <v>23</v>
      </c>
      <c r="I2384">
        <v>0.28000000000000003</v>
      </c>
      <c r="J2384">
        <v>0.93</v>
      </c>
      <c r="K2384">
        <v>0.03</v>
      </c>
      <c r="L2384">
        <v>0.22</v>
      </c>
      <c r="M2384">
        <v>0.48</v>
      </c>
      <c r="N2384">
        <v>0.4</v>
      </c>
      <c r="O2384">
        <v>0.63</v>
      </c>
      <c r="P2384">
        <v>0.19</v>
      </c>
      <c r="Q2384">
        <v>7.0000000000000007E-2</v>
      </c>
      <c r="R2384" s="2">
        <v>0.37</v>
      </c>
      <c r="S2384" t="str">
        <f>IF(Table1[[#This Row],[Years_Experience]]&lt;=5,"Early Career",
IF(Table1[[#This Row],[Years_Experience]]&lt;=15,"Mid Career","Senior Level"))</f>
        <v>Senior Level</v>
      </c>
      <c r="T2384" t="str">
        <f>IF(Table1[[#This Row],[AI_Exposure_Index]]&gt;=0.7,"High Exposure", IF(Table1[[#This Row],[AI_Exposure_Index]]&gt;=0.3,"Medium Exposure","Low Exposure"))</f>
        <v>Medium Exposure</v>
      </c>
    </row>
    <row r="2385" spans="1:20" x14ac:dyDescent="0.25">
      <c r="A2385" t="s">
        <v>33</v>
      </c>
      <c r="B2385">
        <v>39513</v>
      </c>
      <c r="C2385" s="1">
        <v>18</v>
      </c>
      <c r="D2385" t="s">
        <v>38</v>
      </c>
      <c r="E2385" s="7">
        <v>1.1000000000000001</v>
      </c>
      <c r="F2385" s="2">
        <v>0.56000000000000005</v>
      </c>
      <c r="G2385" s="7">
        <v>0.84</v>
      </c>
      <c r="H2385" s="9" t="s">
        <v>20</v>
      </c>
      <c r="I2385">
        <v>0.25</v>
      </c>
      <c r="J2385">
        <v>0.76</v>
      </c>
      <c r="K2385">
        <v>0.09</v>
      </c>
      <c r="L2385">
        <v>0.2</v>
      </c>
      <c r="M2385">
        <v>0.74</v>
      </c>
      <c r="N2385">
        <v>0.28000000000000003</v>
      </c>
      <c r="O2385">
        <v>0.49</v>
      </c>
      <c r="P2385">
        <v>0.33</v>
      </c>
      <c r="Q2385">
        <v>0.51</v>
      </c>
      <c r="R2385" s="2">
        <v>0.35</v>
      </c>
      <c r="S2385" t="str">
        <f>IF(Table1[[#This Row],[Years_Experience]]&lt;=5,"Early Career",
IF(Table1[[#This Row],[Years_Experience]]&lt;=15,"Mid Career","Senior Level"))</f>
        <v>Senior Level</v>
      </c>
      <c r="T2385" t="str">
        <f>IF(Table1[[#This Row],[AI_Exposure_Index]]&gt;=0.7,"High Exposure", IF(Table1[[#This Row],[AI_Exposure_Index]]&gt;=0.3,"Medium Exposure","Low Exposure"))</f>
        <v>Medium Exposure</v>
      </c>
    </row>
    <row r="2386" spans="1:20" x14ac:dyDescent="0.25">
      <c r="A2386" t="s">
        <v>34</v>
      </c>
      <c r="B2386">
        <v>57177</v>
      </c>
      <c r="C2386" s="1">
        <v>0</v>
      </c>
      <c r="D2386" t="s">
        <v>19</v>
      </c>
      <c r="E2386" s="7">
        <v>0.65</v>
      </c>
      <c r="F2386" s="2">
        <v>0.85</v>
      </c>
      <c r="G2386" s="7">
        <v>0.44</v>
      </c>
      <c r="H2386" s="9" t="s">
        <v>27</v>
      </c>
      <c r="I2386">
        <v>0.56000000000000005</v>
      </c>
      <c r="J2386">
        <v>0.15</v>
      </c>
      <c r="K2386">
        <v>0.13</v>
      </c>
      <c r="L2386">
        <v>0.66</v>
      </c>
      <c r="M2386">
        <v>0.65</v>
      </c>
      <c r="N2386">
        <v>0.23</v>
      </c>
      <c r="O2386">
        <v>0.23</v>
      </c>
      <c r="P2386">
        <v>0.75</v>
      </c>
      <c r="Q2386">
        <v>0.12</v>
      </c>
      <c r="R2386" s="2">
        <v>0.92</v>
      </c>
      <c r="S2386" t="str">
        <f>IF(Table1[[#This Row],[Years_Experience]]&lt;=5,"Early Career",
IF(Table1[[#This Row],[Years_Experience]]&lt;=15,"Mid Career","Senior Level"))</f>
        <v>Early Career</v>
      </c>
      <c r="T2386" t="str">
        <f>IF(Table1[[#This Row],[AI_Exposure_Index]]&gt;=0.7,"High Exposure", IF(Table1[[#This Row],[AI_Exposure_Index]]&gt;=0.3,"Medium Exposure","Low Exposure"))</f>
        <v>High Exposure</v>
      </c>
    </row>
    <row r="2387" spans="1:20" x14ac:dyDescent="0.25">
      <c r="A2387" t="s">
        <v>44</v>
      </c>
      <c r="B2387">
        <v>85572</v>
      </c>
      <c r="C2387" s="1">
        <v>8</v>
      </c>
      <c r="D2387" t="s">
        <v>19</v>
      </c>
      <c r="E2387" s="7">
        <v>0.71</v>
      </c>
      <c r="F2387" s="2">
        <v>0.87</v>
      </c>
      <c r="G2387" s="7">
        <v>0.31</v>
      </c>
      <c r="H2387" s="9" t="s">
        <v>27</v>
      </c>
      <c r="I2387">
        <v>0.94</v>
      </c>
      <c r="J2387">
        <v>0.34</v>
      </c>
      <c r="K2387">
        <v>0.31</v>
      </c>
      <c r="L2387">
        <v>0.26</v>
      </c>
      <c r="M2387">
        <v>0.24</v>
      </c>
      <c r="N2387">
        <v>0.73</v>
      </c>
      <c r="O2387">
        <v>0.91</v>
      </c>
      <c r="P2387">
        <v>0.79</v>
      </c>
      <c r="Q2387">
        <v>0.67</v>
      </c>
      <c r="R2387" s="2">
        <v>0.28999999999999998</v>
      </c>
      <c r="S2387" t="str">
        <f>IF(Table1[[#This Row],[Years_Experience]]&lt;=5,"Early Career",
IF(Table1[[#This Row],[Years_Experience]]&lt;=15,"Mid Career","Senior Level"))</f>
        <v>Mid Career</v>
      </c>
      <c r="T2387" t="str">
        <f>IF(Table1[[#This Row],[AI_Exposure_Index]]&gt;=0.7,"High Exposure", IF(Table1[[#This Row],[AI_Exposure_Index]]&gt;=0.3,"Medium Exposure","Low Exposure"))</f>
        <v>High Exposure</v>
      </c>
    </row>
    <row r="2388" spans="1:20" x14ac:dyDescent="0.25">
      <c r="A2388" t="s">
        <v>30</v>
      </c>
      <c r="B2388">
        <v>147849</v>
      </c>
      <c r="C2388" s="1">
        <v>12</v>
      </c>
      <c r="D2388" t="s">
        <v>19</v>
      </c>
      <c r="E2388" s="7">
        <v>0.61</v>
      </c>
      <c r="F2388" s="2">
        <v>0.24</v>
      </c>
      <c r="G2388" s="7">
        <v>0.35</v>
      </c>
      <c r="H2388" s="9" t="s">
        <v>27</v>
      </c>
      <c r="I2388">
        <v>0.6</v>
      </c>
      <c r="J2388">
        <v>0.04</v>
      </c>
      <c r="K2388">
        <v>0.97</v>
      </c>
      <c r="L2388">
        <v>1</v>
      </c>
      <c r="M2388">
        <v>0.15</v>
      </c>
      <c r="N2388">
        <v>0.43</v>
      </c>
      <c r="O2388">
        <v>0.77</v>
      </c>
      <c r="P2388">
        <v>0.96</v>
      </c>
      <c r="Q2388">
        <v>0.89</v>
      </c>
      <c r="R2388" s="2">
        <v>0.25</v>
      </c>
      <c r="S2388" t="str">
        <f>IF(Table1[[#This Row],[Years_Experience]]&lt;=5,"Early Career",
IF(Table1[[#This Row],[Years_Experience]]&lt;=15,"Mid Career","Senior Level"))</f>
        <v>Mid Career</v>
      </c>
      <c r="T2388" t="str">
        <f>IF(Table1[[#This Row],[AI_Exposure_Index]]&gt;=0.7,"High Exposure", IF(Table1[[#This Row],[AI_Exposure_Index]]&gt;=0.3,"Medium Exposure","Low Exposure"))</f>
        <v>Low Exposure</v>
      </c>
    </row>
    <row r="2389" spans="1:20" x14ac:dyDescent="0.25">
      <c r="A2389" t="s">
        <v>43</v>
      </c>
      <c r="B2389">
        <v>126080</v>
      </c>
      <c r="C2389" s="1">
        <v>1</v>
      </c>
      <c r="D2389" t="s">
        <v>25</v>
      </c>
      <c r="E2389" s="7">
        <v>0.94</v>
      </c>
      <c r="F2389" s="2">
        <v>0.28999999999999998</v>
      </c>
      <c r="G2389" s="7">
        <v>0.14000000000000001</v>
      </c>
      <c r="H2389" s="9" t="s">
        <v>23</v>
      </c>
      <c r="I2389">
        <v>0.77</v>
      </c>
      <c r="J2389">
        <v>0.26</v>
      </c>
      <c r="K2389">
        <v>0.86</v>
      </c>
      <c r="L2389">
        <v>0.23</v>
      </c>
      <c r="M2389">
        <v>0.36</v>
      </c>
      <c r="N2389">
        <v>0.45</v>
      </c>
      <c r="O2389">
        <v>0.28999999999999998</v>
      </c>
      <c r="P2389">
        <v>0.77</v>
      </c>
      <c r="Q2389">
        <v>0.41</v>
      </c>
      <c r="R2389" s="2">
        <v>0.89</v>
      </c>
      <c r="S2389" t="str">
        <f>IF(Table1[[#This Row],[Years_Experience]]&lt;=5,"Early Career",
IF(Table1[[#This Row],[Years_Experience]]&lt;=15,"Mid Career","Senior Level"))</f>
        <v>Early Career</v>
      </c>
      <c r="T2389" t="str">
        <f>IF(Table1[[#This Row],[AI_Exposure_Index]]&gt;=0.7,"High Exposure", IF(Table1[[#This Row],[AI_Exposure_Index]]&gt;=0.3,"Medium Exposure","Low Exposure"))</f>
        <v>Low Exposure</v>
      </c>
    </row>
    <row r="2390" spans="1:20" x14ac:dyDescent="0.25">
      <c r="A2390" t="s">
        <v>26</v>
      </c>
      <c r="B2390">
        <v>144438</v>
      </c>
      <c r="C2390" s="1">
        <v>4</v>
      </c>
      <c r="D2390" t="s">
        <v>25</v>
      </c>
      <c r="E2390" s="7">
        <v>1.02</v>
      </c>
      <c r="F2390" s="2">
        <v>0.86</v>
      </c>
      <c r="G2390" s="7">
        <v>0.5</v>
      </c>
      <c r="H2390" s="9" t="s">
        <v>27</v>
      </c>
      <c r="I2390">
        <v>0.22</v>
      </c>
      <c r="J2390">
        <v>0.59</v>
      </c>
      <c r="K2390">
        <v>0.95</v>
      </c>
      <c r="L2390">
        <v>0.08</v>
      </c>
      <c r="M2390">
        <v>0.75</v>
      </c>
      <c r="N2390">
        <v>0.87</v>
      </c>
      <c r="O2390">
        <v>0.99</v>
      </c>
      <c r="P2390">
        <v>0.33</v>
      </c>
      <c r="Q2390">
        <v>0.36</v>
      </c>
      <c r="R2390" s="2">
        <v>0.23</v>
      </c>
      <c r="S2390" t="str">
        <f>IF(Table1[[#This Row],[Years_Experience]]&lt;=5,"Early Career",
IF(Table1[[#This Row],[Years_Experience]]&lt;=15,"Mid Career","Senior Level"))</f>
        <v>Early Career</v>
      </c>
      <c r="T2390" t="str">
        <f>IF(Table1[[#This Row],[AI_Exposure_Index]]&gt;=0.7,"High Exposure", IF(Table1[[#This Row],[AI_Exposure_Index]]&gt;=0.3,"Medium Exposure","Low Exposure"))</f>
        <v>High Exposure</v>
      </c>
    </row>
    <row r="2391" spans="1:20" x14ac:dyDescent="0.25">
      <c r="A2391" t="s">
        <v>24</v>
      </c>
      <c r="B2391">
        <v>34844</v>
      </c>
      <c r="C2391" s="1">
        <v>22</v>
      </c>
      <c r="D2391" t="s">
        <v>22</v>
      </c>
      <c r="E2391" s="7">
        <v>0.77</v>
      </c>
      <c r="F2391" s="2">
        <v>0.14000000000000001</v>
      </c>
      <c r="G2391" s="7">
        <v>0.77</v>
      </c>
      <c r="H2391" s="9" t="s">
        <v>20</v>
      </c>
      <c r="I2391">
        <v>0.37</v>
      </c>
      <c r="J2391">
        <v>0.42</v>
      </c>
      <c r="K2391">
        <v>0.56000000000000005</v>
      </c>
      <c r="L2391">
        <v>0.95</v>
      </c>
      <c r="M2391">
        <v>0.25</v>
      </c>
      <c r="N2391">
        <v>0.78</v>
      </c>
      <c r="O2391">
        <v>0.68</v>
      </c>
      <c r="P2391">
        <v>0.12</v>
      </c>
      <c r="Q2391">
        <v>0.81</v>
      </c>
      <c r="R2391" s="2">
        <v>0.09</v>
      </c>
      <c r="S2391" t="str">
        <f>IF(Table1[[#This Row],[Years_Experience]]&lt;=5,"Early Career",
IF(Table1[[#This Row],[Years_Experience]]&lt;=15,"Mid Career","Senior Level"))</f>
        <v>Senior Level</v>
      </c>
      <c r="T2391" t="str">
        <f>IF(Table1[[#This Row],[AI_Exposure_Index]]&gt;=0.7,"High Exposure", IF(Table1[[#This Row],[AI_Exposure_Index]]&gt;=0.3,"Medium Exposure","Low Exposure"))</f>
        <v>Low Exposure</v>
      </c>
    </row>
    <row r="2392" spans="1:20" x14ac:dyDescent="0.25">
      <c r="A2392" t="s">
        <v>18</v>
      </c>
      <c r="B2392">
        <v>47639</v>
      </c>
      <c r="C2392" s="1">
        <v>21</v>
      </c>
      <c r="D2392" t="s">
        <v>38</v>
      </c>
      <c r="E2392" s="7">
        <v>1.05</v>
      </c>
      <c r="F2392" s="2">
        <v>0.68</v>
      </c>
      <c r="G2392" s="7">
        <v>0.87</v>
      </c>
      <c r="H2392" s="9" t="s">
        <v>20</v>
      </c>
      <c r="I2392">
        <v>0.64</v>
      </c>
      <c r="J2392">
        <v>0.78</v>
      </c>
      <c r="K2392">
        <v>0.24</v>
      </c>
      <c r="L2392">
        <v>0.43</v>
      </c>
      <c r="M2392">
        <v>0.15</v>
      </c>
      <c r="N2392">
        <v>0.43</v>
      </c>
      <c r="O2392">
        <v>0.7</v>
      </c>
      <c r="P2392">
        <v>0.69</v>
      </c>
      <c r="Q2392">
        <v>0.71</v>
      </c>
      <c r="R2392" s="2">
        <v>0.31</v>
      </c>
      <c r="S2392" t="str">
        <f>IF(Table1[[#This Row],[Years_Experience]]&lt;=5,"Early Career",
IF(Table1[[#This Row],[Years_Experience]]&lt;=15,"Mid Career","Senior Level"))</f>
        <v>Senior Level</v>
      </c>
      <c r="T2392" t="str">
        <f>IF(Table1[[#This Row],[AI_Exposure_Index]]&gt;=0.7,"High Exposure", IF(Table1[[#This Row],[AI_Exposure_Index]]&gt;=0.3,"Medium Exposure","Low Exposure"))</f>
        <v>Medium Exposure</v>
      </c>
    </row>
    <row r="2393" spans="1:20" x14ac:dyDescent="0.25">
      <c r="A2393" t="s">
        <v>24</v>
      </c>
      <c r="B2393">
        <v>86041</v>
      </c>
      <c r="C2393" s="1">
        <v>3</v>
      </c>
      <c r="D2393" t="s">
        <v>19</v>
      </c>
      <c r="E2393" s="7">
        <v>1.44</v>
      </c>
      <c r="F2393" s="2">
        <v>0.37</v>
      </c>
      <c r="G2393" s="7">
        <v>0.79</v>
      </c>
      <c r="H2393" s="9" t="s">
        <v>20</v>
      </c>
      <c r="I2393">
        <v>0.6</v>
      </c>
      <c r="J2393">
        <v>0.75</v>
      </c>
      <c r="K2393">
        <v>0.91</v>
      </c>
      <c r="L2393">
        <v>0.44</v>
      </c>
      <c r="M2393">
        <v>0.36</v>
      </c>
      <c r="N2393">
        <v>0.43</v>
      </c>
      <c r="O2393">
        <v>0.32</v>
      </c>
      <c r="P2393">
        <v>0.65</v>
      </c>
      <c r="Q2393">
        <v>0.93</v>
      </c>
      <c r="R2393" s="2">
        <v>0.13</v>
      </c>
      <c r="S2393" t="str">
        <f>IF(Table1[[#This Row],[Years_Experience]]&lt;=5,"Early Career",
IF(Table1[[#This Row],[Years_Experience]]&lt;=15,"Mid Career","Senior Level"))</f>
        <v>Early Career</v>
      </c>
      <c r="T2393" t="str">
        <f>IF(Table1[[#This Row],[AI_Exposure_Index]]&gt;=0.7,"High Exposure", IF(Table1[[#This Row],[AI_Exposure_Index]]&gt;=0.3,"Medium Exposure","Low Exposure"))</f>
        <v>Medium Exposure</v>
      </c>
    </row>
    <row r="2394" spans="1:20" x14ac:dyDescent="0.25">
      <c r="A2394" t="s">
        <v>31</v>
      </c>
      <c r="B2394">
        <v>68575</v>
      </c>
      <c r="C2394" s="1">
        <v>2</v>
      </c>
      <c r="D2394" t="s">
        <v>19</v>
      </c>
      <c r="E2394" s="7">
        <v>1.22</v>
      </c>
      <c r="F2394" s="2">
        <v>0.46</v>
      </c>
      <c r="G2394" s="7">
        <v>0.14000000000000001</v>
      </c>
      <c r="H2394" s="9" t="s">
        <v>23</v>
      </c>
      <c r="I2394">
        <v>0.55000000000000004</v>
      </c>
      <c r="J2394">
        <v>0.03</v>
      </c>
      <c r="K2394">
        <v>0.46</v>
      </c>
      <c r="L2394">
        <v>0.24</v>
      </c>
      <c r="M2394">
        <v>0.52</v>
      </c>
      <c r="N2394">
        <v>0.53</v>
      </c>
      <c r="O2394">
        <v>0.75</v>
      </c>
      <c r="P2394">
        <v>0.54</v>
      </c>
      <c r="Q2394">
        <v>0.61</v>
      </c>
      <c r="R2394" s="2">
        <v>0.53</v>
      </c>
      <c r="S2394" t="str">
        <f>IF(Table1[[#This Row],[Years_Experience]]&lt;=5,"Early Career",
IF(Table1[[#This Row],[Years_Experience]]&lt;=15,"Mid Career","Senior Level"))</f>
        <v>Early Career</v>
      </c>
      <c r="T2394" t="str">
        <f>IF(Table1[[#This Row],[AI_Exposure_Index]]&gt;=0.7,"High Exposure", IF(Table1[[#This Row],[AI_Exposure_Index]]&gt;=0.3,"Medium Exposure","Low Exposure"))</f>
        <v>Medium Exposure</v>
      </c>
    </row>
    <row r="2395" spans="1:20" x14ac:dyDescent="0.25">
      <c r="A2395" t="s">
        <v>29</v>
      </c>
      <c r="B2395">
        <v>120150</v>
      </c>
      <c r="C2395" s="1">
        <v>14</v>
      </c>
      <c r="D2395" t="s">
        <v>25</v>
      </c>
      <c r="E2395" s="7">
        <v>1.1299999999999999</v>
      </c>
      <c r="F2395" s="2">
        <v>0.76</v>
      </c>
      <c r="G2395" s="7">
        <v>0.18</v>
      </c>
      <c r="H2395" s="9" t="s">
        <v>23</v>
      </c>
      <c r="I2395">
        <v>0.34</v>
      </c>
      <c r="J2395">
        <v>0.78</v>
      </c>
      <c r="K2395">
        <v>0.19</v>
      </c>
      <c r="L2395">
        <v>0.04</v>
      </c>
      <c r="M2395">
        <v>0.7</v>
      </c>
      <c r="N2395">
        <v>0.14000000000000001</v>
      </c>
      <c r="O2395">
        <v>0.9</v>
      </c>
      <c r="P2395">
        <v>0.77</v>
      </c>
      <c r="Q2395">
        <v>0.6</v>
      </c>
      <c r="R2395" s="2">
        <v>0.31</v>
      </c>
      <c r="S2395" t="str">
        <f>IF(Table1[[#This Row],[Years_Experience]]&lt;=5,"Early Career",
IF(Table1[[#This Row],[Years_Experience]]&lt;=15,"Mid Career","Senior Level"))</f>
        <v>Mid Career</v>
      </c>
      <c r="T2395" t="str">
        <f>IF(Table1[[#This Row],[AI_Exposure_Index]]&gt;=0.7,"High Exposure", IF(Table1[[#This Row],[AI_Exposure_Index]]&gt;=0.3,"Medium Exposure","Low Exposure"))</f>
        <v>High Exposure</v>
      </c>
    </row>
    <row r="2396" spans="1:20" x14ac:dyDescent="0.25">
      <c r="A2396" t="s">
        <v>41</v>
      </c>
      <c r="B2396">
        <v>42485</v>
      </c>
      <c r="C2396" s="1">
        <v>16</v>
      </c>
      <c r="D2396" t="s">
        <v>25</v>
      </c>
      <c r="E2396" s="7">
        <v>0.79</v>
      </c>
      <c r="F2396" s="2">
        <v>0.48</v>
      </c>
      <c r="G2396" s="7">
        <v>0.94</v>
      </c>
      <c r="H2396" s="9" t="s">
        <v>20</v>
      </c>
      <c r="I2396">
        <v>0.16</v>
      </c>
      <c r="J2396">
        <v>0.75</v>
      </c>
      <c r="K2396">
        <v>0.8</v>
      </c>
      <c r="L2396">
        <v>0.95</v>
      </c>
      <c r="M2396">
        <v>0.55000000000000004</v>
      </c>
      <c r="N2396">
        <v>0.53</v>
      </c>
      <c r="O2396">
        <v>0.92</v>
      </c>
      <c r="P2396">
        <v>0.8</v>
      </c>
      <c r="Q2396">
        <v>0.76</v>
      </c>
      <c r="R2396" s="2">
        <v>0.79</v>
      </c>
      <c r="S2396" t="str">
        <f>IF(Table1[[#This Row],[Years_Experience]]&lt;=5,"Early Career",
IF(Table1[[#This Row],[Years_Experience]]&lt;=15,"Mid Career","Senior Level"))</f>
        <v>Senior Level</v>
      </c>
      <c r="T2396" t="str">
        <f>IF(Table1[[#This Row],[AI_Exposure_Index]]&gt;=0.7,"High Exposure", IF(Table1[[#This Row],[AI_Exposure_Index]]&gt;=0.3,"Medium Exposure","Low Exposure"))</f>
        <v>Medium Exposure</v>
      </c>
    </row>
    <row r="2397" spans="1:20" x14ac:dyDescent="0.25">
      <c r="A2397" t="s">
        <v>26</v>
      </c>
      <c r="B2397">
        <v>103147</v>
      </c>
      <c r="C2397" s="1">
        <v>13</v>
      </c>
      <c r="D2397" t="s">
        <v>19</v>
      </c>
      <c r="E2397" s="7">
        <v>0.7</v>
      </c>
      <c r="F2397" s="2">
        <v>0.04</v>
      </c>
      <c r="G2397" s="7">
        <v>0.56000000000000005</v>
      </c>
      <c r="H2397" s="9" t="s">
        <v>27</v>
      </c>
      <c r="I2397">
        <v>0.4</v>
      </c>
      <c r="J2397">
        <v>0.61</v>
      </c>
      <c r="K2397">
        <v>0.55000000000000004</v>
      </c>
      <c r="L2397">
        <v>0.44</v>
      </c>
      <c r="M2397">
        <v>0.23</v>
      </c>
      <c r="N2397">
        <v>0.72</v>
      </c>
      <c r="O2397">
        <v>0.91</v>
      </c>
      <c r="P2397">
        <v>0.77</v>
      </c>
      <c r="Q2397">
        <v>0.12</v>
      </c>
      <c r="R2397" s="2">
        <v>0.54</v>
      </c>
      <c r="S2397" t="str">
        <f>IF(Table1[[#This Row],[Years_Experience]]&lt;=5,"Early Career",
IF(Table1[[#This Row],[Years_Experience]]&lt;=15,"Mid Career","Senior Level"))</f>
        <v>Mid Career</v>
      </c>
      <c r="T2397" t="str">
        <f>IF(Table1[[#This Row],[AI_Exposure_Index]]&gt;=0.7,"High Exposure", IF(Table1[[#This Row],[AI_Exposure_Index]]&gt;=0.3,"Medium Exposure","Low Exposure"))</f>
        <v>Low Exposure</v>
      </c>
    </row>
    <row r="2398" spans="1:20" x14ac:dyDescent="0.25">
      <c r="A2398" t="s">
        <v>33</v>
      </c>
      <c r="B2398">
        <v>66598</v>
      </c>
      <c r="C2398" s="1">
        <v>8</v>
      </c>
      <c r="D2398" t="s">
        <v>22</v>
      </c>
      <c r="E2398" s="7">
        <v>0.94</v>
      </c>
      <c r="F2398" s="2">
        <v>0.59</v>
      </c>
      <c r="G2398" s="7">
        <v>0.77</v>
      </c>
      <c r="H2398" s="9" t="s">
        <v>20</v>
      </c>
      <c r="I2398">
        <v>0.33</v>
      </c>
      <c r="J2398">
        <v>0.24</v>
      </c>
      <c r="K2398">
        <v>0.2</v>
      </c>
      <c r="L2398">
        <v>0.59</v>
      </c>
      <c r="M2398">
        <v>0.51</v>
      </c>
      <c r="N2398">
        <v>0.73</v>
      </c>
      <c r="O2398">
        <v>0.31</v>
      </c>
      <c r="P2398">
        <v>0.46</v>
      </c>
      <c r="Q2398">
        <v>0.68</v>
      </c>
      <c r="R2398" s="2">
        <v>0.96</v>
      </c>
      <c r="S2398" t="str">
        <f>IF(Table1[[#This Row],[Years_Experience]]&lt;=5,"Early Career",
IF(Table1[[#This Row],[Years_Experience]]&lt;=15,"Mid Career","Senior Level"))</f>
        <v>Mid Career</v>
      </c>
      <c r="T2398" t="str">
        <f>IF(Table1[[#This Row],[AI_Exposure_Index]]&gt;=0.7,"High Exposure", IF(Table1[[#This Row],[AI_Exposure_Index]]&gt;=0.3,"Medium Exposure","Low Exposure"))</f>
        <v>Medium Exposure</v>
      </c>
    </row>
    <row r="2399" spans="1:20" x14ac:dyDescent="0.25">
      <c r="A2399" t="s">
        <v>39</v>
      </c>
      <c r="B2399">
        <v>132916</v>
      </c>
      <c r="C2399" s="1">
        <v>27</v>
      </c>
      <c r="D2399" t="s">
        <v>22</v>
      </c>
      <c r="E2399" s="7">
        <v>0.95</v>
      </c>
      <c r="F2399" s="2">
        <v>0.3</v>
      </c>
      <c r="G2399" s="7">
        <v>0.88</v>
      </c>
      <c r="H2399" s="9" t="s">
        <v>20</v>
      </c>
      <c r="I2399">
        <v>0.96</v>
      </c>
      <c r="J2399">
        <v>0.54</v>
      </c>
      <c r="K2399">
        <v>0.81</v>
      </c>
      <c r="L2399">
        <v>0.46</v>
      </c>
      <c r="M2399">
        <v>0.04</v>
      </c>
      <c r="N2399">
        <v>0.89</v>
      </c>
      <c r="O2399">
        <v>0.28999999999999998</v>
      </c>
      <c r="P2399">
        <v>0.14000000000000001</v>
      </c>
      <c r="Q2399">
        <v>1</v>
      </c>
      <c r="R2399" s="2">
        <v>0.35</v>
      </c>
      <c r="S2399" t="str">
        <f>IF(Table1[[#This Row],[Years_Experience]]&lt;=5,"Early Career",
IF(Table1[[#This Row],[Years_Experience]]&lt;=15,"Mid Career","Senior Level"))</f>
        <v>Senior Level</v>
      </c>
      <c r="T2399" t="str">
        <f>IF(Table1[[#This Row],[AI_Exposure_Index]]&gt;=0.7,"High Exposure", IF(Table1[[#This Row],[AI_Exposure_Index]]&gt;=0.3,"Medium Exposure","Low Exposure"))</f>
        <v>Medium Exposure</v>
      </c>
    </row>
    <row r="2400" spans="1:20" x14ac:dyDescent="0.25">
      <c r="A2400" t="s">
        <v>41</v>
      </c>
      <c r="B2400">
        <v>41311</v>
      </c>
      <c r="C2400" s="1">
        <v>3</v>
      </c>
      <c r="D2400" t="s">
        <v>22</v>
      </c>
      <c r="E2400" s="7">
        <v>1.01</v>
      </c>
      <c r="F2400" s="2">
        <v>0.31</v>
      </c>
      <c r="G2400" s="7">
        <v>0.72</v>
      </c>
      <c r="H2400" s="9" t="s">
        <v>20</v>
      </c>
      <c r="I2400">
        <v>0.35</v>
      </c>
      <c r="J2400">
        <v>0.67</v>
      </c>
      <c r="K2400">
        <v>0.92</v>
      </c>
      <c r="L2400">
        <v>0.4</v>
      </c>
      <c r="M2400">
        <v>0.56000000000000005</v>
      </c>
      <c r="N2400">
        <v>0.64</v>
      </c>
      <c r="O2400">
        <v>7.0000000000000007E-2</v>
      </c>
      <c r="P2400">
        <v>0.34</v>
      </c>
      <c r="Q2400">
        <v>0.68</v>
      </c>
      <c r="R2400" s="2">
        <v>0.74</v>
      </c>
      <c r="S2400" t="str">
        <f>IF(Table1[[#This Row],[Years_Experience]]&lt;=5,"Early Career",
IF(Table1[[#This Row],[Years_Experience]]&lt;=15,"Mid Career","Senior Level"))</f>
        <v>Early Career</v>
      </c>
      <c r="T2400" t="str">
        <f>IF(Table1[[#This Row],[AI_Exposure_Index]]&gt;=0.7,"High Exposure", IF(Table1[[#This Row],[AI_Exposure_Index]]&gt;=0.3,"Medium Exposure","Low Exposure"))</f>
        <v>Medium Exposure</v>
      </c>
    </row>
    <row r="2401" spans="1:20" x14ac:dyDescent="0.25">
      <c r="A2401" t="s">
        <v>44</v>
      </c>
      <c r="B2401">
        <v>139940</v>
      </c>
      <c r="C2401" s="1">
        <v>6</v>
      </c>
      <c r="D2401" t="s">
        <v>22</v>
      </c>
      <c r="E2401" s="7">
        <v>0.51</v>
      </c>
      <c r="F2401" s="2">
        <v>0.01</v>
      </c>
      <c r="G2401" s="7">
        <v>0.52</v>
      </c>
      <c r="H2401" s="9" t="s">
        <v>27</v>
      </c>
      <c r="I2401">
        <v>0.55000000000000004</v>
      </c>
      <c r="J2401">
        <v>0.56000000000000005</v>
      </c>
      <c r="K2401">
        <v>0.72</v>
      </c>
      <c r="L2401">
        <v>0.92</v>
      </c>
      <c r="M2401">
        <v>0.99</v>
      </c>
      <c r="N2401">
        <v>0.7</v>
      </c>
      <c r="O2401">
        <v>0.51</v>
      </c>
      <c r="P2401">
        <v>0.14000000000000001</v>
      </c>
      <c r="Q2401">
        <v>0.38</v>
      </c>
      <c r="R2401" s="2">
        <v>0.56999999999999995</v>
      </c>
      <c r="S2401" t="str">
        <f>IF(Table1[[#This Row],[Years_Experience]]&lt;=5,"Early Career",
IF(Table1[[#This Row],[Years_Experience]]&lt;=15,"Mid Career","Senior Level"))</f>
        <v>Mid Career</v>
      </c>
      <c r="T2401" t="str">
        <f>IF(Table1[[#This Row],[AI_Exposure_Index]]&gt;=0.7,"High Exposure", IF(Table1[[#This Row],[AI_Exposure_Index]]&gt;=0.3,"Medium Exposure","Low Exposure"))</f>
        <v>Low Exposure</v>
      </c>
    </row>
    <row r="2402" spans="1:20" x14ac:dyDescent="0.25">
      <c r="A2402" t="s">
        <v>44</v>
      </c>
      <c r="B2402">
        <v>124930</v>
      </c>
      <c r="C2402" s="1">
        <v>9</v>
      </c>
      <c r="D2402" t="s">
        <v>25</v>
      </c>
      <c r="E2402" s="7">
        <v>1.29</v>
      </c>
      <c r="F2402" s="2">
        <v>0.13</v>
      </c>
      <c r="G2402" s="7">
        <v>0.7</v>
      </c>
      <c r="H2402" s="9" t="s">
        <v>27</v>
      </c>
      <c r="I2402">
        <v>0.81</v>
      </c>
      <c r="J2402">
        <v>0.77</v>
      </c>
      <c r="K2402">
        <v>0.26</v>
      </c>
      <c r="L2402">
        <v>0</v>
      </c>
      <c r="M2402">
        <v>0.23</v>
      </c>
      <c r="N2402">
        <v>0.79</v>
      </c>
      <c r="O2402">
        <v>0.11</v>
      </c>
      <c r="P2402">
        <v>0.3</v>
      </c>
      <c r="Q2402">
        <v>0.56000000000000005</v>
      </c>
      <c r="R2402" s="2">
        <v>0.57999999999999996</v>
      </c>
      <c r="S2402" t="str">
        <f>IF(Table1[[#This Row],[Years_Experience]]&lt;=5,"Early Career",
IF(Table1[[#This Row],[Years_Experience]]&lt;=15,"Mid Career","Senior Level"))</f>
        <v>Mid Career</v>
      </c>
      <c r="T2402" t="str">
        <f>IF(Table1[[#This Row],[AI_Exposure_Index]]&gt;=0.7,"High Exposure", IF(Table1[[#This Row],[AI_Exposure_Index]]&gt;=0.3,"Medium Exposure","Low Exposure"))</f>
        <v>Low Exposure</v>
      </c>
    </row>
    <row r="2403" spans="1:20" x14ac:dyDescent="0.25">
      <c r="A2403" t="s">
        <v>34</v>
      </c>
      <c r="B2403">
        <v>115639</v>
      </c>
      <c r="C2403" s="1">
        <v>9</v>
      </c>
      <c r="D2403" t="s">
        <v>22</v>
      </c>
      <c r="E2403" s="7">
        <v>0.51</v>
      </c>
      <c r="F2403" s="2">
        <v>0.98</v>
      </c>
      <c r="G2403" s="7">
        <v>0.5</v>
      </c>
      <c r="H2403" s="9" t="s">
        <v>27</v>
      </c>
      <c r="I2403">
        <v>0.5</v>
      </c>
      <c r="J2403">
        <v>0.28999999999999998</v>
      </c>
      <c r="K2403">
        <v>0.53</v>
      </c>
      <c r="L2403">
        <v>0.67</v>
      </c>
      <c r="M2403">
        <v>0.67</v>
      </c>
      <c r="N2403">
        <v>0.09</v>
      </c>
      <c r="O2403">
        <v>0.8</v>
      </c>
      <c r="P2403">
        <v>0.93</v>
      </c>
      <c r="Q2403">
        <v>0.12</v>
      </c>
      <c r="R2403" s="2">
        <v>0.42</v>
      </c>
      <c r="S2403" t="str">
        <f>IF(Table1[[#This Row],[Years_Experience]]&lt;=5,"Early Career",
IF(Table1[[#This Row],[Years_Experience]]&lt;=15,"Mid Career","Senior Level"))</f>
        <v>Mid Career</v>
      </c>
      <c r="T2403" t="str">
        <f>IF(Table1[[#This Row],[AI_Exposure_Index]]&gt;=0.7,"High Exposure", IF(Table1[[#This Row],[AI_Exposure_Index]]&gt;=0.3,"Medium Exposure","Low Exposure"))</f>
        <v>High Exposure</v>
      </c>
    </row>
    <row r="2404" spans="1:20" x14ac:dyDescent="0.25">
      <c r="A2404" t="s">
        <v>41</v>
      </c>
      <c r="B2404">
        <v>34123</v>
      </c>
      <c r="C2404" s="1">
        <v>16</v>
      </c>
      <c r="D2404" t="s">
        <v>19</v>
      </c>
      <c r="E2404" s="7">
        <v>1.03</v>
      </c>
      <c r="F2404" s="2">
        <v>0.83</v>
      </c>
      <c r="G2404" s="7">
        <v>0.72</v>
      </c>
      <c r="H2404" s="9" t="s">
        <v>20</v>
      </c>
      <c r="I2404">
        <v>0.56999999999999995</v>
      </c>
      <c r="J2404">
        <v>0.36</v>
      </c>
      <c r="K2404">
        <v>0.54</v>
      </c>
      <c r="L2404">
        <v>0.65</v>
      </c>
      <c r="M2404">
        <v>0.64</v>
      </c>
      <c r="N2404">
        <v>0.67</v>
      </c>
      <c r="O2404">
        <v>0.68</v>
      </c>
      <c r="P2404">
        <v>0.11</v>
      </c>
      <c r="Q2404">
        <v>0.19</v>
      </c>
      <c r="R2404" s="2">
        <v>0.63</v>
      </c>
      <c r="S2404" t="str">
        <f>IF(Table1[[#This Row],[Years_Experience]]&lt;=5,"Early Career",
IF(Table1[[#This Row],[Years_Experience]]&lt;=15,"Mid Career","Senior Level"))</f>
        <v>Senior Level</v>
      </c>
      <c r="T2404" t="str">
        <f>IF(Table1[[#This Row],[AI_Exposure_Index]]&gt;=0.7,"High Exposure", IF(Table1[[#This Row],[AI_Exposure_Index]]&gt;=0.3,"Medium Exposure","Low Exposure"))</f>
        <v>High Exposure</v>
      </c>
    </row>
    <row r="2405" spans="1:20" x14ac:dyDescent="0.25">
      <c r="A2405" t="s">
        <v>28</v>
      </c>
      <c r="B2405">
        <v>98384</v>
      </c>
      <c r="C2405" s="1">
        <v>13</v>
      </c>
      <c r="D2405" t="s">
        <v>38</v>
      </c>
      <c r="E2405" s="7">
        <v>0.56999999999999995</v>
      </c>
      <c r="F2405" s="2">
        <v>0.63</v>
      </c>
      <c r="G2405" s="7">
        <v>0.37</v>
      </c>
      <c r="H2405" s="9" t="s">
        <v>27</v>
      </c>
      <c r="I2405">
        <v>0.48</v>
      </c>
      <c r="J2405">
        <v>0.45</v>
      </c>
      <c r="K2405">
        <v>0.75</v>
      </c>
      <c r="L2405">
        <v>0.39</v>
      </c>
      <c r="M2405">
        <v>0.66</v>
      </c>
      <c r="N2405">
        <v>0.7</v>
      </c>
      <c r="O2405">
        <v>0.65</v>
      </c>
      <c r="P2405">
        <v>0.6</v>
      </c>
      <c r="Q2405">
        <v>0.81</v>
      </c>
      <c r="R2405" s="2">
        <v>0.66</v>
      </c>
      <c r="S2405" t="str">
        <f>IF(Table1[[#This Row],[Years_Experience]]&lt;=5,"Early Career",
IF(Table1[[#This Row],[Years_Experience]]&lt;=15,"Mid Career","Senior Level"))</f>
        <v>Mid Career</v>
      </c>
      <c r="T2405" t="str">
        <f>IF(Table1[[#This Row],[AI_Exposure_Index]]&gt;=0.7,"High Exposure", IF(Table1[[#This Row],[AI_Exposure_Index]]&gt;=0.3,"Medium Exposure","Low Exposure"))</f>
        <v>Medium Exposure</v>
      </c>
    </row>
    <row r="2406" spans="1:20" x14ac:dyDescent="0.25">
      <c r="A2406" t="s">
        <v>37</v>
      </c>
      <c r="B2406">
        <v>102433</v>
      </c>
      <c r="C2406" s="1">
        <v>29</v>
      </c>
      <c r="D2406" t="s">
        <v>19</v>
      </c>
      <c r="E2406" s="7">
        <v>0.66</v>
      </c>
      <c r="F2406" s="2">
        <v>0.64</v>
      </c>
      <c r="G2406" s="7">
        <v>0.42</v>
      </c>
      <c r="H2406" s="9" t="s">
        <v>27</v>
      </c>
      <c r="I2406">
        <v>0.33</v>
      </c>
      <c r="J2406">
        <v>0.09</v>
      </c>
      <c r="K2406">
        <v>0.69</v>
      </c>
      <c r="L2406">
        <v>0.6</v>
      </c>
      <c r="M2406">
        <v>0.59</v>
      </c>
      <c r="N2406">
        <v>0.48</v>
      </c>
      <c r="O2406">
        <v>0.54</v>
      </c>
      <c r="P2406">
        <v>0.01</v>
      </c>
      <c r="Q2406">
        <v>0.1</v>
      </c>
      <c r="R2406" s="2">
        <v>0.68</v>
      </c>
      <c r="S2406" t="str">
        <f>IF(Table1[[#This Row],[Years_Experience]]&lt;=5,"Early Career",
IF(Table1[[#This Row],[Years_Experience]]&lt;=15,"Mid Career","Senior Level"))</f>
        <v>Senior Level</v>
      </c>
      <c r="T2406" t="str">
        <f>IF(Table1[[#This Row],[AI_Exposure_Index]]&gt;=0.7,"High Exposure", IF(Table1[[#This Row],[AI_Exposure_Index]]&gt;=0.3,"Medium Exposure","Low Exposure"))</f>
        <v>Medium Exposure</v>
      </c>
    </row>
    <row r="2407" spans="1:20" x14ac:dyDescent="0.25">
      <c r="A2407" t="s">
        <v>44</v>
      </c>
      <c r="B2407">
        <v>127550</v>
      </c>
      <c r="C2407" s="1">
        <v>15</v>
      </c>
      <c r="D2407" t="s">
        <v>38</v>
      </c>
      <c r="E2407" s="7">
        <v>0.83</v>
      </c>
      <c r="F2407" s="2">
        <v>0.11</v>
      </c>
      <c r="G2407" s="7">
        <v>0.4</v>
      </c>
      <c r="H2407" s="9" t="s">
        <v>27</v>
      </c>
      <c r="I2407">
        <v>0.03</v>
      </c>
      <c r="J2407">
        <v>0.41</v>
      </c>
      <c r="K2407">
        <v>0.03</v>
      </c>
      <c r="L2407">
        <v>0</v>
      </c>
      <c r="M2407">
        <v>0.79</v>
      </c>
      <c r="N2407">
        <v>0.31</v>
      </c>
      <c r="O2407">
        <v>0.56999999999999995</v>
      </c>
      <c r="P2407">
        <v>0.3</v>
      </c>
      <c r="Q2407">
        <v>0.93</v>
      </c>
      <c r="R2407" s="2">
        <v>0.73</v>
      </c>
      <c r="S2407" t="str">
        <f>IF(Table1[[#This Row],[Years_Experience]]&lt;=5,"Early Career",
IF(Table1[[#This Row],[Years_Experience]]&lt;=15,"Mid Career","Senior Level"))</f>
        <v>Mid Career</v>
      </c>
      <c r="T2407" t="str">
        <f>IF(Table1[[#This Row],[AI_Exposure_Index]]&gt;=0.7,"High Exposure", IF(Table1[[#This Row],[AI_Exposure_Index]]&gt;=0.3,"Medium Exposure","Low Exposure"))</f>
        <v>Low Exposure</v>
      </c>
    </row>
    <row r="2408" spans="1:20" x14ac:dyDescent="0.25">
      <c r="A2408" t="s">
        <v>26</v>
      </c>
      <c r="B2408">
        <v>76509</v>
      </c>
      <c r="C2408" s="1">
        <v>27</v>
      </c>
      <c r="D2408" t="s">
        <v>19</v>
      </c>
      <c r="E2408" s="7">
        <v>1.08</v>
      </c>
      <c r="F2408" s="2">
        <v>0.26</v>
      </c>
      <c r="G2408" s="7">
        <v>0.52</v>
      </c>
      <c r="H2408" s="9" t="s">
        <v>27</v>
      </c>
      <c r="I2408">
        <v>0.27</v>
      </c>
      <c r="J2408">
        <v>0.69</v>
      </c>
      <c r="K2408">
        <v>0.89</v>
      </c>
      <c r="L2408">
        <v>0.04</v>
      </c>
      <c r="M2408">
        <v>0.42</v>
      </c>
      <c r="N2408">
        <v>0.59</v>
      </c>
      <c r="O2408">
        <v>0.59</v>
      </c>
      <c r="P2408">
        <v>0.02</v>
      </c>
      <c r="Q2408">
        <v>0.21</v>
      </c>
      <c r="R2408" s="2">
        <v>0.06</v>
      </c>
      <c r="S2408" t="str">
        <f>IF(Table1[[#This Row],[Years_Experience]]&lt;=5,"Early Career",
IF(Table1[[#This Row],[Years_Experience]]&lt;=15,"Mid Career","Senior Level"))</f>
        <v>Senior Level</v>
      </c>
      <c r="T2408" t="str">
        <f>IF(Table1[[#This Row],[AI_Exposure_Index]]&gt;=0.7,"High Exposure", IF(Table1[[#This Row],[AI_Exposure_Index]]&gt;=0.3,"Medium Exposure","Low Exposure"))</f>
        <v>Low Exposure</v>
      </c>
    </row>
    <row r="2409" spans="1:20" x14ac:dyDescent="0.25">
      <c r="A2409" t="s">
        <v>28</v>
      </c>
      <c r="B2409">
        <v>141075</v>
      </c>
      <c r="C2409" s="1">
        <v>11</v>
      </c>
      <c r="D2409" t="s">
        <v>25</v>
      </c>
      <c r="E2409" s="7">
        <v>0.66</v>
      </c>
      <c r="F2409" s="2">
        <v>0.65</v>
      </c>
      <c r="G2409" s="7">
        <v>0.43</v>
      </c>
      <c r="H2409" s="9" t="s">
        <v>27</v>
      </c>
      <c r="I2409">
        <v>0.33</v>
      </c>
      <c r="J2409">
        <v>0.82</v>
      </c>
      <c r="K2409">
        <v>0.19</v>
      </c>
      <c r="L2409">
        <v>0.55000000000000004</v>
      </c>
      <c r="M2409">
        <v>0.78</v>
      </c>
      <c r="N2409">
        <v>0.83</v>
      </c>
      <c r="O2409">
        <v>0.67</v>
      </c>
      <c r="P2409">
        <v>0.3</v>
      </c>
      <c r="Q2409">
        <v>0.82</v>
      </c>
      <c r="R2409" s="2">
        <v>0.74</v>
      </c>
      <c r="S2409" t="str">
        <f>IF(Table1[[#This Row],[Years_Experience]]&lt;=5,"Early Career",
IF(Table1[[#This Row],[Years_Experience]]&lt;=15,"Mid Career","Senior Level"))</f>
        <v>Mid Career</v>
      </c>
      <c r="T2409" t="str">
        <f>IF(Table1[[#This Row],[AI_Exposure_Index]]&gt;=0.7,"High Exposure", IF(Table1[[#This Row],[AI_Exposure_Index]]&gt;=0.3,"Medium Exposure","Low Exposure"))</f>
        <v>Medium Exposure</v>
      </c>
    </row>
    <row r="2410" spans="1:20" x14ac:dyDescent="0.25">
      <c r="A2410" t="s">
        <v>31</v>
      </c>
      <c r="B2410">
        <v>35853</v>
      </c>
      <c r="C2410" s="1">
        <v>18</v>
      </c>
      <c r="D2410" t="s">
        <v>19</v>
      </c>
      <c r="E2410" s="7">
        <v>0.54</v>
      </c>
      <c r="F2410" s="2">
        <v>7.0000000000000007E-2</v>
      </c>
      <c r="G2410" s="7">
        <v>0.22</v>
      </c>
      <c r="H2410" s="9" t="s">
        <v>23</v>
      </c>
      <c r="I2410">
        <v>0.94</v>
      </c>
      <c r="J2410">
        <v>0.77</v>
      </c>
      <c r="K2410">
        <v>0.83</v>
      </c>
      <c r="L2410">
        <v>0.54</v>
      </c>
      <c r="M2410">
        <v>0.3</v>
      </c>
      <c r="N2410">
        <v>0.68</v>
      </c>
      <c r="O2410">
        <v>0.71</v>
      </c>
      <c r="P2410">
        <v>0.68</v>
      </c>
      <c r="Q2410">
        <v>0.95</v>
      </c>
      <c r="R2410" s="2">
        <v>0.37</v>
      </c>
      <c r="S2410" t="str">
        <f>IF(Table1[[#This Row],[Years_Experience]]&lt;=5,"Early Career",
IF(Table1[[#This Row],[Years_Experience]]&lt;=15,"Mid Career","Senior Level"))</f>
        <v>Senior Level</v>
      </c>
      <c r="T2410" t="str">
        <f>IF(Table1[[#This Row],[AI_Exposure_Index]]&gt;=0.7,"High Exposure", IF(Table1[[#This Row],[AI_Exposure_Index]]&gt;=0.3,"Medium Exposure","Low Exposure"))</f>
        <v>Low Exposure</v>
      </c>
    </row>
    <row r="2411" spans="1:20" x14ac:dyDescent="0.25">
      <c r="A2411" t="s">
        <v>31</v>
      </c>
      <c r="B2411">
        <v>95311</v>
      </c>
      <c r="C2411" s="1">
        <v>28</v>
      </c>
      <c r="D2411" t="s">
        <v>25</v>
      </c>
      <c r="E2411" s="7">
        <v>0.66</v>
      </c>
      <c r="F2411" s="2">
        <v>0.91</v>
      </c>
      <c r="G2411" s="7">
        <v>0.22</v>
      </c>
      <c r="H2411" s="9" t="s">
        <v>23</v>
      </c>
      <c r="I2411">
        <v>0.87</v>
      </c>
      <c r="J2411">
        <v>0.31</v>
      </c>
      <c r="K2411">
        <v>0.83</v>
      </c>
      <c r="L2411">
        <v>0.33</v>
      </c>
      <c r="M2411">
        <v>0.79</v>
      </c>
      <c r="N2411">
        <v>7.0000000000000007E-2</v>
      </c>
      <c r="O2411">
        <v>0.66</v>
      </c>
      <c r="P2411">
        <v>0.68</v>
      </c>
      <c r="Q2411">
        <v>0.49</v>
      </c>
      <c r="R2411" s="2">
        <v>0.69</v>
      </c>
      <c r="S2411" t="str">
        <f>IF(Table1[[#This Row],[Years_Experience]]&lt;=5,"Early Career",
IF(Table1[[#This Row],[Years_Experience]]&lt;=15,"Mid Career","Senior Level"))</f>
        <v>Senior Level</v>
      </c>
      <c r="T2411" t="str">
        <f>IF(Table1[[#This Row],[AI_Exposure_Index]]&gt;=0.7,"High Exposure", IF(Table1[[#This Row],[AI_Exposure_Index]]&gt;=0.3,"Medium Exposure","Low Exposure"))</f>
        <v>High Exposure</v>
      </c>
    </row>
    <row r="2412" spans="1:20" x14ac:dyDescent="0.25">
      <c r="A2412" t="s">
        <v>35</v>
      </c>
      <c r="B2412">
        <v>145672</v>
      </c>
      <c r="C2412" s="1">
        <v>28</v>
      </c>
      <c r="D2412" t="s">
        <v>25</v>
      </c>
      <c r="E2412" s="7">
        <v>1.46</v>
      </c>
      <c r="F2412" s="2">
        <v>0.73</v>
      </c>
      <c r="G2412" s="7">
        <v>0.48</v>
      </c>
      <c r="H2412" s="9" t="s">
        <v>27</v>
      </c>
      <c r="I2412">
        <v>0.53</v>
      </c>
      <c r="J2412">
        <v>0.26</v>
      </c>
      <c r="K2412">
        <v>0.99</v>
      </c>
      <c r="L2412">
        <v>0.06</v>
      </c>
      <c r="M2412">
        <v>0.36</v>
      </c>
      <c r="N2412">
        <v>0.3</v>
      </c>
      <c r="O2412">
        <v>0.39</v>
      </c>
      <c r="P2412">
        <v>0.92</v>
      </c>
      <c r="Q2412">
        <v>0.37</v>
      </c>
      <c r="R2412" s="2">
        <v>0.92</v>
      </c>
      <c r="S2412" t="str">
        <f>IF(Table1[[#This Row],[Years_Experience]]&lt;=5,"Early Career",
IF(Table1[[#This Row],[Years_Experience]]&lt;=15,"Mid Career","Senior Level"))</f>
        <v>Senior Level</v>
      </c>
      <c r="T2412" t="str">
        <f>IF(Table1[[#This Row],[AI_Exposure_Index]]&gt;=0.7,"High Exposure", IF(Table1[[#This Row],[AI_Exposure_Index]]&gt;=0.3,"Medium Exposure","Low Exposure"))</f>
        <v>High Exposure</v>
      </c>
    </row>
    <row r="2413" spans="1:20" x14ac:dyDescent="0.25">
      <c r="A2413" t="s">
        <v>28</v>
      </c>
      <c r="B2413">
        <v>107045</v>
      </c>
      <c r="C2413" s="1">
        <v>5</v>
      </c>
      <c r="D2413" t="s">
        <v>38</v>
      </c>
      <c r="E2413" s="7">
        <v>1.3</v>
      </c>
      <c r="F2413" s="2">
        <v>0.17</v>
      </c>
      <c r="G2413" s="7">
        <v>0.4</v>
      </c>
      <c r="H2413" s="9" t="s">
        <v>27</v>
      </c>
      <c r="I2413">
        <v>0.09</v>
      </c>
      <c r="J2413">
        <v>0.23</v>
      </c>
      <c r="K2413">
        <v>0.89</v>
      </c>
      <c r="L2413">
        <v>0.28000000000000003</v>
      </c>
      <c r="M2413">
        <v>0.7</v>
      </c>
      <c r="N2413">
        <v>0.4</v>
      </c>
      <c r="O2413">
        <v>0.26</v>
      </c>
      <c r="P2413">
        <v>0.14000000000000001</v>
      </c>
      <c r="Q2413">
        <v>0.97</v>
      </c>
      <c r="R2413" s="2">
        <v>0.52</v>
      </c>
      <c r="S2413" t="str">
        <f>IF(Table1[[#This Row],[Years_Experience]]&lt;=5,"Early Career",
IF(Table1[[#This Row],[Years_Experience]]&lt;=15,"Mid Career","Senior Level"))</f>
        <v>Early Career</v>
      </c>
      <c r="T2413" t="str">
        <f>IF(Table1[[#This Row],[AI_Exposure_Index]]&gt;=0.7,"High Exposure", IF(Table1[[#This Row],[AI_Exposure_Index]]&gt;=0.3,"Medium Exposure","Low Exposure"))</f>
        <v>Low Exposure</v>
      </c>
    </row>
    <row r="2414" spans="1:20" x14ac:dyDescent="0.25">
      <c r="A2414" t="s">
        <v>35</v>
      </c>
      <c r="B2414">
        <v>68211</v>
      </c>
      <c r="C2414" s="1">
        <v>4</v>
      </c>
      <c r="D2414" t="s">
        <v>22</v>
      </c>
      <c r="E2414" s="7">
        <v>0.91</v>
      </c>
      <c r="F2414" s="2">
        <v>0.2</v>
      </c>
      <c r="G2414" s="7">
        <v>0.52</v>
      </c>
      <c r="H2414" s="9" t="s">
        <v>27</v>
      </c>
      <c r="I2414">
        <v>0.18</v>
      </c>
      <c r="J2414">
        <v>0.28000000000000003</v>
      </c>
      <c r="K2414">
        <v>0.78</v>
      </c>
      <c r="L2414">
        <v>0.42</v>
      </c>
      <c r="M2414">
        <v>0</v>
      </c>
      <c r="N2414">
        <v>0.05</v>
      </c>
      <c r="O2414">
        <v>0.44</v>
      </c>
      <c r="P2414">
        <v>0.06</v>
      </c>
      <c r="Q2414">
        <v>0.17</v>
      </c>
      <c r="R2414" s="2">
        <v>0.73</v>
      </c>
      <c r="S2414" t="str">
        <f>IF(Table1[[#This Row],[Years_Experience]]&lt;=5,"Early Career",
IF(Table1[[#This Row],[Years_Experience]]&lt;=15,"Mid Career","Senior Level"))</f>
        <v>Early Career</v>
      </c>
      <c r="T2414" t="str">
        <f>IF(Table1[[#This Row],[AI_Exposure_Index]]&gt;=0.7,"High Exposure", IF(Table1[[#This Row],[AI_Exposure_Index]]&gt;=0.3,"Medium Exposure","Low Exposure"))</f>
        <v>Low Exposure</v>
      </c>
    </row>
    <row r="2415" spans="1:20" x14ac:dyDescent="0.25">
      <c r="A2415" t="s">
        <v>32</v>
      </c>
      <c r="B2415">
        <v>58454</v>
      </c>
      <c r="C2415" s="1">
        <v>29</v>
      </c>
      <c r="D2415" t="s">
        <v>22</v>
      </c>
      <c r="E2415" s="7">
        <v>0.63</v>
      </c>
      <c r="F2415" s="2">
        <v>0.52</v>
      </c>
      <c r="G2415" s="7">
        <v>0.35</v>
      </c>
      <c r="H2415" s="9" t="s">
        <v>27</v>
      </c>
      <c r="I2415">
        <v>0.05</v>
      </c>
      <c r="J2415">
        <v>0.85</v>
      </c>
      <c r="K2415">
        <v>0.95</v>
      </c>
      <c r="L2415">
        <v>0.12</v>
      </c>
      <c r="M2415">
        <v>0.21</v>
      </c>
      <c r="N2415">
        <v>0.09</v>
      </c>
      <c r="O2415">
        <v>0.88</v>
      </c>
      <c r="P2415">
        <v>0.96</v>
      </c>
      <c r="Q2415">
        <v>0.26</v>
      </c>
      <c r="R2415" s="2">
        <v>0.3</v>
      </c>
      <c r="S2415" t="str">
        <f>IF(Table1[[#This Row],[Years_Experience]]&lt;=5,"Early Career",
IF(Table1[[#This Row],[Years_Experience]]&lt;=15,"Mid Career","Senior Level"))</f>
        <v>Senior Level</v>
      </c>
      <c r="T2415" t="str">
        <f>IF(Table1[[#This Row],[AI_Exposure_Index]]&gt;=0.7,"High Exposure", IF(Table1[[#This Row],[AI_Exposure_Index]]&gt;=0.3,"Medium Exposure","Low Exposure"))</f>
        <v>Medium Exposure</v>
      </c>
    </row>
    <row r="2416" spans="1:20" x14ac:dyDescent="0.25">
      <c r="A2416" t="s">
        <v>28</v>
      </c>
      <c r="B2416">
        <v>97855</v>
      </c>
      <c r="C2416" s="1">
        <v>3</v>
      </c>
      <c r="D2416" t="s">
        <v>19</v>
      </c>
      <c r="E2416" s="7">
        <v>0.5</v>
      </c>
      <c r="F2416" s="2">
        <v>0.19</v>
      </c>
      <c r="G2416" s="7">
        <v>0.34</v>
      </c>
      <c r="H2416" s="9" t="s">
        <v>27</v>
      </c>
      <c r="I2416">
        <v>0.62</v>
      </c>
      <c r="J2416">
        <v>0.04</v>
      </c>
      <c r="K2416">
        <v>0.43</v>
      </c>
      <c r="L2416">
        <v>0.5</v>
      </c>
      <c r="M2416">
        <v>0.91</v>
      </c>
      <c r="N2416">
        <v>0.47</v>
      </c>
      <c r="O2416">
        <v>0.14000000000000001</v>
      </c>
      <c r="P2416">
        <v>0.28999999999999998</v>
      </c>
      <c r="Q2416">
        <v>0.67</v>
      </c>
      <c r="R2416" s="2">
        <v>0.11</v>
      </c>
      <c r="S2416" t="str">
        <f>IF(Table1[[#This Row],[Years_Experience]]&lt;=5,"Early Career",
IF(Table1[[#This Row],[Years_Experience]]&lt;=15,"Mid Career","Senior Level"))</f>
        <v>Early Career</v>
      </c>
      <c r="T2416" t="str">
        <f>IF(Table1[[#This Row],[AI_Exposure_Index]]&gt;=0.7,"High Exposure", IF(Table1[[#This Row],[AI_Exposure_Index]]&gt;=0.3,"Medium Exposure","Low Exposure"))</f>
        <v>Low Exposure</v>
      </c>
    </row>
    <row r="2417" spans="1:20" x14ac:dyDescent="0.25">
      <c r="A2417" t="s">
        <v>24</v>
      </c>
      <c r="B2417">
        <v>127891</v>
      </c>
      <c r="C2417" s="1">
        <v>23</v>
      </c>
      <c r="D2417" t="s">
        <v>22</v>
      </c>
      <c r="E2417" s="7">
        <v>0.51</v>
      </c>
      <c r="F2417" s="2">
        <v>1</v>
      </c>
      <c r="G2417" s="7">
        <v>0.74</v>
      </c>
      <c r="H2417" s="9" t="s">
        <v>20</v>
      </c>
      <c r="I2417">
        <v>0.84</v>
      </c>
      <c r="J2417">
        <v>0.1</v>
      </c>
      <c r="K2417">
        <v>0.03</v>
      </c>
      <c r="L2417">
        <v>0.12</v>
      </c>
      <c r="M2417">
        <v>0.69</v>
      </c>
      <c r="N2417">
        <v>0.99</v>
      </c>
      <c r="O2417">
        <v>0.59</v>
      </c>
      <c r="P2417">
        <v>0.12</v>
      </c>
      <c r="Q2417">
        <v>0.18</v>
      </c>
      <c r="R2417" s="2">
        <v>0.54</v>
      </c>
      <c r="S2417" t="str">
        <f>IF(Table1[[#This Row],[Years_Experience]]&lt;=5,"Early Career",
IF(Table1[[#This Row],[Years_Experience]]&lt;=15,"Mid Career","Senior Level"))</f>
        <v>Senior Level</v>
      </c>
      <c r="T2417" t="str">
        <f>IF(Table1[[#This Row],[AI_Exposure_Index]]&gt;=0.7,"High Exposure", IF(Table1[[#This Row],[AI_Exposure_Index]]&gt;=0.3,"Medium Exposure","Low Exposure"))</f>
        <v>High Exposure</v>
      </c>
    </row>
    <row r="2418" spans="1:20" x14ac:dyDescent="0.25">
      <c r="A2418" t="s">
        <v>34</v>
      </c>
      <c r="B2418">
        <v>120094</v>
      </c>
      <c r="C2418" s="1">
        <v>25</v>
      </c>
      <c r="D2418" t="s">
        <v>22</v>
      </c>
      <c r="E2418" s="7">
        <v>1.07</v>
      </c>
      <c r="F2418" s="2">
        <v>0.66</v>
      </c>
      <c r="G2418" s="7">
        <v>0.69</v>
      </c>
      <c r="H2418" s="9" t="s">
        <v>27</v>
      </c>
      <c r="I2418">
        <v>0.2</v>
      </c>
      <c r="J2418">
        <v>0.17</v>
      </c>
      <c r="K2418">
        <v>0.86</v>
      </c>
      <c r="L2418">
        <v>0.28999999999999998</v>
      </c>
      <c r="M2418">
        <v>0.33</v>
      </c>
      <c r="N2418">
        <v>0.55000000000000004</v>
      </c>
      <c r="O2418">
        <v>0.38</v>
      </c>
      <c r="P2418">
        <v>0.28999999999999998</v>
      </c>
      <c r="Q2418">
        <v>0.92</v>
      </c>
      <c r="R2418" s="2">
        <v>0.13</v>
      </c>
      <c r="S2418" t="str">
        <f>IF(Table1[[#This Row],[Years_Experience]]&lt;=5,"Early Career",
IF(Table1[[#This Row],[Years_Experience]]&lt;=15,"Mid Career","Senior Level"))</f>
        <v>Senior Level</v>
      </c>
      <c r="T2418" t="str">
        <f>IF(Table1[[#This Row],[AI_Exposure_Index]]&gt;=0.7,"High Exposure", IF(Table1[[#This Row],[AI_Exposure_Index]]&gt;=0.3,"Medium Exposure","Low Exposure"))</f>
        <v>Medium Exposure</v>
      </c>
    </row>
    <row r="2419" spans="1:20" x14ac:dyDescent="0.25">
      <c r="A2419" t="s">
        <v>24</v>
      </c>
      <c r="B2419">
        <v>130621</v>
      </c>
      <c r="C2419" s="1">
        <v>21</v>
      </c>
      <c r="D2419" t="s">
        <v>25</v>
      </c>
      <c r="E2419" s="7">
        <v>1.31</v>
      </c>
      <c r="F2419" s="2">
        <v>0</v>
      </c>
      <c r="G2419" s="7">
        <v>0.74</v>
      </c>
      <c r="H2419" s="9" t="s">
        <v>20</v>
      </c>
      <c r="I2419">
        <v>0.77</v>
      </c>
      <c r="J2419">
        <v>0.15</v>
      </c>
      <c r="K2419">
        <v>0.42</v>
      </c>
      <c r="L2419">
        <v>0.73</v>
      </c>
      <c r="M2419">
        <v>0.27</v>
      </c>
      <c r="N2419">
        <v>0.31</v>
      </c>
      <c r="O2419">
        <v>0.67</v>
      </c>
      <c r="P2419">
        <v>0.19</v>
      </c>
      <c r="Q2419">
        <v>0.95</v>
      </c>
      <c r="R2419" s="2">
        <v>0.19</v>
      </c>
      <c r="S2419" t="str">
        <f>IF(Table1[[#This Row],[Years_Experience]]&lt;=5,"Early Career",
IF(Table1[[#This Row],[Years_Experience]]&lt;=15,"Mid Career","Senior Level"))</f>
        <v>Senior Level</v>
      </c>
      <c r="T2419" t="str">
        <f>IF(Table1[[#This Row],[AI_Exposure_Index]]&gt;=0.7,"High Exposure", IF(Table1[[#This Row],[AI_Exposure_Index]]&gt;=0.3,"Medium Exposure","Low Exposure"))</f>
        <v>Low Exposure</v>
      </c>
    </row>
    <row r="2420" spans="1:20" x14ac:dyDescent="0.25">
      <c r="A2420" t="s">
        <v>30</v>
      </c>
      <c r="B2420">
        <v>141579</v>
      </c>
      <c r="C2420" s="1">
        <v>13</v>
      </c>
      <c r="D2420" t="s">
        <v>22</v>
      </c>
      <c r="E2420" s="7">
        <v>0.87</v>
      </c>
      <c r="F2420" s="2">
        <v>0.8</v>
      </c>
      <c r="G2420" s="7">
        <v>0.36</v>
      </c>
      <c r="H2420" s="9" t="s">
        <v>27</v>
      </c>
      <c r="I2420">
        <v>0.17</v>
      </c>
      <c r="J2420">
        <v>0.99</v>
      </c>
      <c r="K2420">
        <v>0.73</v>
      </c>
      <c r="L2420">
        <v>0.45</v>
      </c>
      <c r="M2420">
        <v>0.26</v>
      </c>
      <c r="N2420">
        <v>0.02</v>
      </c>
      <c r="O2420">
        <v>0.67</v>
      </c>
      <c r="P2420">
        <v>0.96</v>
      </c>
      <c r="Q2420">
        <v>0.11</v>
      </c>
      <c r="R2420" s="2">
        <v>0.75</v>
      </c>
      <c r="S2420" t="str">
        <f>IF(Table1[[#This Row],[Years_Experience]]&lt;=5,"Early Career",
IF(Table1[[#This Row],[Years_Experience]]&lt;=15,"Mid Career","Senior Level"))</f>
        <v>Mid Career</v>
      </c>
      <c r="T2420" t="str">
        <f>IF(Table1[[#This Row],[AI_Exposure_Index]]&gt;=0.7,"High Exposure", IF(Table1[[#This Row],[AI_Exposure_Index]]&gt;=0.3,"Medium Exposure","Low Exposure"))</f>
        <v>High Exposure</v>
      </c>
    </row>
    <row r="2421" spans="1:20" x14ac:dyDescent="0.25">
      <c r="A2421" t="s">
        <v>39</v>
      </c>
      <c r="B2421">
        <v>64907</v>
      </c>
      <c r="C2421" s="1">
        <v>10</v>
      </c>
      <c r="D2421" t="s">
        <v>22</v>
      </c>
      <c r="E2421" s="7">
        <v>0.87</v>
      </c>
      <c r="F2421" s="2">
        <v>0.79</v>
      </c>
      <c r="G2421" s="7">
        <v>0.88</v>
      </c>
      <c r="H2421" s="9" t="s">
        <v>20</v>
      </c>
      <c r="I2421">
        <v>0.93</v>
      </c>
      <c r="J2421">
        <v>0.62</v>
      </c>
      <c r="K2421">
        <v>0.92</v>
      </c>
      <c r="L2421">
        <v>0.24</v>
      </c>
      <c r="M2421">
        <v>0.98</v>
      </c>
      <c r="N2421">
        <v>0.87</v>
      </c>
      <c r="O2421">
        <v>0.11</v>
      </c>
      <c r="P2421">
        <v>0.41</v>
      </c>
      <c r="Q2421">
        <v>0.93</v>
      </c>
      <c r="R2421" s="2">
        <v>0.08</v>
      </c>
      <c r="S2421" t="str">
        <f>IF(Table1[[#This Row],[Years_Experience]]&lt;=5,"Early Career",
IF(Table1[[#This Row],[Years_Experience]]&lt;=15,"Mid Career","Senior Level"))</f>
        <v>Mid Career</v>
      </c>
      <c r="T2421" t="str">
        <f>IF(Table1[[#This Row],[AI_Exposure_Index]]&gt;=0.7,"High Exposure", IF(Table1[[#This Row],[AI_Exposure_Index]]&gt;=0.3,"Medium Exposure","Low Exposure"))</f>
        <v>High Exposure</v>
      </c>
    </row>
    <row r="2422" spans="1:20" x14ac:dyDescent="0.25">
      <c r="A2422" t="s">
        <v>43</v>
      </c>
      <c r="B2422">
        <v>147754</v>
      </c>
      <c r="C2422" s="1">
        <v>11</v>
      </c>
      <c r="D2422" t="s">
        <v>38</v>
      </c>
      <c r="E2422" s="7">
        <v>0.53</v>
      </c>
      <c r="F2422" s="2">
        <v>0.72</v>
      </c>
      <c r="G2422" s="7">
        <v>0.24</v>
      </c>
      <c r="H2422" s="9" t="s">
        <v>23</v>
      </c>
      <c r="I2422">
        <v>0.36</v>
      </c>
      <c r="J2422">
        <v>0.25</v>
      </c>
      <c r="K2422">
        <v>0.57999999999999996</v>
      </c>
      <c r="L2422">
        <v>0.54</v>
      </c>
      <c r="M2422">
        <v>0.87</v>
      </c>
      <c r="N2422">
        <v>0.68</v>
      </c>
      <c r="O2422">
        <v>0.42</v>
      </c>
      <c r="P2422">
        <v>0.65</v>
      </c>
      <c r="Q2422">
        <v>0.75</v>
      </c>
      <c r="R2422" s="2">
        <v>0.94</v>
      </c>
      <c r="S2422" t="str">
        <f>IF(Table1[[#This Row],[Years_Experience]]&lt;=5,"Early Career",
IF(Table1[[#This Row],[Years_Experience]]&lt;=15,"Mid Career","Senior Level"))</f>
        <v>Mid Career</v>
      </c>
      <c r="T2422" t="str">
        <f>IF(Table1[[#This Row],[AI_Exposure_Index]]&gt;=0.7,"High Exposure", IF(Table1[[#This Row],[AI_Exposure_Index]]&gt;=0.3,"Medium Exposure","Low Exposure"))</f>
        <v>High Exposure</v>
      </c>
    </row>
    <row r="2423" spans="1:20" x14ac:dyDescent="0.25">
      <c r="A2423" t="s">
        <v>43</v>
      </c>
      <c r="B2423">
        <v>61937</v>
      </c>
      <c r="C2423" s="1">
        <v>1</v>
      </c>
      <c r="D2423" t="s">
        <v>25</v>
      </c>
      <c r="E2423" s="7">
        <v>0.87</v>
      </c>
      <c r="F2423" s="2">
        <v>0.54</v>
      </c>
      <c r="G2423" s="7">
        <v>0.27</v>
      </c>
      <c r="H2423" s="9" t="s">
        <v>23</v>
      </c>
      <c r="I2423">
        <v>0.79</v>
      </c>
      <c r="J2423">
        <v>0.08</v>
      </c>
      <c r="K2423">
        <v>0.7</v>
      </c>
      <c r="L2423">
        <v>0.54</v>
      </c>
      <c r="M2423">
        <v>0.1</v>
      </c>
      <c r="N2423">
        <v>0.56000000000000005</v>
      </c>
      <c r="O2423">
        <v>0.19</v>
      </c>
      <c r="P2423">
        <v>0.71</v>
      </c>
      <c r="Q2423">
        <v>0.28000000000000003</v>
      </c>
      <c r="R2423" s="2">
        <v>0.15</v>
      </c>
      <c r="S2423" t="str">
        <f>IF(Table1[[#This Row],[Years_Experience]]&lt;=5,"Early Career",
IF(Table1[[#This Row],[Years_Experience]]&lt;=15,"Mid Career","Senior Level"))</f>
        <v>Early Career</v>
      </c>
      <c r="T2423" t="str">
        <f>IF(Table1[[#This Row],[AI_Exposure_Index]]&gt;=0.7,"High Exposure", IF(Table1[[#This Row],[AI_Exposure_Index]]&gt;=0.3,"Medium Exposure","Low Exposure"))</f>
        <v>Medium Exposure</v>
      </c>
    </row>
    <row r="2424" spans="1:20" x14ac:dyDescent="0.25">
      <c r="A2424" t="s">
        <v>36</v>
      </c>
      <c r="B2424">
        <v>41593</v>
      </c>
      <c r="C2424" s="1">
        <v>25</v>
      </c>
      <c r="D2424" t="s">
        <v>38</v>
      </c>
      <c r="E2424" s="7">
        <v>0.7</v>
      </c>
      <c r="F2424" s="2">
        <v>0.49</v>
      </c>
      <c r="G2424" s="7">
        <v>0.64</v>
      </c>
      <c r="H2424" s="9" t="s">
        <v>27</v>
      </c>
      <c r="I2424">
        <v>0</v>
      </c>
      <c r="J2424">
        <v>0.84</v>
      </c>
      <c r="K2424">
        <v>0.52</v>
      </c>
      <c r="L2424">
        <v>0.92</v>
      </c>
      <c r="M2424">
        <v>0.2</v>
      </c>
      <c r="N2424">
        <v>0.1</v>
      </c>
      <c r="O2424">
        <v>0.62</v>
      </c>
      <c r="P2424">
        <v>0.71</v>
      </c>
      <c r="Q2424">
        <v>0.37</v>
      </c>
      <c r="R2424" s="2">
        <v>0.01</v>
      </c>
      <c r="S2424" t="str">
        <f>IF(Table1[[#This Row],[Years_Experience]]&lt;=5,"Early Career",
IF(Table1[[#This Row],[Years_Experience]]&lt;=15,"Mid Career","Senior Level"))</f>
        <v>Senior Level</v>
      </c>
      <c r="T2424" t="str">
        <f>IF(Table1[[#This Row],[AI_Exposure_Index]]&gt;=0.7,"High Exposure", IF(Table1[[#This Row],[AI_Exposure_Index]]&gt;=0.3,"Medium Exposure","Low Exposure"))</f>
        <v>Medium Exposure</v>
      </c>
    </row>
    <row r="2425" spans="1:20" x14ac:dyDescent="0.25">
      <c r="A2425" t="s">
        <v>21</v>
      </c>
      <c r="B2425">
        <v>75337</v>
      </c>
      <c r="C2425" s="1">
        <v>2</v>
      </c>
      <c r="D2425" t="s">
        <v>19</v>
      </c>
      <c r="E2425" s="7">
        <v>0.85</v>
      </c>
      <c r="F2425" s="2">
        <v>0.23</v>
      </c>
      <c r="G2425" s="7">
        <v>0.18</v>
      </c>
      <c r="H2425" s="9" t="s">
        <v>23</v>
      </c>
      <c r="I2425">
        <v>0.7</v>
      </c>
      <c r="J2425">
        <v>0.96</v>
      </c>
      <c r="K2425">
        <v>0.14000000000000001</v>
      </c>
      <c r="L2425">
        <v>0.68</v>
      </c>
      <c r="M2425">
        <v>0.23</v>
      </c>
      <c r="N2425">
        <v>0.22</v>
      </c>
      <c r="O2425">
        <v>0.63</v>
      </c>
      <c r="P2425">
        <v>0.78</v>
      </c>
      <c r="Q2425">
        <v>0.98</v>
      </c>
      <c r="R2425" s="2">
        <v>0.77</v>
      </c>
      <c r="S2425" t="str">
        <f>IF(Table1[[#This Row],[Years_Experience]]&lt;=5,"Early Career",
IF(Table1[[#This Row],[Years_Experience]]&lt;=15,"Mid Career","Senior Level"))</f>
        <v>Early Career</v>
      </c>
      <c r="T2425" t="str">
        <f>IF(Table1[[#This Row],[AI_Exposure_Index]]&gt;=0.7,"High Exposure", IF(Table1[[#This Row],[AI_Exposure_Index]]&gt;=0.3,"Medium Exposure","Low Exposure"))</f>
        <v>Low Exposure</v>
      </c>
    </row>
    <row r="2426" spans="1:20" x14ac:dyDescent="0.25">
      <c r="A2426" t="s">
        <v>30</v>
      </c>
      <c r="B2426">
        <v>147553</v>
      </c>
      <c r="C2426" s="1">
        <v>19</v>
      </c>
      <c r="D2426" t="s">
        <v>25</v>
      </c>
      <c r="E2426" s="7">
        <v>1.26</v>
      </c>
      <c r="F2426" s="2">
        <v>0.23</v>
      </c>
      <c r="G2426" s="7">
        <v>0.51</v>
      </c>
      <c r="H2426" s="9" t="s">
        <v>27</v>
      </c>
      <c r="I2426">
        <v>0.3</v>
      </c>
      <c r="J2426">
        <v>0.47</v>
      </c>
      <c r="K2426">
        <v>0.91</v>
      </c>
      <c r="L2426">
        <v>0.76</v>
      </c>
      <c r="M2426">
        <v>0.45</v>
      </c>
      <c r="N2426">
        <v>0.98</v>
      </c>
      <c r="O2426">
        <v>0.79</v>
      </c>
      <c r="P2426">
        <v>0.01</v>
      </c>
      <c r="Q2426">
        <v>0.11</v>
      </c>
      <c r="R2426" s="2">
        <v>0.55000000000000004</v>
      </c>
      <c r="S2426" t="str">
        <f>IF(Table1[[#This Row],[Years_Experience]]&lt;=5,"Early Career",
IF(Table1[[#This Row],[Years_Experience]]&lt;=15,"Mid Career","Senior Level"))</f>
        <v>Senior Level</v>
      </c>
      <c r="T2426" t="str">
        <f>IF(Table1[[#This Row],[AI_Exposure_Index]]&gt;=0.7,"High Exposure", IF(Table1[[#This Row],[AI_Exposure_Index]]&gt;=0.3,"Medium Exposure","Low Exposure"))</f>
        <v>Low Exposure</v>
      </c>
    </row>
    <row r="2427" spans="1:20" x14ac:dyDescent="0.25">
      <c r="A2427" t="s">
        <v>34</v>
      </c>
      <c r="B2427">
        <v>69114</v>
      </c>
      <c r="C2427" s="1">
        <v>24</v>
      </c>
      <c r="D2427" t="s">
        <v>19</v>
      </c>
      <c r="E2427" s="7">
        <v>1.4</v>
      </c>
      <c r="F2427" s="2">
        <v>0.81</v>
      </c>
      <c r="G2427" s="7">
        <v>0.4</v>
      </c>
      <c r="H2427" s="9" t="s">
        <v>27</v>
      </c>
      <c r="I2427">
        <v>0.76</v>
      </c>
      <c r="J2427">
        <v>0.54</v>
      </c>
      <c r="K2427">
        <v>0.39</v>
      </c>
      <c r="L2427">
        <v>0.79</v>
      </c>
      <c r="M2427">
        <v>0.56000000000000005</v>
      </c>
      <c r="N2427">
        <v>0.64</v>
      </c>
      <c r="O2427">
        <v>0.06</v>
      </c>
      <c r="P2427">
        <v>0.59</v>
      </c>
      <c r="Q2427">
        <v>0.3</v>
      </c>
      <c r="R2427" s="2">
        <v>0.49</v>
      </c>
      <c r="S2427" t="str">
        <f>IF(Table1[[#This Row],[Years_Experience]]&lt;=5,"Early Career",
IF(Table1[[#This Row],[Years_Experience]]&lt;=15,"Mid Career","Senior Level"))</f>
        <v>Senior Level</v>
      </c>
      <c r="T2427" t="str">
        <f>IF(Table1[[#This Row],[AI_Exposure_Index]]&gt;=0.7,"High Exposure", IF(Table1[[#This Row],[AI_Exposure_Index]]&gt;=0.3,"Medium Exposure","Low Exposure"))</f>
        <v>High Exposure</v>
      </c>
    </row>
    <row r="2428" spans="1:20" x14ac:dyDescent="0.25">
      <c r="A2428" t="s">
        <v>42</v>
      </c>
      <c r="B2428">
        <v>142467</v>
      </c>
      <c r="C2428" s="1">
        <v>3</v>
      </c>
      <c r="D2428" t="s">
        <v>19</v>
      </c>
      <c r="E2428" s="7">
        <v>0.65</v>
      </c>
      <c r="F2428" s="2">
        <v>0.61</v>
      </c>
      <c r="G2428" s="7">
        <v>0.35</v>
      </c>
      <c r="H2428" s="9" t="s">
        <v>27</v>
      </c>
      <c r="I2428">
        <v>0.19</v>
      </c>
      <c r="J2428">
        <v>0.82</v>
      </c>
      <c r="K2428">
        <v>0.03</v>
      </c>
      <c r="L2428">
        <v>0.73</v>
      </c>
      <c r="M2428">
        <v>0.06</v>
      </c>
      <c r="N2428">
        <v>0.59</v>
      </c>
      <c r="O2428">
        <v>0.77</v>
      </c>
      <c r="P2428">
        <v>0.23</v>
      </c>
      <c r="Q2428">
        <v>0.2</v>
      </c>
      <c r="R2428" s="2">
        <v>0.28999999999999998</v>
      </c>
      <c r="S2428" t="str">
        <f>IF(Table1[[#This Row],[Years_Experience]]&lt;=5,"Early Career",
IF(Table1[[#This Row],[Years_Experience]]&lt;=15,"Mid Career","Senior Level"))</f>
        <v>Early Career</v>
      </c>
      <c r="T2428" t="str">
        <f>IF(Table1[[#This Row],[AI_Exposure_Index]]&gt;=0.7,"High Exposure", IF(Table1[[#This Row],[AI_Exposure_Index]]&gt;=0.3,"Medium Exposure","Low Exposure"))</f>
        <v>Medium Exposure</v>
      </c>
    </row>
    <row r="2429" spans="1:20" x14ac:dyDescent="0.25">
      <c r="A2429" t="s">
        <v>41</v>
      </c>
      <c r="B2429">
        <v>95410</v>
      </c>
      <c r="C2429" s="1">
        <v>0</v>
      </c>
      <c r="D2429" t="s">
        <v>25</v>
      </c>
      <c r="E2429" s="7">
        <v>1.23</v>
      </c>
      <c r="F2429" s="2">
        <v>0.49</v>
      </c>
      <c r="G2429" s="7">
        <v>0.82</v>
      </c>
      <c r="H2429" s="9" t="s">
        <v>20</v>
      </c>
      <c r="I2429">
        <v>0.13</v>
      </c>
      <c r="J2429">
        <v>0.44</v>
      </c>
      <c r="K2429">
        <v>0.16</v>
      </c>
      <c r="L2429">
        <v>0.75</v>
      </c>
      <c r="M2429">
        <v>0.17</v>
      </c>
      <c r="N2429">
        <v>0.48</v>
      </c>
      <c r="O2429">
        <v>0.69</v>
      </c>
      <c r="P2429">
        <v>0.23</v>
      </c>
      <c r="Q2429">
        <v>0.08</v>
      </c>
      <c r="R2429" s="2">
        <v>0.56000000000000005</v>
      </c>
      <c r="S2429" t="str">
        <f>IF(Table1[[#This Row],[Years_Experience]]&lt;=5,"Early Career",
IF(Table1[[#This Row],[Years_Experience]]&lt;=15,"Mid Career","Senior Level"))</f>
        <v>Early Career</v>
      </c>
      <c r="T2429" t="str">
        <f>IF(Table1[[#This Row],[AI_Exposure_Index]]&gt;=0.7,"High Exposure", IF(Table1[[#This Row],[AI_Exposure_Index]]&gt;=0.3,"Medium Exposure","Low Exposure"))</f>
        <v>Medium Exposure</v>
      </c>
    </row>
    <row r="2430" spans="1:20" x14ac:dyDescent="0.25">
      <c r="A2430" t="s">
        <v>43</v>
      </c>
      <c r="B2430">
        <v>44802</v>
      </c>
      <c r="C2430" s="1">
        <v>16</v>
      </c>
      <c r="D2430" t="s">
        <v>22</v>
      </c>
      <c r="E2430" s="7">
        <v>1.25</v>
      </c>
      <c r="F2430" s="2">
        <v>0.59</v>
      </c>
      <c r="G2430" s="7">
        <v>0.13</v>
      </c>
      <c r="H2430" s="9" t="s">
        <v>23</v>
      </c>
      <c r="I2430">
        <v>0.49</v>
      </c>
      <c r="J2430">
        <v>0.93</v>
      </c>
      <c r="K2430">
        <v>0.47</v>
      </c>
      <c r="L2430">
        <v>1</v>
      </c>
      <c r="M2430">
        <v>0.16</v>
      </c>
      <c r="N2430">
        <v>0.71</v>
      </c>
      <c r="O2430">
        <v>0.65</v>
      </c>
      <c r="P2430">
        <v>0.87</v>
      </c>
      <c r="Q2430">
        <v>0.09</v>
      </c>
      <c r="R2430" s="2">
        <v>0.28000000000000003</v>
      </c>
      <c r="S2430" t="str">
        <f>IF(Table1[[#This Row],[Years_Experience]]&lt;=5,"Early Career",
IF(Table1[[#This Row],[Years_Experience]]&lt;=15,"Mid Career","Senior Level"))</f>
        <v>Senior Level</v>
      </c>
      <c r="T2430" t="str">
        <f>IF(Table1[[#This Row],[AI_Exposure_Index]]&gt;=0.7,"High Exposure", IF(Table1[[#This Row],[AI_Exposure_Index]]&gt;=0.3,"Medium Exposure","Low Exposure"))</f>
        <v>Medium Exposure</v>
      </c>
    </row>
    <row r="2431" spans="1:20" x14ac:dyDescent="0.25">
      <c r="A2431" t="s">
        <v>44</v>
      </c>
      <c r="B2431">
        <v>62611</v>
      </c>
      <c r="C2431" s="1">
        <v>3</v>
      </c>
      <c r="D2431" t="s">
        <v>22</v>
      </c>
      <c r="E2431" s="7">
        <v>0.93</v>
      </c>
      <c r="F2431" s="2">
        <v>0.93</v>
      </c>
      <c r="G2431" s="7">
        <v>0.66</v>
      </c>
      <c r="H2431" s="9" t="s">
        <v>27</v>
      </c>
      <c r="I2431">
        <v>0.28999999999999998</v>
      </c>
      <c r="J2431">
        <v>0.13</v>
      </c>
      <c r="K2431">
        <v>0.3</v>
      </c>
      <c r="L2431">
        <v>0.6</v>
      </c>
      <c r="M2431">
        <v>0.85</v>
      </c>
      <c r="N2431">
        <v>0.39</v>
      </c>
      <c r="O2431">
        <v>0.91</v>
      </c>
      <c r="P2431">
        <v>0.24</v>
      </c>
      <c r="Q2431">
        <v>0.69</v>
      </c>
      <c r="R2431" s="2">
        <v>0.74</v>
      </c>
      <c r="S2431" t="str">
        <f>IF(Table1[[#This Row],[Years_Experience]]&lt;=5,"Early Career",
IF(Table1[[#This Row],[Years_Experience]]&lt;=15,"Mid Career","Senior Level"))</f>
        <v>Early Career</v>
      </c>
      <c r="T2431" t="str">
        <f>IF(Table1[[#This Row],[AI_Exposure_Index]]&gt;=0.7,"High Exposure", IF(Table1[[#This Row],[AI_Exposure_Index]]&gt;=0.3,"Medium Exposure","Low Exposure"))</f>
        <v>High Exposure</v>
      </c>
    </row>
    <row r="2432" spans="1:20" x14ac:dyDescent="0.25">
      <c r="A2432" t="s">
        <v>24</v>
      </c>
      <c r="B2432">
        <v>58419</v>
      </c>
      <c r="C2432" s="1">
        <v>26</v>
      </c>
      <c r="D2432" t="s">
        <v>22</v>
      </c>
      <c r="E2432" s="7">
        <v>0.87</v>
      </c>
      <c r="F2432" s="2">
        <v>0.03</v>
      </c>
      <c r="G2432" s="7">
        <v>0.71</v>
      </c>
      <c r="H2432" s="9" t="s">
        <v>20</v>
      </c>
      <c r="I2432">
        <v>0.9</v>
      </c>
      <c r="J2432">
        <v>0.95</v>
      </c>
      <c r="K2432">
        <v>0.74</v>
      </c>
      <c r="L2432">
        <v>0.73</v>
      </c>
      <c r="M2432">
        <v>0.24</v>
      </c>
      <c r="N2432">
        <v>7.0000000000000007E-2</v>
      </c>
      <c r="O2432">
        <v>0.8</v>
      </c>
      <c r="P2432">
        <v>0.56000000000000005</v>
      </c>
      <c r="Q2432">
        <v>0.68</v>
      </c>
      <c r="R2432" s="2">
        <v>0.78</v>
      </c>
      <c r="S2432" t="str">
        <f>IF(Table1[[#This Row],[Years_Experience]]&lt;=5,"Early Career",
IF(Table1[[#This Row],[Years_Experience]]&lt;=15,"Mid Career","Senior Level"))</f>
        <v>Senior Level</v>
      </c>
      <c r="T2432" t="str">
        <f>IF(Table1[[#This Row],[AI_Exposure_Index]]&gt;=0.7,"High Exposure", IF(Table1[[#This Row],[AI_Exposure_Index]]&gt;=0.3,"Medium Exposure","Low Exposure"))</f>
        <v>Low Exposure</v>
      </c>
    </row>
    <row r="2433" spans="1:20" x14ac:dyDescent="0.25">
      <c r="A2433" t="s">
        <v>28</v>
      </c>
      <c r="B2433">
        <v>74852</v>
      </c>
      <c r="C2433" s="1">
        <v>28</v>
      </c>
      <c r="D2433" t="s">
        <v>38</v>
      </c>
      <c r="E2433" s="7">
        <v>1.3</v>
      </c>
      <c r="F2433" s="2">
        <v>0.14000000000000001</v>
      </c>
      <c r="G2433" s="7">
        <v>0.48</v>
      </c>
      <c r="H2433" s="9" t="s">
        <v>27</v>
      </c>
      <c r="I2433">
        <v>0.83</v>
      </c>
      <c r="J2433">
        <v>0.44</v>
      </c>
      <c r="K2433">
        <v>0.22</v>
      </c>
      <c r="L2433">
        <v>0.17</v>
      </c>
      <c r="M2433">
        <v>0.74</v>
      </c>
      <c r="N2433">
        <v>0.56999999999999995</v>
      </c>
      <c r="O2433">
        <v>0.4</v>
      </c>
      <c r="P2433">
        <v>0.49</v>
      </c>
      <c r="Q2433">
        <v>0.55000000000000004</v>
      </c>
      <c r="R2433" s="2">
        <v>0.24</v>
      </c>
      <c r="S2433" t="str">
        <f>IF(Table1[[#This Row],[Years_Experience]]&lt;=5,"Early Career",
IF(Table1[[#This Row],[Years_Experience]]&lt;=15,"Mid Career","Senior Level"))</f>
        <v>Senior Level</v>
      </c>
      <c r="T2433" t="str">
        <f>IF(Table1[[#This Row],[AI_Exposure_Index]]&gt;=0.7,"High Exposure", IF(Table1[[#This Row],[AI_Exposure_Index]]&gt;=0.3,"Medium Exposure","Low Exposure"))</f>
        <v>Low Exposure</v>
      </c>
    </row>
    <row r="2434" spans="1:20" x14ac:dyDescent="0.25">
      <c r="A2434" t="s">
        <v>34</v>
      </c>
      <c r="B2434">
        <v>125640</v>
      </c>
      <c r="C2434" s="1">
        <v>2</v>
      </c>
      <c r="D2434" t="s">
        <v>25</v>
      </c>
      <c r="E2434" s="7">
        <v>0.89</v>
      </c>
      <c r="F2434" s="2">
        <v>0.28999999999999998</v>
      </c>
      <c r="G2434" s="7">
        <v>0.5</v>
      </c>
      <c r="H2434" s="9" t="s">
        <v>27</v>
      </c>
      <c r="I2434">
        <v>0.17</v>
      </c>
      <c r="J2434">
        <v>0.39</v>
      </c>
      <c r="K2434">
        <v>0.39</v>
      </c>
      <c r="L2434">
        <v>0.28999999999999998</v>
      </c>
      <c r="M2434">
        <v>1</v>
      </c>
      <c r="N2434">
        <v>7.0000000000000007E-2</v>
      </c>
      <c r="O2434">
        <v>0.64</v>
      </c>
      <c r="P2434">
        <v>0.17</v>
      </c>
      <c r="Q2434">
        <v>0.84</v>
      </c>
      <c r="R2434" s="2">
        <v>0.91</v>
      </c>
      <c r="S2434" t="str">
        <f>IF(Table1[[#This Row],[Years_Experience]]&lt;=5,"Early Career",
IF(Table1[[#This Row],[Years_Experience]]&lt;=15,"Mid Career","Senior Level"))</f>
        <v>Early Career</v>
      </c>
      <c r="T2434" t="str">
        <f>IF(Table1[[#This Row],[AI_Exposure_Index]]&gt;=0.7,"High Exposure", IF(Table1[[#This Row],[AI_Exposure_Index]]&gt;=0.3,"Medium Exposure","Low Exposure"))</f>
        <v>Low Exposure</v>
      </c>
    </row>
    <row r="2435" spans="1:20" x14ac:dyDescent="0.25">
      <c r="A2435" t="s">
        <v>18</v>
      </c>
      <c r="B2435">
        <v>112654</v>
      </c>
      <c r="C2435" s="1">
        <v>15</v>
      </c>
      <c r="D2435" t="s">
        <v>25</v>
      </c>
      <c r="E2435" s="7">
        <v>0.75</v>
      </c>
      <c r="F2435" s="2">
        <v>0.82</v>
      </c>
      <c r="G2435" s="7">
        <v>0.74</v>
      </c>
      <c r="H2435" s="9" t="s">
        <v>20</v>
      </c>
      <c r="I2435">
        <v>0.32</v>
      </c>
      <c r="J2435">
        <v>0.34</v>
      </c>
      <c r="K2435">
        <v>0.4</v>
      </c>
      <c r="L2435">
        <v>0.37</v>
      </c>
      <c r="M2435">
        <v>0.41</v>
      </c>
      <c r="N2435">
        <v>0.71</v>
      </c>
      <c r="O2435">
        <v>0.25</v>
      </c>
      <c r="P2435">
        <v>0.02</v>
      </c>
      <c r="Q2435">
        <v>0.49</v>
      </c>
      <c r="R2435" s="2">
        <v>0.45</v>
      </c>
      <c r="S2435" t="str">
        <f>IF(Table1[[#This Row],[Years_Experience]]&lt;=5,"Early Career",
IF(Table1[[#This Row],[Years_Experience]]&lt;=15,"Mid Career","Senior Level"))</f>
        <v>Mid Career</v>
      </c>
      <c r="T2435" t="str">
        <f>IF(Table1[[#This Row],[AI_Exposure_Index]]&gt;=0.7,"High Exposure", IF(Table1[[#This Row],[AI_Exposure_Index]]&gt;=0.3,"Medium Exposure","Low Exposure"))</f>
        <v>High Exposure</v>
      </c>
    </row>
    <row r="2436" spans="1:20" x14ac:dyDescent="0.25">
      <c r="A2436" t="s">
        <v>33</v>
      </c>
      <c r="B2436">
        <v>57476</v>
      </c>
      <c r="C2436" s="1">
        <v>5</v>
      </c>
      <c r="D2436" t="s">
        <v>22</v>
      </c>
      <c r="E2436" s="7">
        <v>1.01</v>
      </c>
      <c r="F2436" s="2">
        <v>0.13</v>
      </c>
      <c r="G2436" s="7">
        <v>0.76</v>
      </c>
      <c r="H2436" s="9" t="s">
        <v>20</v>
      </c>
      <c r="I2436">
        <v>0.88</v>
      </c>
      <c r="J2436">
        <v>0.17</v>
      </c>
      <c r="K2436">
        <v>0.02</v>
      </c>
      <c r="L2436">
        <v>0.45</v>
      </c>
      <c r="M2436">
        <v>0.99</v>
      </c>
      <c r="N2436">
        <v>0.63</v>
      </c>
      <c r="O2436">
        <v>0.35</v>
      </c>
      <c r="P2436">
        <v>0.02</v>
      </c>
      <c r="Q2436">
        <v>0.48</v>
      </c>
      <c r="R2436" s="2">
        <v>0.21</v>
      </c>
      <c r="S2436" t="str">
        <f>IF(Table1[[#This Row],[Years_Experience]]&lt;=5,"Early Career",
IF(Table1[[#This Row],[Years_Experience]]&lt;=15,"Mid Career","Senior Level"))</f>
        <v>Early Career</v>
      </c>
      <c r="T2436" t="str">
        <f>IF(Table1[[#This Row],[AI_Exposure_Index]]&gt;=0.7,"High Exposure", IF(Table1[[#This Row],[AI_Exposure_Index]]&gt;=0.3,"Medium Exposure","Low Exposure"))</f>
        <v>Low Exposure</v>
      </c>
    </row>
    <row r="2437" spans="1:20" x14ac:dyDescent="0.25">
      <c r="A2437" t="s">
        <v>30</v>
      </c>
      <c r="B2437">
        <v>109398</v>
      </c>
      <c r="C2437" s="1">
        <v>18</v>
      </c>
      <c r="D2437" t="s">
        <v>22</v>
      </c>
      <c r="E2437" s="7">
        <v>0.77</v>
      </c>
      <c r="F2437" s="2">
        <v>0.57999999999999996</v>
      </c>
      <c r="G2437" s="7">
        <v>0.33</v>
      </c>
      <c r="H2437" s="9" t="s">
        <v>27</v>
      </c>
      <c r="I2437">
        <v>0.76</v>
      </c>
      <c r="J2437">
        <v>0.59</v>
      </c>
      <c r="K2437">
        <v>0.84</v>
      </c>
      <c r="L2437">
        <v>0.26</v>
      </c>
      <c r="M2437">
        <v>0.65</v>
      </c>
      <c r="N2437">
        <v>0.12</v>
      </c>
      <c r="O2437">
        <v>0.28999999999999998</v>
      </c>
      <c r="P2437">
        <v>0.66</v>
      </c>
      <c r="Q2437">
        <v>0.83</v>
      </c>
      <c r="R2437" s="2">
        <v>0.32</v>
      </c>
      <c r="S2437" t="str">
        <f>IF(Table1[[#This Row],[Years_Experience]]&lt;=5,"Early Career",
IF(Table1[[#This Row],[Years_Experience]]&lt;=15,"Mid Career","Senior Level"))</f>
        <v>Senior Level</v>
      </c>
      <c r="T2437" t="str">
        <f>IF(Table1[[#This Row],[AI_Exposure_Index]]&gt;=0.7,"High Exposure", IF(Table1[[#This Row],[AI_Exposure_Index]]&gt;=0.3,"Medium Exposure","Low Exposure"))</f>
        <v>Medium Exposure</v>
      </c>
    </row>
    <row r="2438" spans="1:20" x14ac:dyDescent="0.25">
      <c r="A2438" t="s">
        <v>41</v>
      </c>
      <c r="B2438">
        <v>139240</v>
      </c>
      <c r="C2438" s="1">
        <v>10</v>
      </c>
      <c r="D2438" t="s">
        <v>22</v>
      </c>
      <c r="E2438" s="7">
        <v>0.85</v>
      </c>
      <c r="F2438" s="2">
        <v>0.68</v>
      </c>
      <c r="G2438" s="7">
        <v>0.92</v>
      </c>
      <c r="H2438" s="9" t="s">
        <v>20</v>
      </c>
      <c r="I2438">
        <v>0.51</v>
      </c>
      <c r="J2438">
        <v>0.65</v>
      </c>
      <c r="K2438">
        <v>0.5</v>
      </c>
      <c r="L2438">
        <v>0.45</v>
      </c>
      <c r="M2438">
        <v>0.85</v>
      </c>
      <c r="N2438">
        <v>0.28999999999999998</v>
      </c>
      <c r="O2438">
        <v>0.04</v>
      </c>
      <c r="P2438">
        <v>0.88</v>
      </c>
      <c r="Q2438">
        <v>0.83</v>
      </c>
      <c r="R2438" s="2">
        <v>0.37</v>
      </c>
      <c r="S2438" t="str">
        <f>IF(Table1[[#This Row],[Years_Experience]]&lt;=5,"Early Career",
IF(Table1[[#This Row],[Years_Experience]]&lt;=15,"Mid Career","Senior Level"))</f>
        <v>Mid Career</v>
      </c>
      <c r="T2438" t="str">
        <f>IF(Table1[[#This Row],[AI_Exposure_Index]]&gt;=0.7,"High Exposure", IF(Table1[[#This Row],[AI_Exposure_Index]]&gt;=0.3,"Medium Exposure","Low Exposure"))</f>
        <v>Medium Exposure</v>
      </c>
    </row>
    <row r="2439" spans="1:20" x14ac:dyDescent="0.25">
      <c r="A2439" t="s">
        <v>36</v>
      </c>
      <c r="B2439">
        <v>143089</v>
      </c>
      <c r="C2439" s="1">
        <v>15</v>
      </c>
      <c r="D2439" t="s">
        <v>38</v>
      </c>
      <c r="E2439" s="7">
        <v>0.57999999999999996</v>
      </c>
      <c r="F2439" s="2">
        <v>0.68</v>
      </c>
      <c r="G2439" s="7">
        <v>0.47</v>
      </c>
      <c r="H2439" s="9" t="s">
        <v>27</v>
      </c>
      <c r="I2439">
        <v>0.09</v>
      </c>
      <c r="J2439">
        <v>0.6</v>
      </c>
      <c r="K2439">
        <v>0.03</v>
      </c>
      <c r="L2439">
        <v>0.63</v>
      </c>
      <c r="M2439">
        <v>0.67</v>
      </c>
      <c r="N2439">
        <v>0.49</v>
      </c>
      <c r="O2439">
        <v>0.18</v>
      </c>
      <c r="P2439">
        <v>0.1</v>
      </c>
      <c r="Q2439">
        <v>0.31</v>
      </c>
      <c r="R2439" s="2">
        <v>0.47</v>
      </c>
      <c r="S2439" t="str">
        <f>IF(Table1[[#This Row],[Years_Experience]]&lt;=5,"Early Career",
IF(Table1[[#This Row],[Years_Experience]]&lt;=15,"Mid Career","Senior Level"))</f>
        <v>Mid Career</v>
      </c>
      <c r="T2439" t="str">
        <f>IF(Table1[[#This Row],[AI_Exposure_Index]]&gt;=0.7,"High Exposure", IF(Table1[[#This Row],[AI_Exposure_Index]]&gt;=0.3,"Medium Exposure","Low Exposure"))</f>
        <v>Medium Exposure</v>
      </c>
    </row>
    <row r="2440" spans="1:20" x14ac:dyDescent="0.25">
      <c r="A2440" t="s">
        <v>36</v>
      </c>
      <c r="B2440">
        <v>145632</v>
      </c>
      <c r="C2440" s="1">
        <v>18</v>
      </c>
      <c r="D2440" t="s">
        <v>22</v>
      </c>
      <c r="E2440" s="7">
        <v>1.21</v>
      </c>
      <c r="F2440" s="2">
        <v>0</v>
      </c>
      <c r="G2440" s="7">
        <v>0.59</v>
      </c>
      <c r="H2440" s="9" t="s">
        <v>27</v>
      </c>
      <c r="I2440">
        <v>0.44</v>
      </c>
      <c r="J2440">
        <v>0.34</v>
      </c>
      <c r="K2440">
        <v>0.84</v>
      </c>
      <c r="L2440">
        <v>0.78</v>
      </c>
      <c r="M2440">
        <v>0.98</v>
      </c>
      <c r="N2440">
        <v>0.37</v>
      </c>
      <c r="O2440">
        <v>0.91</v>
      </c>
      <c r="P2440">
        <v>0.09</v>
      </c>
      <c r="Q2440">
        <v>0.41</v>
      </c>
      <c r="R2440" s="2">
        <v>0.47</v>
      </c>
      <c r="S2440" t="str">
        <f>IF(Table1[[#This Row],[Years_Experience]]&lt;=5,"Early Career",
IF(Table1[[#This Row],[Years_Experience]]&lt;=15,"Mid Career","Senior Level"))</f>
        <v>Senior Level</v>
      </c>
      <c r="T2440" t="str">
        <f>IF(Table1[[#This Row],[AI_Exposure_Index]]&gt;=0.7,"High Exposure", IF(Table1[[#This Row],[AI_Exposure_Index]]&gt;=0.3,"Medium Exposure","Low Exposure"))</f>
        <v>Low Exposure</v>
      </c>
    </row>
    <row r="2441" spans="1:20" x14ac:dyDescent="0.25">
      <c r="A2441" t="s">
        <v>40</v>
      </c>
      <c r="B2441">
        <v>104657</v>
      </c>
      <c r="C2441" s="1">
        <v>5</v>
      </c>
      <c r="D2441" t="s">
        <v>19</v>
      </c>
      <c r="E2441" s="7">
        <v>0.67</v>
      </c>
      <c r="F2441" s="2">
        <v>0.63</v>
      </c>
      <c r="G2441" s="7">
        <v>0.27</v>
      </c>
      <c r="H2441" s="9" t="s">
        <v>23</v>
      </c>
      <c r="I2441">
        <v>0.55000000000000004</v>
      </c>
      <c r="J2441">
        <v>0.9</v>
      </c>
      <c r="K2441">
        <v>0</v>
      </c>
      <c r="L2441">
        <v>0.63</v>
      </c>
      <c r="M2441">
        <v>0.41</v>
      </c>
      <c r="N2441">
        <v>0.51</v>
      </c>
      <c r="O2441">
        <v>0.74</v>
      </c>
      <c r="P2441">
        <v>0.23</v>
      </c>
      <c r="Q2441">
        <v>0.2</v>
      </c>
      <c r="R2441" s="2">
        <v>0.7</v>
      </c>
      <c r="S2441" t="str">
        <f>IF(Table1[[#This Row],[Years_Experience]]&lt;=5,"Early Career",
IF(Table1[[#This Row],[Years_Experience]]&lt;=15,"Mid Career","Senior Level"))</f>
        <v>Early Career</v>
      </c>
      <c r="T2441" t="str">
        <f>IF(Table1[[#This Row],[AI_Exposure_Index]]&gt;=0.7,"High Exposure", IF(Table1[[#This Row],[AI_Exposure_Index]]&gt;=0.3,"Medium Exposure","Low Exposure"))</f>
        <v>Medium Exposure</v>
      </c>
    </row>
    <row r="2442" spans="1:20" x14ac:dyDescent="0.25">
      <c r="A2442" t="s">
        <v>28</v>
      </c>
      <c r="B2442">
        <v>44835</v>
      </c>
      <c r="C2442" s="1">
        <v>8</v>
      </c>
      <c r="D2442" t="s">
        <v>19</v>
      </c>
      <c r="E2442" s="7">
        <v>0.98</v>
      </c>
      <c r="F2442" s="2">
        <v>0.23</v>
      </c>
      <c r="G2442" s="7">
        <v>0.48</v>
      </c>
      <c r="H2442" s="9" t="s">
        <v>27</v>
      </c>
      <c r="I2442">
        <v>0.69</v>
      </c>
      <c r="J2442">
        <v>0</v>
      </c>
      <c r="K2442">
        <v>0.59</v>
      </c>
      <c r="L2442">
        <v>0.61</v>
      </c>
      <c r="M2442">
        <v>0.75</v>
      </c>
      <c r="N2442">
        <v>0.89</v>
      </c>
      <c r="O2442">
        <v>0.44</v>
      </c>
      <c r="P2442">
        <v>0.34</v>
      </c>
      <c r="Q2442">
        <v>0.1</v>
      </c>
      <c r="R2442" s="2">
        <v>0.34</v>
      </c>
      <c r="S2442" t="str">
        <f>IF(Table1[[#This Row],[Years_Experience]]&lt;=5,"Early Career",
IF(Table1[[#This Row],[Years_Experience]]&lt;=15,"Mid Career","Senior Level"))</f>
        <v>Mid Career</v>
      </c>
      <c r="T2442" t="str">
        <f>IF(Table1[[#This Row],[AI_Exposure_Index]]&gt;=0.7,"High Exposure", IF(Table1[[#This Row],[AI_Exposure_Index]]&gt;=0.3,"Medium Exposure","Low Exposure"))</f>
        <v>Low Exposure</v>
      </c>
    </row>
    <row r="2443" spans="1:20" x14ac:dyDescent="0.25">
      <c r="A2443" t="s">
        <v>26</v>
      </c>
      <c r="B2443">
        <v>43830</v>
      </c>
      <c r="C2443" s="1">
        <v>6</v>
      </c>
      <c r="D2443" t="s">
        <v>38</v>
      </c>
      <c r="E2443" s="7">
        <v>1.31</v>
      </c>
      <c r="F2443" s="2">
        <v>0.8</v>
      </c>
      <c r="G2443" s="7">
        <v>0.47</v>
      </c>
      <c r="H2443" s="9" t="s">
        <v>27</v>
      </c>
      <c r="I2443">
        <v>0.26</v>
      </c>
      <c r="J2443">
        <v>0.12</v>
      </c>
      <c r="K2443">
        <v>0.85</v>
      </c>
      <c r="L2443">
        <v>0.88</v>
      </c>
      <c r="M2443">
        <v>0.27</v>
      </c>
      <c r="N2443">
        <v>0.62</v>
      </c>
      <c r="O2443">
        <v>0.26</v>
      </c>
      <c r="P2443">
        <v>0.23</v>
      </c>
      <c r="Q2443">
        <v>0.02</v>
      </c>
      <c r="R2443" s="2">
        <v>0.57999999999999996</v>
      </c>
      <c r="S2443" t="str">
        <f>IF(Table1[[#This Row],[Years_Experience]]&lt;=5,"Early Career",
IF(Table1[[#This Row],[Years_Experience]]&lt;=15,"Mid Career","Senior Level"))</f>
        <v>Mid Career</v>
      </c>
      <c r="T2443" t="str">
        <f>IF(Table1[[#This Row],[AI_Exposure_Index]]&gt;=0.7,"High Exposure", IF(Table1[[#This Row],[AI_Exposure_Index]]&gt;=0.3,"Medium Exposure","Low Exposure"))</f>
        <v>High Exposure</v>
      </c>
    </row>
    <row r="2444" spans="1:20" x14ac:dyDescent="0.25">
      <c r="A2444" t="s">
        <v>24</v>
      </c>
      <c r="B2444">
        <v>67293</v>
      </c>
      <c r="C2444" s="1">
        <v>25</v>
      </c>
      <c r="D2444" t="s">
        <v>19</v>
      </c>
      <c r="E2444" s="7">
        <v>0.6</v>
      </c>
      <c r="F2444" s="2">
        <v>0.01</v>
      </c>
      <c r="G2444" s="7">
        <v>0.78</v>
      </c>
      <c r="H2444" s="9" t="s">
        <v>20</v>
      </c>
      <c r="I2444">
        <v>0.67</v>
      </c>
      <c r="J2444">
        <v>0.2</v>
      </c>
      <c r="K2444">
        <v>0.89</v>
      </c>
      <c r="L2444">
        <v>0.28999999999999998</v>
      </c>
      <c r="M2444">
        <v>0.33</v>
      </c>
      <c r="N2444">
        <v>0.22</v>
      </c>
      <c r="O2444">
        <v>0.25</v>
      </c>
      <c r="P2444">
        <v>7.0000000000000007E-2</v>
      </c>
      <c r="Q2444">
        <v>0.28999999999999998</v>
      </c>
      <c r="R2444" s="2">
        <v>0.86</v>
      </c>
      <c r="S2444" t="str">
        <f>IF(Table1[[#This Row],[Years_Experience]]&lt;=5,"Early Career",
IF(Table1[[#This Row],[Years_Experience]]&lt;=15,"Mid Career","Senior Level"))</f>
        <v>Senior Level</v>
      </c>
      <c r="T2444" t="str">
        <f>IF(Table1[[#This Row],[AI_Exposure_Index]]&gt;=0.7,"High Exposure", IF(Table1[[#This Row],[AI_Exposure_Index]]&gt;=0.3,"Medium Exposure","Low Exposure"))</f>
        <v>Low Exposure</v>
      </c>
    </row>
    <row r="2445" spans="1:20" x14ac:dyDescent="0.25">
      <c r="A2445" t="s">
        <v>29</v>
      </c>
      <c r="B2445">
        <v>68690</v>
      </c>
      <c r="C2445" s="1">
        <v>13</v>
      </c>
      <c r="D2445" t="s">
        <v>38</v>
      </c>
      <c r="E2445" s="7">
        <v>0.6</v>
      </c>
      <c r="F2445" s="2">
        <v>0.88</v>
      </c>
      <c r="G2445" s="7">
        <v>0.16</v>
      </c>
      <c r="H2445" s="9" t="s">
        <v>23</v>
      </c>
      <c r="I2445">
        <v>0.23</v>
      </c>
      <c r="J2445">
        <v>0.72</v>
      </c>
      <c r="K2445">
        <v>0.97</v>
      </c>
      <c r="L2445">
        <v>0.82</v>
      </c>
      <c r="M2445">
        <v>0.04</v>
      </c>
      <c r="N2445">
        <v>0.32</v>
      </c>
      <c r="O2445">
        <v>0.03</v>
      </c>
      <c r="P2445">
        <v>0.04</v>
      </c>
      <c r="Q2445">
        <v>0.08</v>
      </c>
      <c r="R2445" s="2">
        <v>0.28000000000000003</v>
      </c>
      <c r="S2445" t="str">
        <f>IF(Table1[[#This Row],[Years_Experience]]&lt;=5,"Early Career",
IF(Table1[[#This Row],[Years_Experience]]&lt;=15,"Mid Career","Senior Level"))</f>
        <v>Mid Career</v>
      </c>
      <c r="T2445" t="str">
        <f>IF(Table1[[#This Row],[AI_Exposure_Index]]&gt;=0.7,"High Exposure", IF(Table1[[#This Row],[AI_Exposure_Index]]&gt;=0.3,"Medium Exposure","Low Exposure"))</f>
        <v>High Exposure</v>
      </c>
    </row>
    <row r="2446" spans="1:20" x14ac:dyDescent="0.25">
      <c r="A2446" t="s">
        <v>29</v>
      </c>
      <c r="B2446">
        <v>45234</v>
      </c>
      <c r="C2446" s="1">
        <v>1</v>
      </c>
      <c r="D2446" t="s">
        <v>19</v>
      </c>
      <c r="E2446" s="7">
        <v>0.9</v>
      </c>
      <c r="F2446" s="2">
        <v>0.4</v>
      </c>
      <c r="G2446" s="7">
        <v>0.24</v>
      </c>
      <c r="H2446" s="9" t="s">
        <v>23</v>
      </c>
      <c r="I2446">
        <v>0.14000000000000001</v>
      </c>
      <c r="J2446">
        <v>0.16</v>
      </c>
      <c r="K2446">
        <v>0.63</v>
      </c>
      <c r="L2446">
        <v>0.56999999999999995</v>
      </c>
      <c r="M2446">
        <v>0.15</v>
      </c>
      <c r="N2446">
        <v>0.85</v>
      </c>
      <c r="O2446">
        <v>0.33</v>
      </c>
      <c r="P2446">
        <v>0.37</v>
      </c>
      <c r="Q2446">
        <v>0.42</v>
      </c>
      <c r="R2446" s="2">
        <v>0.32</v>
      </c>
      <c r="S2446" t="str">
        <f>IF(Table1[[#This Row],[Years_Experience]]&lt;=5,"Early Career",
IF(Table1[[#This Row],[Years_Experience]]&lt;=15,"Mid Career","Senior Level"))</f>
        <v>Early Career</v>
      </c>
      <c r="T2446" t="str">
        <f>IF(Table1[[#This Row],[AI_Exposure_Index]]&gt;=0.7,"High Exposure", IF(Table1[[#This Row],[AI_Exposure_Index]]&gt;=0.3,"Medium Exposure","Low Exposure"))</f>
        <v>Medium Exposure</v>
      </c>
    </row>
    <row r="2447" spans="1:20" x14ac:dyDescent="0.25">
      <c r="A2447" t="s">
        <v>28</v>
      </c>
      <c r="B2447">
        <v>120052</v>
      </c>
      <c r="C2447" s="1">
        <v>3</v>
      </c>
      <c r="D2447" t="s">
        <v>38</v>
      </c>
      <c r="E2447" s="7">
        <v>0.76</v>
      </c>
      <c r="F2447" s="2">
        <v>0.39</v>
      </c>
      <c r="G2447" s="7">
        <v>0.66</v>
      </c>
      <c r="H2447" s="9" t="s">
        <v>27</v>
      </c>
      <c r="I2447">
        <v>0.31</v>
      </c>
      <c r="J2447">
        <v>0.7</v>
      </c>
      <c r="K2447">
        <v>0.35</v>
      </c>
      <c r="L2447">
        <v>0.44</v>
      </c>
      <c r="M2447">
        <v>0.24</v>
      </c>
      <c r="N2447">
        <v>0.75</v>
      </c>
      <c r="O2447">
        <v>0.74</v>
      </c>
      <c r="P2447">
        <v>0.02</v>
      </c>
      <c r="Q2447">
        <v>0.06</v>
      </c>
      <c r="R2447" s="2">
        <v>0.92</v>
      </c>
      <c r="S2447" t="str">
        <f>IF(Table1[[#This Row],[Years_Experience]]&lt;=5,"Early Career",
IF(Table1[[#This Row],[Years_Experience]]&lt;=15,"Mid Career","Senior Level"))</f>
        <v>Early Career</v>
      </c>
      <c r="T2447" t="str">
        <f>IF(Table1[[#This Row],[AI_Exposure_Index]]&gt;=0.7,"High Exposure", IF(Table1[[#This Row],[AI_Exposure_Index]]&gt;=0.3,"Medium Exposure","Low Exposure"))</f>
        <v>Medium Exposure</v>
      </c>
    </row>
    <row r="2448" spans="1:20" x14ac:dyDescent="0.25">
      <c r="A2448" t="s">
        <v>36</v>
      </c>
      <c r="B2448">
        <v>40270</v>
      </c>
      <c r="C2448" s="1">
        <v>19</v>
      </c>
      <c r="D2448" t="s">
        <v>25</v>
      </c>
      <c r="E2448" s="7">
        <v>0.99</v>
      </c>
      <c r="F2448" s="2">
        <v>0.51</v>
      </c>
      <c r="G2448" s="7">
        <v>0.62</v>
      </c>
      <c r="H2448" s="9" t="s">
        <v>27</v>
      </c>
      <c r="I2448">
        <v>0.14000000000000001</v>
      </c>
      <c r="J2448">
        <v>0.65</v>
      </c>
      <c r="K2448">
        <v>0.48</v>
      </c>
      <c r="L2448">
        <v>0.74</v>
      </c>
      <c r="M2448">
        <v>0.03</v>
      </c>
      <c r="N2448">
        <v>0.59</v>
      </c>
      <c r="O2448">
        <v>0.56000000000000005</v>
      </c>
      <c r="P2448">
        <v>0.84</v>
      </c>
      <c r="Q2448">
        <v>0.68</v>
      </c>
      <c r="R2448" s="2">
        <v>0.88</v>
      </c>
      <c r="S2448" t="str">
        <f>IF(Table1[[#This Row],[Years_Experience]]&lt;=5,"Early Career",
IF(Table1[[#This Row],[Years_Experience]]&lt;=15,"Mid Career","Senior Level"))</f>
        <v>Senior Level</v>
      </c>
      <c r="T2448" t="str">
        <f>IF(Table1[[#This Row],[AI_Exposure_Index]]&gt;=0.7,"High Exposure", IF(Table1[[#This Row],[AI_Exposure_Index]]&gt;=0.3,"Medium Exposure","Low Exposure"))</f>
        <v>Medium Exposure</v>
      </c>
    </row>
    <row r="2449" spans="1:20" x14ac:dyDescent="0.25">
      <c r="A2449" t="s">
        <v>37</v>
      </c>
      <c r="B2449">
        <v>52562</v>
      </c>
      <c r="C2449" s="1">
        <v>3</v>
      </c>
      <c r="D2449" t="s">
        <v>22</v>
      </c>
      <c r="E2449" s="7">
        <v>0.64</v>
      </c>
      <c r="F2449" s="2">
        <v>0.41</v>
      </c>
      <c r="G2449" s="7">
        <v>0.55000000000000004</v>
      </c>
      <c r="H2449" s="9" t="s">
        <v>27</v>
      </c>
      <c r="I2449">
        <v>0.87</v>
      </c>
      <c r="J2449">
        <v>7.0000000000000007E-2</v>
      </c>
      <c r="K2449">
        <v>0.56000000000000005</v>
      </c>
      <c r="L2449">
        <v>0.11</v>
      </c>
      <c r="M2449">
        <v>0.03</v>
      </c>
      <c r="N2449">
        <v>0.68</v>
      </c>
      <c r="O2449">
        <v>0.68</v>
      </c>
      <c r="P2449">
        <v>0.6</v>
      </c>
      <c r="Q2449">
        <v>0.86</v>
      </c>
      <c r="R2449" s="2">
        <v>0.08</v>
      </c>
      <c r="S2449" t="str">
        <f>IF(Table1[[#This Row],[Years_Experience]]&lt;=5,"Early Career",
IF(Table1[[#This Row],[Years_Experience]]&lt;=15,"Mid Career","Senior Level"))</f>
        <v>Early Career</v>
      </c>
      <c r="T2449" t="str">
        <f>IF(Table1[[#This Row],[AI_Exposure_Index]]&gt;=0.7,"High Exposure", IF(Table1[[#This Row],[AI_Exposure_Index]]&gt;=0.3,"Medium Exposure","Low Exposure"))</f>
        <v>Medium Exposure</v>
      </c>
    </row>
    <row r="2450" spans="1:20" x14ac:dyDescent="0.25">
      <c r="A2450" t="s">
        <v>28</v>
      </c>
      <c r="B2450">
        <v>52065</v>
      </c>
      <c r="C2450" s="1">
        <v>27</v>
      </c>
      <c r="D2450" t="s">
        <v>38</v>
      </c>
      <c r="E2450" s="7">
        <v>1</v>
      </c>
      <c r="F2450" s="2">
        <v>0.86</v>
      </c>
      <c r="G2450" s="7">
        <v>0.41</v>
      </c>
      <c r="H2450" s="9" t="s">
        <v>27</v>
      </c>
      <c r="I2450">
        <v>0.74</v>
      </c>
      <c r="J2450">
        <v>0.89</v>
      </c>
      <c r="K2450">
        <v>0.69</v>
      </c>
      <c r="L2450">
        <v>0.79</v>
      </c>
      <c r="M2450">
        <v>0.28000000000000003</v>
      </c>
      <c r="N2450">
        <v>0.28999999999999998</v>
      </c>
      <c r="O2450">
        <v>0.86</v>
      </c>
      <c r="P2450">
        <v>0.61</v>
      </c>
      <c r="Q2450">
        <v>0.23</v>
      </c>
      <c r="R2450" s="2">
        <v>0.52</v>
      </c>
      <c r="S2450" t="str">
        <f>IF(Table1[[#This Row],[Years_Experience]]&lt;=5,"Early Career",
IF(Table1[[#This Row],[Years_Experience]]&lt;=15,"Mid Career","Senior Level"))</f>
        <v>Senior Level</v>
      </c>
      <c r="T2450" t="str">
        <f>IF(Table1[[#This Row],[AI_Exposure_Index]]&gt;=0.7,"High Exposure", IF(Table1[[#This Row],[AI_Exposure_Index]]&gt;=0.3,"Medium Exposure","Low Exposure"))</f>
        <v>High Exposure</v>
      </c>
    </row>
    <row r="2451" spans="1:20" x14ac:dyDescent="0.25">
      <c r="A2451" t="s">
        <v>35</v>
      </c>
      <c r="B2451">
        <v>66183</v>
      </c>
      <c r="C2451" s="1">
        <v>0</v>
      </c>
      <c r="D2451" t="s">
        <v>25</v>
      </c>
      <c r="E2451" s="7">
        <v>1.1499999999999999</v>
      </c>
      <c r="F2451" s="2">
        <v>0.22</v>
      </c>
      <c r="G2451" s="7">
        <v>0.32</v>
      </c>
      <c r="H2451" s="9" t="s">
        <v>27</v>
      </c>
      <c r="I2451">
        <v>0.3</v>
      </c>
      <c r="J2451">
        <v>0.67</v>
      </c>
      <c r="K2451">
        <v>0.15</v>
      </c>
      <c r="L2451">
        <v>0.22</v>
      </c>
      <c r="M2451">
        <v>0.88</v>
      </c>
      <c r="N2451">
        <v>0.67</v>
      </c>
      <c r="O2451">
        <v>0.5</v>
      </c>
      <c r="P2451">
        <v>0.21</v>
      </c>
      <c r="Q2451">
        <v>0.34</v>
      </c>
      <c r="R2451" s="2">
        <v>0.56999999999999995</v>
      </c>
      <c r="S2451" t="str">
        <f>IF(Table1[[#This Row],[Years_Experience]]&lt;=5,"Early Career",
IF(Table1[[#This Row],[Years_Experience]]&lt;=15,"Mid Career","Senior Level"))</f>
        <v>Early Career</v>
      </c>
      <c r="T2451" t="str">
        <f>IF(Table1[[#This Row],[AI_Exposure_Index]]&gt;=0.7,"High Exposure", IF(Table1[[#This Row],[AI_Exposure_Index]]&gt;=0.3,"Medium Exposure","Low Exposure"))</f>
        <v>Low Exposure</v>
      </c>
    </row>
    <row r="2452" spans="1:20" x14ac:dyDescent="0.25">
      <c r="A2452" t="s">
        <v>32</v>
      </c>
      <c r="B2452">
        <v>67098</v>
      </c>
      <c r="C2452" s="1">
        <v>17</v>
      </c>
      <c r="D2452" t="s">
        <v>19</v>
      </c>
      <c r="E2452" s="7">
        <v>0.91</v>
      </c>
      <c r="F2452" s="2">
        <v>0.48</v>
      </c>
      <c r="G2452" s="7">
        <v>0.49</v>
      </c>
      <c r="H2452" s="9" t="s">
        <v>27</v>
      </c>
      <c r="I2452">
        <v>0.11</v>
      </c>
      <c r="J2452">
        <v>0.11</v>
      </c>
      <c r="K2452">
        <v>0.96</v>
      </c>
      <c r="L2452">
        <v>0.98</v>
      </c>
      <c r="M2452">
        <v>0.43</v>
      </c>
      <c r="N2452">
        <v>0.79</v>
      </c>
      <c r="O2452">
        <v>0.66</v>
      </c>
      <c r="P2452">
        <v>0.12</v>
      </c>
      <c r="Q2452">
        <v>0.3</v>
      </c>
      <c r="R2452" s="2">
        <v>0.31</v>
      </c>
      <c r="S2452" t="str">
        <f>IF(Table1[[#This Row],[Years_Experience]]&lt;=5,"Early Career",
IF(Table1[[#This Row],[Years_Experience]]&lt;=15,"Mid Career","Senior Level"))</f>
        <v>Senior Level</v>
      </c>
      <c r="T2452" t="str">
        <f>IF(Table1[[#This Row],[AI_Exposure_Index]]&gt;=0.7,"High Exposure", IF(Table1[[#This Row],[AI_Exposure_Index]]&gt;=0.3,"Medium Exposure","Low Exposure"))</f>
        <v>Medium Exposure</v>
      </c>
    </row>
    <row r="2453" spans="1:20" x14ac:dyDescent="0.25">
      <c r="A2453" t="s">
        <v>24</v>
      </c>
      <c r="B2453">
        <v>74143</v>
      </c>
      <c r="C2453" s="1">
        <v>7</v>
      </c>
      <c r="D2453" t="s">
        <v>25</v>
      </c>
      <c r="E2453" s="7">
        <v>1.42</v>
      </c>
      <c r="F2453" s="2">
        <v>0.57999999999999996</v>
      </c>
      <c r="G2453" s="7">
        <v>0.9</v>
      </c>
      <c r="H2453" s="9" t="s">
        <v>20</v>
      </c>
      <c r="I2453">
        <v>0.86</v>
      </c>
      <c r="J2453">
        <v>0.89</v>
      </c>
      <c r="K2453">
        <v>0.8</v>
      </c>
      <c r="L2453">
        <v>0.33</v>
      </c>
      <c r="M2453">
        <v>0.22</v>
      </c>
      <c r="N2453">
        <v>0.56999999999999995</v>
      </c>
      <c r="O2453">
        <v>0.69</v>
      </c>
      <c r="P2453">
        <v>0.39</v>
      </c>
      <c r="Q2453">
        <v>0.85</v>
      </c>
      <c r="R2453" s="2">
        <v>0.96</v>
      </c>
      <c r="S2453" t="str">
        <f>IF(Table1[[#This Row],[Years_Experience]]&lt;=5,"Early Career",
IF(Table1[[#This Row],[Years_Experience]]&lt;=15,"Mid Career","Senior Level"))</f>
        <v>Mid Career</v>
      </c>
      <c r="T2453" t="str">
        <f>IF(Table1[[#This Row],[AI_Exposure_Index]]&gt;=0.7,"High Exposure", IF(Table1[[#This Row],[AI_Exposure_Index]]&gt;=0.3,"Medium Exposure","Low Exposure"))</f>
        <v>Medium Exposure</v>
      </c>
    </row>
    <row r="2454" spans="1:20" x14ac:dyDescent="0.25">
      <c r="A2454" t="s">
        <v>29</v>
      </c>
      <c r="B2454">
        <v>149245</v>
      </c>
      <c r="C2454" s="1">
        <v>11</v>
      </c>
      <c r="D2454" t="s">
        <v>19</v>
      </c>
      <c r="E2454" s="7">
        <v>1.3</v>
      </c>
      <c r="F2454" s="2">
        <v>0.21</v>
      </c>
      <c r="G2454" s="7">
        <v>0.16</v>
      </c>
      <c r="H2454" s="9" t="s">
        <v>23</v>
      </c>
      <c r="I2454">
        <v>0.18</v>
      </c>
      <c r="J2454">
        <v>0.66</v>
      </c>
      <c r="K2454">
        <v>0.6</v>
      </c>
      <c r="L2454">
        <v>0.17</v>
      </c>
      <c r="M2454">
        <v>0.87</v>
      </c>
      <c r="N2454">
        <v>0.85</v>
      </c>
      <c r="O2454">
        <v>0.84</v>
      </c>
      <c r="P2454">
        <v>0.4</v>
      </c>
      <c r="Q2454">
        <v>0.82</v>
      </c>
      <c r="R2454" s="2">
        <v>0.84</v>
      </c>
      <c r="S2454" t="str">
        <f>IF(Table1[[#This Row],[Years_Experience]]&lt;=5,"Early Career",
IF(Table1[[#This Row],[Years_Experience]]&lt;=15,"Mid Career","Senior Level"))</f>
        <v>Mid Career</v>
      </c>
      <c r="T2454" t="str">
        <f>IF(Table1[[#This Row],[AI_Exposure_Index]]&gt;=0.7,"High Exposure", IF(Table1[[#This Row],[AI_Exposure_Index]]&gt;=0.3,"Medium Exposure","Low Exposure"))</f>
        <v>Low Exposure</v>
      </c>
    </row>
    <row r="2455" spans="1:20" x14ac:dyDescent="0.25">
      <c r="A2455" t="s">
        <v>18</v>
      </c>
      <c r="B2455">
        <v>112802</v>
      </c>
      <c r="C2455" s="1">
        <v>7</v>
      </c>
      <c r="D2455" t="s">
        <v>38</v>
      </c>
      <c r="E2455" s="7">
        <v>0.88</v>
      </c>
      <c r="F2455" s="2">
        <v>0.96</v>
      </c>
      <c r="G2455" s="7">
        <v>0.75</v>
      </c>
      <c r="H2455" s="9" t="s">
        <v>20</v>
      </c>
      <c r="I2455">
        <v>0.28999999999999998</v>
      </c>
      <c r="J2455">
        <v>0.49</v>
      </c>
      <c r="K2455">
        <v>0.81</v>
      </c>
      <c r="L2455">
        <v>0.72</v>
      </c>
      <c r="M2455">
        <v>0.79</v>
      </c>
      <c r="N2455">
        <v>0.38</v>
      </c>
      <c r="O2455">
        <v>0.25</v>
      </c>
      <c r="P2455">
        <v>0.02</v>
      </c>
      <c r="Q2455">
        <v>0.63</v>
      </c>
      <c r="R2455" s="2">
        <v>0.8</v>
      </c>
      <c r="S2455" t="str">
        <f>IF(Table1[[#This Row],[Years_Experience]]&lt;=5,"Early Career",
IF(Table1[[#This Row],[Years_Experience]]&lt;=15,"Mid Career","Senior Level"))</f>
        <v>Mid Career</v>
      </c>
      <c r="T2455" t="str">
        <f>IF(Table1[[#This Row],[AI_Exposure_Index]]&gt;=0.7,"High Exposure", IF(Table1[[#This Row],[AI_Exposure_Index]]&gt;=0.3,"Medium Exposure","Low Exposure"))</f>
        <v>High Exposure</v>
      </c>
    </row>
    <row r="2456" spans="1:20" x14ac:dyDescent="0.25">
      <c r="A2456" t="s">
        <v>31</v>
      </c>
      <c r="B2456">
        <v>76611</v>
      </c>
      <c r="C2456" s="1">
        <v>8</v>
      </c>
      <c r="D2456" t="s">
        <v>25</v>
      </c>
      <c r="E2456" s="7">
        <v>1.43</v>
      </c>
      <c r="F2456" s="2">
        <v>0.48</v>
      </c>
      <c r="G2456" s="7">
        <v>0.1</v>
      </c>
      <c r="H2456" s="9" t="s">
        <v>23</v>
      </c>
      <c r="I2456">
        <v>0.51</v>
      </c>
      <c r="J2456">
        <v>0.21</v>
      </c>
      <c r="K2456">
        <v>0.19</v>
      </c>
      <c r="L2456">
        <v>0.95</v>
      </c>
      <c r="M2456">
        <v>0.82</v>
      </c>
      <c r="N2456">
        <v>0.01</v>
      </c>
      <c r="O2456">
        <v>0.27</v>
      </c>
      <c r="P2456">
        <v>0.21</v>
      </c>
      <c r="Q2456">
        <v>0.15</v>
      </c>
      <c r="R2456" s="2">
        <v>0.7</v>
      </c>
      <c r="S2456" t="str">
        <f>IF(Table1[[#This Row],[Years_Experience]]&lt;=5,"Early Career",
IF(Table1[[#This Row],[Years_Experience]]&lt;=15,"Mid Career","Senior Level"))</f>
        <v>Mid Career</v>
      </c>
      <c r="T2456" t="str">
        <f>IF(Table1[[#This Row],[AI_Exposure_Index]]&gt;=0.7,"High Exposure", IF(Table1[[#This Row],[AI_Exposure_Index]]&gt;=0.3,"Medium Exposure","Low Exposure"))</f>
        <v>Medium Exposure</v>
      </c>
    </row>
    <row r="2457" spans="1:20" x14ac:dyDescent="0.25">
      <c r="A2457" t="s">
        <v>31</v>
      </c>
      <c r="B2457">
        <v>48609</v>
      </c>
      <c r="C2457" s="1">
        <v>0</v>
      </c>
      <c r="D2457" t="s">
        <v>22</v>
      </c>
      <c r="E2457" s="7">
        <v>0.69</v>
      </c>
      <c r="F2457" s="2">
        <v>0.45</v>
      </c>
      <c r="G2457" s="7">
        <v>0.12</v>
      </c>
      <c r="H2457" s="9" t="s">
        <v>23</v>
      </c>
      <c r="I2457">
        <v>0.36</v>
      </c>
      <c r="J2457">
        <v>0.79</v>
      </c>
      <c r="K2457">
        <v>0.99</v>
      </c>
      <c r="L2457">
        <v>0.18</v>
      </c>
      <c r="M2457">
        <v>0.34</v>
      </c>
      <c r="N2457">
        <v>0.28000000000000003</v>
      </c>
      <c r="O2457">
        <v>0.04</v>
      </c>
      <c r="P2457">
        <v>0.22</v>
      </c>
      <c r="Q2457">
        <v>0.9</v>
      </c>
      <c r="R2457" s="2">
        <v>0.84</v>
      </c>
      <c r="S2457" t="str">
        <f>IF(Table1[[#This Row],[Years_Experience]]&lt;=5,"Early Career",
IF(Table1[[#This Row],[Years_Experience]]&lt;=15,"Mid Career","Senior Level"))</f>
        <v>Early Career</v>
      </c>
      <c r="T2457" t="str">
        <f>IF(Table1[[#This Row],[AI_Exposure_Index]]&gt;=0.7,"High Exposure", IF(Table1[[#This Row],[AI_Exposure_Index]]&gt;=0.3,"Medium Exposure","Low Exposure"))</f>
        <v>Medium Exposure</v>
      </c>
    </row>
    <row r="2458" spans="1:20" x14ac:dyDescent="0.25">
      <c r="A2458" t="s">
        <v>28</v>
      </c>
      <c r="B2458">
        <v>138629</v>
      </c>
      <c r="C2458" s="1">
        <v>15</v>
      </c>
      <c r="D2458" t="s">
        <v>22</v>
      </c>
      <c r="E2458" s="7">
        <v>0.81</v>
      </c>
      <c r="F2458" s="2">
        <v>0.37</v>
      </c>
      <c r="G2458" s="7">
        <v>0.36</v>
      </c>
      <c r="H2458" s="9" t="s">
        <v>27</v>
      </c>
      <c r="I2458">
        <v>0.62</v>
      </c>
      <c r="J2458">
        <v>0.56000000000000005</v>
      </c>
      <c r="K2458">
        <v>0.43</v>
      </c>
      <c r="L2458">
        <v>0.86</v>
      </c>
      <c r="M2458">
        <v>0.62</v>
      </c>
      <c r="N2458">
        <v>0.26</v>
      </c>
      <c r="O2458">
        <v>0.37</v>
      </c>
      <c r="P2458">
        <v>0.15</v>
      </c>
      <c r="Q2458">
        <v>0.59</v>
      </c>
      <c r="R2458" s="2">
        <v>0.59</v>
      </c>
      <c r="S2458" t="str">
        <f>IF(Table1[[#This Row],[Years_Experience]]&lt;=5,"Early Career",
IF(Table1[[#This Row],[Years_Experience]]&lt;=15,"Mid Career","Senior Level"))</f>
        <v>Mid Career</v>
      </c>
      <c r="T2458" t="str">
        <f>IF(Table1[[#This Row],[AI_Exposure_Index]]&gt;=0.7,"High Exposure", IF(Table1[[#This Row],[AI_Exposure_Index]]&gt;=0.3,"Medium Exposure","Low Exposure"))</f>
        <v>Medium Exposure</v>
      </c>
    </row>
    <row r="2459" spans="1:20" x14ac:dyDescent="0.25">
      <c r="A2459" t="s">
        <v>28</v>
      </c>
      <c r="B2459">
        <v>53481</v>
      </c>
      <c r="C2459" s="1">
        <v>4</v>
      </c>
      <c r="D2459" t="s">
        <v>38</v>
      </c>
      <c r="E2459" s="7">
        <v>0.7</v>
      </c>
      <c r="F2459" s="2">
        <v>0.2</v>
      </c>
      <c r="G2459" s="7">
        <v>0.35</v>
      </c>
      <c r="H2459" s="9" t="s">
        <v>27</v>
      </c>
      <c r="I2459">
        <v>0.61</v>
      </c>
      <c r="J2459">
        <v>0.69</v>
      </c>
      <c r="K2459">
        <v>0.7</v>
      </c>
      <c r="L2459">
        <v>0.53</v>
      </c>
      <c r="M2459">
        <v>0.95</v>
      </c>
      <c r="N2459">
        <v>0.88</v>
      </c>
      <c r="O2459">
        <v>0.96</v>
      </c>
      <c r="P2459">
        <v>0.39</v>
      </c>
      <c r="Q2459">
        <v>0.88</v>
      </c>
      <c r="R2459" s="2">
        <v>0.76</v>
      </c>
      <c r="S2459" t="str">
        <f>IF(Table1[[#This Row],[Years_Experience]]&lt;=5,"Early Career",
IF(Table1[[#This Row],[Years_Experience]]&lt;=15,"Mid Career","Senior Level"))</f>
        <v>Early Career</v>
      </c>
      <c r="T2459" t="str">
        <f>IF(Table1[[#This Row],[AI_Exposure_Index]]&gt;=0.7,"High Exposure", IF(Table1[[#This Row],[AI_Exposure_Index]]&gt;=0.3,"Medium Exposure","Low Exposure"))</f>
        <v>Low Exposure</v>
      </c>
    </row>
    <row r="2460" spans="1:20" x14ac:dyDescent="0.25">
      <c r="A2460" t="s">
        <v>34</v>
      </c>
      <c r="B2460">
        <v>60412</v>
      </c>
      <c r="C2460" s="1">
        <v>17</v>
      </c>
      <c r="D2460" t="s">
        <v>19</v>
      </c>
      <c r="E2460" s="7">
        <v>1.18</v>
      </c>
      <c r="F2460" s="2">
        <v>0.11</v>
      </c>
      <c r="G2460" s="7">
        <v>0.35</v>
      </c>
      <c r="H2460" s="9" t="s">
        <v>27</v>
      </c>
      <c r="I2460">
        <v>0.28999999999999998</v>
      </c>
      <c r="J2460">
        <v>0.5</v>
      </c>
      <c r="K2460">
        <v>0.68</v>
      </c>
      <c r="L2460">
        <v>0.93</v>
      </c>
      <c r="M2460">
        <v>0.59</v>
      </c>
      <c r="N2460">
        <v>0.67</v>
      </c>
      <c r="O2460">
        <v>0.31</v>
      </c>
      <c r="P2460">
        <v>0.69</v>
      </c>
      <c r="Q2460">
        <v>0.44</v>
      </c>
      <c r="R2460" s="2">
        <v>0.86</v>
      </c>
      <c r="S2460" t="str">
        <f>IF(Table1[[#This Row],[Years_Experience]]&lt;=5,"Early Career",
IF(Table1[[#This Row],[Years_Experience]]&lt;=15,"Mid Career","Senior Level"))</f>
        <v>Senior Level</v>
      </c>
      <c r="T2460" t="str">
        <f>IF(Table1[[#This Row],[AI_Exposure_Index]]&gt;=0.7,"High Exposure", IF(Table1[[#This Row],[AI_Exposure_Index]]&gt;=0.3,"Medium Exposure","Low Exposure"))</f>
        <v>Low Exposure</v>
      </c>
    </row>
    <row r="2461" spans="1:20" x14ac:dyDescent="0.25">
      <c r="A2461" t="s">
        <v>31</v>
      </c>
      <c r="B2461">
        <v>137271</v>
      </c>
      <c r="C2461" s="1">
        <v>4</v>
      </c>
      <c r="D2461" t="s">
        <v>22</v>
      </c>
      <c r="E2461" s="7">
        <v>0.93</v>
      </c>
      <c r="F2461" s="2">
        <v>0.47</v>
      </c>
      <c r="G2461" s="7">
        <v>0.25</v>
      </c>
      <c r="H2461" s="9" t="s">
        <v>23</v>
      </c>
      <c r="I2461">
        <v>0.95</v>
      </c>
      <c r="J2461">
        <v>0.33</v>
      </c>
      <c r="K2461">
        <v>0.48</v>
      </c>
      <c r="L2461">
        <v>0.71</v>
      </c>
      <c r="M2461">
        <v>0.9</v>
      </c>
      <c r="N2461">
        <v>0.49</v>
      </c>
      <c r="O2461">
        <v>0.11</v>
      </c>
      <c r="P2461">
        <v>0.37</v>
      </c>
      <c r="Q2461">
        <v>0.55000000000000004</v>
      </c>
      <c r="R2461" s="2">
        <v>0.42</v>
      </c>
      <c r="S2461" t="str">
        <f>IF(Table1[[#This Row],[Years_Experience]]&lt;=5,"Early Career",
IF(Table1[[#This Row],[Years_Experience]]&lt;=15,"Mid Career","Senior Level"))</f>
        <v>Early Career</v>
      </c>
      <c r="T2461" t="str">
        <f>IF(Table1[[#This Row],[AI_Exposure_Index]]&gt;=0.7,"High Exposure", IF(Table1[[#This Row],[AI_Exposure_Index]]&gt;=0.3,"Medium Exposure","Low Exposure"))</f>
        <v>Medium Exposure</v>
      </c>
    </row>
    <row r="2462" spans="1:20" x14ac:dyDescent="0.25">
      <c r="A2462" t="s">
        <v>43</v>
      </c>
      <c r="B2462">
        <v>37612</v>
      </c>
      <c r="C2462" s="1">
        <v>16</v>
      </c>
      <c r="D2462" t="s">
        <v>25</v>
      </c>
      <c r="E2462" s="7">
        <v>1.19</v>
      </c>
      <c r="F2462" s="2">
        <v>0.04</v>
      </c>
      <c r="G2462" s="7">
        <v>0.3</v>
      </c>
      <c r="H2462" s="9" t="s">
        <v>23</v>
      </c>
      <c r="I2462">
        <v>0.92</v>
      </c>
      <c r="J2462">
        <v>0.68</v>
      </c>
      <c r="K2462">
        <v>0.84</v>
      </c>
      <c r="L2462">
        <v>0.26</v>
      </c>
      <c r="M2462">
        <v>0.62</v>
      </c>
      <c r="N2462">
        <v>0.06</v>
      </c>
      <c r="O2462">
        <v>0.71</v>
      </c>
      <c r="P2462">
        <v>0.97</v>
      </c>
      <c r="Q2462">
        <v>0.86</v>
      </c>
      <c r="R2462" s="2">
        <v>0.53</v>
      </c>
      <c r="S2462" t="str">
        <f>IF(Table1[[#This Row],[Years_Experience]]&lt;=5,"Early Career",
IF(Table1[[#This Row],[Years_Experience]]&lt;=15,"Mid Career","Senior Level"))</f>
        <v>Senior Level</v>
      </c>
      <c r="T2462" t="str">
        <f>IF(Table1[[#This Row],[AI_Exposure_Index]]&gt;=0.7,"High Exposure", IF(Table1[[#This Row],[AI_Exposure_Index]]&gt;=0.3,"Medium Exposure","Low Exposure"))</f>
        <v>Low Exposure</v>
      </c>
    </row>
    <row r="2463" spans="1:20" x14ac:dyDescent="0.25">
      <c r="A2463" t="s">
        <v>34</v>
      </c>
      <c r="B2463">
        <v>87623</v>
      </c>
      <c r="C2463" s="1">
        <v>12</v>
      </c>
      <c r="D2463" t="s">
        <v>25</v>
      </c>
      <c r="E2463" s="7">
        <v>0.72</v>
      </c>
      <c r="F2463" s="2">
        <v>0.94</v>
      </c>
      <c r="G2463" s="7">
        <v>0.62</v>
      </c>
      <c r="H2463" s="9" t="s">
        <v>27</v>
      </c>
      <c r="I2463">
        <v>0.27</v>
      </c>
      <c r="J2463">
        <v>0.88</v>
      </c>
      <c r="K2463">
        <v>0.1</v>
      </c>
      <c r="L2463">
        <v>0.18</v>
      </c>
      <c r="M2463">
        <v>0.72</v>
      </c>
      <c r="N2463">
        <v>0.17</v>
      </c>
      <c r="O2463">
        <v>0.16</v>
      </c>
      <c r="P2463">
        <v>0.56000000000000005</v>
      </c>
      <c r="Q2463">
        <v>0.83</v>
      </c>
      <c r="R2463" s="2">
        <v>0.27</v>
      </c>
      <c r="S2463" t="str">
        <f>IF(Table1[[#This Row],[Years_Experience]]&lt;=5,"Early Career",
IF(Table1[[#This Row],[Years_Experience]]&lt;=15,"Mid Career","Senior Level"))</f>
        <v>Mid Career</v>
      </c>
      <c r="T2463" t="str">
        <f>IF(Table1[[#This Row],[AI_Exposure_Index]]&gt;=0.7,"High Exposure", IF(Table1[[#This Row],[AI_Exposure_Index]]&gt;=0.3,"Medium Exposure","Low Exposure"))</f>
        <v>High Exposure</v>
      </c>
    </row>
    <row r="2464" spans="1:20" x14ac:dyDescent="0.25">
      <c r="A2464" t="s">
        <v>32</v>
      </c>
      <c r="B2464">
        <v>84503</v>
      </c>
      <c r="C2464" s="1">
        <v>2</v>
      </c>
      <c r="D2464" t="s">
        <v>38</v>
      </c>
      <c r="E2464" s="7">
        <v>1.08</v>
      </c>
      <c r="F2464" s="2">
        <v>0.81</v>
      </c>
      <c r="G2464" s="7">
        <v>0.56000000000000005</v>
      </c>
      <c r="H2464" s="9" t="s">
        <v>27</v>
      </c>
      <c r="I2464">
        <v>0.04</v>
      </c>
      <c r="J2464">
        <v>0.37</v>
      </c>
      <c r="K2464">
        <v>0.26</v>
      </c>
      <c r="L2464">
        <v>0.15</v>
      </c>
      <c r="M2464">
        <v>0.39</v>
      </c>
      <c r="N2464">
        <v>0.35</v>
      </c>
      <c r="O2464">
        <v>0.73</v>
      </c>
      <c r="P2464">
        <v>0.6</v>
      </c>
      <c r="Q2464">
        <v>0.91</v>
      </c>
      <c r="R2464" s="2">
        <v>0.15</v>
      </c>
      <c r="S2464" t="str">
        <f>IF(Table1[[#This Row],[Years_Experience]]&lt;=5,"Early Career",
IF(Table1[[#This Row],[Years_Experience]]&lt;=15,"Mid Career","Senior Level"))</f>
        <v>Early Career</v>
      </c>
      <c r="T2464" t="str">
        <f>IF(Table1[[#This Row],[AI_Exposure_Index]]&gt;=0.7,"High Exposure", IF(Table1[[#This Row],[AI_Exposure_Index]]&gt;=0.3,"Medium Exposure","Low Exposure"))</f>
        <v>High Exposure</v>
      </c>
    </row>
    <row r="2465" spans="1:20" x14ac:dyDescent="0.25">
      <c r="A2465" t="s">
        <v>40</v>
      </c>
      <c r="B2465">
        <v>140427</v>
      </c>
      <c r="C2465" s="1">
        <v>23</v>
      </c>
      <c r="D2465" t="s">
        <v>22</v>
      </c>
      <c r="E2465" s="7">
        <v>0.5</v>
      </c>
      <c r="F2465" s="2">
        <v>0.53</v>
      </c>
      <c r="G2465" s="7">
        <v>0.25</v>
      </c>
      <c r="H2465" s="9" t="s">
        <v>23</v>
      </c>
      <c r="I2465">
        <v>0.51</v>
      </c>
      <c r="J2465">
        <v>0.49</v>
      </c>
      <c r="K2465">
        <v>0.36</v>
      </c>
      <c r="L2465">
        <v>0.37</v>
      </c>
      <c r="M2465">
        <v>0.43</v>
      </c>
      <c r="N2465">
        <v>0.02</v>
      </c>
      <c r="O2465">
        <v>0.08</v>
      </c>
      <c r="P2465">
        <v>0.51</v>
      </c>
      <c r="Q2465">
        <v>0.15</v>
      </c>
      <c r="R2465" s="2">
        <v>0.78</v>
      </c>
      <c r="S2465" t="str">
        <f>IF(Table1[[#This Row],[Years_Experience]]&lt;=5,"Early Career",
IF(Table1[[#This Row],[Years_Experience]]&lt;=15,"Mid Career","Senior Level"))</f>
        <v>Senior Level</v>
      </c>
      <c r="T2465" t="str">
        <f>IF(Table1[[#This Row],[AI_Exposure_Index]]&gt;=0.7,"High Exposure", IF(Table1[[#This Row],[AI_Exposure_Index]]&gt;=0.3,"Medium Exposure","Low Exposure"))</f>
        <v>Medium Exposure</v>
      </c>
    </row>
    <row r="2466" spans="1:20" x14ac:dyDescent="0.25">
      <c r="A2466" t="s">
        <v>31</v>
      </c>
      <c r="B2466">
        <v>73281</v>
      </c>
      <c r="C2466" s="1">
        <v>15</v>
      </c>
      <c r="D2466" t="s">
        <v>25</v>
      </c>
      <c r="E2466" s="7">
        <v>0.74</v>
      </c>
      <c r="F2466" s="2">
        <v>0.1</v>
      </c>
      <c r="G2466" s="7">
        <v>0.14000000000000001</v>
      </c>
      <c r="H2466" s="9" t="s">
        <v>23</v>
      </c>
      <c r="I2466">
        <v>0.04</v>
      </c>
      <c r="J2466">
        <v>0.14000000000000001</v>
      </c>
      <c r="K2466">
        <v>0.32</v>
      </c>
      <c r="L2466">
        <v>0.31</v>
      </c>
      <c r="M2466">
        <v>0.8</v>
      </c>
      <c r="N2466">
        <v>0.84</v>
      </c>
      <c r="O2466">
        <v>0.19</v>
      </c>
      <c r="P2466">
        <v>0.12</v>
      </c>
      <c r="Q2466">
        <v>0.63</v>
      </c>
      <c r="R2466" s="2">
        <v>0.8</v>
      </c>
      <c r="S2466" t="str">
        <f>IF(Table1[[#This Row],[Years_Experience]]&lt;=5,"Early Career",
IF(Table1[[#This Row],[Years_Experience]]&lt;=15,"Mid Career","Senior Level"))</f>
        <v>Mid Career</v>
      </c>
      <c r="T2466" t="str">
        <f>IF(Table1[[#This Row],[AI_Exposure_Index]]&gt;=0.7,"High Exposure", IF(Table1[[#This Row],[AI_Exposure_Index]]&gt;=0.3,"Medium Exposure","Low Exposure"))</f>
        <v>Low Exposure</v>
      </c>
    </row>
    <row r="2467" spans="1:20" x14ac:dyDescent="0.25">
      <c r="A2467" t="s">
        <v>32</v>
      </c>
      <c r="B2467">
        <v>66492</v>
      </c>
      <c r="C2467" s="1">
        <v>3</v>
      </c>
      <c r="D2467" t="s">
        <v>25</v>
      </c>
      <c r="E2467" s="7">
        <v>0.91</v>
      </c>
      <c r="F2467" s="2">
        <v>0.01</v>
      </c>
      <c r="G2467" s="7">
        <v>0.59</v>
      </c>
      <c r="H2467" s="9" t="s">
        <v>27</v>
      </c>
      <c r="I2467">
        <v>0.83</v>
      </c>
      <c r="J2467">
        <v>0.06</v>
      </c>
      <c r="K2467">
        <v>0.68</v>
      </c>
      <c r="L2467">
        <v>0.28999999999999998</v>
      </c>
      <c r="M2467">
        <v>7.0000000000000007E-2</v>
      </c>
      <c r="N2467">
        <v>0.49</v>
      </c>
      <c r="O2467">
        <v>0.16</v>
      </c>
      <c r="P2467">
        <v>0.74</v>
      </c>
      <c r="Q2467">
        <v>0.74</v>
      </c>
      <c r="R2467" s="2">
        <v>0.84</v>
      </c>
      <c r="S2467" t="str">
        <f>IF(Table1[[#This Row],[Years_Experience]]&lt;=5,"Early Career",
IF(Table1[[#This Row],[Years_Experience]]&lt;=15,"Mid Career","Senior Level"))</f>
        <v>Early Career</v>
      </c>
      <c r="T2467" t="str">
        <f>IF(Table1[[#This Row],[AI_Exposure_Index]]&gt;=0.7,"High Exposure", IF(Table1[[#This Row],[AI_Exposure_Index]]&gt;=0.3,"Medium Exposure","Low Exposure"))</f>
        <v>Low Exposure</v>
      </c>
    </row>
    <row r="2468" spans="1:20" x14ac:dyDescent="0.25">
      <c r="A2468" t="s">
        <v>36</v>
      </c>
      <c r="B2468">
        <v>52368</v>
      </c>
      <c r="C2468" s="1">
        <v>8</v>
      </c>
      <c r="D2468" t="s">
        <v>22</v>
      </c>
      <c r="E2468" s="7">
        <v>0.76</v>
      </c>
      <c r="F2468" s="2">
        <v>0.01</v>
      </c>
      <c r="G2468" s="7">
        <v>0.49</v>
      </c>
      <c r="H2468" s="9" t="s">
        <v>27</v>
      </c>
      <c r="I2468">
        <v>0.69</v>
      </c>
      <c r="J2468">
        <v>0.38</v>
      </c>
      <c r="K2468">
        <v>0.54</v>
      </c>
      <c r="L2468">
        <v>0.52</v>
      </c>
      <c r="M2468">
        <v>0.16</v>
      </c>
      <c r="N2468">
        <v>0.62</v>
      </c>
      <c r="O2468">
        <v>0.44</v>
      </c>
      <c r="P2468">
        <v>0.81</v>
      </c>
      <c r="Q2468">
        <v>0.69</v>
      </c>
      <c r="R2468" s="2">
        <v>0.11</v>
      </c>
      <c r="S2468" t="str">
        <f>IF(Table1[[#This Row],[Years_Experience]]&lt;=5,"Early Career",
IF(Table1[[#This Row],[Years_Experience]]&lt;=15,"Mid Career","Senior Level"))</f>
        <v>Mid Career</v>
      </c>
      <c r="T2468" t="str">
        <f>IF(Table1[[#This Row],[AI_Exposure_Index]]&gt;=0.7,"High Exposure", IF(Table1[[#This Row],[AI_Exposure_Index]]&gt;=0.3,"Medium Exposure","Low Exposure"))</f>
        <v>Low Exposure</v>
      </c>
    </row>
    <row r="2469" spans="1:20" x14ac:dyDescent="0.25">
      <c r="A2469" t="s">
        <v>18</v>
      </c>
      <c r="B2469">
        <v>113302</v>
      </c>
      <c r="C2469" s="1">
        <v>14</v>
      </c>
      <c r="D2469" t="s">
        <v>19</v>
      </c>
      <c r="E2469" s="7">
        <v>0.59</v>
      </c>
      <c r="F2469" s="2">
        <v>0.7</v>
      </c>
      <c r="G2469" s="7">
        <v>0.9</v>
      </c>
      <c r="H2469" s="9" t="s">
        <v>20</v>
      </c>
      <c r="I2469">
        <v>0.22</v>
      </c>
      <c r="J2469">
        <v>0.5</v>
      </c>
      <c r="K2469">
        <v>0.94</v>
      </c>
      <c r="L2469">
        <v>0.56999999999999995</v>
      </c>
      <c r="M2469">
        <v>0.42</v>
      </c>
      <c r="N2469">
        <v>0.01</v>
      </c>
      <c r="O2469">
        <v>0.13</v>
      </c>
      <c r="P2469">
        <v>0.57999999999999996</v>
      </c>
      <c r="Q2469">
        <v>0.49</v>
      </c>
      <c r="R2469" s="2">
        <v>0.36</v>
      </c>
      <c r="S2469" t="str">
        <f>IF(Table1[[#This Row],[Years_Experience]]&lt;=5,"Early Career",
IF(Table1[[#This Row],[Years_Experience]]&lt;=15,"Mid Career","Senior Level"))</f>
        <v>Mid Career</v>
      </c>
      <c r="T2469" t="str">
        <f>IF(Table1[[#This Row],[AI_Exposure_Index]]&gt;=0.7,"High Exposure", IF(Table1[[#This Row],[AI_Exposure_Index]]&gt;=0.3,"Medium Exposure","Low Exposure"))</f>
        <v>High Exposure</v>
      </c>
    </row>
    <row r="2470" spans="1:20" x14ac:dyDescent="0.25">
      <c r="A2470" t="s">
        <v>42</v>
      </c>
      <c r="B2470">
        <v>80901</v>
      </c>
      <c r="C2470" s="1">
        <v>17</v>
      </c>
      <c r="D2470" t="s">
        <v>19</v>
      </c>
      <c r="E2470" s="7">
        <v>0.62</v>
      </c>
      <c r="F2470" s="2">
        <v>0.77</v>
      </c>
      <c r="G2470" s="7">
        <v>0.57999999999999996</v>
      </c>
      <c r="H2470" s="9" t="s">
        <v>27</v>
      </c>
      <c r="I2470">
        <v>0.91</v>
      </c>
      <c r="J2470">
        <v>0.18</v>
      </c>
      <c r="K2470">
        <v>0.84</v>
      </c>
      <c r="L2470">
        <v>0.12</v>
      </c>
      <c r="M2470">
        <v>0.56999999999999995</v>
      </c>
      <c r="N2470">
        <v>0.34</v>
      </c>
      <c r="O2470">
        <v>0.47</v>
      </c>
      <c r="P2470">
        <v>0.3</v>
      </c>
      <c r="Q2470">
        <v>0.26</v>
      </c>
      <c r="R2470" s="2">
        <v>0.74</v>
      </c>
      <c r="S2470" t="str">
        <f>IF(Table1[[#This Row],[Years_Experience]]&lt;=5,"Early Career",
IF(Table1[[#This Row],[Years_Experience]]&lt;=15,"Mid Career","Senior Level"))</f>
        <v>Senior Level</v>
      </c>
      <c r="T2470" t="str">
        <f>IF(Table1[[#This Row],[AI_Exposure_Index]]&gt;=0.7,"High Exposure", IF(Table1[[#This Row],[AI_Exposure_Index]]&gt;=0.3,"Medium Exposure","Low Exposure"))</f>
        <v>High Exposure</v>
      </c>
    </row>
    <row r="2471" spans="1:20" x14ac:dyDescent="0.25">
      <c r="A2471" t="s">
        <v>34</v>
      </c>
      <c r="B2471">
        <v>68197</v>
      </c>
      <c r="C2471" s="1">
        <v>23</v>
      </c>
      <c r="D2471" t="s">
        <v>25</v>
      </c>
      <c r="E2471" s="7">
        <v>0.89</v>
      </c>
      <c r="F2471" s="2">
        <v>0.87</v>
      </c>
      <c r="G2471" s="7">
        <v>0.62</v>
      </c>
      <c r="H2471" s="9" t="s">
        <v>27</v>
      </c>
      <c r="I2471">
        <v>0.26</v>
      </c>
      <c r="J2471">
        <v>0.66</v>
      </c>
      <c r="K2471">
        <v>0.1</v>
      </c>
      <c r="L2471">
        <v>0.02</v>
      </c>
      <c r="M2471">
        <v>0.1</v>
      </c>
      <c r="N2471">
        <v>0.32</v>
      </c>
      <c r="O2471">
        <v>0.03</v>
      </c>
      <c r="P2471">
        <v>0.63</v>
      </c>
      <c r="Q2471">
        <v>0.32</v>
      </c>
      <c r="R2471" s="2">
        <v>0.74</v>
      </c>
      <c r="S2471" t="str">
        <f>IF(Table1[[#This Row],[Years_Experience]]&lt;=5,"Early Career",
IF(Table1[[#This Row],[Years_Experience]]&lt;=15,"Mid Career","Senior Level"))</f>
        <v>Senior Level</v>
      </c>
      <c r="T2471" t="str">
        <f>IF(Table1[[#This Row],[AI_Exposure_Index]]&gt;=0.7,"High Exposure", IF(Table1[[#This Row],[AI_Exposure_Index]]&gt;=0.3,"Medium Exposure","Low Exposure"))</f>
        <v>High Exposure</v>
      </c>
    </row>
    <row r="2472" spans="1:20" x14ac:dyDescent="0.25">
      <c r="A2472" t="s">
        <v>31</v>
      </c>
      <c r="B2472">
        <v>101721</v>
      </c>
      <c r="C2472" s="1">
        <v>9</v>
      </c>
      <c r="D2472" t="s">
        <v>19</v>
      </c>
      <c r="E2472" s="7">
        <v>0.91</v>
      </c>
      <c r="F2472" s="2">
        <v>0.22</v>
      </c>
      <c r="G2472" s="7">
        <v>0.15</v>
      </c>
      <c r="H2472" s="9" t="s">
        <v>23</v>
      </c>
      <c r="I2472">
        <v>0.13</v>
      </c>
      <c r="J2472">
        <v>0.99</v>
      </c>
      <c r="K2472">
        <v>0.28000000000000003</v>
      </c>
      <c r="L2472">
        <v>0.72</v>
      </c>
      <c r="M2472">
        <v>0.22</v>
      </c>
      <c r="N2472">
        <v>0.88</v>
      </c>
      <c r="O2472">
        <v>0.39</v>
      </c>
      <c r="P2472">
        <v>0.9</v>
      </c>
      <c r="Q2472">
        <v>0.34</v>
      </c>
      <c r="R2472" s="2">
        <v>0.01</v>
      </c>
      <c r="S2472" t="str">
        <f>IF(Table1[[#This Row],[Years_Experience]]&lt;=5,"Early Career",
IF(Table1[[#This Row],[Years_Experience]]&lt;=15,"Mid Career","Senior Level"))</f>
        <v>Mid Career</v>
      </c>
      <c r="T2472" t="str">
        <f>IF(Table1[[#This Row],[AI_Exposure_Index]]&gt;=0.7,"High Exposure", IF(Table1[[#This Row],[AI_Exposure_Index]]&gt;=0.3,"Medium Exposure","Low Exposure"))</f>
        <v>Low Exposure</v>
      </c>
    </row>
    <row r="2473" spans="1:20" x14ac:dyDescent="0.25">
      <c r="A2473" t="s">
        <v>30</v>
      </c>
      <c r="B2473">
        <v>125101</v>
      </c>
      <c r="C2473" s="1">
        <v>12</v>
      </c>
      <c r="D2473" t="s">
        <v>38</v>
      </c>
      <c r="E2473" s="7">
        <v>0.62</v>
      </c>
      <c r="F2473" s="2">
        <v>0.52</v>
      </c>
      <c r="G2473" s="7">
        <v>0.39</v>
      </c>
      <c r="H2473" s="9" t="s">
        <v>27</v>
      </c>
      <c r="I2473">
        <v>0.78</v>
      </c>
      <c r="J2473">
        <v>0.04</v>
      </c>
      <c r="K2473">
        <v>0.49</v>
      </c>
      <c r="L2473">
        <v>0.53</v>
      </c>
      <c r="M2473">
        <v>0.69</v>
      </c>
      <c r="N2473">
        <v>0.04</v>
      </c>
      <c r="O2473">
        <v>0.59</v>
      </c>
      <c r="P2473">
        <v>0</v>
      </c>
      <c r="Q2473">
        <v>0.27</v>
      </c>
      <c r="R2473" s="2">
        <v>0.5</v>
      </c>
      <c r="S2473" t="str">
        <f>IF(Table1[[#This Row],[Years_Experience]]&lt;=5,"Early Career",
IF(Table1[[#This Row],[Years_Experience]]&lt;=15,"Mid Career","Senior Level"))</f>
        <v>Mid Career</v>
      </c>
      <c r="T2473" t="str">
        <f>IF(Table1[[#This Row],[AI_Exposure_Index]]&gt;=0.7,"High Exposure", IF(Table1[[#This Row],[AI_Exposure_Index]]&gt;=0.3,"Medium Exposure","Low Exposure"))</f>
        <v>Medium Exposure</v>
      </c>
    </row>
    <row r="2474" spans="1:20" x14ac:dyDescent="0.25">
      <c r="A2474" t="s">
        <v>18</v>
      </c>
      <c r="B2474">
        <v>143605</v>
      </c>
      <c r="C2474" s="1">
        <v>3</v>
      </c>
      <c r="D2474" t="s">
        <v>19</v>
      </c>
      <c r="E2474" s="7">
        <v>0.67</v>
      </c>
      <c r="F2474" s="2">
        <v>0.13</v>
      </c>
      <c r="G2474" s="7">
        <v>0.87</v>
      </c>
      <c r="H2474" s="9" t="s">
        <v>20</v>
      </c>
      <c r="I2474">
        <v>0.37</v>
      </c>
      <c r="J2474">
        <v>0.62</v>
      </c>
      <c r="K2474">
        <v>1</v>
      </c>
      <c r="L2474">
        <v>0.99</v>
      </c>
      <c r="M2474">
        <v>0.35</v>
      </c>
      <c r="N2474">
        <v>0.5</v>
      </c>
      <c r="O2474">
        <v>0.9</v>
      </c>
      <c r="P2474">
        <v>0.09</v>
      </c>
      <c r="Q2474">
        <v>0.45</v>
      </c>
      <c r="R2474" s="2">
        <v>0.38</v>
      </c>
      <c r="S2474" t="str">
        <f>IF(Table1[[#This Row],[Years_Experience]]&lt;=5,"Early Career",
IF(Table1[[#This Row],[Years_Experience]]&lt;=15,"Mid Career","Senior Level"))</f>
        <v>Early Career</v>
      </c>
      <c r="T2474" t="str">
        <f>IF(Table1[[#This Row],[AI_Exposure_Index]]&gt;=0.7,"High Exposure", IF(Table1[[#This Row],[AI_Exposure_Index]]&gt;=0.3,"Medium Exposure","Low Exposure"))</f>
        <v>Low Exposure</v>
      </c>
    </row>
    <row r="2475" spans="1:20" x14ac:dyDescent="0.25">
      <c r="A2475" t="s">
        <v>28</v>
      </c>
      <c r="B2475">
        <v>124183</v>
      </c>
      <c r="C2475" s="1">
        <v>10</v>
      </c>
      <c r="D2475" t="s">
        <v>22</v>
      </c>
      <c r="E2475" s="7">
        <v>1.23</v>
      </c>
      <c r="F2475" s="2">
        <v>0.99</v>
      </c>
      <c r="G2475" s="7">
        <v>0.46</v>
      </c>
      <c r="H2475" s="9" t="s">
        <v>27</v>
      </c>
      <c r="I2475">
        <v>0.83</v>
      </c>
      <c r="J2475">
        <v>0.49</v>
      </c>
      <c r="K2475">
        <v>0.87</v>
      </c>
      <c r="L2475">
        <v>0.27</v>
      </c>
      <c r="M2475">
        <v>0.22</v>
      </c>
      <c r="N2475">
        <v>0.25</v>
      </c>
      <c r="O2475">
        <v>0.54</v>
      </c>
      <c r="P2475">
        <v>0.28999999999999998</v>
      </c>
      <c r="Q2475">
        <v>0.15</v>
      </c>
      <c r="R2475" s="2">
        <v>0.99</v>
      </c>
      <c r="S2475" t="str">
        <f>IF(Table1[[#This Row],[Years_Experience]]&lt;=5,"Early Career",
IF(Table1[[#This Row],[Years_Experience]]&lt;=15,"Mid Career","Senior Level"))</f>
        <v>Mid Career</v>
      </c>
      <c r="T2475" t="str">
        <f>IF(Table1[[#This Row],[AI_Exposure_Index]]&gt;=0.7,"High Exposure", IF(Table1[[#This Row],[AI_Exposure_Index]]&gt;=0.3,"Medium Exposure","Low Exposure"))</f>
        <v>High Exposure</v>
      </c>
    </row>
    <row r="2476" spans="1:20" x14ac:dyDescent="0.25">
      <c r="A2476" t="s">
        <v>31</v>
      </c>
      <c r="B2476">
        <v>81907</v>
      </c>
      <c r="C2476" s="1">
        <v>12</v>
      </c>
      <c r="D2476" t="s">
        <v>19</v>
      </c>
      <c r="E2476" s="7">
        <v>1.39</v>
      </c>
      <c r="F2476" s="2">
        <v>0.64</v>
      </c>
      <c r="G2476" s="7">
        <v>0.28000000000000003</v>
      </c>
      <c r="H2476" s="9" t="s">
        <v>23</v>
      </c>
      <c r="I2476">
        <v>0.68</v>
      </c>
      <c r="J2476">
        <v>0.52</v>
      </c>
      <c r="K2476">
        <v>0.88</v>
      </c>
      <c r="L2476">
        <v>0.56999999999999995</v>
      </c>
      <c r="M2476">
        <v>0.13</v>
      </c>
      <c r="N2476">
        <v>0.37</v>
      </c>
      <c r="O2476">
        <v>0.45</v>
      </c>
      <c r="P2476">
        <v>0.94</v>
      </c>
      <c r="Q2476">
        <v>0.66</v>
      </c>
      <c r="R2476" s="2">
        <v>0.88</v>
      </c>
      <c r="S2476" t="str">
        <f>IF(Table1[[#This Row],[Years_Experience]]&lt;=5,"Early Career",
IF(Table1[[#This Row],[Years_Experience]]&lt;=15,"Mid Career","Senior Level"))</f>
        <v>Mid Career</v>
      </c>
      <c r="T2476" t="str">
        <f>IF(Table1[[#This Row],[AI_Exposure_Index]]&gt;=0.7,"High Exposure", IF(Table1[[#This Row],[AI_Exposure_Index]]&gt;=0.3,"Medium Exposure","Low Exposure"))</f>
        <v>Medium Exposure</v>
      </c>
    </row>
    <row r="2477" spans="1:20" x14ac:dyDescent="0.25">
      <c r="A2477" t="s">
        <v>26</v>
      </c>
      <c r="B2477">
        <v>130231</v>
      </c>
      <c r="C2477" s="1">
        <v>29</v>
      </c>
      <c r="D2477" t="s">
        <v>25</v>
      </c>
      <c r="E2477" s="7">
        <v>1.22</v>
      </c>
      <c r="F2477" s="2">
        <v>0.31</v>
      </c>
      <c r="G2477" s="7">
        <v>0.38</v>
      </c>
      <c r="H2477" s="9" t="s">
        <v>27</v>
      </c>
      <c r="I2477">
        <v>0.41</v>
      </c>
      <c r="J2477">
        <v>0.81</v>
      </c>
      <c r="K2477">
        <v>0.61</v>
      </c>
      <c r="L2477">
        <v>0.83</v>
      </c>
      <c r="M2477">
        <v>0.25</v>
      </c>
      <c r="N2477">
        <v>0.75</v>
      </c>
      <c r="O2477">
        <v>0.2</v>
      </c>
      <c r="P2477">
        <v>0.55000000000000004</v>
      </c>
      <c r="Q2477">
        <v>0.43</v>
      </c>
      <c r="R2477" s="2">
        <v>0.56000000000000005</v>
      </c>
      <c r="S2477" t="str">
        <f>IF(Table1[[#This Row],[Years_Experience]]&lt;=5,"Early Career",
IF(Table1[[#This Row],[Years_Experience]]&lt;=15,"Mid Career","Senior Level"))</f>
        <v>Senior Level</v>
      </c>
      <c r="T2477" t="str">
        <f>IF(Table1[[#This Row],[AI_Exposure_Index]]&gt;=0.7,"High Exposure", IF(Table1[[#This Row],[AI_Exposure_Index]]&gt;=0.3,"Medium Exposure","Low Exposure"))</f>
        <v>Medium Exposure</v>
      </c>
    </row>
    <row r="2478" spans="1:20" x14ac:dyDescent="0.25">
      <c r="A2478" t="s">
        <v>41</v>
      </c>
      <c r="B2478">
        <v>50893</v>
      </c>
      <c r="C2478" s="1">
        <v>6</v>
      </c>
      <c r="D2478" t="s">
        <v>22</v>
      </c>
      <c r="E2478" s="7">
        <v>1.17</v>
      </c>
      <c r="F2478" s="2">
        <v>0.36</v>
      </c>
      <c r="G2478" s="7">
        <v>0.84</v>
      </c>
      <c r="H2478" s="9" t="s">
        <v>20</v>
      </c>
      <c r="I2478">
        <v>0.55000000000000004</v>
      </c>
      <c r="J2478">
        <v>0.51</v>
      </c>
      <c r="K2478">
        <v>0.94</v>
      </c>
      <c r="L2478">
        <v>0.93</v>
      </c>
      <c r="M2478">
        <v>0.36</v>
      </c>
      <c r="N2478">
        <v>0.35</v>
      </c>
      <c r="O2478">
        <v>0.55000000000000004</v>
      </c>
      <c r="P2478">
        <v>0.1</v>
      </c>
      <c r="Q2478">
        <v>0.3</v>
      </c>
      <c r="R2478" s="2">
        <v>0.23</v>
      </c>
      <c r="S2478" t="str">
        <f>IF(Table1[[#This Row],[Years_Experience]]&lt;=5,"Early Career",
IF(Table1[[#This Row],[Years_Experience]]&lt;=15,"Mid Career","Senior Level"))</f>
        <v>Mid Career</v>
      </c>
      <c r="T2478" t="str">
        <f>IF(Table1[[#This Row],[AI_Exposure_Index]]&gt;=0.7,"High Exposure", IF(Table1[[#This Row],[AI_Exposure_Index]]&gt;=0.3,"Medium Exposure","Low Exposure"))</f>
        <v>Medium Exposure</v>
      </c>
    </row>
    <row r="2479" spans="1:20" x14ac:dyDescent="0.25">
      <c r="A2479" t="s">
        <v>21</v>
      </c>
      <c r="B2479">
        <v>34273</v>
      </c>
      <c r="C2479" s="1">
        <v>13</v>
      </c>
      <c r="D2479" t="s">
        <v>22</v>
      </c>
      <c r="E2479" s="7">
        <v>0.88</v>
      </c>
      <c r="F2479" s="2">
        <v>0.64</v>
      </c>
      <c r="G2479" s="7">
        <v>0.09</v>
      </c>
      <c r="H2479" s="9" t="s">
        <v>23</v>
      </c>
      <c r="I2479">
        <v>0.89</v>
      </c>
      <c r="J2479">
        <v>0.87</v>
      </c>
      <c r="K2479">
        <v>0.86</v>
      </c>
      <c r="L2479">
        <v>0.39</v>
      </c>
      <c r="M2479">
        <v>0.06</v>
      </c>
      <c r="N2479">
        <v>0.11</v>
      </c>
      <c r="O2479">
        <v>0.28000000000000003</v>
      </c>
      <c r="P2479">
        <v>0.22</v>
      </c>
      <c r="Q2479">
        <v>0.87</v>
      </c>
      <c r="R2479" s="2">
        <v>0.99</v>
      </c>
      <c r="S2479" t="str">
        <f>IF(Table1[[#This Row],[Years_Experience]]&lt;=5,"Early Career",
IF(Table1[[#This Row],[Years_Experience]]&lt;=15,"Mid Career","Senior Level"))</f>
        <v>Mid Career</v>
      </c>
      <c r="T2479" t="str">
        <f>IF(Table1[[#This Row],[AI_Exposure_Index]]&gt;=0.7,"High Exposure", IF(Table1[[#This Row],[AI_Exposure_Index]]&gt;=0.3,"Medium Exposure","Low Exposure"))</f>
        <v>Medium Exposure</v>
      </c>
    </row>
    <row r="2480" spans="1:20" x14ac:dyDescent="0.25">
      <c r="A2480" t="s">
        <v>21</v>
      </c>
      <c r="B2480">
        <v>129941</v>
      </c>
      <c r="C2480" s="1">
        <v>0</v>
      </c>
      <c r="D2480" t="s">
        <v>22</v>
      </c>
      <c r="E2480" s="7">
        <v>1.0900000000000001</v>
      </c>
      <c r="F2480" s="2">
        <v>0.73</v>
      </c>
      <c r="G2480" s="7">
        <v>0.24</v>
      </c>
      <c r="H2480" s="9" t="s">
        <v>23</v>
      </c>
      <c r="I2480">
        <v>0.95</v>
      </c>
      <c r="J2480">
        <v>0.6</v>
      </c>
      <c r="K2480">
        <v>0.15</v>
      </c>
      <c r="L2480">
        <v>0.16</v>
      </c>
      <c r="M2480">
        <v>0.57999999999999996</v>
      </c>
      <c r="N2480">
        <v>0.33</v>
      </c>
      <c r="O2480">
        <v>0.91</v>
      </c>
      <c r="P2480">
        <v>0.61</v>
      </c>
      <c r="Q2480">
        <v>0.68</v>
      </c>
      <c r="R2480" s="2">
        <v>0.01</v>
      </c>
      <c r="S2480" t="str">
        <f>IF(Table1[[#This Row],[Years_Experience]]&lt;=5,"Early Career",
IF(Table1[[#This Row],[Years_Experience]]&lt;=15,"Mid Career","Senior Level"))</f>
        <v>Early Career</v>
      </c>
      <c r="T2480" t="str">
        <f>IF(Table1[[#This Row],[AI_Exposure_Index]]&gt;=0.7,"High Exposure", IF(Table1[[#This Row],[AI_Exposure_Index]]&gt;=0.3,"Medium Exposure","Low Exposure"))</f>
        <v>High Exposure</v>
      </c>
    </row>
    <row r="2481" spans="1:20" x14ac:dyDescent="0.25">
      <c r="A2481" t="s">
        <v>41</v>
      </c>
      <c r="B2481">
        <v>65310</v>
      </c>
      <c r="C2481" s="1">
        <v>0</v>
      </c>
      <c r="D2481" t="s">
        <v>25</v>
      </c>
      <c r="E2481" s="7">
        <v>1.21</v>
      </c>
      <c r="F2481" s="2">
        <v>0.43</v>
      </c>
      <c r="G2481" s="7">
        <v>0.8</v>
      </c>
      <c r="H2481" s="9" t="s">
        <v>20</v>
      </c>
      <c r="I2481">
        <v>0.98</v>
      </c>
      <c r="J2481">
        <v>0.67</v>
      </c>
      <c r="K2481">
        <v>0.66</v>
      </c>
      <c r="L2481">
        <v>0.92</v>
      </c>
      <c r="M2481">
        <v>1</v>
      </c>
      <c r="N2481">
        <v>0.2</v>
      </c>
      <c r="O2481">
        <v>0.81</v>
      </c>
      <c r="P2481">
        <v>0.16</v>
      </c>
      <c r="Q2481">
        <v>0.46</v>
      </c>
      <c r="R2481" s="2">
        <v>0.1</v>
      </c>
      <c r="S2481" t="str">
        <f>IF(Table1[[#This Row],[Years_Experience]]&lt;=5,"Early Career",
IF(Table1[[#This Row],[Years_Experience]]&lt;=15,"Mid Career","Senior Level"))</f>
        <v>Early Career</v>
      </c>
      <c r="T2481" t="str">
        <f>IF(Table1[[#This Row],[AI_Exposure_Index]]&gt;=0.7,"High Exposure", IF(Table1[[#This Row],[AI_Exposure_Index]]&gt;=0.3,"Medium Exposure","Low Exposure"))</f>
        <v>Medium Exposure</v>
      </c>
    </row>
    <row r="2482" spans="1:20" x14ac:dyDescent="0.25">
      <c r="A2482" t="s">
        <v>34</v>
      </c>
      <c r="B2482">
        <v>111301</v>
      </c>
      <c r="C2482" s="1">
        <v>15</v>
      </c>
      <c r="D2482" t="s">
        <v>25</v>
      </c>
      <c r="E2482" s="7">
        <v>1.1299999999999999</v>
      </c>
      <c r="F2482" s="2">
        <v>0.47</v>
      </c>
      <c r="G2482" s="7">
        <v>0.56999999999999995</v>
      </c>
      <c r="H2482" s="9" t="s">
        <v>27</v>
      </c>
      <c r="I2482">
        <v>0.62</v>
      </c>
      <c r="J2482">
        <v>0.28999999999999998</v>
      </c>
      <c r="K2482">
        <v>0.84</v>
      </c>
      <c r="L2482">
        <v>0.55000000000000004</v>
      </c>
      <c r="M2482">
        <v>0.49</v>
      </c>
      <c r="N2482">
        <v>0.99</v>
      </c>
      <c r="O2482">
        <v>0.28000000000000003</v>
      </c>
      <c r="P2482">
        <v>0.53</v>
      </c>
      <c r="Q2482">
        <v>0.68</v>
      </c>
      <c r="R2482" s="2">
        <v>0.13</v>
      </c>
      <c r="S2482" t="str">
        <f>IF(Table1[[#This Row],[Years_Experience]]&lt;=5,"Early Career",
IF(Table1[[#This Row],[Years_Experience]]&lt;=15,"Mid Career","Senior Level"))</f>
        <v>Mid Career</v>
      </c>
      <c r="T2482" t="str">
        <f>IF(Table1[[#This Row],[AI_Exposure_Index]]&gt;=0.7,"High Exposure", IF(Table1[[#This Row],[AI_Exposure_Index]]&gt;=0.3,"Medium Exposure","Low Exposure"))</f>
        <v>Medium Exposure</v>
      </c>
    </row>
    <row r="2483" spans="1:20" x14ac:dyDescent="0.25">
      <c r="A2483" t="s">
        <v>37</v>
      </c>
      <c r="B2483">
        <v>125325</v>
      </c>
      <c r="C2483" s="1">
        <v>25</v>
      </c>
      <c r="D2483" t="s">
        <v>22</v>
      </c>
      <c r="E2483" s="7">
        <v>0.74</v>
      </c>
      <c r="F2483" s="2">
        <v>0.8</v>
      </c>
      <c r="G2483" s="7">
        <v>0.5</v>
      </c>
      <c r="H2483" s="9" t="s">
        <v>27</v>
      </c>
      <c r="I2483">
        <v>0.63</v>
      </c>
      <c r="J2483">
        <v>0.67</v>
      </c>
      <c r="K2483">
        <v>0.73</v>
      </c>
      <c r="L2483">
        <v>0.87</v>
      </c>
      <c r="M2483">
        <v>0.39</v>
      </c>
      <c r="N2483">
        <v>0.71</v>
      </c>
      <c r="O2483">
        <v>0.73</v>
      </c>
      <c r="P2483">
        <v>0.3</v>
      </c>
      <c r="Q2483">
        <v>0.97</v>
      </c>
      <c r="R2483" s="2">
        <v>0.87</v>
      </c>
      <c r="S2483" t="str">
        <f>IF(Table1[[#This Row],[Years_Experience]]&lt;=5,"Early Career",
IF(Table1[[#This Row],[Years_Experience]]&lt;=15,"Mid Career","Senior Level"))</f>
        <v>Senior Level</v>
      </c>
      <c r="T2483" t="str">
        <f>IF(Table1[[#This Row],[AI_Exposure_Index]]&gt;=0.7,"High Exposure", IF(Table1[[#This Row],[AI_Exposure_Index]]&gt;=0.3,"Medium Exposure","Low Exposure"))</f>
        <v>High Exposure</v>
      </c>
    </row>
    <row r="2484" spans="1:20" x14ac:dyDescent="0.25">
      <c r="A2484" t="s">
        <v>33</v>
      </c>
      <c r="B2484">
        <v>53070</v>
      </c>
      <c r="C2484" s="1">
        <v>20</v>
      </c>
      <c r="D2484" t="s">
        <v>19</v>
      </c>
      <c r="E2484" s="7">
        <v>1.22</v>
      </c>
      <c r="F2484" s="2">
        <v>0.68</v>
      </c>
      <c r="G2484" s="7">
        <v>0.81</v>
      </c>
      <c r="H2484" s="9" t="s">
        <v>20</v>
      </c>
      <c r="I2484">
        <v>0.86</v>
      </c>
      <c r="J2484">
        <v>0.69</v>
      </c>
      <c r="K2484">
        <v>0.66</v>
      </c>
      <c r="L2484">
        <v>0.22</v>
      </c>
      <c r="M2484">
        <v>0.41</v>
      </c>
      <c r="N2484">
        <v>0.43</v>
      </c>
      <c r="O2484">
        <v>0.73</v>
      </c>
      <c r="P2484">
        <v>0.62</v>
      </c>
      <c r="Q2484">
        <v>0.09</v>
      </c>
      <c r="R2484" s="2">
        <v>0.31</v>
      </c>
      <c r="S2484" t="str">
        <f>IF(Table1[[#This Row],[Years_Experience]]&lt;=5,"Early Career",
IF(Table1[[#This Row],[Years_Experience]]&lt;=15,"Mid Career","Senior Level"))</f>
        <v>Senior Level</v>
      </c>
      <c r="T2484" t="str">
        <f>IF(Table1[[#This Row],[AI_Exposure_Index]]&gt;=0.7,"High Exposure", IF(Table1[[#This Row],[AI_Exposure_Index]]&gt;=0.3,"Medium Exposure","Low Exposure"))</f>
        <v>Medium Exposure</v>
      </c>
    </row>
    <row r="2485" spans="1:20" x14ac:dyDescent="0.25">
      <c r="A2485" t="s">
        <v>31</v>
      </c>
      <c r="B2485">
        <v>137582</v>
      </c>
      <c r="C2485" s="1">
        <v>2</v>
      </c>
      <c r="D2485" t="s">
        <v>25</v>
      </c>
      <c r="E2485" s="7">
        <v>1.24</v>
      </c>
      <c r="F2485" s="2">
        <v>0.74</v>
      </c>
      <c r="G2485" s="7">
        <v>0.17</v>
      </c>
      <c r="H2485" s="9" t="s">
        <v>23</v>
      </c>
      <c r="I2485">
        <v>0.12</v>
      </c>
      <c r="J2485">
        <v>0.28999999999999998</v>
      </c>
      <c r="K2485">
        <v>0.25</v>
      </c>
      <c r="L2485">
        <v>0.78</v>
      </c>
      <c r="M2485">
        <v>0.18</v>
      </c>
      <c r="N2485">
        <v>0.46</v>
      </c>
      <c r="O2485">
        <v>0.67</v>
      </c>
      <c r="P2485">
        <v>0.96</v>
      </c>
      <c r="Q2485">
        <v>1</v>
      </c>
      <c r="R2485" s="2">
        <v>0.95</v>
      </c>
      <c r="S2485" t="str">
        <f>IF(Table1[[#This Row],[Years_Experience]]&lt;=5,"Early Career",
IF(Table1[[#This Row],[Years_Experience]]&lt;=15,"Mid Career","Senior Level"))</f>
        <v>Early Career</v>
      </c>
      <c r="T2485" t="str">
        <f>IF(Table1[[#This Row],[AI_Exposure_Index]]&gt;=0.7,"High Exposure", IF(Table1[[#This Row],[AI_Exposure_Index]]&gt;=0.3,"Medium Exposure","Low Exposure"))</f>
        <v>High Exposure</v>
      </c>
    </row>
    <row r="2486" spans="1:20" x14ac:dyDescent="0.25">
      <c r="A2486" t="s">
        <v>26</v>
      </c>
      <c r="B2486">
        <v>77851</v>
      </c>
      <c r="C2486" s="1">
        <v>13</v>
      </c>
      <c r="D2486" t="s">
        <v>19</v>
      </c>
      <c r="E2486" s="7">
        <v>1.26</v>
      </c>
      <c r="F2486" s="2">
        <v>0.75</v>
      </c>
      <c r="G2486" s="7">
        <v>0.65</v>
      </c>
      <c r="H2486" s="9" t="s">
        <v>27</v>
      </c>
      <c r="I2486">
        <v>0.95</v>
      </c>
      <c r="J2486">
        <v>0.45</v>
      </c>
      <c r="K2486">
        <v>0.42</v>
      </c>
      <c r="L2486">
        <v>0.46</v>
      </c>
      <c r="M2486">
        <v>0.66</v>
      </c>
      <c r="N2486">
        <v>0.78</v>
      </c>
      <c r="O2486">
        <v>0.87</v>
      </c>
      <c r="P2486">
        <v>0.46</v>
      </c>
      <c r="Q2486">
        <v>0.36</v>
      </c>
      <c r="R2486" s="2">
        <v>0.98</v>
      </c>
      <c r="S2486" t="str">
        <f>IF(Table1[[#This Row],[Years_Experience]]&lt;=5,"Early Career",
IF(Table1[[#This Row],[Years_Experience]]&lt;=15,"Mid Career","Senior Level"))</f>
        <v>Mid Career</v>
      </c>
      <c r="T2486" t="str">
        <f>IF(Table1[[#This Row],[AI_Exposure_Index]]&gt;=0.7,"High Exposure", IF(Table1[[#This Row],[AI_Exposure_Index]]&gt;=0.3,"Medium Exposure","Low Exposure"))</f>
        <v>High Exposure</v>
      </c>
    </row>
    <row r="2487" spans="1:20" x14ac:dyDescent="0.25">
      <c r="A2487" t="s">
        <v>32</v>
      </c>
      <c r="B2487">
        <v>94690</v>
      </c>
      <c r="C2487" s="1">
        <v>17</v>
      </c>
      <c r="D2487" t="s">
        <v>22</v>
      </c>
      <c r="E2487" s="7">
        <v>1.22</v>
      </c>
      <c r="F2487" s="2">
        <v>0.22</v>
      </c>
      <c r="G2487" s="7">
        <v>0.37</v>
      </c>
      <c r="H2487" s="9" t="s">
        <v>27</v>
      </c>
      <c r="I2487">
        <v>0.4</v>
      </c>
      <c r="J2487">
        <v>0.28999999999999998</v>
      </c>
      <c r="K2487">
        <v>0.17</v>
      </c>
      <c r="L2487">
        <v>0.57999999999999996</v>
      </c>
      <c r="M2487">
        <v>0.37</v>
      </c>
      <c r="N2487">
        <v>0.46</v>
      </c>
      <c r="O2487">
        <v>0.2</v>
      </c>
      <c r="P2487">
        <v>0.77</v>
      </c>
      <c r="Q2487">
        <v>0.31</v>
      </c>
      <c r="R2487" s="2">
        <v>0.34</v>
      </c>
      <c r="S2487" t="str">
        <f>IF(Table1[[#This Row],[Years_Experience]]&lt;=5,"Early Career",
IF(Table1[[#This Row],[Years_Experience]]&lt;=15,"Mid Career","Senior Level"))</f>
        <v>Senior Level</v>
      </c>
      <c r="T2487" t="str">
        <f>IF(Table1[[#This Row],[AI_Exposure_Index]]&gt;=0.7,"High Exposure", IF(Table1[[#This Row],[AI_Exposure_Index]]&gt;=0.3,"Medium Exposure","Low Exposure"))</f>
        <v>Low Exposure</v>
      </c>
    </row>
    <row r="2488" spans="1:20" x14ac:dyDescent="0.25">
      <c r="A2488" t="s">
        <v>44</v>
      </c>
      <c r="B2488">
        <v>106145</v>
      </c>
      <c r="C2488" s="1">
        <v>25</v>
      </c>
      <c r="D2488" t="s">
        <v>25</v>
      </c>
      <c r="E2488" s="7">
        <v>0.96</v>
      </c>
      <c r="F2488" s="2">
        <v>0.43</v>
      </c>
      <c r="G2488" s="7">
        <v>0.51</v>
      </c>
      <c r="H2488" s="9" t="s">
        <v>27</v>
      </c>
      <c r="I2488">
        <v>0.97</v>
      </c>
      <c r="J2488">
        <v>0.9</v>
      </c>
      <c r="K2488">
        <v>0.61</v>
      </c>
      <c r="L2488">
        <v>0.04</v>
      </c>
      <c r="M2488">
        <v>0.61</v>
      </c>
      <c r="N2488">
        <v>0.09</v>
      </c>
      <c r="O2488">
        <v>0.71</v>
      </c>
      <c r="P2488">
        <v>0.39</v>
      </c>
      <c r="Q2488">
        <v>0.84</v>
      </c>
      <c r="R2488" s="2">
        <v>0.94</v>
      </c>
      <c r="S2488" t="str">
        <f>IF(Table1[[#This Row],[Years_Experience]]&lt;=5,"Early Career",
IF(Table1[[#This Row],[Years_Experience]]&lt;=15,"Mid Career","Senior Level"))</f>
        <v>Senior Level</v>
      </c>
      <c r="T2488" t="str">
        <f>IF(Table1[[#This Row],[AI_Exposure_Index]]&gt;=0.7,"High Exposure", IF(Table1[[#This Row],[AI_Exposure_Index]]&gt;=0.3,"Medium Exposure","Low Exposure"))</f>
        <v>Medium Exposure</v>
      </c>
    </row>
    <row r="2489" spans="1:20" x14ac:dyDescent="0.25">
      <c r="A2489" t="s">
        <v>31</v>
      </c>
      <c r="B2489">
        <v>144256</v>
      </c>
      <c r="C2489" s="1">
        <v>4</v>
      </c>
      <c r="D2489" t="s">
        <v>22</v>
      </c>
      <c r="E2489" s="7">
        <v>1.0900000000000001</v>
      </c>
      <c r="F2489" s="2">
        <v>0.46</v>
      </c>
      <c r="G2489" s="7">
        <v>0.1</v>
      </c>
      <c r="H2489" s="9" t="s">
        <v>23</v>
      </c>
      <c r="I2489">
        <v>0.93</v>
      </c>
      <c r="J2489">
        <v>0.43</v>
      </c>
      <c r="K2489">
        <v>0.17</v>
      </c>
      <c r="L2489">
        <v>0.76</v>
      </c>
      <c r="M2489">
        <v>0.22</v>
      </c>
      <c r="N2489">
        <v>0.14000000000000001</v>
      </c>
      <c r="O2489">
        <v>0.56000000000000005</v>
      </c>
      <c r="P2489">
        <v>0.67</v>
      </c>
      <c r="Q2489">
        <v>0.56999999999999995</v>
      </c>
      <c r="R2489" s="2">
        <v>0.66</v>
      </c>
      <c r="S2489" t="str">
        <f>IF(Table1[[#This Row],[Years_Experience]]&lt;=5,"Early Career",
IF(Table1[[#This Row],[Years_Experience]]&lt;=15,"Mid Career","Senior Level"))</f>
        <v>Early Career</v>
      </c>
      <c r="T2489" t="str">
        <f>IF(Table1[[#This Row],[AI_Exposure_Index]]&gt;=0.7,"High Exposure", IF(Table1[[#This Row],[AI_Exposure_Index]]&gt;=0.3,"Medium Exposure","Low Exposure"))</f>
        <v>Medium Exposure</v>
      </c>
    </row>
    <row r="2490" spans="1:20" x14ac:dyDescent="0.25">
      <c r="A2490" t="s">
        <v>43</v>
      </c>
      <c r="B2490">
        <v>94322</v>
      </c>
      <c r="C2490" s="1">
        <v>12</v>
      </c>
      <c r="D2490" t="s">
        <v>38</v>
      </c>
      <c r="E2490" s="7">
        <v>0.86</v>
      </c>
      <c r="F2490" s="2">
        <v>0.48</v>
      </c>
      <c r="G2490" s="7">
        <v>0.28999999999999998</v>
      </c>
      <c r="H2490" s="9" t="s">
        <v>23</v>
      </c>
      <c r="I2490">
        <v>0.05</v>
      </c>
      <c r="J2490">
        <v>0.3</v>
      </c>
      <c r="K2490">
        <v>0.94</v>
      </c>
      <c r="L2490">
        <v>0.98</v>
      </c>
      <c r="M2490">
        <v>0.82</v>
      </c>
      <c r="N2490">
        <v>0.08</v>
      </c>
      <c r="O2490">
        <v>0.56000000000000005</v>
      </c>
      <c r="P2490">
        <v>0.4</v>
      </c>
      <c r="Q2490">
        <v>0.81</v>
      </c>
      <c r="R2490" s="2">
        <v>0.06</v>
      </c>
      <c r="S2490" t="str">
        <f>IF(Table1[[#This Row],[Years_Experience]]&lt;=5,"Early Career",
IF(Table1[[#This Row],[Years_Experience]]&lt;=15,"Mid Career","Senior Level"))</f>
        <v>Mid Career</v>
      </c>
      <c r="T2490" t="str">
        <f>IF(Table1[[#This Row],[AI_Exposure_Index]]&gt;=0.7,"High Exposure", IF(Table1[[#This Row],[AI_Exposure_Index]]&gt;=0.3,"Medium Exposure","Low Exposure"))</f>
        <v>Medium Exposure</v>
      </c>
    </row>
    <row r="2491" spans="1:20" x14ac:dyDescent="0.25">
      <c r="A2491" t="s">
        <v>39</v>
      </c>
      <c r="B2491">
        <v>97504</v>
      </c>
      <c r="C2491" s="1">
        <v>3</v>
      </c>
      <c r="D2491" t="s">
        <v>38</v>
      </c>
      <c r="E2491" s="7">
        <v>0.66</v>
      </c>
      <c r="F2491" s="2">
        <v>0.49</v>
      </c>
      <c r="G2491" s="7">
        <v>0.87</v>
      </c>
      <c r="H2491" s="9" t="s">
        <v>20</v>
      </c>
      <c r="I2491">
        <v>0.82</v>
      </c>
      <c r="J2491">
        <v>0.7</v>
      </c>
      <c r="K2491">
        <v>0.44</v>
      </c>
      <c r="L2491">
        <v>0.88</v>
      </c>
      <c r="M2491">
        <v>0.14000000000000001</v>
      </c>
      <c r="N2491">
        <v>0.26</v>
      </c>
      <c r="O2491">
        <v>0.49</v>
      </c>
      <c r="P2491">
        <v>0.06</v>
      </c>
      <c r="Q2491">
        <v>0.1</v>
      </c>
      <c r="R2491" s="2">
        <v>0.4</v>
      </c>
      <c r="S2491" t="str">
        <f>IF(Table1[[#This Row],[Years_Experience]]&lt;=5,"Early Career",
IF(Table1[[#This Row],[Years_Experience]]&lt;=15,"Mid Career","Senior Level"))</f>
        <v>Early Career</v>
      </c>
      <c r="T2491" t="str">
        <f>IF(Table1[[#This Row],[AI_Exposure_Index]]&gt;=0.7,"High Exposure", IF(Table1[[#This Row],[AI_Exposure_Index]]&gt;=0.3,"Medium Exposure","Low Exposure"))</f>
        <v>Medium Exposure</v>
      </c>
    </row>
    <row r="2492" spans="1:20" x14ac:dyDescent="0.25">
      <c r="A2492" t="s">
        <v>37</v>
      </c>
      <c r="B2492">
        <v>64897</v>
      </c>
      <c r="C2492" s="1">
        <v>11</v>
      </c>
      <c r="D2492" t="s">
        <v>19</v>
      </c>
      <c r="E2492" s="7">
        <v>0.97</v>
      </c>
      <c r="F2492" s="2">
        <v>0.91</v>
      </c>
      <c r="G2492" s="7">
        <v>0.36</v>
      </c>
      <c r="H2492" s="9" t="s">
        <v>27</v>
      </c>
      <c r="I2492">
        <v>0.18</v>
      </c>
      <c r="J2492">
        <v>0.38</v>
      </c>
      <c r="K2492">
        <v>0.21</v>
      </c>
      <c r="L2492">
        <v>0.08</v>
      </c>
      <c r="M2492">
        <v>0.67</v>
      </c>
      <c r="N2492">
        <v>0.57999999999999996</v>
      </c>
      <c r="O2492">
        <v>0.28999999999999998</v>
      </c>
      <c r="P2492">
        <v>0.78</v>
      </c>
      <c r="Q2492">
        <v>0.78</v>
      </c>
      <c r="R2492" s="2">
        <v>0.49</v>
      </c>
      <c r="S2492" t="str">
        <f>IF(Table1[[#This Row],[Years_Experience]]&lt;=5,"Early Career",
IF(Table1[[#This Row],[Years_Experience]]&lt;=15,"Mid Career","Senior Level"))</f>
        <v>Mid Career</v>
      </c>
      <c r="T2492" t="str">
        <f>IF(Table1[[#This Row],[AI_Exposure_Index]]&gt;=0.7,"High Exposure", IF(Table1[[#This Row],[AI_Exposure_Index]]&gt;=0.3,"Medium Exposure","Low Exposure"))</f>
        <v>High Exposure</v>
      </c>
    </row>
    <row r="2493" spans="1:20" x14ac:dyDescent="0.25">
      <c r="A2493" t="s">
        <v>35</v>
      </c>
      <c r="B2493">
        <v>53425</v>
      </c>
      <c r="C2493" s="1">
        <v>18</v>
      </c>
      <c r="D2493" t="s">
        <v>19</v>
      </c>
      <c r="E2493" s="7">
        <v>1.17</v>
      </c>
      <c r="F2493" s="2">
        <v>0.92</v>
      </c>
      <c r="G2493" s="7">
        <v>0.4</v>
      </c>
      <c r="H2493" s="9" t="s">
        <v>27</v>
      </c>
      <c r="I2493">
        <v>0.61</v>
      </c>
      <c r="J2493">
        <v>0.41</v>
      </c>
      <c r="K2493">
        <v>0.64</v>
      </c>
      <c r="L2493">
        <v>0.47</v>
      </c>
      <c r="M2493">
        <v>0.49</v>
      </c>
      <c r="N2493">
        <v>0.74</v>
      </c>
      <c r="O2493">
        <v>0.61</v>
      </c>
      <c r="P2493">
        <v>0.08</v>
      </c>
      <c r="Q2493">
        <v>7.0000000000000007E-2</v>
      </c>
      <c r="R2493" s="2">
        <v>0.31</v>
      </c>
      <c r="S2493" t="str">
        <f>IF(Table1[[#This Row],[Years_Experience]]&lt;=5,"Early Career",
IF(Table1[[#This Row],[Years_Experience]]&lt;=15,"Mid Career","Senior Level"))</f>
        <v>Senior Level</v>
      </c>
      <c r="T2493" t="str">
        <f>IF(Table1[[#This Row],[AI_Exposure_Index]]&gt;=0.7,"High Exposure", IF(Table1[[#This Row],[AI_Exposure_Index]]&gt;=0.3,"Medium Exposure","Low Exposure"))</f>
        <v>High Exposure</v>
      </c>
    </row>
    <row r="2494" spans="1:20" x14ac:dyDescent="0.25">
      <c r="A2494" t="s">
        <v>35</v>
      </c>
      <c r="B2494">
        <v>69426</v>
      </c>
      <c r="C2494" s="1">
        <v>26</v>
      </c>
      <c r="D2494" t="s">
        <v>22</v>
      </c>
      <c r="E2494" s="7">
        <v>1.1499999999999999</v>
      </c>
      <c r="F2494" s="2">
        <v>0.28000000000000003</v>
      </c>
      <c r="G2494" s="7">
        <v>0.38</v>
      </c>
      <c r="H2494" s="9" t="s">
        <v>27</v>
      </c>
      <c r="I2494">
        <v>0.7</v>
      </c>
      <c r="J2494">
        <v>0.77</v>
      </c>
      <c r="K2494">
        <v>0.12</v>
      </c>
      <c r="L2494">
        <v>0.65</v>
      </c>
      <c r="M2494">
        <v>0.96</v>
      </c>
      <c r="N2494">
        <v>0.19</v>
      </c>
      <c r="O2494">
        <v>0.91</v>
      </c>
      <c r="P2494">
        <v>0.61</v>
      </c>
      <c r="Q2494">
        <v>0.59</v>
      </c>
      <c r="R2494" s="2">
        <v>0.05</v>
      </c>
      <c r="S2494" t="str">
        <f>IF(Table1[[#This Row],[Years_Experience]]&lt;=5,"Early Career",
IF(Table1[[#This Row],[Years_Experience]]&lt;=15,"Mid Career","Senior Level"))</f>
        <v>Senior Level</v>
      </c>
      <c r="T2494" t="str">
        <f>IF(Table1[[#This Row],[AI_Exposure_Index]]&gt;=0.7,"High Exposure", IF(Table1[[#This Row],[AI_Exposure_Index]]&gt;=0.3,"Medium Exposure","Low Exposure"))</f>
        <v>Low Exposure</v>
      </c>
    </row>
    <row r="2495" spans="1:20" x14ac:dyDescent="0.25">
      <c r="A2495" t="s">
        <v>35</v>
      </c>
      <c r="B2495">
        <v>69801</v>
      </c>
      <c r="C2495" s="1">
        <v>0</v>
      </c>
      <c r="D2495" t="s">
        <v>38</v>
      </c>
      <c r="E2495" s="7">
        <v>1.22</v>
      </c>
      <c r="F2495" s="2">
        <v>0.48</v>
      </c>
      <c r="G2495" s="7">
        <v>0.62</v>
      </c>
      <c r="H2495" s="9" t="s">
        <v>27</v>
      </c>
      <c r="I2495">
        <v>0.52</v>
      </c>
      <c r="J2495">
        <v>0.26</v>
      </c>
      <c r="K2495">
        <v>0.14000000000000001</v>
      </c>
      <c r="L2495">
        <v>0.16</v>
      </c>
      <c r="M2495">
        <v>0.87</v>
      </c>
      <c r="N2495">
        <v>0.12</v>
      </c>
      <c r="O2495">
        <v>0.38</v>
      </c>
      <c r="P2495">
        <v>0.33</v>
      </c>
      <c r="Q2495">
        <v>0.87</v>
      </c>
      <c r="R2495" s="2">
        <v>0.48</v>
      </c>
      <c r="S2495" t="str">
        <f>IF(Table1[[#This Row],[Years_Experience]]&lt;=5,"Early Career",
IF(Table1[[#This Row],[Years_Experience]]&lt;=15,"Mid Career","Senior Level"))</f>
        <v>Early Career</v>
      </c>
      <c r="T2495" t="str">
        <f>IF(Table1[[#This Row],[AI_Exposure_Index]]&gt;=0.7,"High Exposure", IF(Table1[[#This Row],[AI_Exposure_Index]]&gt;=0.3,"Medium Exposure","Low Exposure"))</f>
        <v>Medium Exposure</v>
      </c>
    </row>
    <row r="2496" spans="1:20" x14ac:dyDescent="0.25">
      <c r="A2496" t="s">
        <v>35</v>
      </c>
      <c r="B2496">
        <v>102904</v>
      </c>
      <c r="C2496" s="1">
        <v>1</v>
      </c>
      <c r="D2496" t="s">
        <v>25</v>
      </c>
      <c r="E2496" s="7">
        <v>1.35</v>
      </c>
      <c r="F2496" s="2">
        <v>0.74</v>
      </c>
      <c r="G2496" s="7">
        <v>0.34</v>
      </c>
      <c r="H2496" s="9" t="s">
        <v>27</v>
      </c>
      <c r="I2496">
        <v>0.25</v>
      </c>
      <c r="J2496">
        <v>0.14000000000000001</v>
      </c>
      <c r="K2496">
        <v>0.46</v>
      </c>
      <c r="L2496">
        <v>0.72</v>
      </c>
      <c r="M2496">
        <v>0.17</v>
      </c>
      <c r="N2496">
        <v>0.13</v>
      </c>
      <c r="O2496">
        <v>0.61</v>
      </c>
      <c r="P2496">
        <v>0.23</v>
      </c>
      <c r="Q2496">
        <v>0.48</v>
      </c>
      <c r="R2496" s="2">
        <v>0.05</v>
      </c>
      <c r="S2496" t="str">
        <f>IF(Table1[[#This Row],[Years_Experience]]&lt;=5,"Early Career",
IF(Table1[[#This Row],[Years_Experience]]&lt;=15,"Mid Career","Senior Level"))</f>
        <v>Early Career</v>
      </c>
      <c r="T2496" t="str">
        <f>IF(Table1[[#This Row],[AI_Exposure_Index]]&gt;=0.7,"High Exposure", IF(Table1[[#This Row],[AI_Exposure_Index]]&gt;=0.3,"Medium Exposure","Low Exposure"))</f>
        <v>High Exposure</v>
      </c>
    </row>
    <row r="2497" spans="1:20" x14ac:dyDescent="0.25">
      <c r="A2497" t="s">
        <v>33</v>
      </c>
      <c r="B2497">
        <v>72020</v>
      </c>
      <c r="C2497" s="1">
        <v>6</v>
      </c>
      <c r="D2497" t="s">
        <v>38</v>
      </c>
      <c r="E2497" s="7">
        <v>1.1499999999999999</v>
      </c>
      <c r="F2497" s="2">
        <v>0.54</v>
      </c>
      <c r="G2497" s="7">
        <v>0.77</v>
      </c>
      <c r="H2497" s="9" t="s">
        <v>20</v>
      </c>
      <c r="I2497">
        <v>0.28000000000000003</v>
      </c>
      <c r="J2497">
        <v>0.8</v>
      </c>
      <c r="K2497">
        <v>0.72</v>
      </c>
      <c r="L2497">
        <v>0.57999999999999996</v>
      </c>
      <c r="M2497">
        <v>0.63</v>
      </c>
      <c r="N2497">
        <v>0.09</v>
      </c>
      <c r="O2497">
        <v>0.86</v>
      </c>
      <c r="P2497">
        <v>0.77</v>
      </c>
      <c r="Q2497">
        <v>0.59</v>
      </c>
      <c r="R2497" s="2">
        <v>0.92</v>
      </c>
      <c r="S2497" t="str">
        <f>IF(Table1[[#This Row],[Years_Experience]]&lt;=5,"Early Career",
IF(Table1[[#This Row],[Years_Experience]]&lt;=15,"Mid Career","Senior Level"))</f>
        <v>Mid Career</v>
      </c>
      <c r="T2497" t="str">
        <f>IF(Table1[[#This Row],[AI_Exposure_Index]]&gt;=0.7,"High Exposure", IF(Table1[[#This Row],[AI_Exposure_Index]]&gt;=0.3,"Medium Exposure","Low Exposure"))</f>
        <v>Medium Exposure</v>
      </c>
    </row>
    <row r="2498" spans="1:20" x14ac:dyDescent="0.25">
      <c r="A2498" t="s">
        <v>35</v>
      </c>
      <c r="B2498">
        <v>59362</v>
      </c>
      <c r="C2498" s="1">
        <v>18</v>
      </c>
      <c r="D2498" t="s">
        <v>19</v>
      </c>
      <c r="E2498" s="7">
        <v>0.8</v>
      </c>
      <c r="F2498" s="2">
        <v>0.27</v>
      </c>
      <c r="G2498" s="7">
        <v>0.65</v>
      </c>
      <c r="H2498" s="9" t="s">
        <v>27</v>
      </c>
      <c r="I2498">
        <v>0.65</v>
      </c>
      <c r="J2498">
        <v>0.8</v>
      </c>
      <c r="K2498">
        <v>0.28999999999999998</v>
      </c>
      <c r="L2498">
        <v>1</v>
      </c>
      <c r="M2498">
        <v>0.14000000000000001</v>
      </c>
      <c r="N2498">
        <v>0.96</v>
      </c>
      <c r="O2498">
        <v>0.9</v>
      </c>
      <c r="P2498">
        <v>0.55000000000000004</v>
      </c>
      <c r="Q2498">
        <v>0.59</v>
      </c>
      <c r="R2498" s="2">
        <v>0.78</v>
      </c>
      <c r="S2498" t="str">
        <f>IF(Table1[[#This Row],[Years_Experience]]&lt;=5,"Early Career",
IF(Table1[[#This Row],[Years_Experience]]&lt;=15,"Mid Career","Senior Level"))</f>
        <v>Senior Level</v>
      </c>
      <c r="T2498" t="str">
        <f>IF(Table1[[#This Row],[AI_Exposure_Index]]&gt;=0.7,"High Exposure", IF(Table1[[#This Row],[AI_Exposure_Index]]&gt;=0.3,"Medium Exposure","Low Exposure"))</f>
        <v>Low Exposure</v>
      </c>
    </row>
    <row r="2499" spans="1:20" x14ac:dyDescent="0.25">
      <c r="A2499" t="s">
        <v>18</v>
      </c>
      <c r="B2499">
        <v>113366</v>
      </c>
      <c r="C2499" s="1">
        <v>20</v>
      </c>
      <c r="D2499" t="s">
        <v>19</v>
      </c>
      <c r="E2499" s="7">
        <v>1.4</v>
      </c>
      <c r="F2499" s="2">
        <v>0.53</v>
      </c>
      <c r="G2499" s="7">
        <v>0.72</v>
      </c>
      <c r="H2499" s="9" t="s">
        <v>20</v>
      </c>
      <c r="I2499">
        <v>0.91</v>
      </c>
      <c r="J2499">
        <v>0.73</v>
      </c>
      <c r="K2499">
        <v>0.77</v>
      </c>
      <c r="L2499">
        <v>0.06</v>
      </c>
      <c r="M2499">
        <v>0.19</v>
      </c>
      <c r="N2499">
        <v>0.93</v>
      </c>
      <c r="O2499">
        <v>0.12</v>
      </c>
      <c r="P2499">
        <v>0.63</v>
      </c>
      <c r="Q2499">
        <v>0.78</v>
      </c>
      <c r="R2499" s="2">
        <v>0.23</v>
      </c>
      <c r="S2499" t="str">
        <f>IF(Table1[[#This Row],[Years_Experience]]&lt;=5,"Early Career",
IF(Table1[[#This Row],[Years_Experience]]&lt;=15,"Mid Career","Senior Level"))</f>
        <v>Senior Level</v>
      </c>
      <c r="T2499" t="str">
        <f>IF(Table1[[#This Row],[AI_Exposure_Index]]&gt;=0.7,"High Exposure", IF(Table1[[#This Row],[AI_Exposure_Index]]&gt;=0.3,"Medium Exposure","Low Exposure"))</f>
        <v>Medium Exposure</v>
      </c>
    </row>
    <row r="2500" spans="1:20" x14ac:dyDescent="0.25">
      <c r="A2500" t="s">
        <v>29</v>
      </c>
      <c r="B2500">
        <v>114142</v>
      </c>
      <c r="C2500" s="1">
        <v>21</v>
      </c>
      <c r="D2500" t="s">
        <v>22</v>
      </c>
      <c r="E2500" s="7">
        <v>1.35</v>
      </c>
      <c r="F2500" s="2">
        <v>0.62</v>
      </c>
      <c r="G2500" s="7">
        <v>0.11</v>
      </c>
      <c r="H2500" s="9" t="s">
        <v>23</v>
      </c>
      <c r="I2500">
        <v>0.44</v>
      </c>
      <c r="J2500">
        <v>0.62</v>
      </c>
      <c r="K2500">
        <v>0.92</v>
      </c>
      <c r="L2500">
        <v>0.02</v>
      </c>
      <c r="M2500">
        <v>0.21</v>
      </c>
      <c r="N2500">
        <v>0.23</v>
      </c>
      <c r="O2500">
        <v>0.33</v>
      </c>
      <c r="P2500">
        <v>0.28000000000000003</v>
      </c>
      <c r="Q2500">
        <v>0.59</v>
      </c>
      <c r="R2500" s="2">
        <v>0.89</v>
      </c>
      <c r="S2500" t="str">
        <f>IF(Table1[[#This Row],[Years_Experience]]&lt;=5,"Early Career",
IF(Table1[[#This Row],[Years_Experience]]&lt;=15,"Mid Career","Senior Level"))</f>
        <v>Senior Level</v>
      </c>
      <c r="T2500" t="str">
        <f>IF(Table1[[#This Row],[AI_Exposure_Index]]&gt;=0.7,"High Exposure", IF(Table1[[#This Row],[AI_Exposure_Index]]&gt;=0.3,"Medium Exposure","Low Exposure"))</f>
        <v>Medium Exposure</v>
      </c>
    </row>
    <row r="2501" spans="1:20" x14ac:dyDescent="0.25">
      <c r="A2501" t="s">
        <v>44</v>
      </c>
      <c r="B2501">
        <v>94197</v>
      </c>
      <c r="C2501" s="1">
        <v>3</v>
      </c>
      <c r="D2501" t="s">
        <v>38</v>
      </c>
      <c r="E2501" s="7">
        <v>1.36</v>
      </c>
      <c r="F2501" s="2">
        <v>0.24</v>
      </c>
      <c r="G2501" s="7">
        <v>0.55000000000000004</v>
      </c>
      <c r="H2501" s="9" t="s">
        <v>27</v>
      </c>
      <c r="I2501">
        <v>0.22</v>
      </c>
      <c r="J2501">
        <v>0.36</v>
      </c>
      <c r="K2501">
        <v>0.79</v>
      </c>
      <c r="L2501">
        <v>0.74</v>
      </c>
      <c r="M2501">
        <v>0.57999999999999996</v>
      </c>
      <c r="N2501">
        <v>0.14000000000000001</v>
      </c>
      <c r="O2501">
        <v>0.8</v>
      </c>
      <c r="P2501">
        <v>0.31</v>
      </c>
      <c r="Q2501">
        <v>0.77</v>
      </c>
      <c r="R2501" s="2">
        <v>0.65</v>
      </c>
      <c r="S2501" t="str">
        <f>IF(Table1[[#This Row],[Years_Experience]]&lt;=5,"Early Career",
IF(Table1[[#This Row],[Years_Experience]]&lt;=15,"Mid Career","Senior Level"))</f>
        <v>Early Career</v>
      </c>
      <c r="T2501" t="str">
        <f>IF(Table1[[#This Row],[AI_Exposure_Index]]&gt;=0.7,"High Exposure", IF(Table1[[#This Row],[AI_Exposure_Index]]&gt;=0.3,"Medium Exposure","Low Exposure"))</f>
        <v>Low Exposure</v>
      </c>
    </row>
    <row r="2502" spans="1:20" x14ac:dyDescent="0.25">
      <c r="A2502" t="s">
        <v>28</v>
      </c>
      <c r="B2502">
        <v>73518</v>
      </c>
      <c r="C2502" s="1">
        <v>2</v>
      </c>
      <c r="D2502" t="s">
        <v>25</v>
      </c>
      <c r="E2502" s="7">
        <v>0.63</v>
      </c>
      <c r="F2502" s="2">
        <v>0.21</v>
      </c>
      <c r="G2502" s="7">
        <v>0.4</v>
      </c>
      <c r="H2502" s="9" t="s">
        <v>27</v>
      </c>
      <c r="I2502">
        <v>0.16</v>
      </c>
      <c r="J2502">
        <v>0.62</v>
      </c>
      <c r="K2502">
        <v>0.6</v>
      </c>
      <c r="L2502">
        <v>0.59</v>
      </c>
      <c r="M2502">
        <v>0.64</v>
      </c>
      <c r="N2502">
        <v>0.81</v>
      </c>
      <c r="O2502">
        <v>0.91</v>
      </c>
      <c r="P2502">
        <v>0.23</v>
      </c>
      <c r="Q2502">
        <v>0.59</v>
      </c>
      <c r="R2502" s="2">
        <v>0.08</v>
      </c>
      <c r="S2502" t="str">
        <f>IF(Table1[[#This Row],[Years_Experience]]&lt;=5,"Early Career",
IF(Table1[[#This Row],[Years_Experience]]&lt;=15,"Mid Career","Senior Level"))</f>
        <v>Early Career</v>
      </c>
      <c r="T2502" t="str">
        <f>IF(Table1[[#This Row],[AI_Exposure_Index]]&gt;=0.7,"High Exposure", IF(Table1[[#This Row],[AI_Exposure_Index]]&gt;=0.3,"Medium Exposure","Low Exposure"))</f>
        <v>Low Exposure</v>
      </c>
    </row>
    <row r="2503" spans="1:20" x14ac:dyDescent="0.25">
      <c r="A2503" t="s">
        <v>30</v>
      </c>
      <c r="B2503">
        <v>138460</v>
      </c>
      <c r="C2503" s="1">
        <v>20</v>
      </c>
      <c r="D2503" t="s">
        <v>38</v>
      </c>
      <c r="E2503" s="7">
        <v>0.99</v>
      </c>
      <c r="F2503" s="2">
        <v>0.65</v>
      </c>
      <c r="G2503" s="7">
        <v>0.6</v>
      </c>
      <c r="H2503" s="9" t="s">
        <v>27</v>
      </c>
      <c r="I2503">
        <v>0.43</v>
      </c>
      <c r="J2503">
        <v>0.13</v>
      </c>
      <c r="K2503">
        <v>0.87</v>
      </c>
      <c r="L2503">
        <v>0.08</v>
      </c>
      <c r="M2503">
        <v>0.19</v>
      </c>
      <c r="N2503">
        <v>0.28000000000000003</v>
      </c>
      <c r="O2503">
        <v>1</v>
      </c>
      <c r="P2503">
        <v>0.42</v>
      </c>
      <c r="Q2503">
        <v>0.5</v>
      </c>
      <c r="R2503" s="2">
        <v>0.77</v>
      </c>
      <c r="S2503" t="str">
        <f>IF(Table1[[#This Row],[Years_Experience]]&lt;=5,"Early Career",
IF(Table1[[#This Row],[Years_Experience]]&lt;=15,"Mid Career","Senior Level"))</f>
        <v>Senior Level</v>
      </c>
      <c r="T2503" t="str">
        <f>IF(Table1[[#This Row],[AI_Exposure_Index]]&gt;=0.7,"High Exposure", IF(Table1[[#This Row],[AI_Exposure_Index]]&gt;=0.3,"Medium Exposure","Low Exposure"))</f>
        <v>Medium Exposure</v>
      </c>
    </row>
    <row r="2504" spans="1:20" x14ac:dyDescent="0.25">
      <c r="A2504" t="s">
        <v>44</v>
      </c>
      <c r="B2504">
        <v>38628</v>
      </c>
      <c r="C2504" s="1">
        <v>18</v>
      </c>
      <c r="D2504" t="s">
        <v>22</v>
      </c>
      <c r="E2504" s="7">
        <v>1.47</v>
      </c>
      <c r="F2504" s="2">
        <v>0.49</v>
      </c>
      <c r="G2504" s="7">
        <v>0.62</v>
      </c>
      <c r="H2504" s="9" t="s">
        <v>27</v>
      </c>
      <c r="I2504">
        <v>0.4</v>
      </c>
      <c r="J2504">
        <v>0.38</v>
      </c>
      <c r="K2504">
        <v>0.93</v>
      </c>
      <c r="L2504">
        <v>0.68</v>
      </c>
      <c r="M2504">
        <v>0.62</v>
      </c>
      <c r="N2504">
        <v>0.76</v>
      </c>
      <c r="O2504">
        <v>0.56000000000000005</v>
      </c>
      <c r="P2504">
        <v>0.16</v>
      </c>
      <c r="Q2504">
        <v>0.32</v>
      </c>
      <c r="R2504" s="2">
        <v>0.56000000000000005</v>
      </c>
      <c r="S2504" t="str">
        <f>IF(Table1[[#This Row],[Years_Experience]]&lt;=5,"Early Career",
IF(Table1[[#This Row],[Years_Experience]]&lt;=15,"Mid Career","Senior Level"))</f>
        <v>Senior Level</v>
      </c>
      <c r="T2504" t="str">
        <f>IF(Table1[[#This Row],[AI_Exposure_Index]]&gt;=0.7,"High Exposure", IF(Table1[[#This Row],[AI_Exposure_Index]]&gt;=0.3,"Medium Exposure","Low Exposure"))</f>
        <v>Medium Exposure</v>
      </c>
    </row>
    <row r="2505" spans="1:20" x14ac:dyDescent="0.25">
      <c r="A2505" t="s">
        <v>26</v>
      </c>
      <c r="B2505">
        <v>72353</v>
      </c>
      <c r="C2505" s="1">
        <v>14</v>
      </c>
      <c r="D2505" t="s">
        <v>19</v>
      </c>
      <c r="E2505" s="7">
        <v>1.26</v>
      </c>
      <c r="F2505" s="2">
        <v>0.44</v>
      </c>
      <c r="G2505" s="7">
        <v>0.37</v>
      </c>
      <c r="H2505" s="9" t="s">
        <v>27</v>
      </c>
      <c r="I2505">
        <v>0.06</v>
      </c>
      <c r="J2505">
        <v>0.84</v>
      </c>
      <c r="K2505">
        <v>0.62</v>
      </c>
      <c r="L2505">
        <v>0.18</v>
      </c>
      <c r="M2505">
        <v>0.81</v>
      </c>
      <c r="N2505">
        <v>0.66</v>
      </c>
      <c r="O2505">
        <v>0.33</v>
      </c>
      <c r="P2505">
        <v>0.38</v>
      </c>
      <c r="Q2505">
        <v>0.16</v>
      </c>
      <c r="R2505" s="2">
        <v>0.84</v>
      </c>
      <c r="S2505" t="str">
        <f>IF(Table1[[#This Row],[Years_Experience]]&lt;=5,"Early Career",
IF(Table1[[#This Row],[Years_Experience]]&lt;=15,"Mid Career","Senior Level"))</f>
        <v>Mid Career</v>
      </c>
      <c r="T2505" t="str">
        <f>IF(Table1[[#This Row],[AI_Exposure_Index]]&gt;=0.7,"High Exposure", IF(Table1[[#This Row],[AI_Exposure_Index]]&gt;=0.3,"Medium Exposure","Low Exposure"))</f>
        <v>Medium Exposure</v>
      </c>
    </row>
    <row r="2506" spans="1:20" x14ac:dyDescent="0.25">
      <c r="A2506" t="s">
        <v>35</v>
      </c>
      <c r="B2506">
        <v>47054</v>
      </c>
      <c r="C2506" s="1">
        <v>19</v>
      </c>
      <c r="D2506" t="s">
        <v>19</v>
      </c>
      <c r="E2506" s="7">
        <v>1.38</v>
      </c>
      <c r="F2506" s="2">
        <v>0.56000000000000005</v>
      </c>
      <c r="G2506" s="7">
        <v>0.31</v>
      </c>
      <c r="H2506" s="9" t="s">
        <v>27</v>
      </c>
      <c r="I2506">
        <v>7.0000000000000007E-2</v>
      </c>
      <c r="J2506">
        <v>0.16</v>
      </c>
      <c r="K2506">
        <v>0.03</v>
      </c>
      <c r="L2506">
        <v>0.66</v>
      </c>
      <c r="M2506">
        <v>0.63</v>
      </c>
      <c r="N2506">
        <v>0.21</v>
      </c>
      <c r="O2506">
        <v>0.15</v>
      </c>
      <c r="P2506">
        <v>0.15</v>
      </c>
      <c r="Q2506">
        <v>0.95</v>
      </c>
      <c r="R2506" s="2">
        <v>0.69</v>
      </c>
      <c r="S2506" t="str">
        <f>IF(Table1[[#This Row],[Years_Experience]]&lt;=5,"Early Career",
IF(Table1[[#This Row],[Years_Experience]]&lt;=15,"Mid Career","Senior Level"))</f>
        <v>Senior Level</v>
      </c>
      <c r="T2506" t="str">
        <f>IF(Table1[[#This Row],[AI_Exposure_Index]]&gt;=0.7,"High Exposure", IF(Table1[[#This Row],[AI_Exposure_Index]]&gt;=0.3,"Medium Exposure","Low Exposure"))</f>
        <v>Medium Exposure</v>
      </c>
    </row>
    <row r="2507" spans="1:20" x14ac:dyDescent="0.25">
      <c r="A2507" t="s">
        <v>36</v>
      </c>
      <c r="B2507">
        <v>73489</v>
      </c>
      <c r="C2507" s="1">
        <v>2</v>
      </c>
      <c r="D2507" t="s">
        <v>19</v>
      </c>
      <c r="E2507" s="7">
        <v>0.93</v>
      </c>
      <c r="F2507" s="2">
        <v>0.32</v>
      </c>
      <c r="G2507" s="7">
        <v>0.34</v>
      </c>
      <c r="H2507" s="9" t="s">
        <v>27</v>
      </c>
      <c r="I2507">
        <v>1</v>
      </c>
      <c r="J2507">
        <v>0.76</v>
      </c>
      <c r="K2507">
        <v>0.62</v>
      </c>
      <c r="L2507">
        <v>0.59</v>
      </c>
      <c r="M2507">
        <v>0.5</v>
      </c>
      <c r="N2507">
        <v>0.26</v>
      </c>
      <c r="O2507">
        <v>0.23</v>
      </c>
      <c r="P2507">
        <v>0.55000000000000004</v>
      </c>
      <c r="Q2507">
        <v>7.0000000000000007E-2</v>
      </c>
      <c r="R2507" s="2">
        <v>7.0000000000000007E-2</v>
      </c>
      <c r="S2507" t="str">
        <f>IF(Table1[[#This Row],[Years_Experience]]&lt;=5,"Early Career",
IF(Table1[[#This Row],[Years_Experience]]&lt;=15,"Mid Career","Senior Level"))</f>
        <v>Early Career</v>
      </c>
      <c r="T2507" t="str">
        <f>IF(Table1[[#This Row],[AI_Exposure_Index]]&gt;=0.7,"High Exposure", IF(Table1[[#This Row],[AI_Exposure_Index]]&gt;=0.3,"Medium Exposure","Low Exposure"))</f>
        <v>Medium Exposure</v>
      </c>
    </row>
    <row r="2508" spans="1:20" x14ac:dyDescent="0.25">
      <c r="A2508" t="s">
        <v>39</v>
      </c>
      <c r="B2508">
        <v>127014</v>
      </c>
      <c r="C2508" s="1">
        <v>11</v>
      </c>
      <c r="D2508" t="s">
        <v>19</v>
      </c>
      <c r="E2508" s="7">
        <v>1.41</v>
      </c>
      <c r="F2508" s="2">
        <v>0.92</v>
      </c>
      <c r="G2508" s="7">
        <v>0.7</v>
      </c>
      <c r="H2508" s="9" t="s">
        <v>27</v>
      </c>
      <c r="I2508">
        <v>0.11</v>
      </c>
      <c r="J2508">
        <v>0.57999999999999996</v>
      </c>
      <c r="K2508">
        <v>0.85</v>
      </c>
      <c r="L2508">
        <v>0.95</v>
      </c>
      <c r="M2508">
        <v>0.86</v>
      </c>
      <c r="N2508">
        <v>0.68</v>
      </c>
      <c r="O2508">
        <v>0.2</v>
      </c>
      <c r="P2508">
        <v>7.0000000000000007E-2</v>
      </c>
      <c r="Q2508">
        <v>0.05</v>
      </c>
      <c r="R2508" s="2">
        <v>0.61</v>
      </c>
      <c r="S2508" t="str">
        <f>IF(Table1[[#This Row],[Years_Experience]]&lt;=5,"Early Career",
IF(Table1[[#This Row],[Years_Experience]]&lt;=15,"Mid Career","Senior Level"))</f>
        <v>Mid Career</v>
      </c>
      <c r="T2508" t="str">
        <f>IF(Table1[[#This Row],[AI_Exposure_Index]]&gt;=0.7,"High Exposure", IF(Table1[[#This Row],[AI_Exposure_Index]]&gt;=0.3,"Medium Exposure","Low Exposure"))</f>
        <v>High Exposure</v>
      </c>
    </row>
    <row r="2509" spans="1:20" x14ac:dyDescent="0.25">
      <c r="A2509" t="s">
        <v>29</v>
      </c>
      <c r="B2509">
        <v>138569</v>
      </c>
      <c r="C2509" s="1">
        <v>22</v>
      </c>
      <c r="D2509" t="s">
        <v>19</v>
      </c>
      <c r="E2509" s="7">
        <v>1.21</v>
      </c>
      <c r="F2509" s="2">
        <v>0.74</v>
      </c>
      <c r="G2509" s="7">
        <v>7.0000000000000007E-2</v>
      </c>
      <c r="H2509" s="9" t="s">
        <v>23</v>
      </c>
      <c r="I2509">
        <v>0.91</v>
      </c>
      <c r="J2509">
        <v>0.52</v>
      </c>
      <c r="K2509">
        <v>0.9</v>
      </c>
      <c r="L2509">
        <v>0.9</v>
      </c>
      <c r="M2509">
        <v>0.2</v>
      </c>
      <c r="N2509">
        <v>0.38</v>
      </c>
      <c r="O2509">
        <v>0.13</v>
      </c>
      <c r="P2509">
        <v>0.77</v>
      </c>
      <c r="Q2509">
        <v>0.5</v>
      </c>
      <c r="R2509" s="2">
        <v>0.93</v>
      </c>
      <c r="S2509" t="str">
        <f>IF(Table1[[#This Row],[Years_Experience]]&lt;=5,"Early Career",
IF(Table1[[#This Row],[Years_Experience]]&lt;=15,"Mid Career","Senior Level"))</f>
        <v>Senior Level</v>
      </c>
      <c r="T2509" t="str">
        <f>IF(Table1[[#This Row],[AI_Exposure_Index]]&gt;=0.7,"High Exposure", IF(Table1[[#This Row],[AI_Exposure_Index]]&gt;=0.3,"Medium Exposure","Low Exposure"))</f>
        <v>High Exposure</v>
      </c>
    </row>
    <row r="2510" spans="1:20" x14ac:dyDescent="0.25">
      <c r="A2510" t="s">
        <v>18</v>
      </c>
      <c r="B2510">
        <v>134371</v>
      </c>
      <c r="C2510" s="1">
        <v>6</v>
      </c>
      <c r="D2510" t="s">
        <v>38</v>
      </c>
      <c r="E2510" s="7">
        <v>1.49</v>
      </c>
      <c r="F2510" s="2">
        <v>0.69</v>
      </c>
      <c r="G2510" s="7">
        <v>0.87</v>
      </c>
      <c r="H2510" s="9" t="s">
        <v>20</v>
      </c>
      <c r="I2510">
        <v>7.0000000000000007E-2</v>
      </c>
      <c r="J2510">
        <v>0.59</v>
      </c>
      <c r="K2510">
        <v>0.18</v>
      </c>
      <c r="L2510">
        <v>0.03</v>
      </c>
      <c r="M2510">
        <v>0.33</v>
      </c>
      <c r="N2510">
        <v>0.27</v>
      </c>
      <c r="O2510">
        <v>0.79</v>
      </c>
      <c r="P2510">
        <v>0.37</v>
      </c>
      <c r="Q2510">
        <v>0.73</v>
      </c>
      <c r="R2510" s="2">
        <v>0.02</v>
      </c>
      <c r="S2510" t="str">
        <f>IF(Table1[[#This Row],[Years_Experience]]&lt;=5,"Early Career",
IF(Table1[[#This Row],[Years_Experience]]&lt;=15,"Mid Career","Senior Level"))</f>
        <v>Mid Career</v>
      </c>
      <c r="T2510" t="str">
        <f>IF(Table1[[#This Row],[AI_Exposure_Index]]&gt;=0.7,"High Exposure", IF(Table1[[#This Row],[AI_Exposure_Index]]&gt;=0.3,"Medium Exposure","Low Exposure"))</f>
        <v>Medium Exposure</v>
      </c>
    </row>
    <row r="2511" spans="1:20" x14ac:dyDescent="0.25">
      <c r="A2511" t="s">
        <v>30</v>
      </c>
      <c r="B2511">
        <v>77687</v>
      </c>
      <c r="C2511" s="1">
        <v>28</v>
      </c>
      <c r="D2511" t="s">
        <v>38</v>
      </c>
      <c r="E2511" s="7">
        <v>0.72</v>
      </c>
      <c r="F2511" s="2">
        <v>0.03</v>
      </c>
      <c r="G2511" s="7">
        <v>0.45</v>
      </c>
      <c r="H2511" s="9" t="s">
        <v>27</v>
      </c>
      <c r="I2511">
        <v>0.61</v>
      </c>
      <c r="J2511">
        <v>0.99</v>
      </c>
      <c r="K2511">
        <v>0.35</v>
      </c>
      <c r="L2511">
        <v>0.06</v>
      </c>
      <c r="M2511">
        <v>0.19</v>
      </c>
      <c r="N2511">
        <v>0.9</v>
      </c>
      <c r="O2511">
        <v>0.7</v>
      </c>
      <c r="P2511">
        <v>0.79</v>
      </c>
      <c r="Q2511">
        <v>0.12</v>
      </c>
      <c r="R2511" s="2">
        <v>0.13</v>
      </c>
      <c r="S2511" t="str">
        <f>IF(Table1[[#This Row],[Years_Experience]]&lt;=5,"Early Career",
IF(Table1[[#This Row],[Years_Experience]]&lt;=15,"Mid Career","Senior Level"))</f>
        <v>Senior Level</v>
      </c>
      <c r="T2511" t="str">
        <f>IF(Table1[[#This Row],[AI_Exposure_Index]]&gt;=0.7,"High Exposure", IF(Table1[[#This Row],[AI_Exposure_Index]]&gt;=0.3,"Medium Exposure","Low Exposure"))</f>
        <v>Low Exposure</v>
      </c>
    </row>
    <row r="2512" spans="1:20" x14ac:dyDescent="0.25">
      <c r="A2512" t="s">
        <v>41</v>
      </c>
      <c r="B2512">
        <v>40128</v>
      </c>
      <c r="C2512" s="1">
        <v>23</v>
      </c>
      <c r="D2512" t="s">
        <v>19</v>
      </c>
      <c r="E2512" s="7">
        <v>0.71</v>
      </c>
      <c r="F2512" s="2">
        <v>0.86</v>
      </c>
      <c r="G2512" s="7">
        <v>0.86</v>
      </c>
      <c r="H2512" s="9" t="s">
        <v>20</v>
      </c>
      <c r="I2512">
        <v>0.52</v>
      </c>
      <c r="J2512">
        <v>0.54</v>
      </c>
      <c r="K2512">
        <v>0.2</v>
      </c>
      <c r="L2512">
        <v>0.64</v>
      </c>
      <c r="M2512">
        <v>0.04</v>
      </c>
      <c r="N2512">
        <v>0.99</v>
      </c>
      <c r="O2512">
        <v>0.03</v>
      </c>
      <c r="P2512">
        <v>0.05</v>
      </c>
      <c r="Q2512">
        <v>0.32</v>
      </c>
      <c r="R2512" s="2">
        <v>0.83</v>
      </c>
      <c r="S2512" t="str">
        <f>IF(Table1[[#This Row],[Years_Experience]]&lt;=5,"Early Career",
IF(Table1[[#This Row],[Years_Experience]]&lt;=15,"Mid Career","Senior Level"))</f>
        <v>Senior Level</v>
      </c>
      <c r="T2512" t="str">
        <f>IF(Table1[[#This Row],[AI_Exposure_Index]]&gt;=0.7,"High Exposure", IF(Table1[[#This Row],[AI_Exposure_Index]]&gt;=0.3,"Medium Exposure","Low Exposure"))</f>
        <v>High Exposure</v>
      </c>
    </row>
    <row r="2513" spans="1:20" x14ac:dyDescent="0.25">
      <c r="A2513" t="s">
        <v>21</v>
      </c>
      <c r="B2513">
        <v>105505</v>
      </c>
      <c r="C2513" s="1">
        <v>12</v>
      </c>
      <c r="D2513" t="s">
        <v>38</v>
      </c>
      <c r="E2513" s="7">
        <v>0.52</v>
      </c>
      <c r="F2513" s="2">
        <v>0.47</v>
      </c>
      <c r="G2513" s="7">
        <v>7.0000000000000007E-2</v>
      </c>
      <c r="H2513" s="9" t="s">
        <v>23</v>
      </c>
      <c r="I2513">
        <v>0.61</v>
      </c>
      <c r="J2513">
        <v>0.19</v>
      </c>
      <c r="K2513">
        <v>0.69</v>
      </c>
      <c r="L2513">
        <v>0.79</v>
      </c>
      <c r="M2513">
        <v>0.85</v>
      </c>
      <c r="N2513">
        <v>0.13</v>
      </c>
      <c r="O2513">
        <v>0.46</v>
      </c>
      <c r="P2513">
        <v>0.95</v>
      </c>
      <c r="Q2513">
        <v>0.77</v>
      </c>
      <c r="R2513" s="2">
        <v>0.12</v>
      </c>
      <c r="S2513" t="str">
        <f>IF(Table1[[#This Row],[Years_Experience]]&lt;=5,"Early Career",
IF(Table1[[#This Row],[Years_Experience]]&lt;=15,"Mid Career","Senior Level"))</f>
        <v>Mid Career</v>
      </c>
      <c r="T2513" t="str">
        <f>IF(Table1[[#This Row],[AI_Exposure_Index]]&gt;=0.7,"High Exposure", IF(Table1[[#This Row],[AI_Exposure_Index]]&gt;=0.3,"Medium Exposure","Low Exposure"))</f>
        <v>Medium Exposure</v>
      </c>
    </row>
    <row r="2514" spans="1:20" x14ac:dyDescent="0.25">
      <c r="A2514" t="s">
        <v>33</v>
      </c>
      <c r="B2514">
        <v>37109</v>
      </c>
      <c r="C2514" s="1">
        <v>19</v>
      </c>
      <c r="D2514" t="s">
        <v>25</v>
      </c>
      <c r="E2514" s="7">
        <v>1.21</v>
      </c>
      <c r="F2514" s="2">
        <v>0.05</v>
      </c>
      <c r="G2514" s="7">
        <v>0.91</v>
      </c>
      <c r="H2514" s="9" t="s">
        <v>20</v>
      </c>
      <c r="I2514">
        <v>0.7</v>
      </c>
      <c r="J2514">
        <v>0.64</v>
      </c>
      <c r="K2514">
        <v>0.25</v>
      </c>
      <c r="L2514">
        <v>0.49</v>
      </c>
      <c r="M2514">
        <v>0.72</v>
      </c>
      <c r="N2514">
        <v>0.19</v>
      </c>
      <c r="O2514">
        <v>0.48</v>
      </c>
      <c r="P2514">
        <v>0.12</v>
      </c>
      <c r="Q2514">
        <v>0.53</v>
      </c>
      <c r="R2514" s="2">
        <v>0.56999999999999995</v>
      </c>
      <c r="S2514" t="str">
        <f>IF(Table1[[#This Row],[Years_Experience]]&lt;=5,"Early Career",
IF(Table1[[#This Row],[Years_Experience]]&lt;=15,"Mid Career","Senior Level"))</f>
        <v>Senior Level</v>
      </c>
      <c r="T2514" t="str">
        <f>IF(Table1[[#This Row],[AI_Exposure_Index]]&gt;=0.7,"High Exposure", IF(Table1[[#This Row],[AI_Exposure_Index]]&gt;=0.3,"Medium Exposure","Low Exposure"))</f>
        <v>Low Exposure</v>
      </c>
    </row>
    <row r="2515" spans="1:20" x14ac:dyDescent="0.25">
      <c r="A2515" t="s">
        <v>28</v>
      </c>
      <c r="B2515">
        <v>97672</v>
      </c>
      <c r="C2515" s="1">
        <v>7</v>
      </c>
      <c r="D2515" t="s">
        <v>38</v>
      </c>
      <c r="E2515" s="7">
        <v>1.0900000000000001</v>
      </c>
      <c r="F2515" s="2">
        <v>0.47</v>
      </c>
      <c r="G2515" s="7">
        <v>0.7</v>
      </c>
      <c r="H2515" s="9" t="s">
        <v>27</v>
      </c>
      <c r="I2515">
        <v>0.62</v>
      </c>
      <c r="J2515">
        <v>0.75</v>
      </c>
      <c r="K2515">
        <v>0.19</v>
      </c>
      <c r="L2515">
        <v>0.53</v>
      </c>
      <c r="M2515">
        <v>0.01</v>
      </c>
      <c r="N2515">
        <v>0.03</v>
      </c>
      <c r="O2515">
        <v>0.32</v>
      </c>
      <c r="P2515">
        <v>0.47</v>
      </c>
      <c r="Q2515">
        <v>0.57999999999999996</v>
      </c>
      <c r="R2515" s="2">
        <v>0.89</v>
      </c>
      <c r="S2515" t="str">
        <f>IF(Table1[[#This Row],[Years_Experience]]&lt;=5,"Early Career",
IF(Table1[[#This Row],[Years_Experience]]&lt;=15,"Mid Career","Senior Level"))</f>
        <v>Mid Career</v>
      </c>
      <c r="T2515" t="str">
        <f>IF(Table1[[#This Row],[AI_Exposure_Index]]&gt;=0.7,"High Exposure", IF(Table1[[#This Row],[AI_Exposure_Index]]&gt;=0.3,"Medium Exposure","Low Exposure"))</f>
        <v>Medium Exposure</v>
      </c>
    </row>
    <row r="2516" spans="1:20" x14ac:dyDescent="0.25">
      <c r="A2516" t="s">
        <v>30</v>
      </c>
      <c r="B2516">
        <v>149593</v>
      </c>
      <c r="C2516" s="1">
        <v>19</v>
      </c>
      <c r="D2516" t="s">
        <v>25</v>
      </c>
      <c r="E2516" s="7">
        <v>1.24</v>
      </c>
      <c r="F2516" s="2">
        <v>0.3</v>
      </c>
      <c r="G2516" s="7">
        <v>0.52</v>
      </c>
      <c r="H2516" s="9" t="s">
        <v>27</v>
      </c>
      <c r="I2516">
        <v>0.78</v>
      </c>
      <c r="J2516">
        <v>0.41</v>
      </c>
      <c r="K2516">
        <v>0.09</v>
      </c>
      <c r="L2516">
        <v>0.62</v>
      </c>
      <c r="M2516">
        <v>0.56000000000000005</v>
      </c>
      <c r="N2516">
        <v>0.95</v>
      </c>
      <c r="O2516">
        <v>0.16</v>
      </c>
      <c r="P2516">
        <v>0.66</v>
      </c>
      <c r="Q2516">
        <v>0.47</v>
      </c>
      <c r="R2516" s="2">
        <v>0.38</v>
      </c>
      <c r="S2516" t="str">
        <f>IF(Table1[[#This Row],[Years_Experience]]&lt;=5,"Early Career",
IF(Table1[[#This Row],[Years_Experience]]&lt;=15,"Mid Career","Senior Level"))</f>
        <v>Senior Level</v>
      </c>
      <c r="T2516" t="str">
        <f>IF(Table1[[#This Row],[AI_Exposure_Index]]&gt;=0.7,"High Exposure", IF(Table1[[#This Row],[AI_Exposure_Index]]&gt;=0.3,"Medium Exposure","Low Exposure"))</f>
        <v>Medium Exposure</v>
      </c>
    </row>
    <row r="2517" spans="1:20" x14ac:dyDescent="0.25">
      <c r="A2517" t="s">
        <v>29</v>
      </c>
      <c r="B2517">
        <v>81108</v>
      </c>
      <c r="C2517" s="1">
        <v>6</v>
      </c>
      <c r="D2517" t="s">
        <v>19</v>
      </c>
      <c r="E2517" s="7">
        <v>0.9</v>
      </c>
      <c r="F2517" s="2">
        <v>0.48</v>
      </c>
      <c r="G2517" s="7">
        <v>0.17</v>
      </c>
      <c r="H2517" s="9" t="s">
        <v>23</v>
      </c>
      <c r="I2517">
        <v>0.94</v>
      </c>
      <c r="J2517">
        <v>0.66</v>
      </c>
      <c r="K2517">
        <v>0.28999999999999998</v>
      </c>
      <c r="L2517">
        <v>0.17</v>
      </c>
      <c r="M2517">
        <v>0.42</v>
      </c>
      <c r="N2517">
        <v>0.45</v>
      </c>
      <c r="O2517">
        <v>0.6</v>
      </c>
      <c r="P2517">
        <v>0.27</v>
      </c>
      <c r="Q2517">
        <v>0.77</v>
      </c>
      <c r="R2517" s="2">
        <v>0.1</v>
      </c>
      <c r="S2517" t="str">
        <f>IF(Table1[[#This Row],[Years_Experience]]&lt;=5,"Early Career",
IF(Table1[[#This Row],[Years_Experience]]&lt;=15,"Mid Career","Senior Level"))</f>
        <v>Mid Career</v>
      </c>
      <c r="T2517" t="str">
        <f>IF(Table1[[#This Row],[AI_Exposure_Index]]&gt;=0.7,"High Exposure", IF(Table1[[#This Row],[AI_Exposure_Index]]&gt;=0.3,"Medium Exposure","Low Exposure"))</f>
        <v>Medium Exposure</v>
      </c>
    </row>
    <row r="2518" spans="1:20" x14ac:dyDescent="0.25">
      <c r="A2518" t="s">
        <v>37</v>
      </c>
      <c r="B2518">
        <v>77197</v>
      </c>
      <c r="C2518" s="1">
        <v>3</v>
      </c>
      <c r="D2518" t="s">
        <v>38</v>
      </c>
      <c r="E2518" s="7">
        <v>1.39</v>
      </c>
      <c r="F2518" s="2">
        <v>0.83</v>
      </c>
      <c r="G2518" s="7">
        <v>0.61</v>
      </c>
      <c r="H2518" s="9" t="s">
        <v>27</v>
      </c>
      <c r="I2518">
        <v>0.57999999999999996</v>
      </c>
      <c r="J2518">
        <v>0.56999999999999995</v>
      </c>
      <c r="K2518">
        <v>0.47</v>
      </c>
      <c r="L2518">
        <v>0.23</v>
      </c>
      <c r="M2518">
        <v>0.38</v>
      </c>
      <c r="N2518">
        <v>0.99</v>
      </c>
      <c r="O2518">
        <v>0.15</v>
      </c>
      <c r="P2518">
        <v>0.54</v>
      </c>
      <c r="Q2518">
        <v>0.87</v>
      </c>
      <c r="R2518" s="2">
        <v>0.45</v>
      </c>
      <c r="S2518" t="str">
        <f>IF(Table1[[#This Row],[Years_Experience]]&lt;=5,"Early Career",
IF(Table1[[#This Row],[Years_Experience]]&lt;=15,"Mid Career","Senior Level"))</f>
        <v>Early Career</v>
      </c>
      <c r="T2518" t="str">
        <f>IF(Table1[[#This Row],[AI_Exposure_Index]]&gt;=0.7,"High Exposure", IF(Table1[[#This Row],[AI_Exposure_Index]]&gt;=0.3,"Medium Exposure","Low Exposure"))</f>
        <v>High Exposure</v>
      </c>
    </row>
    <row r="2519" spans="1:20" x14ac:dyDescent="0.25">
      <c r="A2519" t="s">
        <v>33</v>
      </c>
      <c r="B2519">
        <v>113499</v>
      </c>
      <c r="C2519" s="1">
        <v>6</v>
      </c>
      <c r="D2519" t="s">
        <v>19</v>
      </c>
      <c r="E2519" s="7">
        <v>0.93</v>
      </c>
      <c r="F2519" s="2">
        <v>0.17</v>
      </c>
      <c r="G2519" s="7">
        <v>0.94</v>
      </c>
      <c r="H2519" s="9" t="s">
        <v>20</v>
      </c>
      <c r="I2519">
        <v>0.09</v>
      </c>
      <c r="J2519">
        <v>0.59</v>
      </c>
      <c r="K2519">
        <v>0.92</v>
      </c>
      <c r="L2519">
        <v>0.95</v>
      </c>
      <c r="M2519">
        <v>0.85</v>
      </c>
      <c r="N2519">
        <v>0.86</v>
      </c>
      <c r="O2519">
        <v>0.65</v>
      </c>
      <c r="P2519">
        <v>0.22</v>
      </c>
      <c r="Q2519">
        <v>0.73</v>
      </c>
      <c r="R2519" s="2">
        <v>0.98</v>
      </c>
      <c r="S2519" t="str">
        <f>IF(Table1[[#This Row],[Years_Experience]]&lt;=5,"Early Career",
IF(Table1[[#This Row],[Years_Experience]]&lt;=15,"Mid Career","Senior Level"))</f>
        <v>Mid Career</v>
      </c>
      <c r="T2519" t="str">
        <f>IF(Table1[[#This Row],[AI_Exposure_Index]]&gt;=0.7,"High Exposure", IF(Table1[[#This Row],[AI_Exposure_Index]]&gt;=0.3,"Medium Exposure","Low Exposure"))</f>
        <v>Low Exposure</v>
      </c>
    </row>
    <row r="2520" spans="1:20" x14ac:dyDescent="0.25">
      <c r="A2520" t="s">
        <v>41</v>
      </c>
      <c r="B2520">
        <v>133462</v>
      </c>
      <c r="C2520" s="1">
        <v>6</v>
      </c>
      <c r="D2520" t="s">
        <v>19</v>
      </c>
      <c r="E2520" s="7">
        <v>1.07</v>
      </c>
      <c r="F2520" s="2">
        <v>0.26</v>
      </c>
      <c r="G2520" s="7">
        <v>0.87</v>
      </c>
      <c r="H2520" s="9" t="s">
        <v>20</v>
      </c>
      <c r="I2520">
        <v>0.21</v>
      </c>
      <c r="J2520">
        <v>0.72</v>
      </c>
      <c r="K2520">
        <v>0.59</v>
      </c>
      <c r="L2520">
        <v>0.61</v>
      </c>
      <c r="M2520">
        <v>0.31</v>
      </c>
      <c r="N2520">
        <v>0.16</v>
      </c>
      <c r="O2520">
        <v>0.62</v>
      </c>
      <c r="P2520">
        <v>0.59</v>
      </c>
      <c r="Q2520">
        <v>0.34</v>
      </c>
      <c r="R2520" s="2">
        <v>0.3</v>
      </c>
      <c r="S2520" t="str">
        <f>IF(Table1[[#This Row],[Years_Experience]]&lt;=5,"Early Career",
IF(Table1[[#This Row],[Years_Experience]]&lt;=15,"Mid Career","Senior Level"))</f>
        <v>Mid Career</v>
      </c>
      <c r="T2520" t="str">
        <f>IF(Table1[[#This Row],[AI_Exposure_Index]]&gt;=0.7,"High Exposure", IF(Table1[[#This Row],[AI_Exposure_Index]]&gt;=0.3,"Medium Exposure","Low Exposure"))</f>
        <v>Low Exposure</v>
      </c>
    </row>
    <row r="2521" spans="1:20" x14ac:dyDescent="0.25">
      <c r="A2521" t="s">
        <v>32</v>
      </c>
      <c r="B2521">
        <v>96393</v>
      </c>
      <c r="C2521" s="1">
        <v>13</v>
      </c>
      <c r="D2521" t="s">
        <v>19</v>
      </c>
      <c r="E2521" s="7">
        <v>1.47</v>
      </c>
      <c r="F2521" s="2">
        <v>0.49</v>
      </c>
      <c r="G2521" s="7">
        <v>0.61</v>
      </c>
      <c r="H2521" s="9" t="s">
        <v>27</v>
      </c>
      <c r="I2521">
        <v>0.85</v>
      </c>
      <c r="J2521">
        <v>0.51</v>
      </c>
      <c r="K2521">
        <v>0.53</v>
      </c>
      <c r="L2521">
        <v>0.2</v>
      </c>
      <c r="M2521">
        <v>0.72</v>
      </c>
      <c r="N2521">
        <v>0.42</v>
      </c>
      <c r="O2521">
        <v>0.74</v>
      </c>
      <c r="P2521">
        <v>0.41</v>
      </c>
      <c r="Q2521">
        <v>0.11</v>
      </c>
      <c r="R2521" s="2">
        <v>0.17</v>
      </c>
      <c r="S2521" t="str">
        <f>IF(Table1[[#This Row],[Years_Experience]]&lt;=5,"Early Career",
IF(Table1[[#This Row],[Years_Experience]]&lt;=15,"Mid Career","Senior Level"))</f>
        <v>Mid Career</v>
      </c>
      <c r="T2521" t="str">
        <f>IF(Table1[[#This Row],[AI_Exposure_Index]]&gt;=0.7,"High Exposure", IF(Table1[[#This Row],[AI_Exposure_Index]]&gt;=0.3,"Medium Exposure","Low Exposure"))</f>
        <v>Medium Exposure</v>
      </c>
    </row>
    <row r="2522" spans="1:20" x14ac:dyDescent="0.25">
      <c r="A2522" t="s">
        <v>24</v>
      </c>
      <c r="B2522">
        <v>99226</v>
      </c>
      <c r="C2522" s="1">
        <v>11</v>
      </c>
      <c r="D2522" t="s">
        <v>25</v>
      </c>
      <c r="E2522" s="7">
        <v>0.76</v>
      </c>
      <c r="F2522" s="2">
        <v>0.26</v>
      </c>
      <c r="G2522" s="7">
        <v>0.93</v>
      </c>
      <c r="H2522" s="9" t="s">
        <v>20</v>
      </c>
      <c r="I2522">
        <v>0.66</v>
      </c>
      <c r="J2522">
        <v>0.11</v>
      </c>
      <c r="K2522">
        <v>0.14000000000000001</v>
      </c>
      <c r="L2522">
        <v>0.27</v>
      </c>
      <c r="M2522">
        <v>0.59</v>
      </c>
      <c r="N2522">
        <v>0.75</v>
      </c>
      <c r="O2522">
        <v>0.27</v>
      </c>
      <c r="P2522">
        <v>0.87</v>
      </c>
      <c r="Q2522">
        <v>0.11</v>
      </c>
      <c r="R2522" s="2">
        <v>0.21</v>
      </c>
      <c r="S2522" t="str">
        <f>IF(Table1[[#This Row],[Years_Experience]]&lt;=5,"Early Career",
IF(Table1[[#This Row],[Years_Experience]]&lt;=15,"Mid Career","Senior Level"))</f>
        <v>Mid Career</v>
      </c>
      <c r="T2522" t="str">
        <f>IF(Table1[[#This Row],[AI_Exposure_Index]]&gt;=0.7,"High Exposure", IF(Table1[[#This Row],[AI_Exposure_Index]]&gt;=0.3,"Medium Exposure","Low Exposure"))</f>
        <v>Low Exposure</v>
      </c>
    </row>
    <row r="2523" spans="1:20" x14ac:dyDescent="0.25">
      <c r="A2523" t="s">
        <v>24</v>
      </c>
      <c r="B2523">
        <v>55483</v>
      </c>
      <c r="C2523" s="1">
        <v>1</v>
      </c>
      <c r="D2523" t="s">
        <v>38</v>
      </c>
      <c r="E2523" s="7">
        <v>1.39</v>
      </c>
      <c r="F2523" s="2">
        <v>0.13</v>
      </c>
      <c r="G2523" s="7">
        <v>0.88</v>
      </c>
      <c r="H2523" s="9" t="s">
        <v>20</v>
      </c>
      <c r="I2523">
        <v>7.0000000000000007E-2</v>
      </c>
      <c r="J2523">
        <v>0.48</v>
      </c>
      <c r="K2523">
        <v>0.52</v>
      </c>
      <c r="L2523">
        <v>0.93</v>
      </c>
      <c r="M2523">
        <v>0.42</v>
      </c>
      <c r="N2523">
        <v>0.45</v>
      </c>
      <c r="O2523">
        <v>0.11</v>
      </c>
      <c r="P2523">
        <v>0.64</v>
      </c>
      <c r="Q2523">
        <v>0.21</v>
      </c>
      <c r="R2523" s="2">
        <v>0.08</v>
      </c>
      <c r="S2523" t="str">
        <f>IF(Table1[[#This Row],[Years_Experience]]&lt;=5,"Early Career",
IF(Table1[[#This Row],[Years_Experience]]&lt;=15,"Mid Career","Senior Level"))</f>
        <v>Early Career</v>
      </c>
      <c r="T2523" t="str">
        <f>IF(Table1[[#This Row],[AI_Exposure_Index]]&gt;=0.7,"High Exposure", IF(Table1[[#This Row],[AI_Exposure_Index]]&gt;=0.3,"Medium Exposure","Low Exposure"))</f>
        <v>Low Exposure</v>
      </c>
    </row>
    <row r="2524" spans="1:20" x14ac:dyDescent="0.25">
      <c r="A2524" t="s">
        <v>34</v>
      </c>
      <c r="B2524">
        <v>35499</v>
      </c>
      <c r="C2524" s="1">
        <v>27</v>
      </c>
      <c r="D2524" t="s">
        <v>19</v>
      </c>
      <c r="E2524" s="7">
        <v>0.64</v>
      </c>
      <c r="F2524" s="2">
        <v>0.27</v>
      </c>
      <c r="G2524" s="7">
        <v>0.57999999999999996</v>
      </c>
      <c r="H2524" s="9" t="s">
        <v>27</v>
      </c>
      <c r="I2524">
        <v>0.82</v>
      </c>
      <c r="J2524">
        <v>0.06</v>
      </c>
      <c r="K2524">
        <v>0.11</v>
      </c>
      <c r="L2524">
        <v>0.09</v>
      </c>
      <c r="M2524">
        <v>0.05</v>
      </c>
      <c r="N2524">
        <v>0.66</v>
      </c>
      <c r="O2524">
        <v>0.59</v>
      </c>
      <c r="P2524">
        <v>0.66</v>
      </c>
      <c r="Q2524">
        <v>0.51</v>
      </c>
      <c r="R2524" s="2">
        <v>0.82</v>
      </c>
      <c r="S2524" t="str">
        <f>IF(Table1[[#This Row],[Years_Experience]]&lt;=5,"Early Career",
IF(Table1[[#This Row],[Years_Experience]]&lt;=15,"Mid Career","Senior Level"))</f>
        <v>Senior Level</v>
      </c>
      <c r="T2524" t="str">
        <f>IF(Table1[[#This Row],[AI_Exposure_Index]]&gt;=0.7,"High Exposure", IF(Table1[[#This Row],[AI_Exposure_Index]]&gt;=0.3,"Medium Exposure","Low Exposure"))</f>
        <v>Low Exposure</v>
      </c>
    </row>
    <row r="2525" spans="1:20" x14ac:dyDescent="0.25">
      <c r="A2525" t="s">
        <v>39</v>
      </c>
      <c r="B2525">
        <v>59737</v>
      </c>
      <c r="C2525" s="1">
        <v>15</v>
      </c>
      <c r="D2525" t="s">
        <v>38</v>
      </c>
      <c r="E2525" s="7">
        <v>0.99</v>
      </c>
      <c r="F2525" s="2">
        <v>0.92</v>
      </c>
      <c r="G2525" s="7">
        <v>0.9</v>
      </c>
      <c r="H2525" s="9" t="s">
        <v>20</v>
      </c>
      <c r="I2525">
        <v>0.41</v>
      </c>
      <c r="J2525">
        <v>0.44</v>
      </c>
      <c r="K2525">
        <v>0.85</v>
      </c>
      <c r="L2525">
        <v>0.11</v>
      </c>
      <c r="M2525">
        <v>0.56000000000000005</v>
      </c>
      <c r="N2525">
        <v>0.73</v>
      </c>
      <c r="O2525">
        <v>0.75</v>
      </c>
      <c r="P2525">
        <v>0.59</v>
      </c>
      <c r="Q2525">
        <v>0.45</v>
      </c>
      <c r="R2525" s="2">
        <v>0.26</v>
      </c>
      <c r="S2525" t="str">
        <f>IF(Table1[[#This Row],[Years_Experience]]&lt;=5,"Early Career",
IF(Table1[[#This Row],[Years_Experience]]&lt;=15,"Mid Career","Senior Level"))</f>
        <v>Mid Career</v>
      </c>
      <c r="T2525" t="str">
        <f>IF(Table1[[#This Row],[AI_Exposure_Index]]&gt;=0.7,"High Exposure", IF(Table1[[#This Row],[AI_Exposure_Index]]&gt;=0.3,"Medium Exposure","Low Exposure"))</f>
        <v>High Exposure</v>
      </c>
    </row>
    <row r="2526" spans="1:20" x14ac:dyDescent="0.25">
      <c r="A2526" t="s">
        <v>39</v>
      </c>
      <c r="B2526">
        <v>40364</v>
      </c>
      <c r="C2526" s="1">
        <v>0</v>
      </c>
      <c r="D2526" t="s">
        <v>19</v>
      </c>
      <c r="E2526" s="7">
        <v>1.3</v>
      </c>
      <c r="F2526" s="2">
        <v>0.37</v>
      </c>
      <c r="G2526" s="7">
        <v>0.71</v>
      </c>
      <c r="H2526" s="9" t="s">
        <v>20</v>
      </c>
      <c r="I2526">
        <v>0.23</v>
      </c>
      <c r="J2526">
        <v>0.35</v>
      </c>
      <c r="K2526">
        <v>0.67</v>
      </c>
      <c r="L2526">
        <v>0.32</v>
      </c>
      <c r="M2526">
        <v>0.04</v>
      </c>
      <c r="N2526">
        <v>0.17</v>
      </c>
      <c r="O2526">
        <v>0.26</v>
      </c>
      <c r="P2526">
        <v>0.18</v>
      </c>
      <c r="Q2526">
        <v>0.2</v>
      </c>
      <c r="R2526" s="2">
        <v>0.77</v>
      </c>
      <c r="S2526" t="str">
        <f>IF(Table1[[#This Row],[Years_Experience]]&lt;=5,"Early Career",
IF(Table1[[#This Row],[Years_Experience]]&lt;=15,"Mid Career","Senior Level"))</f>
        <v>Early Career</v>
      </c>
      <c r="T2526" t="str">
        <f>IF(Table1[[#This Row],[AI_Exposure_Index]]&gt;=0.7,"High Exposure", IF(Table1[[#This Row],[AI_Exposure_Index]]&gt;=0.3,"Medium Exposure","Low Exposure"))</f>
        <v>Medium Exposure</v>
      </c>
    </row>
    <row r="2527" spans="1:20" x14ac:dyDescent="0.25">
      <c r="A2527" t="s">
        <v>34</v>
      </c>
      <c r="B2527">
        <v>97954</v>
      </c>
      <c r="C2527" s="1">
        <v>20</v>
      </c>
      <c r="D2527" t="s">
        <v>19</v>
      </c>
      <c r="E2527" s="7">
        <v>1.47</v>
      </c>
      <c r="F2527" s="2">
        <v>0.41</v>
      </c>
      <c r="G2527" s="7">
        <v>0.48</v>
      </c>
      <c r="H2527" s="9" t="s">
        <v>27</v>
      </c>
      <c r="I2527">
        <v>0.93</v>
      </c>
      <c r="J2527">
        <v>0.3</v>
      </c>
      <c r="K2527">
        <v>0.4</v>
      </c>
      <c r="L2527">
        <v>0.4</v>
      </c>
      <c r="M2527">
        <v>0.55000000000000004</v>
      </c>
      <c r="N2527">
        <v>0.57999999999999996</v>
      </c>
      <c r="O2527">
        <v>0.25</v>
      </c>
      <c r="P2527">
        <v>0.79</v>
      </c>
      <c r="Q2527">
        <v>0.5</v>
      </c>
      <c r="R2527" s="2">
        <v>0.01</v>
      </c>
      <c r="S2527" t="str">
        <f>IF(Table1[[#This Row],[Years_Experience]]&lt;=5,"Early Career",
IF(Table1[[#This Row],[Years_Experience]]&lt;=15,"Mid Career","Senior Level"))</f>
        <v>Senior Level</v>
      </c>
      <c r="T2527" t="str">
        <f>IF(Table1[[#This Row],[AI_Exposure_Index]]&gt;=0.7,"High Exposure", IF(Table1[[#This Row],[AI_Exposure_Index]]&gt;=0.3,"Medium Exposure","Low Exposure"))</f>
        <v>Medium Exposure</v>
      </c>
    </row>
    <row r="2528" spans="1:20" x14ac:dyDescent="0.25">
      <c r="A2528" t="s">
        <v>33</v>
      </c>
      <c r="B2528">
        <v>36534</v>
      </c>
      <c r="C2528" s="1">
        <v>24</v>
      </c>
      <c r="D2528" t="s">
        <v>25</v>
      </c>
      <c r="E2528" s="7">
        <v>0.75</v>
      </c>
      <c r="F2528" s="2">
        <v>0.8</v>
      </c>
      <c r="G2528" s="7">
        <v>0.71</v>
      </c>
      <c r="H2528" s="9" t="s">
        <v>20</v>
      </c>
      <c r="I2528">
        <v>0.81</v>
      </c>
      <c r="J2528">
        <v>0.98</v>
      </c>
      <c r="K2528">
        <v>0.08</v>
      </c>
      <c r="L2528">
        <v>0.94</v>
      </c>
      <c r="M2528">
        <v>0.36</v>
      </c>
      <c r="N2528">
        <v>0.94</v>
      </c>
      <c r="O2528">
        <v>0.65</v>
      </c>
      <c r="P2528">
        <v>0.89</v>
      </c>
      <c r="Q2528">
        <v>0.79</v>
      </c>
      <c r="R2528" s="2">
        <v>0.03</v>
      </c>
      <c r="S2528" t="str">
        <f>IF(Table1[[#This Row],[Years_Experience]]&lt;=5,"Early Career",
IF(Table1[[#This Row],[Years_Experience]]&lt;=15,"Mid Career","Senior Level"))</f>
        <v>Senior Level</v>
      </c>
      <c r="T2528" t="str">
        <f>IF(Table1[[#This Row],[AI_Exposure_Index]]&gt;=0.7,"High Exposure", IF(Table1[[#This Row],[AI_Exposure_Index]]&gt;=0.3,"Medium Exposure","Low Exposure"))</f>
        <v>High Exposure</v>
      </c>
    </row>
    <row r="2529" spans="1:20" x14ac:dyDescent="0.25">
      <c r="A2529" t="s">
        <v>21</v>
      </c>
      <c r="B2529">
        <v>85012</v>
      </c>
      <c r="C2529" s="1">
        <v>4</v>
      </c>
      <c r="D2529" t="s">
        <v>19</v>
      </c>
      <c r="E2529" s="7">
        <v>0.63</v>
      </c>
      <c r="F2529" s="2">
        <v>0.53</v>
      </c>
      <c r="G2529" s="7">
        <v>0.17</v>
      </c>
      <c r="H2529" s="9" t="s">
        <v>23</v>
      </c>
      <c r="I2529">
        <v>0.95</v>
      </c>
      <c r="J2529">
        <v>0.28999999999999998</v>
      </c>
      <c r="K2529">
        <v>0.49</v>
      </c>
      <c r="L2529">
        <v>0.38</v>
      </c>
      <c r="M2529">
        <v>0.63</v>
      </c>
      <c r="N2529">
        <v>0.19</v>
      </c>
      <c r="O2529">
        <v>0.26</v>
      </c>
      <c r="P2529">
        <v>0.86</v>
      </c>
      <c r="Q2529">
        <v>0.81</v>
      </c>
      <c r="R2529" s="2">
        <v>0.79</v>
      </c>
      <c r="S2529" t="str">
        <f>IF(Table1[[#This Row],[Years_Experience]]&lt;=5,"Early Career",
IF(Table1[[#This Row],[Years_Experience]]&lt;=15,"Mid Career","Senior Level"))</f>
        <v>Early Career</v>
      </c>
      <c r="T2529" t="str">
        <f>IF(Table1[[#This Row],[AI_Exposure_Index]]&gt;=0.7,"High Exposure", IF(Table1[[#This Row],[AI_Exposure_Index]]&gt;=0.3,"Medium Exposure","Low Exposure"))</f>
        <v>Medium Exposure</v>
      </c>
    </row>
    <row r="2530" spans="1:20" x14ac:dyDescent="0.25">
      <c r="A2530" t="s">
        <v>24</v>
      </c>
      <c r="B2530">
        <v>94712</v>
      </c>
      <c r="C2530" s="1">
        <v>25</v>
      </c>
      <c r="D2530" t="s">
        <v>25</v>
      </c>
      <c r="E2530" s="7">
        <v>1.23</v>
      </c>
      <c r="F2530" s="2">
        <v>0.46</v>
      </c>
      <c r="G2530" s="7">
        <v>0.8</v>
      </c>
      <c r="H2530" s="9" t="s">
        <v>20</v>
      </c>
      <c r="I2530">
        <v>0.1</v>
      </c>
      <c r="J2530">
        <v>0.39</v>
      </c>
      <c r="K2530">
        <v>0.16</v>
      </c>
      <c r="L2530">
        <v>0.39</v>
      </c>
      <c r="M2530">
        <v>0.3</v>
      </c>
      <c r="N2530">
        <v>0.6</v>
      </c>
      <c r="O2530">
        <v>0.36</v>
      </c>
      <c r="P2530">
        <v>0.71</v>
      </c>
      <c r="Q2530">
        <v>0.51</v>
      </c>
      <c r="R2530" s="2">
        <v>0.92</v>
      </c>
      <c r="S2530" t="str">
        <f>IF(Table1[[#This Row],[Years_Experience]]&lt;=5,"Early Career",
IF(Table1[[#This Row],[Years_Experience]]&lt;=15,"Mid Career","Senior Level"))</f>
        <v>Senior Level</v>
      </c>
      <c r="T2530" t="str">
        <f>IF(Table1[[#This Row],[AI_Exposure_Index]]&gt;=0.7,"High Exposure", IF(Table1[[#This Row],[AI_Exposure_Index]]&gt;=0.3,"Medium Exposure","Low Exposure"))</f>
        <v>Medium Exposure</v>
      </c>
    </row>
    <row r="2531" spans="1:20" x14ac:dyDescent="0.25">
      <c r="A2531" t="s">
        <v>31</v>
      </c>
      <c r="B2531">
        <v>124580</v>
      </c>
      <c r="C2531" s="1">
        <v>12</v>
      </c>
      <c r="D2531" t="s">
        <v>38</v>
      </c>
      <c r="E2531" s="7">
        <v>1.17</v>
      </c>
      <c r="F2531" s="2">
        <v>0.69</v>
      </c>
      <c r="G2531" s="7">
        <v>0.28999999999999998</v>
      </c>
      <c r="H2531" s="9" t="s">
        <v>23</v>
      </c>
      <c r="I2531">
        <v>0.37</v>
      </c>
      <c r="J2531">
        <v>0.31</v>
      </c>
      <c r="K2531">
        <v>0.17</v>
      </c>
      <c r="L2531">
        <v>0.27</v>
      </c>
      <c r="M2531">
        <v>0.5</v>
      </c>
      <c r="N2531">
        <v>0.84</v>
      </c>
      <c r="O2531">
        <v>0.28000000000000003</v>
      </c>
      <c r="P2531">
        <v>0.16</v>
      </c>
      <c r="Q2531">
        <v>0.27</v>
      </c>
      <c r="R2531" s="2">
        <v>0.1</v>
      </c>
      <c r="S2531" t="str">
        <f>IF(Table1[[#This Row],[Years_Experience]]&lt;=5,"Early Career",
IF(Table1[[#This Row],[Years_Experience]]&lt;=15,"Mid Career","Senior Level"))</f>
        <v>Mid Career</v>
      </c>
      <c r="T2531" t="str">
        <f>IF(Table1[[#This Row],[AI_Exposure_Index]]&gt;=0.7,"High Exposure", IF(Table1[[#This Row],[AI_Exposure_Index]]&gt;=0.3,"Medium Exposure","Low Exposure"))</f>
        <v>Medium Exposure</v>
      </c>
    </row>
    <row r="2532" spans="1:20" x14ac:dyDescent="0.25">
      <c r="A2532" t="s">
        <v>34</v>
      </c>
      <c r="B2532">
        <v>89151</v>
      </c>
      <c r="C2532" s="1">
        <v>8</v>
      </c>
      <c r="D2532" t="s">
        <v>22</v>
      </c>
      <c r="E2532" s="7">
        <v>0.86</v>
      </c>
      <c r="F2532" s="2">
        <v>0.08</v>
      </c>
      <c r="G2532" s="7">
        <v>0.5</v>
      </c>
      <c r="H2532" s="9" t="s">
        <v>27</v>
      </c>
      <c r="I2532">
        <v>0.43</v>
      </c>
      <c r="J2532">
        <v>0.28000000000000003</v>
      </c>
      <c r="K2532">
        <v>0.28999999999999998</v>
      </c>
      <c r="L2532">
        <v>0.63</v>
      </c>
      <c r="M2532">
        <v>0.72</v>
      </c>
      <c r="N2532">
        <v>0.57999999999999996</v>
      </c>
      <c r="O2532">
        <v>0.98</v>
      </c>
      <c r="P2532">
        <v>0.94</v>
      </c>
      <c r="Q2532">
        <v>0.1</v>
      </c>
      <c r="R2532" s="2">
        <v>0.26</v>
      </c>
      <c r="S2532" t="str">
        <f>IF(Table1[[#This Row],[Years_Experience]]&lt;=5,"Early Career",
IF(Table1[[#This Row],[Years_Experience]]&lt;=15,"Mid Career","Senior Level"))</f>
        <v>Mid Career</v>
      </c>
      <c r="T2532" t="str">
        <f>IF(Table1[[#This Row],[AI_Exposure_Index]]&gt;=0.7,"High Exposure", IF(Table1[[#This Row],[AI_Exposure_Index]]&gt;=0.3,"Medium Exposure","Low Exposure"))</f>
        <v>Low Exposure</v>
      </c>
    </row>
    <row r="2533" spans="1:20" x14ac:dyDescent="0.25">
      <c r="A2533" t="s">
        <v>36</v>
      </c>
      <c r="B2533">
        <v>100529</v>
      </c>
      <c r="C2533" s="1">
        <v>26</v>
      </c>
      <c r="D2533" t="s">
        <v>38</v>
      </c>
      <c r="E2533" s="7">
        <v>1.0900000000000001</v>
      </c>
      <c r="F2533" s="2">
        <v>0.03</v>
      </c>
      <c r="G2533" s="7">
        <v>0.68</v>
      </c>
      <c r="H2533" s="9" t="s">
        <v>27</v>
      </c>
      <c r="I2533">
        <v>0.68</v>
      </c>
      <c r="J2533">
        <v>0.09</v>
      </c>
      <c r="K2533">
        <v>0.75</v>
      </c>
      <c r="L2533">
        <v>0.38</v>
      </c>
      <c r="M2533">
        <v>0.92</v>
      </c>
      <c r="N2533">
        <v>0.28999999999999998</v>
      </c>
      <c r="O2533">
        <v>0.47</v>
      </c>
      <c r="P2533">
        <v>0.75</v>
      </c>
      <c r="Q2533">
        <v>0.26</v>
      </c>
      <c r="R2533" s="2">
        <v>0.18</v>
      </c>
      <c r="S2533" t="str">
        <f>IF(Table1[[#This Row],[Years_Experience]]&lt;=5,"Early Career",
IF(Table1[[#This Row],[Years_Experience]]&lt;=15,"Mid Career","Senior Level"))</f>
        <v>Senior Level</v>
      </c>
      <c r="T2533" t="str">
        <f>IF(Table1[[#This Row],[AI_Exposure_Index]]&gt;=0.7,"High Exposure", IF(Table1[[#This Row],[AI_Exposure_Index]]&gt;=0.3,"Medium Exposure","Low Exposure"))</f>
        <v>Low Exposure</v>
      </c>
    </row>
    <row r="2534" spans="1:20" x14ac:dyDescent="0.25">
      <c r="A2534" t="s">
        <v>39</v>
      </c>
      <c r="B2534">
        <v>127054</v>
      </c>
      <c r="C2534" s="1">
        <v>27</v>
      </c>
      <c r="D2534" t="s">
        <v>19</v>
      </c>
      <c r="E2534" s="7">
        <v>1.43</v>
      </c>
      <c r="F2534" s="2">
        <v>0.49</v>
      </c>
      <c r="G2534" s="7">
        <v>0.77</v>
      </c>
      <c r="H2534" s="9" t="s">
        <v>20</v>
      </c>
      <c r="I2534">
        <v>0.04</v>
      </c>
      <c r="J2534">
        <v>0.62</v>
      </c>
      <c r="K2534">
        <v>0.06</v>
      </c>
      <c r="L2534">
        <v>0.51</v>
      </c>
      <c r="M2534">
        <v>0.38</v>
      </c>
      <c r="N2534">
        <v>0.48</v>
      </c>
      <c r="O2534">
        <v>0.16</v>
      </c>
      <c r="P2534">
        <v>0.09</v>
      </c>
      <c r="Q2534">
        <v>0.75</v>
      </c>
      <c r="R2534" s="2">
        <v>0.25</v>
      </c>
      <c r="S2534" t="str">
        <f>IF(Table1[[#This Row],[Years_Experience]]&lt;=5,"Early Career",
IF(Table1[[#This Row],[Years_Experience]]&lt;=15,"Mid Career","Senior Level"))</f>
        <v>Senior Level</v>
      </c>
      <c r="T2534" t="str">
        <f>IF(Table1[[#This Row],[AI_Exposure_Index]]&gt;=0.7,"High Exposure", IF(Table1[[#This Row],[AI_Exposure_Index]]&gt;=0.3,"Medium Exposure","Low Exposure"))</f>
        <v>Medium Exposure</v>
      </c>
    </row>
    <row r="2535" spans="1:20" x14ac:dyDescent="0.25">
      <c r="A2535" t="s">
        <v>29</v>
      </c>
      <c r="B2535">
        <v>68899</v>
      </c>
      <c r="C2535" s="1">
        <v>11</v>
      </c>
      <c r="D2535" t="s">
        <v>38</v>
      </c>
      <c r="E2535" s="7">
        <v>0.7</v>
      </c>
      <c r="F2535" s="2">
        <v>0.76</v>
      </c>
      <c r="G2535" s="7">
        <v>0.28000000000000003</v>
      </c>
      <c r="H2535" s="9" t="s">
        <v>23</v>
      </c>
      <c r="I2535">
        <v>0.16</v>
      </c>
      <c r="J2535">
        <v>0.8</v>
      </c>
      <c r="K2535">
        <v>0.42</v>
      </c>
      <c r="L2535">
        <v>0.18</v>
      </c>
      <c r="M2535">
        <v>0.94</v>
      </c>
      <c r="N2535">
        <v>0.96</v>
      </c>
      <c r="O2535">
        <v>0.51</v>
      </c>
      <c r="P2535">
        <v>0.47</v>
      </c>
      <c r="Q2535">
        <v>0.9</v>
      </c>
      <c r="R2535" s="2">
        <v>0.6</v>
      </c>
      <c r="S2535" t="str">
        <f>IF(Table1[[#This Row],[Years_Experience]]&lt;=5,"Early Career",
IF(Table1[[#This Row],[Years_Experience]]&lt;=15,"Mid Career","Senior Level"))</f>
        <v>Mid Career</v>
      </c>
      <c r="T2535" t="str">
        <f>IF(Table1[[#This Row],[AI_Exposure_Index]]&gt;=0.7,"High Exposure", IF(Table1[[#This Row],[AI_Exposure_Index]]&gt;=0.3,"Medium Exposure","Low Exposure"))</f>
        <v>High Exposure</v>
      </c>
    </row>
    <row r="2536" spans="1:20" x14ac:dyDescent="0.25">
      <c r="A2536" t="s">
        <v>42</v>
      </c>
      <c r="B2536">
        <v>102564</v>
      </c>
      <c r="C2536" s="1">
        <v>14</v>
      </c>
      <c r="D2536" t="s">
        <v>25</v>
      </c>
      <c r="E2536" s="7">
        <v>1.34</v>
      </c>
      <c r="F2536" s="2">
        <v>0.43</v>
      </c>
      <c r="G2536" s="7">
        <v>0.64</v>
      </c>
      <c r="H2536" s="9" t="s">
        <v>27</v>
      </c>
      <c r="I2536">
        <v>0.94</v>
      </c>
      <c r="J2536">
        <v>0.28999999999999998</v>
      </c>
      <c r="K2536">
        <v>0.68</v>
      </c>
      <c r="L2536">
        <v>7.0000000000000007E-2</v>
      </c>
      <c r="M2536">
        <v>0.73</v>
      </c>
      <c r="N2536">
        <v>0.56000000000000005</v>
      </c>
      <c r="O2536">
        <v>0.25</v>
      </c>
      <c r="P2536">
        <v>0.65</v>
      </c>
      <c r="Q2536">
        <v>0.14000000000000001</v>
      </c>
      <c r="R2536" s="2">
        <v>0.33</v>
      </c>
      <c r="S2536" t="str">
        <f>IF(Table1[[#This Row],[Years_Experience]]&lt;=5,"Early Career",
IF(Table1[[#This Row],[Years_Experience]]&lt;=15,"Mid Career","Senior Level"))</f>
        <v>Mid Career</v>
      </c>
      <c r="T2536" t="str">
        <f>IF(Table1[[#This Row],[AI_Exposure_Index]]&gt;=0.7,"High Exposure", IF(Table1[[#This Row],[AI_Exposure_Index]]&gt;=0.3,"Medium Exposure","Low Exposure"))</f>
        <v>Medium Exposure</v>
      </c>
    </row>
    <row r="2537" spans="1:20" x14ac:dyDescent="0.25">
      <c r="A2537" t="s">
        <v>32</v>
      </c>
      <c r="B2537">
        <v>47928</v>
      </c>
      <c r="C2537" s="1">
        <v>17</v>
      </c>
      <c r="D2537" t="s">
        <v>25</v>
      </c>
      <c r="E2537" s="7">
        <v>0.81</v>
      </c>
      <c r="F2537" s="2">
        <v>0.78</v>
      </c>
      <c r="G2537" s="7">
        <v>0.32</v>
      </c>
      <c r="H2537" s="9" t="s">
        <v>27</v>
      </c>
      <c r="I2537">
        <v>0.18</v>
      </c>
      <c r="J2537">
        <v>0.61</v>
      </c>
      <c r="K2537">
        <v>0.02</v>
      </c>
      <c r="L2537">
        <v>0.79</v>
      </c>
      <c r="M2537">
        <v>0.9</v>
      </c>
      <c r="N2537">
        <v>0.5</v>
      </c>
      <c r="O2537">
        <v>0.71</v>
      </c>
      <c r="P2537">
        <v>0.46</v>
      </c>
      <c r="Q2537">
        <v>0.31</v>
      </c>
      <c r="R2537" s="2">
        <v>0.16</v>
      </c>
      <c r="S2537" t="str">
        <f>IF(Table1[[#This Row],[Years_Experience]]&lt;=5,"Early Career",
IF(Table1[[#This Row],[Years_Experience]]&lt;=15,"Mid Career","Senior Level"))</f>
        <v>Senior Level</v>
      </c>
      <c r="T2537" t="str">
        <f>IF(Table1[[#This Row],[AI_Exposure_Index]]&gt;=0.7,"High Exposure", IF(Table1[[#This Row],[AI_Exposure_Index]]&gt;=0.3,"Medium Exposure","Low Exposure"))</f>
        <v>High Exposure</v>
      </c>
    </row>
    <row r="2538" spans="1:20" x14ac:dyDescent="0.25">
      <c r="A2538" t="s">
        <v>18</v>
      </c>
      <c r="B2538">
        <v>48560</v>
      </c>
      <c r="C2538" s="1">
        <v>21</v>
      </c>
      <c r="D2538" t="s">
        <v>22</v>
      </c>
      <c r="E2538" s="7">
        <v>1.39</v>
      </c>
      <c r="F2538" s="2">
        <v>0.93</v>
      </c>
      <c r="G2538" s="7">
        <v>0.93</v>
      </c>
      <c r="H2538" s="9" t="s">
        <v>20</v>
      </c>
      <c r="I2538">
        <v>0.97</v>
      </c>
      <c r="J2538">
        <v>0.17</v>
      </c>
      <c r="K2538">
        <v>0.15</v>
      </c>
      <c r="L2538">
        <v>0.43</v>
      </c>
      <c r="M2538">
        <v>0.69</v>
      </c>
      <c r="N2538">
        <v>0.44</v>
      </c>
      <c r="O2538">
        <v>0.89</v>
      </c>
      <c r="P2538">
        <v>0.72</v>
      </c>
      <c r="Q2538">
        <v>0.63</v>
      </c>
      <c r="R2538" s="2">
        <v>7.0000000000000007E-2</v>
      </c>
      <c r="S2538" t="str">
        <f>IF(Table1[[#This Row],[Years_Experience]]&lt;=5,"Early Career",
IF(Table1[[#This Row],[Years_Experience]]&lt;=15,"Mid Career","Senior Level"))</f>
        <v>Senior Level</v>
      </c>
      <c r="T2538" t="str">
        <f>IF(Table1[[#This Row],[AI_Exposure_Index]]&gt;=0.7,"High Exposure", IF(Table1[[#This Row],[AI_Exposure_Index]]&gt;=0.3,"Medium Exposure","Low Exposure"))</f>
        <v>High Exposure</v>
      </c>
    </row>
    <row r="2539" spans="1:20" x14ac:dyDescent="0.25">
      <c r="A2539" t="s">
        <v>41</v>
      </c>
      <c r="B2539">
        <v>81290</v>
      </c>
      <c r="C2539" s="1">
        <v>20</v>
      </c>
      <c r="D2539" t="s">
        <v>22</v>
      </c>
      <c r="E2539" s="7">
        <v>1.48</v>
      </c>
      <c r="F2539" s="2">
        <v>0.43</v>
      </c>
      <c r="G2539" s="7">
        <v>0.78</v>
      </c>
      <c r="H2539" s="9" t="s">
        <v>20</v>
      </c>
      <c r="I2539">
        <v>0.63</v>
      </c>
      <c r="J2539">
        <v>0.99</v>
      </c>
      <c r="K2539">
        <v>0.26</v>
      </c>
      <c r="L2539">
        <v>0.17</v>
      </c>
      <c r="M2539">
        <v>0.55000000000000004</v>
      </c>
      <c r="N2539">
        <v>0.55000000000000004</v>
      </c>
      <c r="O2539">
        <v>0.92</v>
      </c>
      <c r="P2539">
        <v>0.03</v>
      </c>
      <c r="Q2539">
        <v>0.41</v>
      </c>
      <c r="R2539" s="2">
        <v>0.31</v>
      </c>
      <c r="S2539" t="str">
        <f>IF(Table1[[#This Row],[Years_Experience]]&lt;=5,"Early Career",
IF(Table1[[#This Row],[Years_Experience]]&lt;=15,"Mid Career","Senior Level"))</f>
        <v>Senior Level</v>
      </c>
      <c r="T2539" t="str">
        <f>IF(Table1[[#This Row],[AI_Exposure_Index]]&gt;=0.7,"High Exposure", IF(Table1[[#This Row],[AI_Exposure_Index]]&gt;=0.3,"Medium Exposure","Low Exposure"))</f>
        <v>Medium Exposure</v>
      </c>
    </row>
    <row r="2540" spans="1:20" x14ac:dyDescent="0.25">
      <c r="A2540" t="s">
        <v>33</v>
      </c>
      <c r="B2540">
        <v>63897</v>
      </c>
      <c r="C2540" s="1">
        <v>4</v>
      </c>
      <c r="D2540" t="s">
        <v>25</v>
      </c>
      <c r="E2540" s="7">
        <v>1.33</v>
      </c>
      <c r="F2540" s="2">
        <v>0.03</v>
      </c>
      <c r="G2540" s="7">
        <v>0.79</v>
      </c>
      <c r="H2540" s="9" t="s">
        <v>20</v>
      </c>
      <c r="I2540">
        <v>0.25</v>
      </c>
      <c r="J2540">
        <v>0.57999999999999996</v>
      </c>
      <c r="K2540">
        <v>0.7</v>
      </c>
      <c r="L2540">
        <v>0.81</v>
      </c>
      <c r="M2540">
        <v>0.35</v>
      </c>
      <c r="N2540">
        <v>0.81</v>
      </c>
      <c r="O2540">
        <v>0.46</v>
      </c>
      <c r="P2540">
        <v>0.1</v>
      </c>
      <c r="Q2540">
        <v>0.85</v>
      </c>
      <c r="R2540" s="2">
        <v>0.55000000000000004</v>
      </c>
      <c r="S2540" t="str">
        <f>IF(Table1[[#This Row],[Years_Experience]]&lt;=5,"Early Career",
IF(Table1[[#This Row],[Years_Experience]]&lt;=15,"Mid Career","Senior Level"))</f>
        <v>Early Career</v>
      </c>
      <c r="T2540" t="str">
        <f>IF(Table1[[#This Row],[AI_Exposure_Index]]&gt;=0.7,"High Exposure", IF(Table1[[#This Row],[AI_Exposure_Index]]&gt;=0.3,"Medium Exposure","Low Exposure"))</f>
        <v>Low Exposure</v>
      </c>
    </row>
    <row r="2541" spans="1:20" x14ac:dyDescent="0.25">
      <c r="A2541" t="s">
        <v>26</v>
      </c>
      <c r="B2541">
        <v>124752</v>
      </c>
      <c r="C2541" s="1">
        <v>29</v>
      </c>
      <c r="D2541" t="s">
        <v>22</v>
      </c>
      <c r="E2541" s="7">
        <v>1.06</v>
      </c>
      <c r="F2541" s="2">
        <v>0.94</v>
      </c>
      <c r="G2541" s="7">
        <v>0.3</v>
      </c>
      <c r="H2541" s="9" t="s">
        <v>23</v>
      </c>
      <c r="I2541">
        <v>0.87</v>
      </c>
      <c r="J2541">
        <v>0.28000000000000003</v>
      </c>
      <c r="K2541">
        <v>0.5</v>
      </c>
      <c r="L2541">
        <v>0.2</v>
      </c>
      <c r="M2541">
        <v>0.3</v>
      </c>
      <c r="N2541">
        <v>0.69</v>
      </c>
      <c r="O2541">
        <v>0.43</v>
      </c>
      <c r="P2541">
        <v>0.63</v>
      </c>
      <c r="Q2541">
        <v>0.82</v>
      </c>
      <c r="R2541" s="2">
        <v>0.34</v>
      </c>
      <c r="S2541" t="str">
        <f>IF(Table1[[#This Row],[Years_Experience]]&lt;=5,"Early Career",
IF(Table1[[#This Row],[Years_Experience]]&lt;=15,"Mid Career","Senior Level"))</f>
        <v>Senior Level</v>
      </c>
      <c r="T2541" t="str">
        <f>IF(Table1[[#This Row],[AI_Exposure_Index]]&gt;=0.7,"High Exposure", IF(Table1[[#This Row],[AI_Exposure_Index]]&gt;=0.3,"Medium Exposure","Low Exposure"))</f>
        <v>High Exposure</v>
      </c>
    </row>
    <row r="2542" spans="1:20" x14ac:dyDescent="0.25">
      <c r="A2542" t="s">
        <v>26</v>
      </c>
      <c r="B2542">
        <v>78008</v>
      </c>
      <c r="C2542" s="1">
        <v>19</v>
      </c>
      <c r="D2542" t="s">
        <v>38</v>
      </c>
      <c r="E2542" s="7">
        <v>1.22</v>
      </c>
      <c r="F2542" s="2">
        <v>0.78</v>
      </c>
      <c r="G2542" s="7">
        <v>0.52</v>
      </c>
      <c r="H2542" s="9" t="s">
        <v>27</v>
      </c>
      <c r="I2542">
        <v>0.38</v>
      </c>
      <c r="J2542">
        <v>0.41</v>
      </c>
      <c r="K2542">
        <v>0.43</v>
      </c>
      <c r="L2542">
        <v>0.35</v>
      </c>
      <c r="M2542">
        <v>0.7</v>
      </c>
      <c r="N2542">
        <v>0.13</v>
      </c>
      <c r="O2542">
        <v>0.97</v>
      </c>
      <c r="P2542">
        <v>0.78</v>
      </c>
      <c r="Q2542">
        <v>0.3</v>
      </c>
      <c r="R2542" s="2">
        <v>0.04</v>
      </c>
      <c r="S2542" t="str">
        <f>IF(Table1[[#This Row],[Years_Experience]]&lt;=5,"Early Career",
IF(Table1[[#This Row],[Years_Experience]]&lt;=15,"Mid Career","Senior Level"))</f>
        <v>Senior Level</v>
      </c>
      <c r="T2542" t="str">
        <f>IF(Table1[[#This Row],[AI_Exposure_Index]]&gt;=0.7,"High Exposure", IF(Table1[[#This Row],[AI_Exposure_Index]]&gt;=0.3,"Medium Exposure","Low Exposure"))</f>
        <v>High Exposure</v>
      </c>
    </row>
    <row r="2543" spans="1:20" x14ac:dyDescent="0.25">
      <c r="A2543" t="s">
        <v>41</v>
      </c>
      <c r="B2543">
        <v>75018</v>
      </c>
      <c r="C2543" s="1">
        <v>16</v>
      </c>
      <c r="D2543" t="s">
        <v>25</v>
      </c>
      <c r="E2543" s="7">
        <v>0.93</v>
      </c>
      <c r="F2543" s="2">
        <v>0.55000000000000004</v>
      </c>
      <c r="G2543" s="7">
        <v>0.83</v>
      </c>
      <c r="H2543" s="9" t="s">
        <v>20</v>
      </c>
      <c r="I2543">
        <v>0.66</v>
      </c>
      <c r="J2543">
        <v>0.99</v>
      </c>
      <c r="K2543">
        <v>0.78</v>
      </c>
      <c r="L2543">
        <v>0.54</v>
      </c>
      <c r="M2543">
        <v>0.77</v>
      </c>
      <c r="N2543">
        <v>0.48</v>
      </c>
      <c r="O2543">
        <v>0.31</v>
      </c>
      <c r="P2543">
        <v>0.26</v>
      </c>
      <c r="Q2543">
        <v>0.4</v>
      </c>
      <c r="R2543" s="2">
        <v>0</v>
      </c>
      <c r="S2543" t="str">
        <f>IF(Table1[[#This Row],[Years_Experience]]&lt;=5,"Early Career",
IF(Table1[[#This Row],[Years_Experience]]&lt;=15,"Mid Career","Senior Level"))</f>
        <v>Senior Level</v>
      </c>
      <c r="T2543" t="str">
        <f>IF(Table1[[#This Row],[AI_Exposure_Index]]&gt;=0.7,"High Exposure", IF(Table1[[#This Row],[AI_Exposure_Index]]&gt;=0.3,"Medium Exposure","Low Exposure"))</f>
        <v>Medium Exposure</v>
      </c>
    </row>
    <row r="2544" spans="1:20" x14ac:dyDescent="0.25">
      <c r="A2544" t="s">
        <v>40</v>
      </c>
      <c r="B2544">
        <v>94407</v>
      </c>
      <c r="C2544" s="1">
        <v>11</v>
      </c>
      <c r="D2544" t="s">
        <v>22</v>
      </c>
      <c r="E2544" s="7">
        <v>1.46</v>
      </c>
      <c r="F2544" s="2">
        <v>0.13</v>
      </c>
      <c r="G2544" s="7">
        <v>7.0000000000000007E-2</v>
      </c>
      <c r="H2544" s="9" t="s">
        <v>23</v>
      </c>
      <c r="I2544">
        <v>0.5</v>
      </c>
      <c r="J2544">
        <v>0.92</v>
      </c>
      <c r="K2544">
        <v>0.61</v>
      </c>
      <c r="L2544">
        <v>0.5</v>
      </c>
      <c r="M2544">
        <v>0.74</v>
      </c>
      <c r="N2544">
        <v>0.35</v>
      </c>
      <c r="O2544">
        <v>0.19</v>
      </c>
      <c r="P2544">
        <v>0.85</v>
      </c>
      <c r="Q2544">
        <v>0.06</v>
      </c>
      <c r="R2544" s="2">
        <v>0.81</v>
      </c>
      <c r="S2544" t="str">
        <f>IF(Table1[[#This Row],[Years_Experience]]&lt;=5,"Early Career",
IF(Table1[[#This Row],[Years_Experience]]&lt;=15,"Mid Career","Senior Level"))</f>
        <v>Mid Career</v>
      </c>
      <c r="T2544" t="str">
        <f>IF(Table1[[#This Row],[AI_Exposure_Index]]&gt;=0.7,"High Exposure", IF(Table1[[#This Row],[AI_Exposure_Index]]&gt;=0.3,"Medium Exposure","Low Exposure"))</f>
        <v>Low Exposure</v>
      </c>
    </row>
    <row r="2545" spans="1:20" x14ac:dyDescent="0.25">
      <c r="A2545" t="s">
        <v>29</v>
      </c>
      <c r="B2545">
        <v>43096</v>
      </c>
      <c r="C2545" s="1">
        <v>26</v>
      </c>
      <c r="D2545" t="s">
        <v>22</v>
      </c>
      <c r="E2545" s="7">
        <v>0.98</v>
      </c>
      <c r="F2545" s="2">
        <v>0.63</v>
      </c>
      <c r="G2545" s="7">
        <v>0.3</v>
      </c>
      <c r="H2545" s="9" t="s">
        <v>23</v>
      </c>
      <c r="I2545">
        <v>0.39</v>
      </c>
      <c r="J2545">
        <v>0.96</v>
      </c>
      <c r="K2545">
        <v>0.4</v>
      </c>
      <c r="L2545">
        <v>0.68</v>
      </c>
      <c r="M2545">
        <v>0.64</v>
      </c>
      <c r="N2545">
        <v>0.09</v>
      </c>
      <c r="O2545">
        <v>0.74</v>
      </c>
      <c r="P2545">
        <v>0.21</v>
      </c>
      <c r="Q2545">
        <v>0.39</v>
      </c>
      <c r="R2545" s="2">
        <v>0.78</v>
      </c>
      <c r="S2545" t="str">
        <f>IF(Table1[[#This Row],[Years_Experience]]&lt;=5,"Early Career",
IF(Table1[[#This Row],[Years_Experience]]&lt;=15,"Mid Career","Senior Level"))</f>
        <v>Senior Level</v>
      </c>
      <c r="T2545" t="str">
        <f>IF(Table1[[#This Row],[AI_Exposure_Index]]&gt;=0.7,"High Exposure", IF(Table1[[#This Row],[AI_Exposure_Index]]&gt;=0.3,"Medium Exposure","Low Exposure"))</f>
        <v>Medium Exposure</v>
      </c>
    </row>
    <row r="2546" spans="1:20" x14ac:dyDescent="0.25">
      <c r="A2546" t="s">
        <v>21</v>
      </c>
      <c r="B2546">
        <v>65504</v>
      </c>
      <c r="C2546" s="1">
        <v>14</v>
      </c>
      <c r="D2546" t="s">
        <v>19</v>
      </c>
      <c r="E2546" s="7">
        <v>1.02</v>
      </c>
      <c r="F2546" s="2">
        <v>0.56000000000000005</v>
      </c>
      <c r="G2546" s="7">
        <v>0.18</v>
      </c>
      <c r="H2546" s="9" t="s">
        <v>23</v>
      </c>
      <c r="I2546">
        <v>0.82</v>
      </c>
      <c r="J2546">
        <v>0.99</v>
      </c>
      <c r="K2546">
        <v>0.63</v>
      </c>
      <c r="L2546">
        <v>0.38</v>
      </c>
      <c r="M2546">
        <v>0.22</v>
      </c>
      <c r="N2546">
        <v>0.2</v>
      </c>
      <c r="O2546">
        <v>0.86</v>
      </c>
      <c r="P2546">
        <v>0.99</v>
      </c>
      <c r="Q2546">
        <v>0.7</v>
      </c>
      <c r="R2546" s="2">
        <v>0.96</v>
      </c>
      <c r="S2546" t="str">
        <f>IF(Table1[[#This Row],[Years_Experience]]&lt;=5,"Early Career",
IF(Table1[[#This Row],[Years_Experience]]&lt;=15,"Mid Career","Senior Level"))</f>
        <v>Mid Career</v>
      </c>
      <c r="T2546" t="str">
        <f>IF(Table1[[#This Row],[AI_Exposure_Index]]&gt;=0.7,"High Exposure", IF(Table1[[#This Row],[AI_Exposure_Index]]&gt;=0.3,"Medium Exposure","Low Exposure"))</f>
        <v>Medium Exposure</v>
      </c>
    </row>
    <row r="2547" spans="1:20" x14ac:dyDescent="0.25">
      <c r="A2547" t="s">
        <v>35</v>
      </c>
      <c r="B2547">
        <v>115692</v>
      </c>
      <c r="C2547" s="1">
        <v>16</v>
      </c>
      <c r="D2547" t="s">
        <v>25</v>
      </c>
      <c r="E2547" s="7">
        <v>1.01</v>
      </c>
      <c r="F2547" s="2">
        <v>0.63</v>
      </c>
      <c r="G2547" s="7">
        <v>0.49</v>
      </c>
      <c r="H2547" s="9" t="s">
        <v>27</v>
      </c>
      <c r="I2547">
        <v>0.63</v>
      </c>
      <c r="J2547">
        <v>0.31</v>
      </c>
      <c r="K2547">
        <v>0.64</v>
      </c>
      <c r="L2547">
        <v>0.67</v>
      </c>
      <c r="M2547">
        <v>0.84</v>
      </c>
      <c r="N2547">
        <v>0.73</v>
      </c>
      <c r="O2547">
        <v>0.32</v>
      </c>
      <c r="P2547">
        <v>0.45</v>
      </c>
      <c r="Q2547">
        <v>0.12</v>
      </c>
      <c r="R2547" s="2">
        <v>0.26</v>
      </c>
      <c r="S2547" t="str">
        <f>IF(Table1[[#This Row],[Years_Experience]]&lt;=5,"Early Career",
IF(Table1[[#This Row],[Years_Experience]]&lt;=15,"Mid Career","Senior Level"))</f>
        <v>Senior Level</v>
      </c>
      <c r="T2547" t="str">
        <f>IF(Table1[[#This Row],[AI_Exposure_Index]]&gt;=0.7,"High Exposure", IF(Table1[[#This Row],[AI_Exposure_Index]]&gt;=0.3,"Medium Exposure","Low Exposure"))</f>
        <v>Medium Exposure</v>
      </c>
    </row>
    <row r="2548" spans="1:20" x14ac:dyDescent="0.25">
      <c r="A2548" t="s">
        <v>41</v>
      </c>
      <c r="B2548">
        <v>72971</v>
      </c>
      <c r="C2548" s="1">
        <v>9</v>
      </c>
      <c r="D2548" t="s">
        <v>25</v>
      </c>
      <c r="E2548" s="7">
        <v>1.07</v>
      </c>
      <c r="F2548" s="2">
        <v>0.1</v>
      </c>
      <c r="G2548" s="7">
        <v>0.8</v>
      </c>
      <c r="H2548" s="9" t="s">
        <v>20</v>
      </c>
      <c r="I2548">
        <v>0.03</v>
      </c>
      <c r="J2548">
        <v>0.43</v>
      </c>
      <c r="K2548">
        <v>0.28000000000000003</v>
      </c>
      <c r="L2548">
        <v>7.0000000000000007E-2</v>
      </c>
      <c r="M2548">
        <v>0.28999999999999998</v>
      </c>
      <c r="N2548">
        <v>0.28999999999999998</v>
      </c>
      <c r="O2548">
        <v>0.36</v>
      </c>
      <c r="P2548">
        <v>0.37</v>
      </c>
      <c r="Q2548">
        <v>0.43</v>
      </c>
      <c r="R2548" s="2">
        <v>0.09</v>
      </c>
      <c r="S2548" t="str">
        <f>IF(Table1[[#This Row],[Years_Experience]]&lt;=5,"Early Career",
IF(Table1[[#This Row],[Years_Experience]]&lt;=15,"Mid Career","Senior Level"))</f>
        <v>Mid Career</v>
      </c>
      <c r="T2548" t="str">
        <f>IF(Table1[[#This Row],[AI_Exposure_Index]]&gt;=0.7,"High Exposure", IF(Table1[[#This Row],[AI_Exposure_Index]]&gt;=0.3,"Medium Exposure","Low Exposure"))</f>
        <v>Low Exposure</v>
      </c>
    </row>
    <row r="2549" spans="1:20" x14ac:dyDescent="0.25">
      <c r="A2549" t="s">
        <v>40</v>
      </c>
      <c r="B2549">
        <v>75456</v>
      </c>
      <c r="C2549" s="1">
        <v>27</v>
      </c>
      <c r="D2549" t="s">
        <v>19</v>
      </c>
      <c r="E2549" s="7">
        <v>1.49</v>
      </c>
      <c r="F2549" s="2">
        <v>0.88</v>
      </c>
      <c r="G2549" s="7">
        <v>0.14000000000000001</v>
      </c>
      <c r="H2549" s="9" t="s">
        <v>23</v>
      </c>
      <c r="I2549">
        <v>0.95</v>
      </c>
      <c r="J2549">
        <v>0.76</v>
      </c>
      <c r="K2549">
        <v>0.17</v>
      </c>
      <c r="L2549">
        <v>0.05</v>
      </c>
      <c r="M2549">
        <v>0.21</v>
      </c>
      <c r="N2549">
        <v>0.78</v>
      </c>
      <c r="O2549">
        <v>0.63</v>
      </c>
      <c r="P2549">
        <v>0.22</v>
      </c>
      <c r="Q2549">
        <v>0.74</v>
      </c>
      <c r="R2549" s="2">
        <v>0.14000000000000001</v>
      </c>
      <c r="S2549" t="str">
        <f>IF(Table1[[#This Row],[Years_Experience]]&lt;=5,"Early Career",
IF(Table1[[#This Row],[Years_Experience]]&lt;=15,"Mid Career","Senior Level"))</f>
        <v>Senior Level</v>
      </c>
      <c r="T2549" t="str">
        <f>IF(Table1[[#This Row],[AI_Exposure_Index]]&gt;=0.7,"High Exposure", IF(Table1[[#This Row],[AI_Exposure_Index]]&gt;=0.3,"Medium Exposure","Low Exposure"))</f>
        <v>High Exposure</v>
      </c>
    </row>
    <row r="2550" spans="1:20" x14ac:dyDescent="0.25">
      <c r="A2550" t="s">
        <v>44</v>
      </c>
      <c r="B2550">
        <v>42929</v>
      </c>
      <c r="C2550" s="1">
        <v>12</v>
      </c>
      <c r="D2550" t="s">
        <v>25</v>
      </c>
      <c r="E2550" s="7">
        <v>1.47</v>
      </c>
      <c r="F2550" s="2">
        <v>0.79</v>
      </c>
      <c r="G2550" s="7">
        <v>0.36</v>
      </c>
      <c r="H2550" s="9" t="s">
        <v>27</v>
      </c>
      <c r="I2550">
        <v>0.91</v>
      </c>
      <c r="J2550">
        <v>0.34</v>
      </c>
      <c r="K2550">
        <v>0.42</v>
      </c>
      <c r="L2550">
        <v>0.47</v>
      </c>
      <c r="M2550">
        <v>0.63</v>
      </c>
      <c r="N2550">
        <v>0.99</v>
      </c>
      <c r="O2550">
        <v>0.6</v>
      </c>
      <c r="P2550">
        <v>0.93</v>
      </c>
      <c r="Q2550">
        <v>0.26</v>
      </c>
      <c r="R2550" s="2">
        <v>0.4</v>
      </c>
      <c r="S2550" t="str">
        <f>IF(Table1[[#This Row],[Years_Experience]]&lt;=5,"Early Career",
IF(Table1[[#This Row],[Years_Experience]]&lt;=15,"Mid Career","Senior Level"))</f>
        <v>Mid Career</v>
      </c>
      <c r="T2550" t="str">
        <f>IF(Table1[[#This Row],[AI_Exposure_Index]]&gt;=0.7,"High Exposure", IF(Table1[[#This Row],[AI_Exposure_Index]]&gt;=0.3,"Medium Exposure","Low Exposure"))</f>
        <v>High Exposure</v>
      </c>
    </row>
    <row r="2551" spans="1:20" x14ac:dyDescent="0.25">
      <c r="A2551" t="s">
        <v>32</v>
      </c>
      <c r="B2551">
        <v>87735</v>
      </c>
      <c r="C2551" s="1">
        <v>6</v>
      </c>
      <c r="D2551" t="s">
        <v>22</v>
      </c>
      <c r="E2551" s="7">
        <v>1.48</v>
      </c>
      <c r="F2551" s="2">
        <v>0.32</v>
      </c>
      <c r="G2551" s="7">
        <v>0.59</v>
      </c>
      <c r="H2551" s="9" t="s">
        <v>27</v>
      </c>
      <c r="I2551">
        <v>0.48</v>
      </c>
      <c r="J2551">
        <v>0.75</v>
      </c>
      <c r="K2551">
        <v>0.47</v>
      </c>
      <c r="L2551">
        <v>0.02</v>
      </c>
      <c r="M2551">
        <v>0.54</v>
      </c>
      <c r="N2551">
        <v>0.63</v>
      </c>
      <c r="O2551">
        <v>0.98</v>
      </c>
      <c r="P2551">
        <v>0.04</v>
      </c>
      <c r="Q2551">
        <v>0.51</v>
      </c>
      <c r="R2551" s="2">
        <v>0.1</v>
      </c>
      <c r="S2551" t="str">
        <f>IF(Table1[[#This Row],[Years_Experience]]&lt;=5,"Early Career",
IF(Table1[[#This Row],[Years_Experience]]&lt;=15,"Mid Career","Senior Level"))</f>
        <v>Mid Career</v>
      </c>
      <c r="T2551" t="str">
        <f>IF(Table1[[#This Row],[AI_Exposure_Index]]&gt;=0.7,"High Exposure", IF(Table1[[#This Row],[AI_Exposure_Index]]&gt;=0.3,"Medium Exposure","Low Exposure"))</f>
        <v>Medium Exposure</v>
      </c>
    </row>
    <row r="2552" spans="1:20" x14ac:dyDescent="0.25">
      <c r="A2552" t="s">
        <v>42</v>
      </c>
      <c r="B2552">
        <v>69029</v>
      </c>
      <c r="C2552" s="1">
        <v>23</v>
      </c>
      <c r="D2552" t="s">
        <v>25</v>
      </c>
      <c r="E2552" s="7">
        <v>0.73</v>
      </c>
      <c r="F2552" s="2">
        <v>0.61</v>
      </c>
      <c r="G2552" s="7">
        <v>0.6</v>
      </c>
      <c r="H2552" s="9" t="s">
        <v>27</v>
      </c>
      <c r="I2552">
        <v>0.51</v>
      </c>
      <c r="J2552">
        <v>0.22</v>
      </c>
      <c r="K2552">
        <v>0.49</v>
      </c>
      <c r="L2552">
        <v>0</v>
      </c>
      <c r="M2552">
        <v>0.86</v>
      </c>
      <c r="N2552">
        <v>0.01</v>
      </c>
      <c r="O2552">
        <v>0.01</v>
      </c>
      <c r="P2552">
        <v>0.61</v>
      </c>
      <c r="Q2552">
        <v>0.97</v>
      </c>
      <c r="R2552" s="2">
        <v>0.86</v>
      </c>
      <c r="S2552" t="str">
        <f>IF(Table1[[#This Row],[Years_Experience]]&lt;=5,"Early Career",
IF(Table1[[#This Row],[Years_Experience]]&lt;=15,"Mid Career","Senior Level"))</f>
        <v>Senior Level</v>
      </c>
      <c r="T2552" t="str">
        <f>IF(Table1[[#This Row],[AI_Exposure_Index]]&gt;=0.7,"High Exposure", IF(Table1[[#This Row],[AI_Exposure_Index]]&gt;=0.3,"Medium Exposure","Low Exposure"))</f>
        <v>Medium Exposure</v>
      </c>
    </row>
    <row r="2553" spans="1:20" x14ac:dyDescent="0.25">
      <c r="A2553" t="s">
        <v>34</v>
      </c>
      <c r="B2553">
        <v>50387</v>
      </c>
      <c r="C2553" s="1">
        <v>18</v>
      </c>
      <c r="D2553" t="s">
        <v>19</v>
      </c>
      <c r="E2553" s="7">
        <v>1.1299999999999999</v>
      </c>
      <c r="F2553" s="2">
        <v>0.2</v>
      </c>
      <c r="G2553" s="7">
        <v>0.63</v>
      </c>
      <c r="H2553" s="9" t="s">
        <v>27</v>
      </c>
      <c r="I2553">
        <v>0.36</v>
      </c>
      <c r="J2553">
        <v>0.43</v>
      </c>
      <c r="K2553">
        <v>0.12</v>
      </c>
      <c r="L2553">
        <v>0.15</v>
      </c>
      <c r="M2553">
        <v>0.56999999999999995</v>
      </c>
      <c r="N2553">
        <v>0.1</v>
      </c>
      <c r="O2553">
        <v>0.2</v>
      </c>
      <c r="P2553">
        <v>0.23</v>
      </c>
      <c r="Q2553">
        <v>0.44</v>
      </c>
      <c r="R2553" s="2">
        <v>0.05</v>
      </c>
      <c r="S2553" t="str">
        <f>IF(Table1[[#This Row],[Years_Experience]]&lt;=5,"Early Career",
IF(Table1[[#This Row],[Years_Experience]]&lt;=15,"Mid Career","Senior Level"))</f>
        <v>Senior Level</v>
      </c>
      <c r="T2553" t="str">
        <f>IF(Table1[[#This Row],[AI_Exposure_Index]]&gt;=0.7,"High Exposure", IF(Table1[[#This Row],[AI_Exposure_Index]]&gt;=0.3,"Medium Exposure","Low Exposure"))</f>
        <v>Low Exposure</v>
      </c>
    </row>
    <row r="2554" spans="1:20" x14ac:dyDescent="0.25">
      <c r="A2554" t="s">
        <v>33</v>
      </c>
      <c r="B2554">
        <v>94918</v>
      </c>
      <c r="C2554" s="1">
        <v>29</v>
      </c>
      <c r="D2554" t="s">
        <v>22</v>
      </c>
      <c r="E2554" s="7">
        <v>0.52</v>
      </c>
      <c r="F2554" s="2">
        <v>0.93</v>
      </c>
      <c r="G2554" s="7">
        <v>0.86</v>
      </c>
      <c r="H2554" s="9" t="s">
        <v>20</v>
      </c>
      <c r="I2554">
        <v>0.84</v>
      </c>
      <c r="J2554">
        <v>0.31</v>
      </c>
      <c r="K2554">
        <v>0.13</v>
      </c>
      <c r="L2554">
        <v>0.04</v>
      </c>
      <c r="M2554">
        <v>0.64</v>
      </c>
      <c r="N2554">
        <v>0.55000000000000004</v>
      </c>
      <c r="O2554">
        <v>0.23</v>
      </c>
      <c r="P2554">
        <v>0.83</v>
      </c>
      <c r="Q2554">
        <v>0.74</v>
      </c>
      <c r="R2554" s="2">
        <v>0.28000000000000003</v>
      </c>
      <c r="S2554" t="str">
        <f>IF(Table1[[#This Row],[Years_Experience]]&lt;=5,"Early Career",
IF(Table1[[#This Row],[Years_Experience]]&lt;=15,"Mid Career","Senior Level"))</f>
        <v>Senior Level</v>
      </c>
      <c r="T2554" t="str">
        <f>IF(Table1[[#This Row],[AI_Exposure_Index]]&gt;=0.7,"High Exposure", IF(Table1[[#This Row],[AI_Exposure_Index]]&gt;=0.3,"Medium Exposure","Low Exposure"))</f>
        <v>High Exposure</v>
      </c>
    </row>
    <row r="2555" spans="1:20" x14ac:dyDescent="0.25">
      <c r="A2555" t="s">
        <v>37</v>
      </c>
      <c r="B2555">
        <v>56154</v>
      </c>
      <c r="C2555" s="1">
        <v>26</v>
      </c>
      <c r="D2555" t="s">
        <v>22</v>
      </c>
      <c r="E2555" s="7">
        <v>1.18</v>
      </c>
      <c r="F2555" s="2">
        <v>0.24</v>
      </c>
      <c r="G2555" s="7">
        <v>0.35</v>
      </c>
      <c r="H2555" s="9" t="s">
        <v>27</v>
      </c>
      <c r="I2555">
        <v>0.69</v>
      </c>
      <c r="J2555">
        <v>0.24</v>
      </c>
      <c r="K2555">
        <v>0.56999999999999995</v>
      </c>
      <c r="L2555">
        <v>0.17</v>
      </c>
      <c r="M2555">
        <v>0.73</v>
      </c>
      <c r="N2555">
        <v>0.06</v>
      </c>
      <c r="O2555">
        <v>0.17</v>
      </c>
      <c r="P2555">
        <v>0.18</v>
      </c>
      <c r="Q2555">
        <v>0.04</v>
      </c>
      <c r="R2555" s="2">
        <v>0.75</v>
      </c>
      <c r="S2555" t="str">
        <f>IF(Table1[[#This Row],[Years_Experience]]&lt;=5,"Early Career",
IF(Table1[[#This Row],[Years_Experience]]&lt;=15,"Mid Career","Senior Level"))</f>
        <v>Senior Level</v>
      </c>
      <c r="T2555" t="str">
        <f>IF(Table1[[#This Row],[AI_Exposure_Index]]&gt;=0.7,"High Exposure", IF(Table1[[#This Row],[AI_Exposure_Index]]&gt;=0.3,"Medium Exposure","Low Exposure"))</f>
        <v>Low Exposure</v>
      </c>
    </row>
    <row r="2556" spans="1:20" x14ac:dyDescent="0.25">
      <c r="A2556" t="s">
        <v>39</v>
      </c>
      <c r="B2556">
        <v>141634</v>
      </c>
      <c r="C2556" s="1">
        <v>0</v>
      </c>
      <c r="D2556" t="s">
        <v>22</v>
      </c>
      <c r="E2556" s="7">
        <v>1.36</v>
      </c>
      <c r="F2556" s="2">
        <v>0.78</v>
      </c>
      <c r="G2556" s="7">
        <v>0.7</v>
      </c>
      <c r="H2556" s="9" t="s">
        <v>27</v>
      </c>
      <c r="I2556">
        <v>0.12</v>
      </c>
      <c r="J2556">
        <v>0.56000000000000005</v>
      </c>
      <c r="K2556">
        <v>0.98</v>
      </c>
      <c r="L2556">
        <v>0.66</v>
      </c>
      <c r="M2556">
        <v>0.37</v>
      </c>
      <c r="N2556">
        <v>0.15</v>
      </c>
      <c r="O2556">
        <v>0.15</v>
      </c>
      <c r="P2556">
        <v>0.36</v>
      </c>
      <c r="Q2556">
        <v>0.71</v>
      </c>
      <c r="R2556" s="2">
        <v>0.03</v>
      </c>
      <c r="S2556" t="str">
        <f>IF(Table1[[#This Row],[Years_Experience]]&lt;=5,"Early Career",
IF(Table1[[#This Row],[Years_Experience]]&lt;=15,"Mid Career","Senior Level"))</f>
        <v>Early Career</v>
      </c>
      <c r="T2556" t="str">
        <f>IF(Table1[[#This Row],[AI_Exposure_Index]]&gt;=0.7,"High Exposure", IF(Table1[[#This Row],[AI_Exposure_Index]]&gt;=0.3,"Medium Exposure","Low Exposure"))</f>
        <v>High Exposure</v>
      </c>
    </row>
    <row r="2557" spans="1:20" x14ac:dyDescent="0.25">
      <c r="A2557" t="s">
        <v>24</v>
      </c>
      <c r="B2557">
        <v>50377</v>
      </c>
      <c r="C2557" s="1">
        <v>0</v>
      </c>
      <c r="D2557" t="s">
        <v>22</v>
      </c>
      <c r="E2557" s="7">
        <v>1.39</v>
      </c>
      <c r="F2557" s="2">
        <v>0.94</v>
      </c>
      <c r="G2557" s="7">
        <v>0.93</v>
      </c>
      <c r="H2557" s="9" t="s">
        <v>20</v>
      </c>
      <c r="I2557">
        <v>0.02</v>
      </c>
      <c r="J2557">
        <v>0.98</v>
      </c>
      <c r="K2557">
        <v>0.37</v>
      </c>
      <c r="L2557">
        <v>0.87</v>
      </c>
      <c r="M2557">
        <v>0.19</v>
      </c>
      <c r="N2557">
        <v>0.45</v>
      </c>
      <c r="O2557">
        <v>0.04</v>
      </c>
      <c r="P2557">
        <v>0.04</v>
      </c>
      <c r="Q2557">
        <v>0.94</v>
      </c>
      <c r="R2557" s="2">
        <v>0.81</v>
      </c>
      <c r="S2557" t="str">
        <f>IF(Table1[[#This Row],[Years_Experience]]&lt;=5,"Early Career",
IF(Table1[[#This Row],[Years_Experience]]&lt;=15,"Mid Career","Senior Level"))</f>
        <v>Early Career</v>
      </c>
      <c r="T2557" t="str">
        <f>IF(Table1[[#This Row],[AI_Exposure_Index]]&gt;=0.7,"High Exposure", IF(Table1[[#This Row],[AI_Exposure_Index]]&gt;=0.3,"Medium Exposure","Low Exposure"))</f>
        <v>High Exposure</v>
      </c>
    </row>
    <row r="2558" spans="1:20" x14ac:dyDescent="0.25">
      <c r="A2558" t="s">
        <v>35</v>
      </c>
      <c r="B2558">
        <v>74516</v>
      </c>
      <c r="C2558" s="1">
        <v>10</v>
      </c>
      <c r="D2558" t="s">
        <v>25</v>
      </c>
      <c r="E2558" s="7">
        <v>1.25</v>
      </c>
      <c r="F2558" s="2">
        <v>0.53</v>
      </c>
      <c r="G2558" s="7">
        <v>0.44</v>
      </c>
      <c r="H2558" s="9" t="s">
        <v>27</v>
      </c>
      <c r="I2558">
        <v>0.76</v>
      </c>
      <c r="J2558">
        <v>0.49</v>
      </c>
      <c r="K2558">
        <v>0.64</v>
      </c>
      <c r="L2558">
        <v>0.96</v>
      </c>
      <c r="M2558">
        <v>0.47</v>
      </c>
      <c r="N2558">
        <v>0.42</v>
      </c>
      <c r="O2558">
        <v>0.91</v>
      </c>
      <c r="P2558">
        <v>0.9</v>
      </c>
      <c r="Q2558">
        <v>0.99</v>
      </c>
      <c r="R2558" s="2">
        <v>0.55000000000000004</v>
      </c>
      <c r="S2558" t="str">
        <f>IF(Table1[[#This Row],[Years_Experience]]&lt;=5,"Early Career",
IF(Table1[[#This Row],[Years_Experience]]&lt;=15,"Mid Career","Senior Level"))</f>
        <v>Mid Career</v>
      </c>
      <c r="T2558" t="str">
        <f>IF(Table1[[#This Row],[AI_Exposure_Index]]&gt;=0.7,"High Exposure", IF(Table1[[#This Row],[AI_Exposure_Index]]&gt;=0.3,"Medium Exposure","Low Exposure"))</f>
        <v>Medium Exposure</v>
      </c>
    </row>
    <row r="2559" spans="1:20" x14ac:dyDescent="0.25">
      <c r="A2559" t="s">
        <v>32</v>
      </c>
      <c r="B2559">
        <v>129895</v>
      </c>
      <c r="C2559" s="1">
        <v>29</v>
      </c>
      <c r="D2559" t="s">
        <v>25</v>
      </c>
      <c r="E2559" s="7">
        <v>0.53</v>
      </c>
      <c r="F2559" s="2">
        <v>0.24</v>
      </c>
      <c r="G2559" s="7">
        <v>0.59</v>
      </c>
      <c r="H2559" s="9" t="s">
        <v>27</v>
      </c>
      <c r="I2559">
        <v>0.23</v>
      </c>
      <c r="J2559">
        <v>0.61</v>
      </c>
      <c r="K2559">
        <v>0.92</v>
      </c>
      <c r="L2559">
        <v>0.95</v>
      </c>
      <c r="M2559">
        <v>0</v>
      </c>
      <c r="N2559">
        <v>0.32</v>
      </c>
      <c r="O2559">
        <v>0.84</v>
      </c>
      <c r="P2559">
        <v>0.54</v>
      </c>
      <c r="Q2559">
        <v>0.81</v>
      </c>
      <c r="R2559" s="2">
        <v>0.85</v>
      </c>
      <c r="S2559" t="str">
        <f>IF(Table1[[#This Row],[Years_Experience]]&lt;=5,"Early Career",
IF(Table1[[#This Row],[Years_Experience]]&lt;=15,"Mid Career","Senior Level"))</f>
        <v>Senior Level</v>
      </c>
      <c r="T2559" t="str">
        <f>IF(Table1[[#This Row],[AI_Exposure_Index]]&gt;=0.7,"High Exposure", IF(Table1[[#This Row],[AI_Exposure_Index]]&gt;=0.3,"Medium Exposure","Low Exposure"))</f>
        <v>Low Exposure</v>
      </c>
    </row>
    <row r="2560" spans="1:20" x14ac:dyDescent="0.25">
      <c r="A2560" t="s">
        <v>30</v>
      </c>
      <c r="B2560">
        <v>41329</v>
      </c>
      <c r="C2560" s="1">
        <v>24</v>
      </c>
      <c r="D2560" t="s">
        <v>38</v>
      </c>
      <c r="E2560" s="7">
        <v>0.72</v>
      </c>
      <c r="F2560" s="2">
        <v>0.33</v>
      </c>
      <c r="G2560" s="7">
        <v>0.68</v>
      </c>
      <c r="H2560" s="9" t="s">
        <v>27</v>
      </c>
      <c r="I2560">
        <v>0.31</v>
      </c>
      <c r="J2560">
        <v>0.34</v>
      </c>
      <c r="K2560">
        <v>0.9</v>
      </c>
      <c r="L2560">
        <v>0.14000000000000001</v>
      </c>
      <c r="M2560">
        <v>0.57999999999999996</v>
      </c>
      <c r="N2560">
        <v>0.78</v>
      </c>
      <c r="O2560">
        <v>0.27</v>
      </c>
      <c r="P2560">
        <v>0.84</v>
      </c>
      <c r="Q2560">
        <v>0.77</v>
      </c>
      <c r="R2560" s="2">
        <v>0.49</v>
      </c>
      <c r="S2560" t="str">
        <f>IF(Table1[[#This Row],[Years_Experience]]&lt;=5,"Early Career",
IF(Table1[[#This Row],[Years_Experience]]&lt;=15,"Mid Career","Senior Level"))</f>
        <v>Senior Level</v>
      </c>
      <c r="T2560" t="str">
        <f>IF(Table1[[#This Row],[AI_Exposure_Index]]&gt;=0.7,"High Exposure", IF(Table1[[#This Row],[AI_Exposure_Index]]&gt;=0.3,"Medium Exposure","Low Exposure"))</f>
        <v>Medium Exposure</v>
      </c>
    </row>
    <row r="2561" spans="1:20" x14ac:dyDescent="0.25">
      <c r="A2561" t="s">
        <v>41</v>
      </c>
      <c r="B2561">
        <v>40013</v>
      </c>
      <c r="C2561" s="1">
        <v>21</v>
      </c>
      <c r="D2561" t="s">
        <v>25</v>
      </c>
      <c r="E2561" s="7">
        <v>1.1200000000000001</v>
      </c>
      <c r="F2561" s="2">
        <v>0.97</v>
      </c>
      <c r="G2561" s="7">
        <v>0.83</v>
      </c>
      <c r="H2561" s="9" t="s">
        <v>20</v>
      </c>
      <c r="I2561">
        <v>0.89</v>
      </c>
      <c r="J2561">
        <v>0.42</v>
      </c>
      <c r="K2561">
        <v>0.56000000000000005</v>
      </c>
      <c r="L2561">
        <v>0.86</v>
      </c>
      <c r="M2561">
        <v>0.39</v>
      </c>
      <c r="N2561">
        <v>0.77</v>
      </c>
      <c r="O2561">
        <v>0.26</v>
      </c>
      <c r="P2561">
        <v>0.7</v>
      </c>
      <c r="Q2561">
        <v>0.51</v>
      </c>
      <c r="R2561" s="2">
        <v>0.16</v>
      </c>
      <c r="S2561" t="str">
        <f>IF(Table1[[#This Row],[Years_Experience]]&lt;=5,"Early Career",
IF(Table1[[#This Row],[Years_Experience]]&lt;=15,"Mid Career","Senior Level"))</f>
        <v>Senior Level</v>
      </c>
      <c r="T2561" t="str">
        <f>IF(Table1[[#This Row],[AI_Exposure_Index]]&gt;=0.7,"High Exposure", IF(Table1[[#This Row],[AI_Exposure_Index]]&gt;=0.3,"Medium Exposure","Low Exposure"))</f>
        <v>High Exposure</v>
      </c>
    </row>
    <row r="2562" spans="1:20" x14ac:dyDescent="0.25">
      <c r="A2562" t="s">
        <v>28</v>
      </c>
      <c r="B2562">
        <v>120777</v>
      </c>
      <c r="C2562" s="1">
        <v>5</v>
      </c>
      <c r="D2562" t="s">
        <v>38</v>
      </c>
      <c r="E2562" s="7">
        <v>1.43</v>
      </c>
      <c r="F2562" s="2">
        <v>0.28000000000000003</v>
      </c>
      <c r="G2562" s="7">
        <v>0.66</v>
      </c>
      <c r="H2562" s="9" t="s">
        <v>27</v>
      </c>
      <c r="I2562">
        <v>0.51</v>
      </c>
      <c r="J2562">
        <v>0.26</v>
      </c>
      <c r="K2562">
        <v>0.1</v>
      </c>
      <c r="L2562">
        <v>0.16</v>
      </c>
      <c r="M2562">
        <v>0.52</v>
      </c>
      <c r="N2562">
        <v>0.31</v>
      </c>
      <c r="O2562">
        <v>0.04</v>
      </c>
      <c r="P2562">
        <v>0.46</v>
      </c>
      <c r="Q2562">
        <v>0.75</v>
      </c>
      <c r="R2562" s="2">
        <v>0.89</v>
      </c>
      <c r="S2562" t="str">
        <f>IF(Table1[[#This Row],[Years_Experience]]&lt;=5,"Early Career",
IF(Table1[[#This Row],[Years_Experience]]&lt;=15,"Mid Career","Senior Level"))</f>
        <v>Early Career</v>
      </c>
      <c r="T2562" t="str">
        <f>IF(Table1[[#This Row],[AI_Exposure_Index]]&gt;=0.7,"High Exposure", IF(Table1[[#This Row],[AI_Exposure_Index]]&gt;=0.3,"Medium Exposure","Low Exposure"))</f>
        <v>Low Exposure</v>
      </c>
    </row>
    <row r="2563" spans="1:20" x14ac:dyDescent="0.25">
      <c r="A2563" t="s">
        <v>37</v>
      </c>
      <c r="B2563">
        <v>107011</v>
      </c>
      <c r="C2563" s="1">
        <v>24</v>
      </c>
      <c r="D2563" t="s">
        <v>19</v>
      </c>
      <c r="E2563" s="7">
        <v>0.86</v>
      </c>
      <c r="F2563" s="2">
        <v>0.72</v>
      </c>
      <c r="G2563" s="7">
        <v>0.5</v>
      </c>
      <c r="H2563" s="9" t="s">
        <v>27</v>
      </c>
      <c r="I2563">
        <v>0.73</v>
      </c>
      <c r="J2563">
        <v>0.73</v>
      </c>
      <c r="K2563">
        <v>0.42</v>
      </c>
      <c r="L2563">
        <v>0.54</v>
      </c>
      <c r="M2563">
        <v>0.92</v>
      </c>
      <c r="N2563">
        <v>0.63</v>
      </c>
      <c r="O2563">
        <v>0.64</v>
      </c>
      <c r="P2563">
        <v>0.78</v>
      </c>
      <c r="Q2563">
        <v>0.12</v>
      </c>
      <c r="R2563" s="2">
        <v>0.52</v>
      </c>
      <c r="S2563" t="str">
        <f>IF(Table1[[#This Row],[Years_Experience]]&lt;=5,"Early Career",
IF(Table1[[#This Row],[Years_Experience]]&lt;=15,"Mid Career","Senior Level"))</f>
        <v>Senior Level</v>
      </c>
      <c r="T2563" t="str">
        <f>IF(Table1[[#This Row],[AI_Exposure_Index]]&gt;=0.7,"High Exposure", IF(Table1[[#This Row],[AI_Exposure_Index]]&gt;=0.3,"Medium Exposure","Low Exposure"))</f>
        <v>High Exposure</v>
      </c>
    </row>
    <row r="2564" spans="1:20" x14ac:dyDescent="0.25">
      <c r="A2564" t="s">
        <v>30</v>
      </c>
      <c r="B2564">
        <v>116377</v>
      </c>
      <c r="C2564" s="1">
        <v>6</v>
      </c>
      <c r="D2564" t="s">
        <v>22</v>
      </c>
      <c r="E2564" s="7">
        <v>0.79</v>
      </c>
      <c r="F2564" s="2">
        <v>0.36</v>
      </c>
      <c r="G2564" s="7">
        <v>0.54</v>
      </c>
      <c r="H2564" s="9" t="s">
        <v>27</v>
      </c>
      <c r="I2564">
        <v>0.22</v>
      </c>
      <c r="J2564">
        <v>0.56000000000000005</v>
      </c>
      <c r="K2564">
        <v>0.16</v>
      </c>
      <c r="L2564">
        <v>0.57999999999999996</v>
      </c>
      <c r="M2564">
        <v>0.6</v>
      </c>
      <c r="N2564">
        <v>0.42</v>
      </c>
      <c r="O2564">
        <v>0.38</v>
      </c>
      <c r="P2564">
        <v>0.25</v>
      </c>
      <c r="Q2564">
        <v>0.33</v>
      </c>
      <c r="R2564" s="2">
        <v>0.5</v>
      </c>
      <c r="S2564" t="str">
        <f>IF(Table1[[#This Row],[Years_Experience]]&lt;=5,"Early Career",
IF(Table1[[#This Row],[Years_Experience]]&lt;=15,"Mid Career","Senior Level"))</f>
        <v>Mid Career</v>
      </c>
      <c r="T2564" t="str">
        <f>IF(Table1[[#This Row],[AI_Exposure_Index]]&gt;=0.7,"High Exposure", IF(Table1[[#This Row],[AI_Exposure_Index]]&gt;=0.3,"Medium Exposure","Low Exposure"))</f>
        <v>Medium Exposure</v>
      </c>
    </row>
    <row r="2565" spans="1:20" x14ac:dyDescent="0.25">
      <c r="A2565" t="s">
        <v>26</v>
      </c>
      <c r="B2565">
        <v>67630</v>
      </c>
      <c r="C2565" s="1">
        <v>25</v>
      </c>
      <c r="D2565" t="s">
        <v>25</v>
      </c>
      <c r="E2565" s="7">
        <v>1.21</v>
      </c>
      <c r="F2565" s="2">
        <v>0.78</v>
      </c>
      <c r="G2565" s="7">
        <v>0.41</v>
      </c>
      <c r="H2565" s="9" t="s">
        <v>27</v>
      </c>
      <c r="I2565">
        <v>0.1</v>
      </c>
      <c r="J2565">
        <v>0</v>
      </c>
      <c r="K2565">
        <v>0.6</v>
      </c>
      <c r="L2565">
        <v>0.21</v>
      </c>
      <c r="M2565">
        <v>0.01</v>
      </c>
      <c r="N2565">
        <v>0.36</v>
      </c>
      <c r="O2565">
        <v>0.96</v>
      </c>
      <c r="P2565">
        <v>0.69</v>
      </c>
      <c r="Q2565">
        <v>0.86</v>
      </c>
      <c r="R2565" s="2">
        <v>0.14000000000000001</v>
      </c>
      <c r="S2565" t="str">
        <f>IF(Table1[[#This Row],[Years_Experience]]&lt;=5,"Early Career",
IF(Table1[[#This Row],[Years_Experience]]&lt;=15,"Mid Career","Senior Level"))</f>
        <v>Senior Level</v>
      </c>
      <c r="T2565" t="str">
        <f>IF(Table1[[#This Row],[AI_Exposure_Index]]&gt;=0.7,"High Exposure", IF(Table1[[#This Row],[AI_Exposure_Index]]&gt;=0.3,"Medium Exposure","Low Exposure"))</f>
        <v>High Exposure</v>
      </c>
    </row>
    <row r="2566" spans="1:20" x14ac:dyDescent="0.25">
      <c r="A2566" t="s">
        <v>40</v>
      </c>
      <c r="B2566">
        <v>96360</v>
      </c>
      <c r="C2566" s="1">
        <v>15</v>
      </c>
      <c r="D2566" t="s">
        <v>19</v>
      </c>
      <c r="E2566" s="7">
        <v>0.8</v>
      </c>
      <c r="F2566" s="2">
        <v>0.66</v>
      </c>
      <c r="G2566" s="7">
        <v>7.0000000000000007E-2</v>
      </c>
      <c r="H2566" s="9" t="s">
        <v>23</v>
      </c>
      <c r="I2566">
        <v>0.37</v>
      </c>
      <c r="J2566">
        <v>0.4</v>
      </c>
      <c r="K2566">
        <v>0.27</v>
      </c>
      <c r="L2566">
        <v>0.22</v>
      </c>
      <c r="M2566">
        <v>0.36</v>
      </c>
      <c r="N2566">
        <v>0.64</v>
      </c>
      <c r="O2566">
        <v>0.95</v>
      </c>
      <c r="P2566">
        <v>0.7</v>
      </c>
      <c r="Q2566">
        <v>0.78</v>
      </c>
      <c r="R2566" s="2">
        <v>0.31</v>
      </c>
      <c r="S2566" t="str">
        <f>IF(Table1[[#This Row],[Years_Experience]]&lt;=5,"Early Career",
IF(Table1[[#This Row],[Years_Experience]]&lt;=15,"Mid Career","Senior Level"))</f>
        <v>Mid Career</v>
      </c>
      <c r="T2566" t="str">
        <f>IF(Table1[[#This Row],[AI_Exposure_Index]]&gt;=0.7,"High Exposure", IF(Table1[[#This Row],[AI_Exposure_Index]]&gt;=0.3,"Medium Exposure","Low Exposure"))</f>
        <v>Medium Exposure</v>
      </c>
    </row>
    <row r="2567" spans="1:20" x14ac:dyDescent="0.25">
      <c r="A2567" t="s">
        <v>43</v>
      </c>
      <c r="B2567">
        <v>103850</v>
      </c>
      <c r="C2567" s="1">
        <v>7</v>
      </c>
      <c r="D2567" t="s">
        <v>19</v>
      </c>
      <c r="E2567" s="7">
        <v>0.9</v>
      </c>
      <c r="F2567" s="2">
        <v>0.28999999999999998</v>
      </c>
      <c r="G2567" s="7">
        <v>0.22</v>
      </c>
      <c r="H2567" s="9" t="s">
        <v>23</v>
      </c>
      <c r="I2567">
        <v>0.94</v>
      </c>
      <c r="J2567">
        <v>0.81</v>
      </c>
      <c r="K2567">
        <v>0.27</v>
      </c>
      <c r="L2567">
        <v>0.82</v>
      </c>
      <c r="M2567">
        <v>0.41</v>
      </c>
      <c r="N2567">
        <v>0.18</v>
      </c>
      <c r="O2567">
        <v>0.46</v>
      </c>
      <c r="P2567">
        <v>0.56000000000000005</v>
      </c>
      <c r="Q2567">
        <v>0.76</v>
      </c>
      <c r="R2567" s="2">
        <v>0.35</v>
      </c>
      <c r="S2567" t="str">
        <f>IF(Table1[[#This Row],[Years_Experience]]&lt;=5,"Early Career",
IF(Table1[[#This Row],[Years_Experience]]&lt;=15,"Mid Career","Senior Level"))</f>
        <v>Mid Career</v>
      </c>
      <c r="T2567" t="str">
        <f>IF(Table1[[#This Row],[AI_Exposure_Index]]&gt;=0.7,"High Exposure", IF(Table1[[#This Row],[AI_Exposure_Index]]&gt;=0.3,"Medium Exposure","Low Exposure"))</f>
        <v>Low Exposure</v>
      </c>
    </row>
    <row r="2568" spans="1:20" x14ac:dyDescent="0.25">
      <c r="A2568" t="s">
        <v>29</v>
      </c>
      <c r="B2568">
        <v>117133</v>
      </c>
      <c r="C2568" s="1">
        <v>23</v>
      </c>
      <c r="D2568" t="s">
        <v>25</v>
      </c>
      <c r="E2568" s="7">
        <v>0.61</v>
      </c>
      <c r="F2568" s="2">
        <v>0.09</v>
      </c>
      <c r="G2568" s="7">
        <v>0.28999999999999998</v>
      </c>
      <c r="H2568" s="9" t="s">
        <v>23</v>
      </c>
      <c r="I2568">
        <v>0.95</v>
      </c>
      <c r="J2568">
        <v>0.97</v>
      </c>
      <c r="K2568">
        <v>0.3</v>
      </c>
      <c r="L2568">
        <v>0.19</v>
      </c>
      <c r="M2568">
        <v>0.98</v>
      </c>
      <c r="N2568">
        <v>0.99</v>
      </c>
      <c r="O2568">
        <v>0.08</v>
      </c>
      <c r="P2568">
        <v>0.75</v>
      </c>
      <c r="Q2568">
        <v>0.28999999999999998</v>
      </c>
      <c r="R2568" s="2">
        <v>0.91</v>
      </c>
      <c r="S2568" t="str">
        <f>IF(Table1[[#This Row],[Years_Experience]]&lt;=5,"Early Career",
IF(Table1[[#This Row],[Years_Experience]]&lt;=15,"Mid Career","Senior Level"))</f>
        <v>Senior Level</v>
      </c>
      <c r="T2568" t="str">
        <f>IF(Table1[[#This Row],[AI_Exposure_Index]]&gt;=0.7,"High Exposure", IF(Table1[[#This Row],[AI_Exposure_Index]]&gt;=0.3,"Medium Exposure","Low Exposure"))</f>
        <v>Low Exposure</v>
      </c>
    </row>
    <row r="2569" spans="1:20" x14ac:dyDescent="0.25">
      <c r="A2569" t="s">
        <v>43</v>
      </c>
      <c r="B2569">
        <v>125065</v>
      </c>
      <c r="C2569" s="1">
        <v>13</v>
      </c>
      <c r="D2569" t="s">
        <v>19</v>
      </c>
      <c r="E2569" s="7">
        <v>0.5</v>
      </c>
      <c r="F2569" s="2">
        <v>0.89</v>
      </c>
      <c r="G2569" s="7">
        <v>0.18</v>
      </c>
      <c r="H2569" s="9" t="s">
        <v>23</v>
      </c>
      <c r="I2569">
        <v>0.34</v>
      </c>
      <c r="J2569">
        <v>0.43</v>
      </c>
      <c r="K2569">
        <v>0.43</v>
      </c>
      <c r="L2569">
        <v>0.65</v>
      </c>
      <c r="M2569">
        <v>0.02</v>
      </c>
      <c r="N2569">
        <v>0.69</v>
      </c>
      <c r="O2569">
        <v>0.02</v>
      </c>
      <c r="P2569">
        <v>0.19</v>
      </c>
      <c r="Q2569">
        <v>0.61</v>
      </c>
      <c r="R2569" s="2">
        <v>0.09</v>
      </c>
      <c r="S2569" t="str">
        <f>IF(Table1[[#This Row],[Years_Experience]]&lt;=5,"Early Career",
IF(Table1[[#This Row],[Years_Experience]]&lt;=15,"Mid Career","Senior Level"))</f>
        <v>Mid Career</v>
      </c>
      <c r="T2569" t="str">
        <f>IF(Table1[[#This Row],[AI_Exposure_Index]]&gt;=0.7,"High Exposure", IF(Table1[[#This Row],[AI_Exposure_Index]]&gt;=0.3,"Medium Exposure","Low Exposure"))</f>
        <v>High Exposure</v>
      </c>
    </row>
    <row r="2570" spans="1:20" x14ac:dyDescent="0.25">
      <c r="A2570" t="s">
        <v>18</v>
      </c>
      <c r="B2570">
        <v>147600</v>
      </c>
      <c r="C2570" s="1">
        <v>8</v>
      </c>
      <c r="D2570" t="s">
        <v>19</v>
      </c>
      <c r="E2570" s="7">
        <v>0.92</v>
      </c>
      <c r="F2570" s="2">
        <v>0.19</v>
      </c>
      <c r="G2570" s="7">
        <v>0.82</v>
      </c>
      <c r="H2570" s="9" t="s">
        <v>20</v>
      </c>
      <c r="I2570">
        <v>0.5</v>
      </c>
      <c r="J2570">
        <v>0.52</v>
      </c>
      <c r="K2570">
        <v>0.22</v>
      </c>
      <c r="L2570">
        <v>0.52</v>
      </c>
      <c r="M2570">
        <v>0.48</v>
      </c>
      <c r="N2570">
        <v>0.21</v>
      </c>
      <c r="O2570">
        <v>0.99</v>
      </c>
      <c r="P2570">
        <v>0.87</v>
      </c>
      <c r="Q2570">
        <v>0.89</v>
      </c>
      <c r="R2570" s="2">
        <v>0.69</v>
      </c>
      <c r="S2570" t="str">
        <f>IF(Table1[[#This Row],[Years_Experience]]&lt;=5,"Early Career",
IF(Table1[[#This Row],[Years_Experience]]&lt;=15,"Mid Career","Senior Level"))</f>
        <v>Mid Career</v>
      </c>
      <c r="T2570" t="str">
        <f>IF(Table1[[#This Row],[AI_Exposure_Index]]&gt;=0.7,"High Exposure", IF(Table1[[#This Row],[AI_Exposure_Index]]&gt;=0.3,"Medium Exposure","Low Exposure"))</f>
        <v>Low Exposure</v>
      </c>
    </row>
    <row r="2571" spans="1:20" x14ac:dyDescent="0.25">
      <c r="A2571" t="s">
        <v>26</v>
      </c>
      <c r="B2571">
        <v>96333</v>
      </c>
      <c r="C2571" s="1">
        <v>15</v>
      </c>
      <c r="D2571" t="s">
        <v>19</v>
      </c>
      <c r="E2571" s="7">
        <v>0.54</v>
      </c>
      <c r="F2571" s="2">
        <v>0.82</v>
      </c>
      <c r="G2571" s="7">
        <v>0.5</v>
      </c>
      <c r="H2571" s="9" t="s">
        <v>27</v>
      </c>
      <c r="I2571">
        <v>0.4</v>
      </c>
      <c r="J2571">
        <v>0.21</v>
      </c>
      <c r="K2571">
        <v>0.38</v>
      </c>
      <c r="L2571">
        <v>0.98</v>
      </c>
      <c r="M2571">
        <v>0.72</v>
      </c>
      <c r="N2571">
        <v>0.3</v>
      </c>
      <c r="O2571">
        <v>0.61</v>
      </c>
      <c r="P2571">
        <v>0.25</v>
      </c>
      <c r="Q2571">
        <v>0.61</v>
      </c>
      <c r="R2571" s="2">
        <v>0.9</v>
      </c>
      <c r="S2571" t="str">
        <f>IF(Table1[[#This Row],[Years_Experience]]&lt;=5,"Early Career",
IF(Table1[[#This Row],[Years_Experience]]&lt;=15,"Mid Career","Senior Level"))</f>
        <v>Mid Career</v>
      </c>
      <c r="T2571" t="str">
        <f>IF(Table1[[#This Row],[AI_Exposure_Index]]&gt;=0.7,"High Exposure", IF(Table1[[#This Row],[AI_Exposure_Index]]&gt;=0.3,"Medium Exposure","Low Exposure"))</f>
        <v>High Exposure</v>
      </c>
    </row>
    <row r="2572" spans="1:20" x14ac:dyDescent="0.25">
      <c r="A2572" t="s">
        <v>30</v>
      </c>
      <c r="B2572">
        <v>126847</v>
      </c>
      <c r="C2572" s="1">
        <v>29</v>
      </c>
      <c r="D2572" t="s">
        <v>25</v>
      </c>
      <c r="E2572" s="7">
        <v>0.95</v>
      </c>
      <c r="F2572" s="2">
        <v>0.73</v>
      </c>
      <c r="G2572" s="7">
        <v>0.51</v>
      </c>
      <c r="H2572" s="9" t="s">
        <v>27</v>
      </c>
      <c r="I2572">
        <v>0.7</v>
      </c>
      <c r="J2572">
        <v>0.81</v>
      </c>
      <c r="K2572">
        <v>0.66</v>
      </c>
      <c r="L2572">
        <v>0.98</v>
      </c>
      <c r="M2572">
        <v>0.82</v>
      </c>
      <c r="N2572">
        <v>0.78</v>
      </c>
      <c r="O2572">
        <v>0.85</v>
      </c>
      <c r="P2572">
        <v>0.28000000000000003</v>
      </c>
      <c r="Q2572">
        <v>0.43</v>
      </c>
      <c r="R2572" s="2">
        <v>0.56000000000000005</v>
      </c>
      <c r="S2572" t="str">
        <f>IF(Table1[[#This Row],[Years_Experience]]&lt;=5,"Early Career",
IF(Table1[[#This Row],[Years_Experience]]&lt;=15,"Mid Career","Senior Level"))</f>
        <v>Senior Level</v>
      </c>
      <c r="T2572" t="str">
        <f>IF(Table1[[#This Row],[AI_Exposure_Index]]&gt;=0.7,"High Exposure", IF(Table1[[#This Row],[AI_Exposure_Index]]&gt;=0.3,"Medium Exposure","Low Exposure"))</f>
        <v>High Exposure</v>
      </c>
    </row>
    <row r="2573" spans="1:20" x14ac:dyDescent="0.25">
      <c r="A2573" t="s">
        <v>41</v>
      </c>
      <c r="B2573">
        <v>92244</v>
      </c>
      <c r="C2573" s="1">
        <v>20</v>
      </c>
      <c r="D2573" t="s">
        <v>22</v>
      </c>
      <c r="E2573" s="7">
        <v>0.53</v>
      </c>
      <c r="F2573" s="2">
        <v>0.85</v>
      </c>
      <c r="G2573" s="7">
        <v>0.75</v>
      </c>
      <c r="H2573" s="9" t="s">
        <v>20</v>
      </c>
      <c r="I2573">
        <v>0.88</v>
      </c>
      <c r="J2573">
        <v>0.06</v>
      </c>
      <c r="K2573">
        <v>0.23</v>
      </c>
      <c r="L2573">
        <v>0.35</v>
      </c>
      <c r="M2573">
        <v>0.75</v>
      </c>
      <c r="N2573">
        <v>0.56000000000000005</v>
      </c>
      <c r="O2573">
        <v>0.95</v>
      </c>
      <c r="P2573">
        <v>0.23</v>
      </c>
      <c r="Q2573">
        <v>0.87</v>
      </c>
      <c r="R2573" s="2">
        <v>0.28000000000000003</v>
      </c>
      <c r="S2573" t="str">
        <f>IF(Table1[[#This Row],[Years_Experience]]&lt;=5,"Early Career",
IF(Table1[[#This Row],[Years_Experience]]&lt;=15,"Mid Career","Senior Level"))</f>
        <v>Senior Level</v>
      </c>
      <c r="T2573" t="str">
        <f>IF(Table1[[#This Row],[AI_Exposure_Index]]&gt;=0.7,"High Exposure", IF(Table1[[#This Row],[AI_Exposure_Index]]&gt;=0.3,"Medium Exposure","Low Exposure"))</f>
        <v>High Exposure</v>
      </c>
    </row>
    <row r="2574" spans="1:20" x14ac:dyDescent="0.25">
      <c r="A2574" t="s">
        <v>40</v>
      </c>
      <c r="B2574">
        <v>93810</v>
      </c>
      <c r="C2574" s="1">
        <v>28</v>
      </c>
      <c r="D2574" t="s">
        <v>25</v>
      </c>
      <c r="E2574" s="7">
        <v>0.56999999999999995</v>
      </c>
      <c r="F2574" s="2">
        <v>0.5</v>
      </c>
      <c r="G2574" s="7">
        <v>0.15</v>
      </c>
      <c r="H2574" s="9" t="s">
        <v>23</v>
      </c>
      <c r="I2574">
        <v>0.36</v>
      </c>
      <c r="J2574">
        <v>0.16</v>
      </c>
      <c r="K2574">
        <v>0.86</v>
      </c>
      <c r="L2574">
        <v>0.39</v>
      </c>
      <c r="M2574">
        <v>0.98</v>
      </c>
      <c r="N2574">
        <v>0.9</v>
      </c>
      <c r="O2574">
        <v>0.19</v>
      </c>
      <c r="P2574">
        <v>0.51</v>
      </c>
      <c r="Q2574">
        <v>0.6</v>
      </c>
      <c r="R2574" s="2">
        <v>0.82</v>
      </c>
      <c r="S2574" t="str">
        <f>IF(Table1[[#This Row],[Years_Experience]]&lt;=5,"Early Career",
IF(Table1[[#This Row],[Years_Experience]]&lt;=15,"Mid Career","Senior Level"))</f>
        <v>Senior Level</v>
      </c>
      <c r="T2574" t="str">
        <f>IF(Table1[[#This Row],[AI_Exposure_Index]]&gt;=0.7,"High Exposure", IF(Table1[[#This Row],[AI_Exposure_Index]]&gt;=0.3,"Medium Exposure","Low Exposure"))</f>
        <v>Medium Exposure</v>
      </c>
    </row>
    <row r="2575" spans="1:20" x14ac:dyDescent="0.25">
      <c r="A2575" t="s">
        <v>29</v>
      </c>
      <c r="B2575">
        <v>127211</v>
      </c>
      <c r="C2575" s="1">
        <v>12</v>
      </c>
      <c r="D2575" t="s">
        <v>22</v>
      </c>
      <c r="E2575" s="7">
        <v>0.54</v>
      </c>
      <c r="F2575" s="2">
        <v>0.62</v>
      </c>
      <c r="G2575" s="7">
        <v>0.17</v>
      </c>
      <c r="H2575" s="9" t="s">
        <v>23</v>
      </c>
      <c r="I2575">
        <v>0.88</v>
      </c>
      <c r="J2575">
        <v>0.71</v>
      </c>
      <c r="K2575">
        <v>0.87</v>
      </c>
      <c r="L2575">
        <v>0.67</v>
      </c>
      <c r="M2575">
        <v>0.04</v>
      </c>
      <c r="N2575">
        <v>0.97</v>
      </c>
      <c r="O2575">
        <v>0.92</v>
      </c>
      <c r="P2575">
        <v>0.13</v>
      </c>
      <c r="Q2575">
        <v>0.11</v>
      </c>
      <c r="R2575" s="2">
        <v>0.54</v>
      </c>
      <c r="S2575" t="str">
        <f>IF(Table1[[#This Row],[Years_Experience]]&lt;=5,"Early Career",
IF(Table1[[#This Row],[Years_Experience]]&lt;=15,"Mid Career","Senior Level"))</f>
        <v>Mid Career</v>
      </c>
      <c r="T2575" t="str">
        <f>IF(Table1[[#This Row],[AI_Exposure_Index]]&gt;=0.7,"High Exposure", IF(Table1[[#This Row],[AI_Exposure_Index]]&gt;=0.3,"Medium Exposure","Low Exposure"))</f>
        <v>Medium Exposure</v>
      </c>
    </row>
    <row r="2576" spans="1:20" x14ac:dyDescent="0.25">
      <c r="A2576" t="s">
        <v>30</v>
      </c>
      <c r="B2576">
        <v>35455</v>
      </c>
      <c r="C2576" s="1">
        <v>12</v>
      </c>
      <c r="D2576" t="s">
        <v>25</v>
      </c>
      <c r="E2576" s="7">
        <v>0.64</v>
      </c>
      <c r="F2576" s="2">
        <v>0.38</v>
      </c>
      <c r="G2576" s="7">
        <v>0.5</v>
      </c>
      <c r="H2576" s="9" t="s">
        <v>27</v>
      </c>
      <c r="I2576">
        <v>0.34</v>
      </c>
      <c r="J2576">
        <v>0.35</v>
      </c>
      <c r="K2576">
        <v>0.64</v>
      </c>
      <c r="L2576">
        <v>0.89</v>
      </c>
      <c r="M2576">
        <v>0.56000000000000005</v>
      </c>
      <c r="N2576">
        <v>0.69</v>
      </c>
      <c r="O2576">
        <v>0.66</v>
      </c>
      <c r="P2576">
        <v>0.55000000000000004</v>
      </c>
      <c r="Q2576">
        <v>0.31</v>
      </c>
      <c r="R2576" s="2">
        <v>0.38</v>
      </c>
      <c r="S2576" t="str">
        <f>IF(Table1[[#This Row],[Years_Experience]]&lt;=5,"Early Career",
IF(Table1[[#This Row],[Years_Experience]]&lt;=15,"Mid Career","Senior Level"))</f>
        <v>Mid Career</v>
      </c>
      <c r="T2576" t="str">
        <f>IF(Table1[[#This Row],[AI_Exposure_Index]]&gt;=0.7,"High Exposure", IF(Table1[[#This Row],[AI_Exposure_Index]]&gt;=0.3,"Medium Exposure","Low Exposure"))</f>
        <v>Medium Exposure</v>
      </c>
    </row>
    <row r="2577" spans="1:20" x14ac:dyDescent="0.25">
      <c r="A2577" t="s">
        <v>39</v>
      </c>
      <c r="B2577">
        <v>37289</v>
      </c>
      <c r="C2577" s="1">
        <v>16</v>
      </c>
      <c r="D2577" t="s">
        <v>19</v>
      </c>
      <c r="E2577" s="7">
        <v>1.38</v>
      </c>
      <c r="F2577" s="2">
        <v>0.95</v>
      </c>
      <c r="G2577" s="7">
        <v>0.73</v>
      </c>
      <c r="H2577" s="9" t="s">
        <v>20</v>
      </c>
      <c r="I2577">
        <v>0.06</v>
      </c>
      <c r="J2577">
        <v>0.87</v>
      </c>
      <c r="K2577">
        <v>0.61</v>
      </c>
      <c r="L2577">
        <v>0.3</v>
      </c>
      <c r="M2577">
        <v>0.56000000000000005</v>
      </c>
      <c r="N2577">
        <v>0.22</v>
      </c>
      <c r="O2577">
        <v>0.95</v>
      </c>
      <c r="P2577">
        <v>0.83</v>
      </c>
      <c r="Q2577">
        <v>0.96</v>
      </c>
      <c r="R2577" s="2">
        <v>0.19</v>
      </c>
      <c r="S2577" t="str">
        <f>IF(Table1[[#This Row],[Years_Experience]]&lt;=5,"Early Career",
IF(Table1[[#This Row],[Years_Experience]]&lt;=15,"Mid Career","Senior Level"))</f>
        <v>Senior Level</v>
      </c>
      <c r="T2577" t="str">
        <f>IF(Table1[[#This Row],[AI_Exposure_Index]]&gt;=0.7,"High Exposure", IF(Table1[[#This Row],[AI_Exposure_Index]]&gt;=0.3,"Medium Exposure","Low Exposure"))</f>
        <v>High Exposure</v>
      </c>
    </row>
    <row r="2578" spans="1:20" x14ac:dyDescent="0.25">
      <c r="A2578" t="s">
        <v>33</v>
      </c>
      <c r="B2578">
        <v>81428</v>
      </c>
      <c r="C2578" s="1">
        <v>5</v>
      </c>
      <c r="D2578" t="s">
        <v>19</v>
      </c>
      <c r="E2578" s="7">
        <v>0.82</v>
      </c>
      <c r="F2578" s="2">
        <v>0.56000000000000005</v>
      </c>
      <c r="G2578" s="7">
        <v>0.82</v>
      </c>
      <c r="H2578" s="9" t="s">
        <v>20</v>
      </c>
      <c r="I2578">
        <v>0.94</v>
      </c>
      <c r="J2578">
        <v>0.69</v>
      </c>
      <c r="K2578">
        <v>0.36</v>
      </c>
      <c r="L2578">
        <v>1</v>
      </c>
      <c r="M2578">
        <v>0.35</v>
      </c>
      <c r="N2578">
        <v>0.81</v>
      </c>
      <c r="O2578">
        <v>0.78</v>
      </c>
      <c r="P2578">
        <v>0.72</v>
      </c>
      <c r="Q2578">
        <v>0.67</v>
      </c>
      <c r="R2578" s="2">
        <v>0.11</v>
      </c>
      <c r="S2578" t="str">
        <f>IF(Table1[[#This Row],[Years_Experience]]&lt;=5,"Early Career",
IF(Table1[[#This Row],[Years_Experience]]&lt;=15,"Mid Career","Senior Level"))</f>
        <v>Early Career</v>
      </c>
      <c r="T2578" t="str">
        <f>IF(Table1[[#This Row],[AI_Exposure_Index]]&gt;=0.7,"High Exposure", IF(Table1[[#This Row],[AI_Exposure_Index]]&gt;=0.3,"Medium Exposure","Low Exposure"))</f>
        <v>Medium Exposure</v>
      </c>
    </row>
    <row r="2579" spans="1:20" x14ac:dyDescent="0.25">
      <c r="A2579" t="s">
        <v>30</v>
      </c>
      <c r="B2579">
        <v>123890</v>
      </c>
      <c r="C2579" s="1">
        <v>22</v>
      </c>
      <c r="D2579" t="s">
        <v>19</v>
      </c>
      <c r="E2579" s="7">
        <v>1.1000000000000001</v>
      </c>
      <c r="F2579" s="2">
        <v>0.16</v>
      </c>
      <c r="G2579" s="7">
        <v>0.4</v>
      </c>
      <c r="H2579" s="9" t="s">
        <v>27</v>
      </c>
      <c r="I2579">
        <v>0.17</v>
      </c>
      <c r="J2579">
        <v>0.56000000000000005</v>
      </c>
      <c r="K2579">
        <v>0.84</v>
      </c>
      <c r="L2579">
        <v>0.38</v>
      </c>
      <c r="M2579">
        <v>0.08</v>
      </c>
      <c r="N2579">
        <v>0.62</v>
      </c>
      <c r="O2579">
        <v>0.77</v>
      </c>
      <c r="P2579">
        <v>0.3</v>
      </c>
      <c r="Q2579">
        <v>0.69</v>
      </c>
      <c r="R2579" s="2">
        <v>0.08</v>
      </c>
      <c r="S2579" t="str">
        <f>IF(Table1[[#This Row],[Years_Experience]]&lt;=5,"Early Career",
IF(Table1[[#This Row],[Years_Experience]]&lt;=15,"Mid Career","Senior Level"))</f>
        <v>Senior Level</v>
      </c>
      <c r="T2579" t="str">
        <f>IF(Table1[[#This Row],[AI_Exposure_Index]]&gt;=0.7,"High Exposure", IF(Table1[[#This Row],[AI_Exposure_Index]]&gt;=0.3,"Medium Exposure","Low Exposure"))</f>
        <v>Low Exposure</v>
      </c>
    </row>
    <row r="2580" spans="1:20" x14ac:dyDescent="0.25">
      <c r="A2580" t="s">
        <v>37</v>
      </c>
      <c r="B2580">
        <v>67422</v>
      </c>
      <c r="C2580" s="1">
        <v>2</v>
      </c>
      <c r="D2580" t="s">
        <v>22</v>
      </c>
      <c r="E2580" s="7">
        <v>1.28</v>
      </c>
      <c r="F2580" s="2">
        <v>0.47</v>
      </c>
      <c r="G2580" s="7">
        <v>0.44</v>
      </c>
      <c r="H2580" s="9" t="s">
        <v>27</v>
      </c>
      <c r="I2580">
        <v>0.45</v>
      </c>
      <c r="J2580">
        <v>0.63</v>
      </c>
      <c r="K2580">
        <v>0.62</v>
      </c>
      <c r="L2580">
        <v>0.52</v>
      </c>
      <c r="M2580">
        <v>0.33</v>
      </c>
      <c r="N2580">
        <v>0.67</v>
      </c>
      <c r="O2580">
        <v>0.84</v>
      </c>
      <c r="P2580">
        <v>0.15</v>
      </c>
      <c r="Q2580">
        <v>0.34</v>
      </c>
      <c r="R2580" s="2">
        <v>0.67</v>
      </c>
      <c r="S2580" t="str">
        <f>IF(Table1[[#This Row],[Years_Experience]]&lt;=5,"Early Career",
IF(Table1[[#This Row],[Years_Experience]]&lt;=15,"Mid Career","Senior Level"))</f>
        <v>Early Career</v>
      </c>
      <c r="T2580" t="str">
        <f>IF(Table1[[#This Row],[AI_Exposure_Index]]&gt;=0.7,"High Exposure", IF(Table1[[#This Row],[AI_Exposure_Index]]&gt;=0.3,"Medium Exposure","Low Exposure"))</f>
        <v>Medium Exposure</v>
      </c>
    </row>
    <row r="2581" spans="1:20" x14ac:dyDescent="0.25">
      <c r="A2581" t="s">
        <v>28</v>
      </c>
      <c r="B2581">
        <v>62947</v>
      </c>
      <c r="C2581" s="1">
        <v>12</v>
      </c>
      <c r="D2581" t="s">
        <v>38</v>
      </c>
      <c r="E2581" s="7">
        <v>0.72</v>
      </c>
      <c r="F2581" s="2">
        <v>0.22</v>
      </c>
      <c r="G2581" s="7">
        <v>0.35</v>
      </c>
      <c r="H2581" s="9" t="s">
        <v>27</v>
      </c>
      <c r="I2581">
        <v>0.65</v>
      </c>
      <c r="J2581">
        <v>0.75</v>
      </c>
      <c r="K2581">
        <v>0.68</v>
      </c>
      <c r="L2581">
        <v>0.92</v>
      </c>
      <c r="M2581">
        <v>0.15</v>
      </c>
      <c r="N2581">
        <v>0.32</v>
      </c>
      <c r="O2581">
        <v>0.34</v>
      </c>
      <c r="P2581">
        <v>0.23</v>
      </c>
      <c r="Q2581">
        <v>0.14000000000000001</v>
      </c>
      <c r="R2581" s="2">
        <v>0.49</v>
      </c>
      <c r="S2581" t="str">
        <f>IF(Table1[[#This Row],[Years_Experience]]&lt;=5,"Early Career",
IF(Table1[[#This Row],[Years_Experience]]&lt;=15,"Mid Career","Senior Level"))</f>
        <v>Mid Career</v>
      </c>
      <c r="T2581" t="str">
        <f>IF(Table1[[#This Row],[AI_Exposure_Index]]&gt;=0.7,"High Exposure", IF(Table1[[#This Row],[AI_Exposure_Index]]&gt;=0.3,"Medium Exposure","Low Exposure"))</f>
        <v>Low Exposure</v>
      </c>
    </row>
    <row r="2582" spans="1:20" x14ac:dyDescent="0.25">
      <c r="A2582" t="s">
        <v>18</v>
      </c>
      <c r="B2582">
        <v>149554</v>
      </c>
      <c r="C2582" s="1">
        <v>3</v>
      </c>
      <c r="D2582" t="s">
        <v>25</v>
      </c>
      <c r="E2582" s="7">
        <v>1.29</v>
      </c>
      <c r="F2582" s="2">
        <v>0.26</v>
      </c>
      <c r="G2582" s="7">
        <v>0.93</v>
      </c>
      <c r="H2582" s="9" t="s">
        <v>20</v>
      </c>
      <c r="I2582">
        <v>0.88</v>
      </c>
      <c r="J2582">
        <v>0.72</v>
      </c>
      <c r="K2582">
        <v>0.17</v>
      </c>
      <c r="L2582">
        <v>0.37</v>
      </c>
      <c r="M2582">
        <v>0.05</v>
      </c>
      <c r="N2582">
        <v>0.64</v>
      </c>
      <c r="O2582">
        <v>0.45</v>
      </c>
      <c r="P2582">
        <v>0.56999999999999995</v>
      </c>
      <c r="Q2582">
        <v>0.98</v>
      </c>
      <c r="R2582" s="2">
        <v>0.4</v>
      </c>
      <c r="S2582" t="str">
        <f>IF(Table1[[#This Row],[Years_Experience]]&lt;=5,"Early Career",
IF(Table1[[#This Row],[Years_Experience]]&lt;=15,"Mid Career","Senior Level"))</f>
        <v>Early Career</v>
      </c>
      <c r="T2582" t="str">
        <f>IF(Table1[[#This Row],[AI_Exposure_Index]]&gt;=0.7,"High Exposure", IF(Table1[[#This Row],[AI_Exposure_Index]]&gt;=0.3,"Medium Exposure","Low Exposure"))</f>
        <v>Low Exposure</v>
      </c>
    </row>
    <row r="2583" spans="1:20" x14ac:dyDescent="0.25">
      <c r="A2583" t="s">
        <v>29</v>
      </c>
      <c r="B2583">
        <v>66497</v>
      </c>
      <c r="C2583" s="1">
        <v>8</v>
      </c>
      <c r="D2583" t="s">
        <v>25</v>
      </c>
      <c r="E2583" s="7">
        <v>0.64</v>
      </c>
      <c r="F2583" s="2">
        <v>0.15</v>
      </c>
      <c r="G2583" s="7">
        <v>0.18</v>
      </c>
      <c r="H2583" s="9" t="s">
        <v>23</v>
      </c>
      <c r="I2583">
        <v>0.75</v>
      </c>
      <c r="J2583">
        <v>0.56000000000000005</v>
      </c>
      <c r="K2583">
        <v>0.87</v>
      </c>
      <c r="L2583">
        <v>0.32</v>
      </c>
      <c r="M2583">
        <v>0.6</v>
      </c>
      <c r="N2583">
        <v>0.66</v>
      </c>
      <c r="O2583">
        <v>0.28000000000000003</v>
      </c>
      <c r="P2583">
        <v>0.4</v>
      </c>
      <c r="Q2583">
        <v>0.59</v>
      </c>
      <c r="R2583" s="2">
        <v>0.02</v>
      </c>
      <c r="S2583" t="str">
        <f>IF(Table1[[#This Row],[Years_Experience]]&lt;=5,"Early Career",
IF(Table1[[#This Row],[Years_Experience]]&lt;=15,"Mid Career","Senior Level"))</f>
        <v>Mid Career</v>
      </c>
      <c r="T2583" t="str">
        <f>IF(Table1[[#This Row],[AI_Exposure_Index]]&gt;=0.7,"High Exposure", IF(Table1[[#This Row],[AI_Exposure_Index]]&gt;=0.3,"Medium Exposure","Low Exposure"))</f>
        <v>Low Exposure</v>
      </c>
    </row>
    <row r="2584" spans="1:20" x14ac:dyDescent="0.25">
      <c r="A2584" t="s">
        <v>26</v>
      </c>
      <c r="B2584">
        <v>91140</v>
      </c>
      <c r="C2584" s="1">
        <v>6</v>
      </c>
      <c r="D2584" t="s">
        <v>19</v>
      </c>
      <c r="E2584" s="7">
        <v>0.55000000000000004</v>
      </c>
      <c r="F2584" s="2">
        <v>0.11</v>
      </c>
      <c r="G2584" s="7">
        <v>0.39</v>
      </c>
      <c r="H2584" s="9" t="s">
        <v>27</v>
      </c>
      <c r="I2584">
        <v>0.5</v>
      </c>
      <c r="J2584">
        <v>0.33</v>
      </c>
      <c r="K2584">
        <v>0.44</v>
      </c>
      <c r="L2584">
        <v>0.08</v>
      </c>
      <c r="M2584">
        <v>0.23</v>
      </c>
      <c r="N2584">
        <v>0.1</v>
      </c>
      <c r="O2584">
        <v>0.23</v>
      </c>
      <c r="P2584">
        <v>0.7</v>
      </c>
      <c r="Q2584">
        <v>0.57999999999999996</v>
      </c>
      <c r="R2584" s="2">
        <v>0.33</v>
      </c>
      <c r="S2584" t="str">
        <f>IF(Table1[[#This Row],[Years_Experience]]&lt;=5,"Early Career",
IF(Table1[[#This Row],[Years_Experience]]&lt;=15,"Mid Career","Senior Level"))</f>
        <v>Mid Career</v>
      </c>
      <c r="T2584" t="str">
        <f>IF(Table1[[#This Row],[AI_Exposure_Index]]&gt;=0.7,"High Exposure", IF(Table1[[#This Row],[AI_Exposure_Index]]&gt;=0.3,"Medium Exposure","Low Exposure"))</f>
        <v>Low Exposure</v>
      </c>
    </row>
    <row r="2585" spans="1:20" x14ac:dyDescent="0.25">
      <c r="A2585" t="s">
        <v>37</v>
      </c>
      <c r="B2585">
        <v>147342</v>
      </c>
      <c r="C2585" s="1">
        <v>14</v>
      </c>
      <c r="D2585" t="s">
        <v>25</v>
      </c>
      <c r="E2585" s="7">
        <v>1.27</v>
      </c>
      <c r="F2585" s="2">
        <v>1</v>
      </c>
      <c r="G2585" s="7">
        <v>0.63</v>
      </c>
      <c r="H2585" s="9" t="s">
        <v>27</v>
      </c>
      <c r="I2585">
        <v>0.03</v>
      </c>
      <c r="J2585">
        <v>0.06</v>
      </c>
      <c r="K2585">
        <v>0.71</v>
      </c>
      <c r="L2585">
        <v>0.19</v>
      </c>
      <c r="M2585">
        <v>0.43</v>
      </c>
      <c r="N2585">
        <v>0.18</v>
      </c>
      <c r="O2585">
        <v>0.18</v>
      </c>
      <c r="P2585">
        <v>0.11</v>
      </c>
      <c r="Q2585">
        <v>0.59</v>
      </c>
      <c r="R2585" s="2">
        <v>0.74</v>
      </c>
      <c r="S2585" t="str">
        <f>IF(Table1[[#This Row],[Years_Experience]]&lt;=5,"Early Career",
IF(Table1[[#This Row],[Years_Experience]]&lt;=15,"Mid Career","Senior Level"))</f>
        <v>Mid Career</v>
      </c>
      <c r="T2585" t="str">
        <f>IF(Table1[[#This Row],[AI_Exposure_Index]]&gt;=0.7,"High Exposure", IF(Table1[[#This Row],[AI_Exposure_Index]]&gt;=0.3,"Medium Exposure","Low Exposure"))</f>
        <v>High Exposure</v>
      </c>
    </row>
    <row r="2586" spans="1:20" x14ac:dyDescent="0.25">
      <c r="A2586" t="s">
        <v>21</v>
      </c>
      <c r="B2586">
        <v>119647</v>
      </c>
      <c r="C2586" s="1">
        <v>23</v>
      </c>
      <c r="D2586" t="s">
        <v>38</v>
      </c>
      <c r="E2586" s="7">
        <v>1.1599999999999999</v>
      </c>
      <c r="F2586" s="2">
        <v>0.28000000000000003</v>
      </c>
      <c r="G2586" s="7">
        <v>0.15</v>
      </c>
      <c r="H2586" s="9" t="s">
        <v>23</v>
      </c>
      <c r="I2586">
        <v>0.7</v>
      </c>
      <c r="J2586">
        <v>0.76</v>
      </c>
      <c r="K2586">
        <v>0.03</v>
      </c>
      <c r="L2586">
        <v>0.38</v>
      </c>
      <c r="M2586">
        <v>0.73</v>
      </c>
      <c r="N2586">
        <v>0.38</v>
      </c>
      <c r="O2586">
        <v>0.01</v>
      </c>
      <c r="P2586">
        <v>0.34</v>
      </c>
      <c r="Q2586">
        <v>0.87</v>
      </c>
      <c r="R2586" s="2">
        <v>0.95</v>
      </c>
      <c r="S2586" t="str">
        <f>IF(Table1[[#This Row],[Years_Experience]]&lt;=5,"Early Career",
IF(Table1[[#This Row],[Years_Experience]]&lt;=15,"Mid Career","Senior Level"))</f>
        <v>Senior Level</v>
      </c>
      <c r="T2586" t="str">
        <f>IF(Table1[[#This Row],[AI_Exposure_Index]]&gt;=0.7,"High Exposure", IF(Table1[[#This Row],[AI_Exposure_Index]]&gt;=0.3,"Medium Exposure","Low Exposure"))</f>
        <v>Low Exposure</v>
      </c>
    </row>
    <row r="2587" spans="1:20" x14ac:dyDescent="0.25">
      <c r="A2587" t="s">
        <v>33</v>
      </c>
      <c r="B2587">
        <v>31234</v>
      </c>
      <c r="C2587" s="1">
        <v>28</v>
      </c>
      <c r="D2587" t="s">
        <v>25</v>
      </c>
      <c r="E2587" s="7">
        <v>0.97</v>
      </c>
      <c r="F2587" s="2">
        <v>0.31</v>
      </c>
      <c r="G2587" s="7">
        <v>0.76</v>
      </c>
      <c r="H2587" s="9" t="s">
        <v>20</v>
      </c>
      <c r="I2587">
        <v>0.17</v>
      </c>
      <c r="J2587">
        <v>0.49</v>
      </c>
      <c r="K2587">
        <v>0.74</v>
      </c>
      <c r="L2587">
        <v>0.22</v>
      </c>
      <c r="M2587">
        <v>0.91</v>
      </c>
      <c r="N2587">
        <v>0.17</v>
      </c>
      <c r="O2587">
        <v>0.56000000000000005</v>
      </c>
      <c r="P2587">
        <v>0.78</v>
      </c>
      <c r="Q2587">
        <v>0.21</v>
      </c>
      <c r="R2587" s="2">
        <v>0.3</v>
      </c>
      <c r="S2587" t="str">
        <f>IF(Table1[[#This Row],[Years_Experience]]&lt;=5,"Early Career",
IF(Table1[[#This Row],[Years_Experience]]&lt;=15,"Mid Career","Senior Level"))</f>
        <v>Senior Level</v>
      </c>
      <c r="T2587" t="str">
        <f>IF(Table1[[#This Row],[AI_Exposure_Index]]&gt;=0.7,"High Exposure", IF(Table1[[#This Row],[AI_Exposure_Index]]&gt;=0.3,"Medium Exposure","Low Exposure"))</f>
        <v>Medium Exposure</v>
      </c>
    </row>
    <row r="2588" spans="1:20" x14ac:dyDescent="0.25">
      <c r="A2588" t="s">
        <v>39</v>
      </c>
      <c r="B2588">
        <v>34677</v>
      </c>
      <c r="C2588" s="1">
        <v>0</v>
      </c>
      <c r="D2588" t="s">
        <v>19</v>
      </c>
      <c r="E2588" s="7">
        <v>0.99</v>
      </c>
      <c r="F2588" s="2">
        <v>0.94</v>
      </c>
      <c r="G2588" s="7">
        <v>0.72</v>
      </c>
      <c r="H2588" s="9" t="s">
        <v>20</v>
      </c>
      <c r="I2588">
        <v>0.83</v>
      </c>
      <c r="J2588">
        <v>0.56999999999999995</v>
      </c>
      <c r="K2588">
        <v>0.06</v>
      </c>
      <c r="L2588">
        <v>0.45</v>
      </c>
      <c r="M2588">
        <v>0.43</v>
      </c>
      <c r="N2588">
        <v>0.15</v>
      </c>
      <c r="O2588">
        <v>0.42</v>
      </c>
      <c r="P2588">
        <v>0.28000000000000003</v>
      </c>
      <c r="Q2588">
        <v>0.7</v>
      </c>
      <c r="R2588" s="2">
        <v>0.01</v>
      </c>
      <c r="S2588" t="str">
        <f>IF(Table1[[#This Row],[Years_Experience]]&lt;=5,"Early Career",
IF(Table1[[#This Row],[Years_Experience]]&lt;=15,"Mid Career","Senior Level"))</f>
        <v>Early Career</v>
      </c>
      <c r="T2588" t="str">
        <f>IF(Table1[[#This Row],[AI_Exposure_Index]]&gt;=0.7,"High Exposure", IF(Table1[[#This Row],[AI_Exposure_Index]]&gt;=0.3,"Medium Exposure","Low Exposure"))</f>
        <v>High Exposure</v>
      </c>
    </row>
    <row r="2589" spans="1:20" x14ac:dyDescent="0.25">
      <c r="A2589" t="s">
        <v>36</v>
      </c>
      <c r="B2589">
        <v>125288</v>
      </c>
      <c r="C2589" s="1">
        <v>8</v>
      </c>
      <c r="D2589" t="s">
        <v>19</v>
      </c>
      <c r="E2589" s="7">
        <v>0.93</v>
      </c>
      <c r="F2589" s="2">
        <v>0.92</v>
      </c>
      <c r="G2589" s="7">
        <v>0.37</v>
      </c>
      <c r="H2589" s="9" t="s">
        <v>27</v>
      </c>
      <c r="I2589">
        <v>0.79</v>
      </c>
      <c r="J2589">
        <v>0.85</v>
      </c>
      <c r="K2589">
        <v>0.21</v>
      </c>
      <c r="L2589">
        <v>0.71</v>
      </c>
      <c r="M2589">
        <v>0.62</v>
      </c>
      <c r="N2589">
        <v>0.75</v>
      </c>
      <c r="O2589">
        <v>0.79</v>
      </c>
      <c r="P2589">
        <v>0.66</v>
      </c>
      <c r="Q2589">
        <v>0.96</v>
      </c>
      <c r="R2589" s="2">
        <v>0.86</v>
      </c>
      <c r="S2589" t="str">
        <f>IF(Table1[[#This Row],[Years_Experience]]&lt;=5,"Early Career",
IF(Table1[[#This Row],[Years_Experience]]&lt;=15,"Mid Career","Senior Level"))</f>
        <v>Mid Career</v>
      </c>
      <c r="T2589" t="str">
        <f>IF(Table1[[#This Row],[AI_Exposure_Index]]&gt;=0.7,"High Exposure", IF(Table1[[#This Row],[AI_Exposure_Index]]&gt;=0.3,"Medium Exposure","Low Exposure"))</f>
        <v>High Exposure</v>
      </c>
    </row>
    <row r="2590" spans="1:20" x14ac:dyDescent="0.25">
      <c r="A2590" t="s">
        <v>18</v>
      </c>
      <c r="B2590">
        <v>77540</v>
      </c>
      <c r="C2590" s="1">
        <v>13</v>
      </c>
      <c r="D2590" t="s">
        <v>22</v>
      </c>
      <c r="E2590" s="7">
        <v>1.25</v>
      </c>
      <c r="F2590" s="2">
        <v>0.55000000000000004</v>
      </c>
      <c r="G2590" s="7">
        <v>0.85</v>
      </c>
      <c r="H2590" s="9" t="s">
        <v>20</v>
      </c>
      <c r="I2590">
        <v>0.04</v>
      </c>
      <c r="J2590">
        <v>0.21</v>
      </c>
      <c r="K2590">
        <v>0.08</v>
      </c>
      <c r="L2590">
        <v>0.11</v>
      </c>
      <c r="M2590">
        <v>0.02</v>
      </c>
      <c r="N2590">
        <v>0.42</v>
      </c>
      <c r="O2590">
        <v>0.18</v>
      </c>
      <c r="P2590">
        <v>0.86</v>
      </c>
      <c r="Q2590">
        <v>0.75</v>
      </c>
      <c r="R2590" s="2">
        <v>0.56999999999999995</v>
      </c>
      <c r="S2590" t="str">
        <f>IF(Table1[[#This Row],[Years_Experience]]&lt;=5,"Early Career",
IF(Table1[[#This Row],[Years_Experience]]&lt;=15,"Mid Career","Senior Level"))</f>
        <v>Mid Career</v>
      </c>
      <c r="T2590" t="str">
        <f>IF(Table1[[#This Row],[AI_Exposure_Index]]&gt;=0.7,"High Exposure", IF(Table1[[#This Row],[AI_Exposure_Index]]&gt;=0.3,"Medium Exposure","Low Exposure"))</f>
        <v>Medium Exposure</v>
      </c>
    </row>
    <row r="2591" spans="1:20" x14ac:dyDescent="0.25">
      <c r="A2591" t="s">
        <v>30</v>
      </c>
      <c r="B2591">
        <v>62953</v>
      </c>
      <c r="C2591" s="1">
        <v>29</v>
      </c>
      <c r="D2591" t="s">
        <v>25</v>
      </c>
      <c r="E2591" s="7">
        <v>0.97</v>
      </c>
      <c r="F2591" s="2">
        <v>0.26</v>
      </c>
      <c r="G2591" s="7">
        <v>0.56000000000000005</v>
      </c>
      <c r="H2591" s="9" t="s">
        <v>27</v>
      </c>
      <c r="I2591">
        <v>0.78</v>
      </c>
      <c r="J2591">
        <v>0.08</v>
      </c>
      <c r="K2591">
        <v>0.71</v>
      </c>
      <c r="L2591">
        <v>0.74</v>
      </c>
      <c r="M2591">
        <v>0.56000000000000005</v>
      </c>
      <c r="N2591">
        <v>0.21</v>
      </c>
      <c r="O2591">
        <v>0.54</v>
      </c>
      <c r="P2591">
        <v>0.5</v>
      </c>
      <c r="Q2591">
        <v>0.48</v>
      </c>
      <c r="R2591" s="2">
        <v>0.46</v>
      </c>
      <c r="S2591" t="str">
        <f>IF(Table1[[#This Row],[Years_Experience]]&lt;=5,"Early Career",
IF(Table1[[#This Row],[Years_Experience]]&lt;=15,"Mid Career","Senior Level"))</f>
        <v>Senior Level</v>
      </c>
      <c r="T2591" t="str">
        <f>IF(Table1[[#This Row],[AI_Exposure_Index]]&gt;=0.7,"High Exposure", IF(Table1[[#This Row],[AI_Exposure_Index]]&gt;=0.3,"Medium Exposure","Low Exposure"))</f>
        <v>Low Exposure</v>
      </c>
    </row>
    <row r="2592" spans="1:20" x14ac:dyDescent="0.25">
      <c r="A2592" t="s">
        <v>39</v>
      </c>
      <c r="B2592">
        <v>99754</v>
      </c>
      <c r="C2592" s="1">
        <v>1</v>
      </c>
      <c r="D2592" t="s">
        <v>19</v>
      </c>
      <c r="E2592" s="7">
        <v>0.6</v>
      </c>
      <c r="F2592" s="2">
        <v>0.18</v>
      </c>
      <c r="G2592" s="7">
        <v>0.76</v>
      </c>
      <c r="H2592" s="9" t="s">
        <v>20</v>
      </c>
      <c r="I2592">
        <v>0.26</v>
      </c>
      <c r="J2592">
        <v>0.25</v>
      </c>
      <c r="K2592">
        <v>0.21</v>
      </c>
      <c r="L2592">
        <v>0.74</v>
      </c>
      <c r="M2592">
        <v>0.82</v>
      </c>
      <c r="N2592">
        <v>0.33</v>
      </c>
      <c r="O2592">
        <v>0.31</v>
      </c>
      <c r="P2592">
        <v>0.84</v>
      </c>
      <c r="Q2592">
        <v>0.62</v>
      </c>
      <c r="R2592" s="2">
        <v>0.28999999999999998</v>
      </c>
      <c r="S2592" t="str">
        <f>IF(Table1[[#This Row],[Years_Experience]]&lt;=5,"Early Career",
IF(Table1[[#This Row],[Years_Experience]]&lt;=15,"Mid Career","Senior Level"))</f>
        <v>Early Career</v>
      </c>
      <c r="T2592" t="str">
        <f>IF(Table1[[#This Row],[AI_Exposure_Index]]&gt;=0.7,"High Exposure", IF(Table1[[#This Row],[AI_Exposure_Index]]&gt;=0.3,"Medium Exposure","Low Exposure"))</f>
        <v>Low Exposure</v>
      </c>
    </row>
    <row r="2593" spans="1:20" x14ac:dyDescent="0.25">
      <c r="A2593" t="s">
        <v>28</v>
      </c>
      <c r="B2593">
        <v>114865</v>
      </c>
      <c r="C2593" s="1">
        <v>26</v>
      </c>
      <c r="D2593" t="s">
        <v>25</v>
      </c>
      <c r="E2593" s="7">
        <v>1.0900000000000001</v>
      </c>
      <c r="F2593" s="2">
        <v>0.34</v>
      </c>
      <c r="G2593" s="7">
        <v>0.7</v>
      </c>
      <c r="H2593" s="9" t="s">
        <v>27</v>
      </c>
      <c r="I2593">
        <v>0.3</v>
      </c>
      <c r="J2593">
        <v>0.93</v>
      </c>
      <c r="K2593">
        <v>0.32</v>
      </c>
      <c r="L2593">
        <v>0.54</v>
      </c>
      <c r="M2593">
        <v>0.46</v>
      </c>
      <c r="N2593">
        <v>0.78</v>
      </c>
      <c r="O2593">
        <v>0.06</v>
      </c>
      <c r="P2593">
        <v>0.63</v>
      </c>
      <c r="Q2593">
        <v>0.76</v>
      </c>
      <c r="R2593" s="2">
        <v>0.47</v>
      </c>
      <c r="S2593" t="str">
        <f>IF(Table1[[#This Row],[Years_Experience]]&lt;=5,"Early Career",
IF(Table1[[#This Row],[Years_Experience]]&lt;=15,"Mid Career","Senior Level"))</f>
        <v>Senior Level</v>
      </c>
      <c r="T2593" t="str">
        <f>IF(Table1[[#This Row],[AI_Exposure_Index]]&gt;=0.7,"High Exposure", IF(Table1[[#This Row],[AI_Exposure_Index]]&gt;=0.3,"Medium Exposure","Low Exposure"))</f>
        <v>Medium Exposure</v>
      </c>
    </row>
    <row r="2594" spans="1:20" x14ac:dyDescent="0.25">
      <c r="A2594" t="s">
        <v>39</v>
      </c>
      <c r="B2594">
        <v>59904</v>
      </c>
      <c r="C2594" s="1">
        <v>9</v>
      </c>
      <c r="D2594" t="s">
        <v>38</v>
      </c>
      <c r="E2594" s="7">
        <v>1.18</v>
      </c>
      <c r="F2594" s="2">
        <v>0.24</v>
      </c>
      <c r="G2594" s="7">
        <v>0.92</v>
      </c>
      <c r="H2594" s="9" t="s">
        <v>20</v>
      </c>
      <c r="I2594">
        <v>0.42</v>
      </c>
      <c r="J2594">
        <v>0.56000000000000005</v>
      </c>
      <c r="K2594">
        <v>0.23</v>
      </c>
      <c r="L2594">
        <v>0.41</v>
      </c>
      <c r="M2594">
        <v>0.34</v>
      </c>
      <c r="N2594">
        <v>0.66</v>
      </c>
      <c r="O2594">
        <v>0.98</v>
      </c>
      <c r="P2594">
        <v>0.81</v>
      </c>
      <c r="Q2594">
        <v>0.19</v>
      </c>
      <c r="R2594" s="2">
        <v>0.57999999999999996</v>
      </c>
      <c r="S2594" t="str">
        <f>IF(Table1[[#This Row],[Years_Experience]]&lt;=5,"Early Career",
IF(Table1[[#This Row],[Years_Experience]]&lt;=15,"Mid Career","Senior Level"))</f>
        <v>Mid Career</v>
      </c>
      <c r="T2594" t="str">
        <f>IF(Table1[[#This Row],[AI_Exposure_Index]]&gt;=0.7,"High Exposure", IF(Table1[[#This Row],[AI_Exposure_Index]]&gt;=0.3,"Medium Exposure","Low Exposure"))</f>
        <v>Low Exposure</v>
      </c>
    </row>
    <row r="2595" spans="1:20" x14ac:dyDescent="0.25">
      <c r="A2595" t="s">
        <v>42</v>
      </c>
      <c r="B2595">
        <v>53473</v>
      </c>
      <c r="C2595" s="1">
        <v>25</v>
      </c>
      <c r="D2595" t="s">
        <v>19</v>
      </c>
      <c r="E2595" s="7">
        <v>0.67</v>
      </c>
      <c r="F2595" s="2">
        <v>0.25</v>
      </c>
      <c r="G2595" s="7">
        <v>0.43</v>
      </c>
      <c r="H2595" s="9" t="s">
        <v>27</v>
      </c>
      <c r="I2595">
        <v>0.68</v>
      </c>
      <c r="J2595">
        <v>0.5</v>
      </c>
      <c r="K2595">
        <v>0.93</v>
      </c>
      <c r="L2595">
        <v>0.21</v>
      </c>
      <c r="M2595">
        <v>0.36</v>
      </c>
      <c r="N2595">
        <v>0.33</v>
      </c>
      <c r="O2595">
        <v>0.24</v>
      </c>
      <c r="P2595">
        <v>0.99</v>
      </c>
      <c r="Q2595">
        <v>0.39</v>
      </c>
      <c r="R2595" s="2">
        <v>0.94</v>
      </c>
      <c r="S2595" t="str">
        <f>IF(Table1[[#This Row],[Years_Experience]]&lt;=5,"Early Career",
IF(Table1[[#This Row],[Years_Experience]]&lt;=15,"Mid Career","Senior Level"))</f>
        <v>Senior Level</v>
      </c>
      <c r="T2595" t="str">
        <f>IF(Table1[[#This Row],[AI_Exposure_Index]]&gt;=0.7,"High Exposure", IF(Table1[[#This Row],[AI_Exposure_Index]]&gt;=0.3,"Medium Exposure","Low Exposure"))</f>
        <v>Low Exposure</v>
      </c>
    </row>
    <row r="2596" spans="1:20" x14ac:dyDescent="0.25">
      <c r="A2596" t="s">
        <v>24</v>
      </c>
      <c r="B2596">
        <v>34564</v>
      </c>
      <c r="C2596" s="1">
        <v>0</v>
      </c>
      <c r="D2596" t="s">
        <v>38</v>
      </c>
      <c r="E2596" s="7">
        <v>0.62</v>
      </c>
      <c r="F2596" s="2">
        <v>0.2</v>
      </c>
      <c r="G2596" s="7">
        <v>0.91</v>
      </c>
      <c r="H2596" s="9" t="s">
        <v>20</v>
      </c>
      <c r="I2596">
        <v>0.03</v>
      </c>
      <c r="J2596">
        <v>0.96</v>
      </c>
      <c r="K2596">
        <v>0.42</v>
      </c>
      <c r="L2596">
        <v>0.25</v>
      </c>
      <c r="M2596">
        <v>0.62</v>
      </c>
      <c r="N2596">
        <v>0.13</v>
      </c>
      <c r="O2596">
        <v>7.0000000000000007E-2</v>
      </c>
      <c r="P2596">
        <v>0.83</v>
      </c>
      <c r="Q2596">
        <v>0.42</v>
      </c>
      <c r="R2596" s="2">
        <v>0.52</v>
      </c>
      <c r="S2596" t="str">
        <f>IF(Table1[[#This Row],[Years_Experience]]&lt;=5,"Early Career",
IF(Table1[[#This Row],[Years_Experience]]&lt;=15,"Mid Career","Senior Level"))</f>
        <v>Early Career</v>
      </c>
      <c r="T2596" t="str">
        <f>IF(Table1[[#This Row],[AI_Exposure_Index]]&gt;=0.7,"High Exposure", IF(Table1[[#This Row],[AI_Exposure_Index]]&gt;=0.3,"Medium Exposure","Low Exposure"))</f>
        <v>Low Exposure</v>
      </c>
    </row>
    <row r="2597" spans="1:20" x14ac:dyDescent="0.25">
      <c r="A2597" t="s">
        <v>32</v>
      </c>
      <c r="B2597">
        <v>128259</v>
      </c>
      <c r="C2597" s="1">
        <v>26</v>
      </c>
      <c r="D2597" t="s">
        <v>19</v>
      </c>
      <c r="E2597" s="7">
        <v>1.01</v>
      </c>
      <c r="F2597" s="2">
        <v>0.37</v>
      </c>
      <c r="G2597" s="7">
        <v>0.61</v>
      </c>
      <c r="H2597" s="9" t="s">
        <v>27</v>
      </c>
      <c r="I2597">
        <v>0.5</v>
      </c>
      <c r="J2597">
        <v>0.78</v>
      </c>
      <c r="K2597">
        <v>0.12</v>
      </c>
      <c r="L2597">
        <v>0.06</v>
      </c>
      <c r="M2597">
        <v>0.16</v>
      </c>
      <c r="N2597">
        <v>0.77</v>
      </c>
      <c r="O2597">
        <v>0.76</v>
      </c>
      <c r="P2597">
        <v>0.14000000000000001</v>
      </c>
      <c r="Q2597">
        <v>0.03</v>
      </c>
      <c r="R2597" s="2">
        <v>0.69</v>
      </c>
      <c r="S2597" t="str">
        <f>IF(Table1[[#This Row],[Years_Experience]]&lt;=5,"Early Career",
IF(Table1[[#This Row],[Years_Experience]]&lt;=15,"Mid Career","Senior Level"))</f>
        <v>Senior Level</v>
      </c>
      <c r="T2597" t="str">
        <f>IF(Table1[[#This Row],[AI_Exposure_Index]]&gt;=0.7,"High Exposure", IF(Table1[[#This Row],[AI_Exposure_Index]]&gt;=0.3,"Medium Exposure","Low Exposure"))</f>
        <v>Medium Exposure</v>
      </c>
    </row>
    <row r="2598" spans="1:20" x14ac:dyDescent="0.25">
      <c r="A2598" t="s">
        <v>37</v>
      </c>
      <c r="B2598">
        <v>144486</v>
      </c>
      <c r="C2598" s="1">
        <v>28</v>
      </c>
      <c r="D2598" t="s">
        <v>19</v>
      </c>
      <c r="E2598" s="7">
        <v>0.7</v>
      </c>
      <c r="F2598" s="2">
        <v>0.75</v>
      </c>
      <c r="G2598" s="7">
        <v>0.53</v>
      </c>
      <c r="H2598" s="9" t="s">
        <v>27</v>
      </c>
      <c r="I2598">
        <v>0.76</v>
      </c>
      <c r="J2598">
        <v>0.26</v>
      </c>
      <c r="K2598">
        <v>0.53</v>
      </c>
      <c r="L2598">
        <v>0.31</v>
      </c>
      <c r="M2598">
        <v>0.23</v>
      </c>
      <c r="N2598">
        <v>0.97</v>
      </c>
      <c r="O2598">
        <v>0.91</v>
      </c>
      <c r="P2598">
        <v>0.45</v>
      </c>
      <c r="Q2598">
        <v>0.14000000000000001</v>
      </c>
      <c r="R2598" s="2">
        <v>0.73</v>
      </c>
      <c r="S2598" t="str">
        <f>IF(Table1[[#This Row],[Years_Experience]]&lt;=5,"Early Career",
IF(Table1[[#This Row],[Years_Experience]]&lt;=15,"Mid Career","Senior Level"))</f>
        <v>Senior Level</v>
      </c>
      <c r="T2598" t="str">
        <f>IF(Table1[[#This Row],[AI_Exposure_Index]]&gt;=0.7,"High Exposure", IF(Table1[[#This Row],[AI_Exposure_Index]]&gt;=0.3,"Medium Exposure","Low Exposure"))</f>
        <v>High Exposure</v>
      </c>
    </row>
    <row r="2599" spans="1:20" x14ac:dyDescent="0.25">
      <c r="A2599" t="s">
        <v>36</v>
      </c>
      <c r="B2599">
        <v>136766</v>
      </c>
      <c r="C2599" s="1">
        <v>3</v>
      </c>
      <c r="D2599" t="s">
        <v>19</v>
      </c>
      <c r="E2599" s="7">
        <v>0.88</v>
      </c>
      <c r="F2599" s="2">
        <v>0.17</v>
      </c>
      <c r="G2599" s="7">
        <v>0.51</v>
      </c>
      <c r="H2599" s="9" t="s">
        <v>27</v>
      </c>
      <c r="I2599">
        <v>0.1</v>
      </c>
      <c r="J2599">
        <v>0.56999999999999995</v>
      </c>
      <c r="K2599">
        <v>0.02</v>
      </c>
      <c r="L2599">
        <v>0.89</v>
      </c>
      <c r="M2599">
        <v>0.92</v>
      </c>
      <c r="N2599">
        <v>0.73</v>
      </c>
      <c r="O2599">
        <v>0.47</v>
      </c>
      <c r="P2599">
        <v>0.25</v>
      </c>
      <c r="Q2599">
        <v>0.74</v>
      </c>
      <c r="R2599" s="2">
        <v>0.93</v>
      </c>
      <c r="S2599" t="str">
        <f>IF(Table1[[#This Row],[Years_Experience]]&lt;=5,"Early Career",
IF(Table1[[#This Row],[Years_Experience]]&lt;=15,"Mid Career","Senior Level"))</f>
        <v>Early Career</v>
      </c>
      <c r="T2599" t="str">
        <f>IF(Table1[[#This Row],[AI_Exposure_Index]]&gt;=0.7,"High Exposure", IF(Table1[[#This Row],[AI_Exposure_Index]]&gt;=0.3,"Medium Exposure","Low Exposure"))</f>
        <v>Low Exposure</v>
      </c>
    </row>
    <row r="2600" spans="1:20" x14ac:dyDescent="0.25">
      <c r="A2600" t="s">
        <v>42</v>
      </c>
      <c r="B2600">
        <v>139097</v>
      </c>
      <c r="C2600" s="1">
        <v>23</v>
      </c>
      <c r="D2600" t="s">
        <v>38</v>
      </c>
      <c r="E2600" s="7">
        <v>0.82</v>
      </c>
      <c r="F2600" s="2">
        <v>0.47</v>
      </c>
      <c r="G2600" s="7">
        <v>0.44</v>
      </c>
      <c r="H2600" s="9" t="s">
        <v>27</v>
      </c>
      <c r="I2600">
        <v>0.41</v>
      </c>
      <c r="J2600">
        <v>0.95</v>
      </c>
      <c r="K2600">
        <v>0.26</v>
      </c>
      <c r="L2600">
        <v>0.49</v>
      </c>
      <c r="M2600">
        <v>0.95</v>
      </c>
      <c r="N2600">
        <v>0.48</v>
      </c>
      <c r="O2600">
        <v>0.86</v>
      </c>
      <c r="P2600">
        <v>0.06</v>
      </c>
      <c r="Q2600">
        <v>0.95</v>
      </c>
      <c r="R2600" s="2">
        <v>0.19</v>
      </c>
      <c r="S2600" t="str">
        <f>IF(Table1[[#This Row],[Years_Experience]]&lt;=5,"Early Career",
IF(Table1[[#This Row],[Years_Experience]]&lt;=15,"Mid Career","Senior Level"))</f>
        <v>Senior Level</v>
      </c>
      <c r="T2600" t="str">
        <f>IF(Table1[[#This Row],[AI_Exposure_Index]]&gt;=0.7,"High Exposure", IF(Table1[[#This Row],[AI_Exposure_Index]]&gt;=0.3,"Medium Exposure","Low Exposure"))</f>
        <v>Medium Exposure</v>
      </c>
    </row>
    <row r="2601" spans="1:20" x14ac:dyDescent="0.25">
      <c r="A2601" t="s">
        <v>33</v>
      </c>
      <c r="B2601">
        <v>97004</v>
      </c>
      <c r="C2601" s="1">
        <v>8</v>
      </c>
      <c r="D2601" t="s">
        <v>38</v>
      </c>
      <c r="E2601" s="7">
        <v>0.94</v>
      </c>
      <c r="F2601" s="2">
        <v>0.18</v>
      </c>
      <c r="G2601" s="7">
        <v>0.78</v>
      </c>
      <c r="H2601" s="9" t="s">
        <v>20</v>
      </c>
      <c r="I2601">
        <v>0.43</v>
      </c>
      <c r="J2601">
        <v>0.25</v>
      </c>
      <c r="K2601">
        <v>0.97</v>
      </c>
      <c r="L2601">
        <v>0.31</v>
      </c>
      <c r="M2601">
        <v>0.65</v>
      </c>
      <c r="N2601">
        <v>0.14000000000000001</v>
      </c>
      <c r="O2601">
        <v>0.82</v>
      </c>
      <c r="P2601">
        <v>0.54</v>
      </c>
      <c r="Q2601">
        <v>0.98</v>
      </c>
      <c r="R2601" s="2">
        <v>0.42</v>
      </c>
      <c r="S2601" t="str">
        <f>IF(Table1[[#This Row],[Years_Experience]]&lt;=5,"Early Career",
IF(Table1[[#This Row],[Years_Experience]]&lt;=15,"Mid Career","Senior Level"))</f>
        <v>Mid Career</v>
      </c>
      <c r="T2601" t="str">
        <f>IF(Table1[[#This Row],[AI_Exposure_Index]]&gt;=0.7,"High Exposure", IF(Table1[[#This Row],[AI_Exposure_Index]]&gt;=0.3,"Medium Exposure","Low Exposure"))</f>
        <v>Low Exposure</v>
      </c>
    </row>
    <row r="2602" spans="1:20" x14ac:dyDescent="0.25">
      <c r="A2602" t="s">
        <v>24</v>
      </c>
      <c r="B2602">
        <v>87143</v>
      </c>
      <c r="C2602" s="1">
        <v>25</v>
      </c>
      <c r="D2602" t="s">
        <v>38</v>
      </c>
      <c r="E2602" s="7">
        <v>1.24</v>
      </c>
      <c r="F2602" s="2">
        <v>0.35</v>
      </c>
      <c r="G2602" s="7">
        <v>0.86</v>
      </c>
      <c r="H2602" s="9" t="s">
        <v>20</v>
      </c>
      <c r="I2602">
        <v>0.78</v>
      </c>
      <c r="J2602">
        <v>7.0000000000000007E-2</v>
      </c>
      <c r="K2602">
        <v>0.57999999999999996</v>
      </c>
      <c r="L2602">
        <v>0.93</v>
      </c>
      <c r="M2602">
        <v>0.11</v>
      </c>
      <c r="N2602">
        <v>0.09</v>
      </c>
      <c r="O2602">
        <v>0.72</v>
      </c>
      <c r="P2602">
        <v>0.32</v>
      </c>
      <c r="Q2602">
        <v>0.66</v>
      </c>
      <c r="R2602" s="2">
        <v>0.55000000000000004</v>
      </c>
      <c r="S2602" t="str">
        <f>IF(Table1[[#This Row],[Years_Experience]]&lt;=5,"Early Career",
IF(Table1[[#This Row],[Years_Experience]]&lt;=15,"Mid Career","Senior Level"))</f>
        <v>Senior Level</v>
      </c>
      <c r="T2602" t="str">
        <f>IF(Table1[[#This Row],[AI_Exposure_Index]]&gt;=0.7,"High Exposure", IF(Table1[[#This Row],[AI_Exposure_Index]]&gt;=0.3,"Medium Exposure","Low Exposure"))</f>
        <v>Medium Exposure</v>
      </c>
    </row>
    <row r="2603" spans="1:20" x14ac:dyDescent="0.25">
      <c r="A2603" t="s">
        <v>21</v>
      </c>
      <c r="B2603">
        <v>86668</v>
      </c>
      <c r="C2603" s="1">
        <v>20</v>
      </c>
      <c r="D2603" t="s">
        <v>38</v>
      </c>
      <c r="E2603" s="7">
        <v>1.18</v>
      </c>
      <c r="F2603" s="2">
        <v>0.89</v>
      </c>
      <c r="G2603" s="7">
        <v>0.12</v>
      </c>
      <c r="H2603" s="9" t="s">
        <v>23</v>
      </c>
      <c r="I2603">
        <v>0.26</v>
      </c>
      <c r="J2603">
        <v>0.88</v>
      </c>
      <c r="K2603">
        <v>0.59</v>
      </c>
      <c r="L2603">
        <v>0.79</v>
      </c>
      <c r="M2603">
        <v>0.45</v>
      </c>
      <c r="N2603">
        <v>0.1</v>
      </c>
      <c r="O2603">
        <v>0.33</v>
      </c>
      <c r="P2603">
        <v>0.16</v>
      </c>
      <c r="Q2603">
        <v>0.78</v>
      </c>
      <c r="R2603" s="2">
        <v>0.7</v>
      </c>
      <c r="S2603" t="str">
        <f>IF(Table1[[#This Row],[Years_Experience]]&lt;=5,"Early Career",
IF(Table1[[#This Row],[Years_Experience]]&lt;=15,"Mid Career","Senior Level"))</f>
        <v>Senior Level</v>
      </c>
      <c r="T2603" t="str">
        <f>IF(Table1[[#This Row],[AI_Exposure_Index]]&gt;=0.7,"High Exposure", IF(Table1[[#This Row],[AI_Exposure_Index]]&gt;=0.3,"Medium Exposure","Low Exposure"))</f>
        <v>High Exposure</v>
      </c>
    </row>
    <row r="2604" spans="1:20" x14ac:dyDescent="0.25">
      <c r="A2604" t="s">
        <v>42</v>
      </c>
      <c r="B2604">
        <v>45027</v>
      </c>
      <c r="C2604" s="1">
        <v>5</v>
      </c>
      <c r="D2604" t="s">
        <v>38</v>
      </c>
      <c r="E2604" s="7">
        <v>1.21</v>
      </c>
      <c r="F2604" s="2">
        <v>0.43</v>
      </c>
      <c r="G2604" s="7">
        <v>0.43</v>
      </c>
      <c r="H2604" s="9" t="s">
        <v>27</v>
      </c>
      <c r="I2604">
        <v>0.71</v>
      </c>
      <c r="J2604">
        <v>0.55000000000000004</v>
      </c>
      <c r="K2604">
        <v>0.25</v>
      </c>
      <c r="L2604">
        <v>0.67</v>
      </c>
      <c r="M2604">
        <v>0.88</v>
      </c>
      <c r="N2604">
        <v>0.31</v>
      </c>
      <c r="O2604">
        <v>0.81</v>
      </c>
      <c r="P2604">
        <v>0.34</v>
      </c>
      <c r="Q2604">
        <v>0.82</v>
      </c>
      <c r="R2604" s="2">
        <v>0.05</v>
      </c>
      <c r="S2604" t="str">
        <f>IF(Table1[[#This Row],[Years_Experience]]&lt;=5,"Early Career",
IF(Table1[[#This Row],[Years_Experience]]&lt;=15,"Mid Career","Senior Level"))</f>
        <v>Early Career</v>
      </c>
      <c r="T2604" t="str">
        <f>IF(Table1[[#This Row],[AI_Exposure_Index]]&gt;=0.7,"High Exposure", IF(Table1[[#This Row],[AI_Exposure_Index]]&gt;=0.3,"Medium Exposure","Low Exposure"))</f>
        <v>Medium Exposure</v>
      </c>
    </row>
    <row r="2605" spans="1:20" x14ac:dyDescent="0.25">
      <c r="A2605" t="s">
        <v>44</v>
      </c>
      <c r="B2605">
        <v>86546</v>
      </c>
      <c r="C2605" s="1">
        <v>8</v>
      </c>
      <c r="D2605" t="s">
        <v>38</v>
      </c>
      <c r="E2605" s="7">
        <v>1.37</v>
      </c>
      <c r="F2605" s="2">
        <v>0.11</v>
      </c>
      <c r="G2605" s="7">
        <v>0.51</v>
      </c>
      <c r="H2605" s="9" t="s">
        <v>27</v>
      </c>
      <c r="I2605">
        <v>0.59</v>
      </c>
      <c r="J2605">
        <v>0.84</v>
      </c>
      <c r="K2605">
        <v>0.05</v>
      </c>
      <c r="L2605">
        <v>0.39</v>
      </c>
      <c r="M2605">
        <v>0.64</v>
      </c>
      <c r="N2605">
        <v>0.4</v>
      </c>
      <c r="O2605">
        <v>0.03</v>
      </c>
      <c r="P2605">
        <v>0.65</v>
      </c>
      <c r="Q2605">
        <v>0.39</v>
      </c>
      <c r="R2605" s="2">
        <v>0.02</v>
      </c>
      <c r="S2605" t="str">
        <f>IF(Table1[[#This Row],[Years_Experience]]&lt;=5,"Early Career",
IF(Table1[[#This Row],[Years_Experience]]&lt;=15,"Mid Career","Senior Level"))</f>
        <v>Mid Career</v>
      </c>
      <c r="T2605" t="str">
        <f>IF(Table1[[#This Row],[AI_Exposure_Index]]&gt;=0.7,"High Exposure", IF(Table1[[#This Row],[AI_Exposure_Index]]&gt;=0.3,"Medium Exposure","Low Exposure"))</f>
        <v>Low Exposure</v>
      </c>
    </row>
    <row r="2606" spans="1:20" x14ac:dyDescent="0.25">
      <c r="A2606" t="s">
        <v>42</v>
      </c>
      <c r="B2606">
        <v>101621</v>
      </c>
      <c r="C2606" s="1">
        <v>7</v>
      </c>
      <c r="D2606" t="s">
        <v>19</v>
      </c>
      <c r="E2606" s="7">
        <v>1.01</v>
      </c>
      <c r="F2606" s="2">
        <v>0.22</v>
      </c>
      <c r="G2606" s="7">
        <v>0.37</v>
      </c>
      <c r="H2606" s="9" t="s">
        <v>27</v>
      </c>
      <c r="I2606">
        <v>0.36</v>
      </c>
      <c r="J2606">
        <v>0.75</v>
      </c>
      <c r="K2606">
        <v>0.81</v>
      </c>
      <c r="L2606">
        <v>0.8</v>
      </c>
      <c r="M2606">
        <v>0.7</v>
      </c>
      <c r="N2606">
        <v>0.54</v>
      </c>
      <c r="O2606">
        <v>0.55000000000000004</v>
      </c>
      <c r="P2606">
        <v>0.95</v>
      </c>
      <c r="Q2606">
        <v>0.88</v>
      </c>
      <c r="R2606" s="2">
        <v>0.65</v>
      </c>
      <c r="S2606" t="str">
        <f>IF(Table1[[#This Row],[Years_Experience]]&lt;=5,"Early Career",
IF(Table1[[#This Row],[Years_Experience]]&lt;=15,"Mid Career","Senior Level"))</f>
        <v>Mid Career</v>
      </c>
      <c r="T2606" t="str">
        <f>IF(Table1[[#This Row],[AI_Exposure_Index]]&gt;=0.7,"High Exposure", IF(Table1[[#This Row],[AI_Exposure_Index]]&gt;=0.3,"Medium Exposure","Low Exposure"))</f>
        <v>Low Exposure</v>
      </c>
    </row>
    <row r="2607" spans="1:20" x14ac:dyDescent="0.25">
      <c r="A2607" t="s">
        <v>37</v>
      </c>
      <c r="B2607">
        <v>114191</v>
      </c>
      <c r="C2607" s="1">
        <v>24</v>
      </c>
      <c r="D2607" t="s">
        <v>22</v>
      </c>
      <c r="E2607" s="7">
        <v>0.56000000000000005</v>
      </c>
      <c r="F2607" s="2">
        <v>0.73</v>
      </c>
      <c r="G2607" s="7">
        <v>0.68</v>
      </c>
      <c r="H2607" s="9" t="s">
        <v>27</v>
      </c>
      <c r="I2607">
        <v>0.55000000000000004</v>
      </c>
      <c r="J2607">
        <v>0.5</v>
      </c>
      <c r="K2607">
        <v>0.28999999999999998</v>
      </c>
      <c r="L2607">
        <v>0</v>
      </c>
      <c r="M2607">
        <v>0.06</v>
      </c>
      <c r="N2607">
        <v>0.26</v>
      </c>
      <c r="O2607">
        <v>0.54</v>
      </c>
      <c r="P2607">
        <v>0.08</v>
      </c>
      <c r="Q2607">
        <v>0.97</v>
      </c>
      <c r="R2607" s="2">
        <v>0.41</v>
      </c>
      <c r="S2607" t="str">
        <f>IF(Table1[[#This Row],[Years_Experience]]&lt;=5,"Early Career",
IF(Table1[[#This Row],[Years_Experience]]&lt;=15,"Mid Career","Senior Level"))</f>
        <v>Senior Level</v>
      </c>
      <c r="T2607" t="str">
        <f>IF(Table1[[#This Row],[AI_Exposure_Index]]&gt;=0.7,"High Exposure", IF(Table1[[#This Row],[AI_Exposure_Index]]&gt;=0.3,"Medium Exposure","Low Exposure"))</f>
        <v>High Exposure</v>
      </c>
    </row>
    <row r="2608" spans="1:20" x14ac:dyDescent="0.25">
      <c r="A2608" t="s">
        <v>31</v>
      </c>
      <c r="B2608">
        <v>41918</v>
      </c>
      <c r="C2608" s="1">
        <v>24</v>
      </c>
      <c r="D2608" t="s">
        <v>25</v>
      </c>
      <c r="E2608" s="7">
        <v>0.56000000000000005</v>
      </c>
      <c r="F2608" s="2">
        <v>0.53</v>
      </c>
      <c r="G2608" s="7">
        <v>0.26</v>
      </c>
      <c r="H2608" s="9" t="s">
        <v>23</v>
      </c>
      <c r="I2608">
        <v>0.46</v>
      </c>
      <c r="J2608">
        <v>0.18</v>
      </c>
      <c r="K2608">
        <v>0.16</v>
      </c>
      <c r="L2608">
        <v>0.36</v>
      </c>
      <c r="M2608">
        <v>0.56999999999999995</v>
      </c>
      <c r="N2608">
        <v>0.42</v>
      </c>
      <c r="O2608">
        <v>0.6</v>
      </c>
      <c r="P2608">
        <v>0.71</v>
      </c>
      <c r="Q2608">
        <v>0.75</v>
      </c>
      <c r="R2608" s="2">
        <v>0.4</v>
      </c>
      <c r="S2608" t="str">
        <f>IF(Table1[[#This Row],[Years_Experience]]&lt;=5,"Early Career",
IF(Table1[[#This Row],[Years_Experience]]&lt;=15,"Mid Career","Senior Level"))</f>
        <v>Senior Level</v>
      </c>
      <c r="T2608" t="str">
        <f>IF(Table1[[#This Row],[AI_Exposure_Index]]&gt;=0.7,"High Exposure", IF(Table1[[#This Row],[AI_Exposure_Index]]&gt;=0.3,"Medium Exposure","Low Exposure"))</f>
        <v>Medium Exposure</v>
      </c>
    </row>
    <row r="2609" spans="1:20" x14ac:dyDescent="0.25">
      <c r="A2609" t="s">
        <v>33</v>
      </c>
      <c r="B2609">
        <v>130213</v>
      </c>
      <c r="C2609" s="1">
        <v>10</v>
      </c>
      <c r="D2609" t="s">
        <v>22</v>
      </c>
      <c r="E2609" s="7">
        <v>1.01</v>
      </c>
      <c r="F2609" s="2">
        <v>0.14000000000000001</v>
      </c>
      <c r="G2609" s="7">
        <v>0.72</v>
      </c>
      <c r="H2609" s="9" t="s">
        <v>20</v>
      </c>
      <c r="I2609">
        <v>0.24</v>
      </c>
      <c r="J2609">
        <v>0.57999999999999996</v>
      </c>
      <c r="K2609">
        <v>0.74</v>
      </c>
      <c r="L2609">
        <v>0.1</v>
      </c>
      <c r="M2609">
        <v>0.21</v>
      </c>
      <c r="N2609">
        <v>0.99</v>
      </c>
      <c r="O2609">
        <v>0.34</v>
      </c>
      <c r="P2609">
        <v>0.28000000000000003</v>
      </c>
      <c r="Q2609">
        <v>0.09</v>
      </c>
      <c r="R2609" s="2">
        <v>0.69</v>
      </c>
      <c r="S2609" t="str">
        <f>IF(Table1[[#This Row],[Years_Experience]]&lt;=5,"Early Career",
IF(Table1[[#This Row],[Years_Experience]]&lt;=15,"Mid Career","Senior Level"))</f>
        <v>Mid Career</v>
      </c>
      <c r="T2609" t="str">
        <f>IF(Table1[[#This Row],[AI_Exposure_Index]]&gt;=0.7,"High Exposure", IF(Table1[[#This Row],[AI_Exposure_Index]]&gt;=0.3,"Medium Exposure","Low Exposure"))</f>
        <v>Low Exposure</v>
      </c>
    </row>
    <row r="2610" spans="1:20" x14ac:dyDescent="0.25">
      <c r="A2610" t="s">
        <v>42</v>
      </c>
      <c r="B2610">
        <v>88561</v>
      </c>
      <c r="C2610" s="1">
        <v>22</v>
      </c>
      <c r="D2610" t="s">
        <v>19</v>
      </c>
      <c r="E2610" s="7">
        <v>1.1299999999999999</v>
      </c>
      <c r="F2610" s="2">
        <v>0.16</v>
      </c>
      <c r="G2610" s="7">
        <v>0.51</v>
      </c>
      <c r="H2610" s="9" t="s">
        <v>27</v>
      </c>
      <c r="I2610">
        <v>0.56000000000000005</v>
      </c>
      <c r="J2610">
        <v>0.99</v>
      </c>
      <c r="K2610">
        <v>0.03</v>
      </c>
      <c r="L2610">
        <v>0.91</v>
      </c>
      <c r="M2610">
        <v>0.84</v>
      </c>
      <c r="N2610">
        <v>0.42</v>
      </c>
      <c r="O2610">
        <v>0.88</v>
      </c>
      <c r="P2610">
        <v>0.65</v>
      </c>
      <c r="Q2610">
        <v>0.89</v>
      </c>
      <c r="R2610" s="2">
        <v>0.59</v>
      </c>
      <c r="S2610" t="str">
        <f>IF(Table1[[#This Row],[Years_Experience]]&lt;=5,"Early Career",
IF(Table1[[#This Row],[Years_Experience]]&lt;=15,"Mid Career","Senior Level"))</f>
        <v>Senior Level</v>
      </c>
      <c r="T2610" t="str">
        <f>IF(Table1[[#This Row],[AI_Exposure_Index]]&gt;=0.7,"High Exposure", IF(Table1[[#This Row],[AI_Exposure_Index]]&gt;=0.3,"Medium Exposure","Low Exposure"))</f>
        <v>Low Exposure</v>
      </c>
    </row>
    <row r="2611" spans="1:20" x14ac:dyDescent="0.25">
      <c r="A2611" t="s">
        <v>21</v>
      </c>
      <c r="B2611">
        <v>132013</v>
      </c>
      <c r="C2611" s="1">
        <v>1</v>
      </c>
      <c r="D2611" t="s">
        <v>25</v>
      </c>
      <c r="E2611" s="7">
        <v>0.68</v>
      </c>
      <c r="F2611" s="2">
        <v>0.57999999999999996</v>
      </c>
      <c r="G2611" s="7">
        <v>0.09</v>
      </c>
      <c r="H2611" s="9" t="s">
        <v>23</v>
      </c>
      <c r="I2611">
        <v>0.65</v>
      </c>
      <c r="J2611">
        <v>0.95</v>
      </c>
      <c r="K2611">
        <v>0.59</v>
      </c>
      <c r="L2611">
        <v>0.8</v>
      </c>
      <c r="M2611">
        <v>0.17</v>
      </c>
      <c r="N2611">
        <v>0.65</v>
      </c>
      <c r="O2611">
        <v>0.73</v>
      </c>
      <c r="P2611">
        <v>0.04</v>
      </c>
      <c r="Q2611">
        <v>0.1</v>
      </c>
      <c r="R2611" s="2">
        <v>0.78</v>
      </c>
      <c r="S2611" t="str">
        <f>IF(Table1[[#This Row],[Years_Experience]]&lt;=5,"Early Career",
IF(Table1[[#This Row],[Years_Experience]]&lt;=15,"Mid Career","Senior Level"))</f>
        <v>Early Career</v>
      </c>
      <c r="T2611" t="str">
        <f>IF(Table1[[#This Row],[AI_Exposure_Index]]&gt;=0.7,"High Exposure", IF(Table1[[#This Row],[AI_Exposure_Index]]&gt;=0.3,"Medium Exposure","Low Exposure"))</f>
        <v>Medium Exposure</v>
      </c>
    </row>
    <row r="2612" spans="1:20" x14ac:dyDescent="0.25">
      <c r="A2612" t="s">
        <v>18</v>
      </c>
      <c r="B2612">
        <v>67010</v>
      </c>
      <c r="C2612" s="1">
        <v>19</v>
      </c>
      <c r="D2612" t="s">
        <v>38</v>
      </c>
      <c r="E2612" s="7">
        <v>1.42</v>
      </c>
      <c r="F2612" s="2">
        <v>0.41</v>
      </c>
      <c r="G2612" s="7">
        <v>0.95</v>
      </c>
      <c r="H2612" s="9" t="s">
        <v>20</v>
      </c>
      <c r="I2612">
        <v>0.76</v>
      </c>
      <c r="J2612">
        <v>0.79</v>
      </c>
      <c r="K2612">
        <v>0.21</v>
      </c>
      <c r="L2612">
        <v>0.19</v>
      </c>
      <c r="M2612">
        <v>0.98</v>
      </c>
      <c r="N2612">
        <v>0.7</v>
      </c>
      <c r="O2612">
        <v>0.69</v>
      </c>
      <c r="P2612">
        <v>0.28999999999999998</v>
      </c>
      <c r="Q2612">
        <v>0.89</v>
      </c>
      <c r="R2612" s="2">
        <v>0.04</v>
      </c>
      <c r="S2612" t="str">
        <f>IF(Table1[[#This Row],[Years_Experience]]&lt;=5,"Early Career",
IF(Table1[[#This Row],[Years_Experience]]&lt;=15,"Mid Career","Senior Level"))</f>
        <v>Senior Level</v>
      </c>
      <c r="T2612" t="str">
        <f>IF(Table1[[#This Row],[AI_Exposure_Index]]&gt;=0.7,"High Exposure", IF(Table1[[#This Row],[AI_Exposure_Index]]&gt;=0.3,"Medium Exposure","Low Exposure"))</f>
        <v>Medium Exposure</v>
      </c>
    </row>
    <row r="2613" spans="1:20" x14ac:dyDescent="0.25">
      <c r="A2613" t="s">
        <v>44</v>
      </c>
      <c r="B2613">
        <v>131807</v>
      </c>
      <c r="C2613" s="1">
        <v>7</v>
      </c>
      <c r="D2613" t="s">
        <v>19</v>
      </c>
      <c r="E2613" s="7">
        <v>1.21</v>
      </c>
      <c r="F2613" s="2">
        <v>0.18</v>
      </c>
      <c r="G2613" s="7">
        <v>0.59</v>
      </c>
      <c r="H2613" s="9" t="s">
        <v>27</v>
      </c>
      <c r="I2613">
        <v>0.53</v>
      </c>
      <c r="J2613">
        <v>0.01</v>
      </c>
      <c r="K2613">
        <v>0.87</v>
      </c>
      <c r="L2613">
        <v>0.96</v>
      </c>
      <c r="M2613">
        <v>0.2</v>
      </c>
      <c r="N2613">
        <v>0.84</v>
      </c>
      <c r="O2613">
        <v>0.97</v>
      </c>
      <c r="P2613">
        <v>0.33</v>
      </c>
      <c r="Q2613">
        <v>0.19</v>
      </c>
      <c r="R2613" s="2">
        <v>0.98</v>
      </c>
      <c r="S2613" t="str">
        <f>IF(Table1[[#This Row],[Years_Experience]]&lt;=5,"Early Career",
IF(Table1[[#This Row],[Years_Experience]]&lt;=15,"Mid Career","Senior Level"))</f>
        <v>Mid Career</v>
      </c>
      <c r="T2613" t="str">
        <f>IF(Table1[[#This Row],[AI_Exposure_Index]]&gt;=0.7,"High Exposure", IF(Table1[[#This Row],[AI_Exposure_Index]]&gt;=0.3,"Medium Exposure","Low Exposure"))</f>
        <v>Low Exposure</v>
      </c>
    </row>
    <row r="2614" spans="1:20" x14ac:dyDescent="0.25">
      <c r="A2614" t="s">
        <v>37</v>
      </c>
      <c r="B2614">
        <v>117563</v>
      </c>
      <c r="C2614" s="1">
        <v>2</v>
      </c>
      <c r="D2614" t="s">
        <v>25</v>
      </c>
      <c r="E2614" s="7">
        <v>1.24</v>
      </c>
      <c r="F2614" s="2">
        <v>0.28000000000000003</v>
      </c>
      <c r="G2614" s="7">
        <v>0.55000000000000004</v>
      </c>
      <c r="H2614" s="9" t="s">
        <v>27</v>
      </c>
      <c r="I2614">
        <v>0.68</v>
      </c>
      <c r="J2614">
        <v>0.71</v>
      </c>
      <c r="K2614">
        <v>0.69</v>
      </c>
      <c r="L2614">
        <v>0.34</v>
      </c>
      <c r="M2614">
        <v>0.31</v>
      </c>
      <c r="N2614">
        <v>0.43</v>
      </c>
      <c r="O2614">
        <v>0.81</v>
      </c>
      <c r="P2614">
        <v>0.94</v>
      </c>
      <c r="Q2614">
        <v>0.46</v>
      </c>
      <c r="R2614" s="2">
        <v>0.09</v>
      </c>
      <c r="S2614" t="str">
        <f>IF(Table1[[#This Row],[Years_Experience]]&lt;=5,"Early Career",
IF(Table1[[#This Row],[Years_Experience]]&lt;=15,"Mid Career","Senior Level"))</f>
        <v>Early Career</v>
      </c>
      <c r="T2614" t="str">
        <f>IF(Table1[[#This Row],[AI_Exposure_Index]]&gt;=0.7,"High Exposure", IF(Table1[[#This Row],[AI_Exposure_Index]]&gt;=0.3,"Medium Exposure","Low Exposure"))</f>
        <v>Low Exposure</v>
      </c>
    </row>
    <row r="2615" spans="1:20" x14ac:dyDescent="0.25">
      <c r="A2615" t="s">
        <v>43</v>
      </c>
      <c r="B2615">
        <v>51798</v>
      </c>
      <c r="C2615" s="1">
        <v>0</v>
      </c>
      <c r="D2615" t="s">
        <v>22</v>
      </c>
      <c r="E2615" s="7">
        <v>0.66</v>
      </c>
      <c r="F2615" s="2">
        <v>0.08</v>
      </c>
      <c r="G2615" s="7">
        <v>0.27</v>
      </c>
      <c r="H2615" s="9" t="s">
        <v>23</v>
      </c>
      <c r="I2615">
        <v>0.55000000000000004</v>
      </c>
      <c r="J2615">
        <v>0.35</v>
      </c>
      <c r="K2615">
        <v>0.93</v>
      </c>
      <c r="L2615">
        <v>0.96</v>
      </c>
      <c r="M2615">
        <v>0.33</v>
      </c>
      <c r="N2615">
        <v>0.87</v>
      </c>
      <c r="O2615">
        <v>0.68</v>
      </c>
      <c r="P2615">
        <v>0.27</v>
      </c>
      <c r="Q2615">
        <v>0.94</v>
      </c>
      <c r="R2615" s="2">
        <v>0.06</v>
      </c>
      <c r="S2615" t="str">
        <f>IF(Table1[[#This Row],[Years_Experience]]&lt;=5,"Early Career",
IF(Table1[[#This Row],[Years_Experience]]&lt;=15,"Mid Career","Senior Level"))</f>
        <v>Early Career</v>
      </c>
      <c r="T2615" t="str">
        <f>IF(Table1[[#This Row],[AI_Exposure_Index]]&gt;=0.7,"High Exposure", IF(Table1[[#This Row],[AI_Exposure_Index]]&gt;=0.3,"Medium Exposure","Low Exposure"))</f>
        <v>Low Exposure</v>
      </c>
    </row>
    <row r="2616" spans="1:20" x14ac:dyDescent="0.25">
      <c r="A2616" t="s">
        <v>36</v>
      </c>
      <c r="B2616">
        <v>73701</v>
      </c>
      <c r="C2616" s="1">
        <v>25</v>
      </c>
      <c r="D2616" t="s">
        <v>19</v>
      </c>
      <c r="E2616" s="7">
        <v>1.19</v>
      </c>
      <c r="F2616" s="2">
        <v>0.4</v>
      </c>
      <c r="G2616" s="7">
        <v>0.32</v>
      </c>
      <c r="H2616" s="9" t="s">
        <v>27</v>
      </c>
      <c r="I2616">
        <v>0.89</v>
      </c>
      <c r="J2616">
        <v>0.66</v>
      </c>
      <c r="K2616">
        <v>0.28000000000000003</v>
      </c>
      <c r="L2616">
        <v>0.66</v>
      </c>
      <c r="M2616">
        <v>0.54</v>
      </c>
      <c r="N2616">
        <v>0.34</v>
      </c>
      <c r="O2616">
        <v>0.03</v>
      </c>
      <c r="P2616">
        <v>0.55000000000000004</v>
      </c>
      <c r="Q2616">
        <v>0.08</v>
      </c>
      <c r="R2616" s="2">
        <v>0.81</v>
      </c>
      <c r="S2616" t="str">
        <f>IF(Table1[[#This Row],[Years_Experience]]&lt;=5,"Early Career",
IF(Table1[[#This Row],[Years_Experience]]&lt;=15,"Mid Career","Senior Level"))</f>
        <v>Senior Level</v>
      </c>
      <c r="T2616" t="str">
        <f>IF(Table1[[#This Row],[AI_Exposure_Index]]&gt;=0.7,"High Exposure", IF(Table1[[#This Row],[AI_Exposure_Index]]&gt;=0.3,"Medium Exposure","Low Exposure"))</f>
        <v>Medium Exposure</v>
      </c>
    </row>
    <row r="2617" spans="1:20" x14ac:dyDescent="0.25">
      <c r="A2617" t="s">
        <v>37</v>
      </c>
      <c r="B2617">
        <v>135959</v>
      </c>
      <c r="C2617" s="1">
        <v>29</v>
      </c>
      <c r="D2617" t="s">
        <v>25</v>
      </c>
      <c r="E2617" s="7">
        <v>0.93</v>
      </c>
      <c r="F2617" s="2">
        <v>0.43</v>
      </c>
      <c r="G2617" s="7">
        <v>0.52</v>
      </c>
      <c r="H2617" s="9" t="s">
        <v>27</v>
      </c>
      <c r="I2617">
        <v>0.04</v>
      </c>
      <c r="J2617">
        <v>0.2</v>
      </c>
      <c r="K2617">
        <v>0.2</v>
      </c>
      <c r="L2617">
        <v>0.6</v>
      </c>
      <c r="M2617">
        <v>0.26</v>
      </c>
      <c r="N2617">
        <v>0.14000000000000001</v>
      </c>
      <c r="O2617">
        <v>0.02</v>
      </c>
      <c r="P2617">
        <v>0.84</v>
      </c>
      <c r="Q2617">
        <v>0.97</v>
      </c>
      <c r="R2617" s="2">
        <v>0.7</v>
      </c>
      <c r="S2617" t="str">
        <f>IF(Table1[[#This Row],[Years_Experience]]&lt;=5,"Early Career",
IF(Table1[[#This Row],[Years_Experience]]&lt;=15,"Mid Career","Senior Level"))</f>
        <v>Senior Level</v>
      </c>
      <c r="T2617" t="str">
        <f>IF(Table1[[#This Row],[AI_Exposure_Index]]&gt;=0.7,"High Exposure", IF(Table1[[#This Row],[AI_Exposure_Index]]&gt;=0.3,"Medium Exposure","Low Exposure"))</f>
        <v>Medium Exposure</v>
      </c>
    </row>
    <row r="2618" spans="1:20" x14ac:dyDescent="0.25">
      <c r="A2618" t="s">
        <v>30</v>
      </c>
      <c r="B2618">
        <v>129721</v>
      </c>
      <c r="C2618" s="1">
        <v>14</v>
      </c>
      <c r="D2618" t="s">
        <v>19</v>
      </c>
      <c r="E2618" s="7">
        <v>0.98</v>
      </c>
      <c r="F2618" s="2">
        <v>0.12</v>
      </c>
      <c r="G2618" s="7">
        <v>0.48</v>
      </c>
      <c r="H2618" s="9" t="s">
        <v>27</v>
      </c>
      <c r="I2618">
        <v>0.42</v>
      </c>
      <c r="J2618">
        <v>0.38</v>
      </c>
      <c r="K2618">
        <v>0.5</v>
      </c>
      <c r="L2618">
        <v>7.0000000000000007E-2</v>
      </c>
      <c r="M2618">
        <v>0.04</v>
      </c>
      <c r="N2618">
        <v>0.06</v>
      </c>
      <c r="O2618">
        <v>0.2</v>
      </c>
      <c r="P2618">
        <v>0.28000000000000003</v>
      </c>
      <c r="Q2618">
        <v>0.17</v>
      </c>
      <c r="R2618" s="2">
        <v>0.25</v>
      </c>
      <c r="S2618" t="str">
        <f>IF(Table1[[#This Row],[Years_Experience]]&lt;=5,"Early Career",
IF(Table1[[#This Row],[Years_Experience]]&lt;=15,"Mid Career","Senior Level"))</f>
        <v>Mid Career</v>
      </c>
      <c r="T2618" t="str">
        <f>IF(Table1[[#This Row],[AI_Exposure_Index]]&gt;=0.7,"High Exposure", IF(Table1[[#This Row],[AI_Exposure_Index]]&gt;=0.3,"Medium Exposure","Low Exposure"))</f>
        <v>Low Exposure</v>
      </c>
    </row>
    <row r="2619" spans="1:20" x14ac:dyDescent="0.25">
      <c r="A2619" t="s">
        <v>43</v>
      </c>
      <c r="B2619">
        <v>98132</v>
      </c>
      <c r="C2619" s="1">
        <v>29</v>
      </c>
      <c r="D2619" t="s">
        <v>25</v>
      </c>
      <c r="E2619" s="7">
        <v>0.79</v>
      </c>
      <c r="F2619" s="2">
        <v>0.15</v>
      </c>
      <c r="G2619" s="7">
        <v>0.15</v>
      </c>
      <c r="H2619" s="9" t="s">
        <v>23</v>
      </c>
      <c r="I2619">
        <v>0.74</v>
      </c>
      <c r="J2619">
        <v>0.96</v>
      </c>
      <c r="K2619">
        <v>0.92</v>
      </c>
      <c r="L2619">
        <v>0.48</v>
      </c>
      <c r="M2619">
        <v>0.46</v>
      </c>
      <c r="N2619">
        <v>0.13</v>
      </c>
      <c r="O2619">
        <v>0.97</v>
      </c>
      <c r="P2619">
        <v>0.76</v>
      </c>
      <c r="Q2619">
        <v>0.85</v>
      </c>
      <c r="R2619" s="2">
        <v>0.23</v>
      </c>
      <c r="S2619" t="str">
        <f>IF(Table1[[#This Row],[Years_Experience]]&lt;=5,"Early Career",
IF(Table1[[#This Row],[Years_Experience]]&lt;=15,"Mid Career","Senior Level"))</f>
        <v>Senior Level</v>
      </c>
      <c r="T2619" t="str">
        <f>IF(Table1[[#This Row],[AI_Exposure_Index]]&gt;=0.7,"High Exposure", IF(Table1[[#This Row],[AI_Exposure_Index]]&gt;=0.3,"Medium Exposure","Low Exposure"))</f>
        <v>Low Exposure</v>
      </c>
    </row>
    <row r="2620" spans="1:20" x14ac:dyDescent="0.25">
      <c r="A2620" t="s">
        <v>32</v>
      </c>
      <c r="B2620">
        <v>132945</v>
      </c>
      <c r="C2620" s="1">
        <v>5</v>
      </c>
      <c r="D2620" t="s">
        <v>19</v>
      </c>
      <c r="E2620" s="7">
        <v>1.44</v>
      </c>
      <c r="F2620" s="2">
        <v>0.1</v>
      </c>
      <c r="G2620" s="7">
        <v>0.41</v>
      </c>
      <c r="H2620" s="9" t="s">
        <v>27</v>
      </c>
      <c r="I2620">
        <v>0.6</v>
      </c>
      <c r="J2620">
        <v>0.15</v>
      </c>
      <c r="K2620">
        <v>0.8</v>
      </c>
      <c r="L2620">
        <v>0.19</v>
      </c>
      <c r="M2620">
        <v>0.81</v>
      </c>
      <c r="N2620">
        <v>0.4</v>
      </c>
      <c r="O2620">
        <v>0.57999999999999996</v>
      </c>
      <c r="P2620">
        <v>0.27</v>
      </c>
      <c r="Q2620">
        <v>0.88</v>
      </c>
      <c r="R2620" s="2">
        <v>0.76</v>
      </c>
      <c r="S2620" t="str">
        <f>IF(Table1[[#This Row],[Years_Experience]]&lt;=5,"Early Career",
IF(Table1[[#This Row],[Years_Experience]]&lt;=15,"Mid Career","Senior Level"))</f>
        <v>Early Career</v>
      </c>
      <c r="T2620" t="str">
        <f>IF(Table1[[#This Row],[AI_Exposure_Index]]&gt;=0.7,"High Exposure", IF(Table1[[#This Row],[AI_Exposure_Index]]&gt;=0.3,"Medium Exposure","Low Exposure"))</f>
        <v>Low Exposure</v>
      </c>
    </row>
    <row r="2621" spans="1:20" x14ac:dyDescent="0.25">
      <c r="A2621" t="s">
        <v>37</v>
      </c>
      <c r="B2621">
        <v>141318</v>
      </c>
      <c r="C2621" s="1">
        <v>10</v>
      </c>
      <c r="D2621" t="s">
        <v>25</v>
      </c>
      <c r="E2621" s="7">
        <v>0.63</v>
      </c>
      <c r="F2621" s="2">
        <v>0.59</v>
      </c>
      <c r="G2621" s="7">
        <v>0.36</v>
      </c>
      <c r="H2621" s="9" t="s">
        <v>27</v>
      </c>
      <c r="I2621">
        <v>0.53</v>
      </c>
      <c r="J2621">
        <v>0.64</v>
      </c>
      <c r="K2621">
        <v>0.56000000000000005</v>
      </c>
      <c r="L2621">
        <v>0.56000000000000005</v>
      </c>
      <c r="M2621">
        <v>0.74</v>
      </c>
      <c r="N2621">
        <v>0.9</v>
      </c>
      <c r="O2621">
        <v>0.39</v>
      </c>
      <c r="P2621">
        <v>0.54</v>
      </c>
      <c r="Q2621">
        <v>0.89</v>
      </c>
      <c r="R2621" s="2">
        <v>0.46</v>
      </c>
      <c r="S2621" t="str">
        <f>IF(Table1[[#This Row],[Years_Experience]]&lt;=5,"Early Career",
IF(Table1[[#This Row],[Years_Experience]]&lt;=15,"Mid Career","Senior Level"))</f>
        <v>Mid Career</v>
      </c>
      <c r="T2621" t="str">
        <f>IF(Table1[[#This Row],[AI_Exposure_Index]]&gt;=0.7,"High Exposure", IF(Table1[[#This Row],[AI_Exposure_Index]]&gt;=0.3,"Medium Exposure","Low Exposure"))</f>
        <v>Medium Exposure</v>
      </c>
    </row>
    <row r="2622" spans="1:20" x14ac:dyDescent="0.25">
      <c r="A2622" t="s">
        <v>42</v>
      </c>
      <c r="B2622">
        <v>114005</v>
      </c>
      <c r="C2622" s="1">
        <v>26</v>
      </c>
      <c r="D2622" t="s">
        <v>22</v>
      </c>
      <c r="E2622" s="7">
        <v>1.38</v>
      </c>
      <c r="F2622" s="2">
        <v>0.77</v>
      </c>
      <c r="G2622" s="7">
        <v>0.6</v>
      </c>
      <c r="H2622" s="9" t="s">
        <v>27</v>
      </c>
      <c r="I2622">
        <v>0.1</v>
      </c>
      <c r="J2622">
        <v>0.46</v>
      </c>
      <c r="K2622">
        <v>0.21</v>
      </c>
      <c r="L2622">
        <v>0.32</v>
      </c>
      <c r="M2622">
        <v>0.47</v>
      </c>
      <c r="N2622">
        <v>0.22</v>
      </c>
      <c r="O2622">
        <v>0.52</v>
      </c>
      <c r="P2622">
        <v>0.64</v>
      </c>
      <c r="Q2622">
        <v>0.87</v>
      </c>
      <c r="R2622" s="2">
        <v>0.21</v>
      </c>
      <c r="S2622" t="str">
        <f>IF(Table1[[#This Row],[Years_Experience]]&lt;=5,"Early Career",
IF(Table1[[#This Row],[Years_Experience]]&lt;=15,"Mid Career","Senior Level"))</f>
        <v>Senior Level</v>
      </c>
      <c r="T2622" t="str">
        <f>IF(Table1[[#This Row],[AI_Exposure_Index]]&gt;=0.7,"High Exposure", IF(Table1[[#This Row],[AI_Exposure_Index]]&gt;=0.3,"Medium Exposure","Low Exposure"))</f>
        <v>High Exposure</v>
      </c>
    </row>
    <row r="2623" spans="1:20" x14ac:dyDescent="0.25">
      <c r="A2623" t="s">
        <v>36</v>
      </c>
      <c r="B2623">
        <v>107974</v>
      </c>
      <c r="C2623" s="1">
        <v>6</v>
      </c>
      <c r="D2623" t="s">
        <v>38</v>
      </c>
      <c r="E2623" s="7">
        <v>0.72</v>
      </c>
      <c r="F2623" s="2">
        <v>0.41</v>
      </c>
      <c r="G2623" s="7">
        <v>0.43</v>
      </c>
      <c r="H2623" s="9" t="s">
        <v>27</v>
      </c>
      <c r="I2623">
        <v>0.88</v>
      </c>
      <c r="J2623">
        <v>0.14000000000000001</v>
      </c>
      <c r="K2623">
        <v>0.44</v>
      </c>
      <c r="L2623">
        <v>0.31</v>
      </c>
      <c r="M2623">
        <v>0.08</v>
      </c>
      <c r="N2623">
        <v>0.1</v>
      </c>
      <c r="O2623">
        <v>0.78</v>
      </c>
      <c r="P2623">
        <v>0.85</v>
      </c>
      <c r="Q2623">
        <v>0.74</v>
      </c>
      <c r="R2623" s="2">
        <v>0.54</v>
      </c>
      <c r="S2623" t="str">
        <f>IF(Table1[[#This Row],[Years_Experience]]&lt;=5,"Early Career",
IF(Table1[[#This Row],[Years_Experience]]&lt;=15,"Mid Career","Senior Level"))</f>
        <v>Mid Career</v>
      </c>
      <c r="T2623" t="str">
        <f>IF(Table1[[#This Row],[AI_Exposure_Index]]&gt;=0.7,"High Exposure", IF(Table1[[#This Row],[AI_Exposure_Index]]&gt;=0.3,"Medium Exposure","Low Exposure"))</f>
        <v>Medium Exposure</v>
      </c>
    </row>
    <row r="2624" spans="1:20" x14ac:dyDescent="0.25">
      <c r="A2624" t="s">
        <v>31</v>
      </c>
      <c r="B2624">
        <v>96214</v>
      </c>
      <c r="C2624" s="1">
        <v>27</v>
      </c>
      <c r="D2624" t="s">
        <v>19</v>
      </c>
      <c r="E2624" s="7">
        <v>1.28</v>
      </c>
      <c r="F2624" s="2">
        <v>0.15</v>
      </c>
      <c r="G2624" s="7">
        <v>0.16</v>
      </c>
      <c r="H2624" s="9" t="s">
        <v>23</v>
      </c>
      <c r="I2624">
        <v>0.75</v>
      </c>
      <c r="J2624">
        <v>0.23</v>
      </c>
      <c r="K2624">
        <v>0.83</v>
      </c>
      <c r="L2624">
        <v>0.56999999999999995</v>
      </c>
      <c r="M2624">
        <v>0.01</v>
      </c>
      <c r="N2624">
        <v>0.52</v>
      </c>
      <c r="O2624">
        <v>0.31</v>
      </c>
      <c r="P2624">
        <v>0.06</v>
      </c>
      <c r="Q2624">
        <v>0.45</v>
      </c>
      <c r="R2624" s="2">
        <v>0.31</v>
      </c>
      <c r="S2624" t="str">
        <f>IF(Table1[[#This Row],[Years_Experience]]&lt;=5,"Early Career",
IF(Table1[[#This Row],[Years_Experience]]&lt;=15,"Mid Career","Senior Level"))</f>
        <v>Senior Level</v>
      </c>
      <c r="T2624" t="str">
        <f>IF(Table1[[#This Row],[AI_Exposure_Index]]&gt;=0.7,"High Exposure", IF(Table1[[#This Row],[AI_Exposure_Index]]&gt;=0.3,"Medium Exposure","Low Exposure"))</f>
        <v>Low Exposure</v>
      </c>
    </row>
    <row r="2625" spans="1:20" x14ac:dyDescent="0.25">
      <c r="A2625" t="s">
        <v>21</v>
      </c>
      <c r="B2625">
        <v>89876</v>
      </c>
      <c r="C2625" s="1">
        <v>10</v>
      </c>
      <c r="D2625" t="s">
        <v>19</v>
      </c>
      <c r="E2625" s="7">
        <v>0.68</v>
      </c>
      <c r="F2625" s="2">
        <v>0.35</v>
      </c>
      <c r="G2625" s="7">
        <v>0.12</v>
      </c>
      <c r="H2625" s="9" t="s">
        <v>23</v>
      </c>
      <c r="I2625">
        <v>0.12</v>
      </c>
      <c r="J2625">
        <v>0.08</v>
      </c>
      <c r="K2625">
        <v>0.91</v>
      </c>
      <c r="L2625">
        <v>0.9</v>
      </c>
      <c r="M2625">
        <v>0.83</v>
      </c>
      <c r="N2625">
        <v>0.23</v>
      </c>
      <c r="O2625">
        <v>0.73</v>
      </c>
      <c r="P2625">
        <v>0.59</v>
      </c>
      <c r="Q2625">
        <v>0.05</v>
      </c>
      <c r="R2625" s="2">
        <v>0.9</v>
      </c>
      <c r="S2625" t="str">
        <f>IF(Table1[[#This Row],[Years_Experience]]&lt;=5,"Early Career",
IF(Table1[[#This Row],[Years_Experience]]&lt;=15,"Mid Career","Senior Level"))</f>
        <v>Mid Career</v>
      </c>
      <c r="T2625" t="str">
        <f>IF(Table1[[#This Row],[AI_Exposure_Index]]&gt;=0.7,"High Exposure", IF(Table1[[#This Row],[AI_Exposure_Index]]&gt;=0.3,"Medium Exposure","Low Exposure"))</f>
        <v>Medium Exposure</v>
      </c>
    </row>
    <row r="2626" spans="1:20" x14ac:dyDescent="0.25">
      <c r="A2626" t="s">
        <v>37</v>
      </c>
      <c r="B2626">
        <v>144947</v>
      </c>
      <c r="C2626" s="1">
        <v>14</v>
      </c>
      <c r="D2626" t="s">
        <v>19</v>
      </c>
      <c r="E2626" s="7">
        <v>0.73</v>
      </c>
      <c r="F2626" s="2">
        <v>0.71</v>
      </c>
      <c r="G2626" s="7">
        <v>0.52</v>
      </c>
      <c r="H2626" s="9" t="s">
        <v>27</v>
      </c>
      <c r="I2626">
        <v>0.11</v>
      </c>
      <c r="J2626">
        <v>0.3</v>
      </c>
      <c r="K2626">
        <v>0.72</v>
      </c>
      <c r="L2626">
        <v>0.3</v>
      </c>
      <c r="M2626">
        <v>0.15</v>
      </c>
      <c r="N2626">
        <v>0.01</v>
      </c>
      <c r="O2626">
        <v>0.56999999999999995</v>
      </c>
      <c r="P2626">
        <v>0.97</v>
      </c>
      <c r="Q2626">
        <v>0.48</v>
      </c>
      <c r="R2626" s="2">
        <v>0.21</v>
      </c>
      <c r="S2626" t="str">
        <f>IF(Table1[[#This Row],[Years_Experience]]&lt;=5,"Early Career",
IF(Table1[[#This Row],[Years_Experience]]&lt;=15,"Mid Career","Senior Level"))</f>
        <v>Mid Career</v>
      </c>
      <c r="T2626" t="str">
        <f>IF(Table1[[#This Row],[AI_Exposure_Index]]&gt;=0.7,"High Exposure", IF(Table1[[#This Row],[AI_Exposure_Index]]&gt;=0.3,"Medium Exposure","Low Exposure"))</f>
        <v>High Exposure</v>
      </c>
    </row>
    <row r="2627" spans="1:20" x14ac:dyDescent="0.25">
      <c r="A2627" t="s">
        <v>44</v>
      </c>
      <c r="B2627">
        <v>129590</v>
      </c>
      <c r="C2627" s="1">
        <v>18</v>
      </c>
      <c r="D2627" t="s">
        <v>19</v>
      </c>
      <c r="E2627" s="7">
        <v>1.3</v>
      </c>
      <c r="F2627" s="2">
        <v>0.6</v>
      </c>
      <c r="G2627" s="7">
        <v>0.48</v>
      </c>
      <c r="H2627" s="9" t="s">
        <v>27</v>
      </c>
      <c r="I2627">
        <v>0.17</v>
      </c>
      <c r="J2627">
        <v>0.19</v>
      </c>
      <c r="K2627">
        <v>0.9</v>
      </c>
      <c r="L2627">
        <v>0.24</v>
      </c>
      <c r="M2627">
        <v>0.73</v>
      </c>
      <c r="N2627">
        <v>0.27</v>
      </c>
      <c r="O2627">
        <v>0.72</v>
      </c>
      <c r="P2627">
        <v>0.08</v>
      </c>
      <c r="Q2627">
        <v>0.21</v>
      </c>
      <c r="R2627" s="2">
        <v>0.41</v>
      </c>
      <c r="S2627" t="str">
        <f>IF(Table1[[#This Row],[Years_Experience]]&lt;=5,"Early Career",
IF(Table1[[#This Row],[Years_Experience]]&lt;=15,"Mid Career","Senior Level"))</f>
        <v>Senior Level</v>
      </c>
      <c r="T2627" t="str">
        <f>IF(Table1[[#This Row],[AI_Exposure_Index]]&gt;=0.7,"High Exposure", IF(Table1[[#This Row],[AI_Exposure_Index]]&gt;=0.3,"Medium Exposure","Low Exposure"))</f>
        <v>Medium Exposure</v>
      </c>
    </row>
    <row r="2628" spans="1:20" x14ac:dyDescent="0.25">
      <c r="A2628" t="s">
        <v>29</v>
      </c>
      <c r="B2628">
        <v>147129</v>
      </c>
      <c r="C2628" s="1">
        <v>29</v>
      </c>
      <c r="D2628" t="s">
        <v>22</v>
      </c>
      <c r="E2628" s="7">
        <v>1.07</v>
      </c>
      <c r="F2628" s="2">
        <v>0.35</v>
      </c>
      <c r="G2628" s="7">
        <v>0.13</v>
      </c>
      <c r="H2628" s="9" t="s">
        <v>23</v>
      </c>
      <c r="I2628">
        <v>0.68</v>
      </c>
      <c r="J2628">
        <v>0.51</v>
      </c>
      <c r="K2628">
        <v>0.71</v>
      </c>
      <c r="L2628">
        <v>0.43</v>
      </c>
      <c r="M2628">
        <v>0.88</v>
      </c>
      <c r="N2628">
        <v>0.38</v>
      </c>
      <c r="O2628">
        <v>0.31</v>
      </c>
      <c r="P2628">
        <v>0.56000000000000005</v>
      </c>
      <c r="Q2628">
        <v>0.51</v>
      </c>
      <c r="R2628" s="2">
        <v>0.52</v>
      </c>
      <c r="S2628" t="str">
        <f>IF(Table1[[#This Row],[Years_Experience]]&lt;=5,"Early Career",
IF(Table1[[#This Row],[Years_Experience]]&lt;=15,"Mid Career","Senior Level"))</f>
        <v>Senior Level</v>
      </c>
      <c r="T2628" t="str">
        <f>IF(Table1[[#This Row],[AI_Exposure_Index]]&gt;=0.7,"High Exposure", IF(Table1[[#This Row],[AI_Exposure_Index]]&gt;=0.3,"Medium Exposure","Low Exposure"))</f>
        <v>Medium Exposure</v>
      </c>
    </row>
    <row r="2629" spans="1:20" x14ac:dyDescent="0.25">
      <c r="A2629" t="s">
        <v>43</v>
      </c>
      <c r="B2629">
        <v>107417</v>
      </c>
      <c r="C2629" s="1">
        <v>7</v>
      </c>
      <c r="D2629" t="s">
        <v>25</v>
      </c>
      <c r="E2629" s="7">
        <v>1.39</v>
      </c>
      <c r="F2629" s="2">
        <v>0.59</v>
      </c>
      <c r="G2629" s="7">
        <v>0.2</v>
      </c>
      <c r="H2629" s="9" t="s">
        <v>23</v>
      </c>
      <c r="I2629">
        <v>0.02</v>
      </c>
      <c r="J2629">
        <v>0.87</v>
      </c>
      <c r="K2629">
        <v>0.84</v>
      </c>
      <c r="L2629">
        <v>0.05</v>
      </c>
      <c r="M2629">
        <v>0.13</v>
      </c>
      <c r="N2629">
        <v>0.56000000000000005</v>
      </c>
      <c r="O2629">
        <v>0.04</v>
      </c>
      <c r="P2629">
        <v>0.41</v>
      </c>
      <c r="Q2629">
        <v>0.98</v>
      </c>
      <c r="R2629" s="2">
        <v>0.17</v>
      </c>
      <c r="S2629" t="str">
        <f>IF(Table1[[#This Row],[Years_Experience]]&lt;=5,"Early Career",
IF(Table1[[#This Row],[Years_Experience]]&lt;=15,"Mid Career","Senior Level"))</f>
        <v>Mid Career</v>
      </c>
      <c r="T2629" t="str">
        <f>IF(Table1[[#This Row],[AI_Exposure_Index]]&gt;=0.7,"High Exposure", IF(Table1[[#This Row],[AI_Exposure_Index]]&gt;=0.3,"Medium Exposure","Low Exposure"))</f>
        <v>Medium Exposure</v>
      </c>
    </row>
    <row r="2630" spans="1:20" x14ac:dyDescent="0.25">
      <c r="A2630" t="s">
        <v>30</v>
      </c>
      <c r="B2630">
        <v>75631</v>
      </c>
      <c r="C2630" s="1">
        <v>9</v>
      </c>
      <c r="D2630" t="s">
        <v>38</v>
      </c>
      <c r="E2630" s="7">
        <v>0.54</v>
      </c>
      <c r="F2630" s="2">
        <v>0.68</v>
      </c>
      <c r="G2630" s="7">
        <v>0.63</v>
      </c>
      <c r="H2630" s="9" t="s">
        <v>27</v>
      </c>
      <c r="I2630">
        <v>0.2</v>
      </c>
      <c r="J2630">
        <v>0.53</v>
      </c>
      <c r="K2630">
        <v>0.25</v>
      </c>
      <c r="L2630">
        <v>0.66</v>
      </c>
      <c r="M2630">
        <v>0.59</v>
      </c>
      <c r="N2630">
        <v>0.95</v>
      </c>
      <c r="O2630">
        <v>0.45</v>
      </c>
      <c r="P2630">
        <v>0.87</v>
      </c>
      <c r="Q2630">
        <v>0.57999999999999996</v>
      </c>
      <c r="R2630" s="2">
        <v>0.91</v>
      </c>
      <c r="S2630" t="str">
        <f>IF(Table1[[#This Row],[Years_Experience]]&lt;=5,"Early Career",
IF(Table1[[#This Row],[Years_Experience]]&lt;=15,"Mid Career","Senior Level"))</f>
        <v>Mid Career</v>
      </c>
      <c r="T2630" t="str">
        <f>IF(Table1[[#This Row],[AI_Exposure_Index]]&gt;=0.7,"High Exposure", IF(Table1[[#This Row],[AI_Exposure_Index]]&gt;=0.3,"Medium Exposure","Low Exposure"))</f>
        <v>Medium Exposure</v>
      </c>
    </row>
    <row r="2631" spans="1:20" x14ac:dyDescent="0.25">
      <c r="A2631" t="s">
        <v>44</v>
      </c>
      <c r="B2631">
        <v>85753</v>
      </c>
      <c r="C2631" s="1">
        <v>3</v>
      </c>
      <c r="D2631" t="s">
        <v>25</v>
      </c>
      <c r="E2631" s="7">
        <v>0.89</v>
      </c>
      <c r="F2631" s="2">
        <v>0.55000000000000004</v>
      </c>
      <c r="G2631" s="7">
        <v>0.33</v>
      </c>
      <c r="H2631" s="9" t="s">
        <v>27</v>
      </c>
      <c r="I2631">
        <v>0.56999999999999995</v>
      </c>
      <c r="J2631">
        <v>0.79</v>
      </c>
      <c r="K2631">
        <v>0.56000000000000005</v>
      </c>
      <c r="L2631">
        <v>0.28000000000000003</v>
      </c>
      <c r="M2631">
        <v>0.26</v>
      </c>
      <c r="N2631">
        <v>0.24</v>
      </c>
      <c r="O2631">
        <v>0.98</v>
      </c>
      <c r="P2631">
        <v>0.4</v>
      </c>
      <c r="Q2631">
        <v>0.32</v>
      </c>
      <c r="R2631" s="2">
        <v>0.42</v>
      </c>
      <c r="S2631" t="str">
        <f>IF(Table1[[#This Row],[Years_Experience]]&lt;=5,"Early Career",
IF(Table1[[#This Row],[Years_Experience]]&lt;=15,"Mid Career","Senior Level"))</f>
        <v>Early Career</v>
      </c>
      <c r="T2631" t="str">
        <f>IF(Table1[[#This Row],[AI_Exposure_Index]]&gt;=0.7,"High Exposure", IF(Table1[[#This Row],[AI_Exposure_Index]]&gt;=0.3,"Medium Exposure","Low Exposure"))</f>
        <v>Medium Exposure</v>
      </c>
    </row>
    <row r="2632" spans="1:20" x14ac:dyDescent="0.25">
      <c r="A2632" t="s">
        <v>32</v>
      </c>
      <c r="B2632">
        <v>91138</v>
      </c>
      <c r="C2632" s="1">
        <v>28</v>
      </c>
      <c r="D2632" t="s">
        <v>38</v>
      </c>
      <c r="E2632" s="7">
        <v>1.01</v>
      </c>
      <c r="F2632" s="2">
        <v>0.2</v>
      </c>
      <c r="G2632" s="7">
        <v>0.62</v>
      </c>
      <c r="H2632" s="9" t="s">
        <v>27</v>
      </c>
      <c r="I2632">
        <v>0.88</v>
      </c>
      <c r="J2632">
        <v>0.87</v>
      </c>
      <c r="K2632">
        <v>0.94</v>
      </c>
      <c r="L2632">
        <v>0.13</v>
      </c>
      <c r="M2632">
        <v>0.04</v>
      </c>
      <c r="N2632">
        <v>0.11</v>
      </c>
      <c r="O2632">
        <v>0.6</v>
      </c>
      <c r="P2632">
        <v>0.56000000000000005</v>
      </c>
      <c r="Q2632">
        <v>0.67</v>
      </c>
      <c r="R2632" s="2">
        <v>0.37</v>
      </c>
      <c r="S2632" t="str">
        <f>IF(Table1[[#This Row],[Years_Experience]]&lt;=5,"Early Career",
IF(Table1[[#This Row],[Years_Experience]]&lt;=15,"Mid Career","Senior Level"))</f>
        <v>Senior Level</v>
      </c>
      <c r="T2632" t="str">
        <f>IF(Table1[[#This Row],[AI_Exposure_Index]]&gt;=0.7,"High Exposure", IF(Table1[[#This Row],[AI_Exposure_Index]]&gt;=0.3,"Medium Exposure","Low Exposure"))</f>
        <v>Low Exposure</v>
      </c>
    </row>
    <row r="2633" spans="1:20" x14ac:dyDescent="0.25">
      <c r="A2633" t="s">
        <v>33</v>
      </c>
      <c r="B2633">
        <v>106258</v>
      </c>
      <c r="C2633" s="1">
        <v>19</v>
      </c>
      <c r="D2633" t="s">
        <v>22</v>
      </c>
      <c r="E2633" s="7">
        <v>0.57999999999999996</v>
      </c>
      <c r="F2633" s="2">
        <v>0.55000000000000004</v>
      </c>
      <c r="G2633" s="7">
        <v>0.9</v>
      </c>
      <c r="H2633" s="9" t="s">
        <v>20</v>
      </c>
      <c r="I2633">
        <v>0.92</v>
      </c>
      <c r="J2633">
        <v>0.39</v>
      </c>
      <c r="K2633">
        <v>0.74</v>
      </c>
      <c r="L2633">
        <v>0.55000000000000004</v>
      </c>
      <c r="M2633">
        <v>0.24</v>
      </c>
      <c r="N2633">
        <v>7.0000000000000007E-2</v>
      </c>
      <c r="O2633">
        <v>0.25</v>
      </c>
      <c r="P2633">
        <v>0.6</v>
      </c>
      <c r="Q2633">
        <v>0.04</v>
      </c>
      <c r="R2633" s="2">
        <v>0.84</v>
      </c>
      <c r="S2633" t="str">
        <f>IF(Table1[[#This Row],[Years_Experience]]&lt;=5,"Early Career",
IF(Table1[[#This Row],[Years_Experience]]&lt;=15,"Mid Career","Senior Level"))</f>
        <v>Senior Level</v>
      </c>
      <c r="T2633" t="str">
        <f>IF(Table1[[#This Row],[AI_Exposure_Index]]&gt;=0.7,"High Exposure", IF(Table1[[#This Row],[AI_Exposure_Index]]&gt;=0.3,"Medium Exposure","Low Exposure"))</f>
        <v>Medium Exposure</v>
      </c>
    </row>
    <row r="2634" spans="1:20" x14ac:dyDescent="0.25">
      <c r="A2634" t="s">
        <v>43</v>
      </c>
      <c r="B2634">
        <v>140514</v>
      </c>
      <c r="C2634" s="1">
        <v>10</v>
      </c>
      <c r="D2634" t="s">
        <v>38</v>
      </c>
      <c r="E2634" s="7">
        <v>1.26</v>
      </c>
      <c r="F2634" s="2">
        <v>0.9</v>
      </c>
      <c r="G2634" s="7">
        <v>0.26</v>
      </c>
      <c r="H2634" s="9" t="s">
        <v>23</v>
      </c>
      <c r="I2634">
        <v>0.6</v>
      </c>
      <c r="J2634">
        <v>0.89</v>
      </c>
      <c r="K2634">
        <v>0.5</v>
      </c>
      <c r="L2634">
        <v>0.99</v>
      </c>
      <c r="M2634">
        <v>0.1</v>
      </c>
      <c r="N2634">
        <v>0.81</v>
      </c>
      <c r="O2634">
        <v>0.64</v>
      </c>
      <c r="P2634">
        <v>0.57999999999999996</v>
      </c>
      <c r="Q2634">
        <v>0.73</v>
      </c>
      <c r="R2634" s="2">
        <v>0.84</v>
      </c>
      <c r="S2634" t="str">
        <f>IF(Table1[[#This Row],[Years_Experience]]&lt;=5,"Early Career",
IF(Table1[[#This Row],[Years_Experience]]&lt;=15,"Mid Career","Senior Level"))</f>
        <v>Mid Career</v>
      </c>
      <c r="T2634" t="str">
        <f>IF(Table1[[#This Row],[AI_Exposure_Index]]&gt;=0.7,"High Exposure", IF(Table1[[#This Row],[AI_Exposure_Index]]&gt;=0.3,"Medium Exposure","Low Exposure"))</f>
        <v>High Exposure</v>
      </c>
    </row>
    <row r="2635" spans="1:20" x14ac:dyDescent="0.25">
      <c r="A2635" t="s">
        <v>41</v>
      </c>
      <c r="B2635">
        <v>47762</v>
      </c>
      <c r="C2635" s="1">
        <v>5</v>
      </c>
      <c r="D2635" t="s">
        <v>38</v>
      </c>
      <c r="E2635" s="7">
        <v>1.33</v>
      </c>
      <c r="F2635" s="2">
        <v>0.38</v>
      </c>
      <c r="G2635" s="7">
        <v>0.74</v>
      </c>
      <c r="H2635" s="9" t="s">
        <v>20</v>
      </c>
      <c r="I2635">
        <v>0.14000000000000001</v>
      </c>
      <c r="J2635">
        <v>0.65</v>
      </c>
      <c r="K2635">
        <v>0.91</v>
      </c>
      <c r="L2635">
        <v>0.11</v>
      </c>
      <c r="M2635">
        <v>0.59</v>
      </c>
      <c r="N2635">
        <v>0.08</v>
      </c>
      <c r="O2635">
        <v>0.81</v>
      </c>
      <c r="P2635">
        <v>0.91</v>
      </c>
      <c r="Q2635">
        <v>0.63</v>
      </c>
      <c r="R2635" s="2">
        <v>0.69</v>
      </c>
      <c r="S2635" t="str">
        <f>IF(Table1[[#This Row],[Years_Experience]]&lt;=5,"Early Career",
IF(Table1[[#This Row],[Years_Experience]]&lt;=15,"Mid Career","Senior Level"))</f>
        <v>Early Career</v>
      </c>
      <c r="T2635" t="str">
        <f>IF(Table1[[#This Row],[AI_Exposure_Index]]&gt;=0.7,"High Exposure", IF(Table1[[#This Row],[AI_Exposure_Index]]&gt;=0.3,"Medium Exposure","Low Exposure"))</f>
        <v>Medium Exposure</v>
      </c>
    </row>
    <row r="2636" spans="1:20" x14ac:dyDescent="0.25">
      <c r="A2636" t="s">
        <v>36</v>
      </c>
      <c r="B2636">
        <v>101060</v>
      </c>
      <c r="C2636" s="1">
        <v>4</v>
      </c>
      <c r="D2636" t="s">
        <v>19</v>
      </c>
      <c r="E2636" s="7">
        <v>0.68</v>
      </c>
      <c r="F2636" s="2">
        <v>7.0000000000000007E-2</v>
      </c>
      <c r="G2636" s="7">
        <v>0.41</v>
      </c>
      <c r="H2636" s="9" t="s">
        <v>27</v>
      </c>
      <c r="I2636">
        <v>0.76</v>
      </c>
      <c r="J2636">
        <v>0.44</v>
      </c>
      <c r="K2636">
        <v>0.08</v>
      </c>
      <c r="L2636">
        <v>0.85</v>
      </c>
      <c r="M2636">
        <v>0.99</v>
      </c>
      <c r="N2636">
        <v>0.46</v>
      </c>
      <c r="O2636">
        <v>0.51</v>
      </c>
      <c r="P2636">
        <v>0.08</v>
      </c>
      <c r="Q2636">
        <v>0.38</v>
      </c>
      <c r="R2636" s="2">
        <v>0.37</v>
      </c>
      <c r="S2636" t="str">
        <f>IF(Table1[[#This Row],[Years_Experience]]&lt;=5,"Early Career",
IF(Table1[[#This Row],[Years_Experience]]&lt;=15,"Mid Career","Senior Level"))</f>
        <v>Early Career</v>
      </c>
      <c r="T2636" t="str">
        <f>IF(Table1[[#This Row],[AI_Exposure_Index]]&gt;=0.7,"High Exposure", IF(Table1[[#This Row],[AI_Exposure_Index]]&gt;=0.3,"Medium Exposure","Low Exposure"))</f>
        <v>Low Exposure</v>
      </c>
    </row>
    <row r="2637" spans="1:20" x14ac:dyDescent="0.25">
      <c r="A2637" t="s">
        <v>26</v>
      </c>
      <c r="B2637">
        <v>37361</v>
      </c>
      <c r="C2637" s="1">
        <v>7</v>
      </c>
      <c r="D2637" t="s">
        <v>22</v>
      </c>
      <c r="E2637" s="7">
        <v>1.28</v>
      </c>
      <c r="F2637" s="2">
        <v>0.66</v>
      </c>
      <c r="G2637" s="7">
        <v>0.35</v>
      </c>
      <c r="H2637" s="9" t="s">
        <v>27</v>
      </c>
      <c r="I2637">
        <v>0.42</v>
      </c>
      <c r="J2637">
        <v>0.19</v>
      </c>
      <c r="K2637">
        <v>0.86</v>
      </c>
      <c r="L2637">
        <v>0.15</v>
      </c>
      <c r="M2637">
        <v>0.44</v>
      </c>
      <c r="N2637">
        <v>0.05</v>
      </c>
      <c r="O2637">
        <v>0.63</v>
      </c>
      <c r="P2637">
        <v>0.48</v>
      </c>
      <c r="Q2637">
        <v>0.5</v>
      </c>
      <c r="R2637" s="2">
        <v>0.1</v>
      </c>
      <c r="S2637" t="str">
        <f>IF(Table1[[#This Row],[Years_Experience]]&lt;=5,"Early Career",
IF(Table1[[#This Row],[Years_Experience]]&lt;=15,"Mid Career","Senior Level"))</f>
        <v>Mid Career</v>
      </c>
      <c r="T2637" t="str">
        <f>IF(Table1[[#This Row],[AI_Exposure_Index]]&gt;=0.7,"High Exposure", IF(Table1[[#This Row],[AI_Exposure_Index]]&gt;=0.3,"Medium Exposure","Low Exposure"))</f>
        <v>Medium Exposure</v>
      </c>
    </row>
    <row r="2638" spans="1:20" x14ac:dyDescent="0.25">
      <c r="A2638" t="s">
        <v>39</v>
      </c>
      <c r="B2638">
        <v>47736</v>
      </c>
      <c r="C2638" s="1">
        <v>22</v>
      </c>
      <c r="D2638" t="s">
        <v>19</v>
      </c>
      <c r="E2638" s="7">
        <v>1.46</v>
      </c>
      <c r="F2638" s="2">
        <v>0.56000000000000005</v>
      </c>
      <c r="G2638" s="7">
        <v>0.71</v>
      </c>
      <c r="H2638" s="9" t="s">
        <v>20</v>
      </c>
      <c r="I2638">
        <v>0.92</v>
      </c>
      <c r="J2638">
        <v>0.48</v>
      </c>
      <c r="K2638">
        <v>0.21</v>
      </c>
      <c r="L2638">
        <v>0.67</v>
      </c>
      <c r="M2638">
        <v>0.52</v>
      </c>
      <c r="N2638">
        <v>0.23</v>
      </c>
      <c r="O2638">
        <v>0.63</v>
      </c>
      <c r="P2638">
        <v>0.47</v>
      </c>
      <c r="Q2638">
        <v>0.69</v>
      </c>
      <c r="R2638" s="2">
        <v>0.69</v>
      </c>
      <c r="S2638" t="str">
        <f>IF(Table1[[#This Row],[Years_Experience]]&lt;=5,"Early Career",
IF(Table1[[#This Row],[Years_Experience]]&lt;=15,"Mid Career","Senior Level"))</f>
        <v>Senior Level</v>
      </c>
      <c r="T2638" t="str">
        <f>IF(Table1[[#This Row],[AI_Exposure_Index]]&gt;=0.7,"High Exposure", IF(Table1[[#This Row],[AI_Exposure_Index]]&gt;=0.3,"Medium Exposure","Low Exposure"))</f>
        <v>Medium Exposure</v>
      </c>
    </row>
    <row r="2639" spans="1:20" x14ac:dyDescent="0.25">
      <c r="A2639" t="s">
        <v>37</v>
      </c>
      <c r="B2639">
        <v>57814</v>
      </c>
      <c r="C2639" s="1">
        <v>1</v>
      </c>
      <c r="D2639" t="s">
        <v>22</v>
      </c>
      <c r="E2639" s="7">
        <v>0.56000000000000005</v>
      </c>
      <c r="F2639" s="2">
        <v>0.39</v>
      </c>
      <c r="G2639" s="7">
        <v>0.5</v>
      </c>
      <c r="H2639" s="9" t="s">
        <v>27</v>
      </c>
      <c r="I2639">
        <v>0.24</v>
      </c>
      <c r="J2639">
        <v>0.05</v>
      </c>
      <c r="K2639">
        <v>0.33</v>
      </c>
      <c r="L2639">
        <v>0.09</v>
      </c>
      <c r="M2639">
        <v>0.57999999999999996</v>
      </c>
      <c r="N2639">
        <v>0.5</v>
      </c>
      <c r="O2639">
        <v>0.79</v>
      </c>
      <c r="P2639">
        <v>0.27</v>
      </c>
      <c r="Q2639">
        <v>0.37</v>
      </c>
      <c r="R2639" s="2">
        <v>0.69</v>
      </c>
      <c r="S2639" t="str">
        <f>IF(Table1[[#This Row],[Years_Experience]]&lt;=5,"Early Career",
IF(Table1[[#This Row],[Years_Experience]]&lt;=15,"Mid Career","Senior Level"))</f>
        <v>Early Career</v>
      </c>
      <c r="T2639" t="str">
        <f>IF(Table1[[#This Row],[AI_Exposure_Index]]&gt;=0.7,"High Exposure", IF(Table1[[#This Row],[AI_Exposure_Index]]&gt;=0.3,"Medium Exposure","Low Exposure"))</f>
        <v>Medium Exposure</v>
      </c>
    </row>
    <row r="2640" spans="1:20" x14ac:dyDescent="0.25">
      <c r="A2640" t="s">
        <v>26</v>
      </c>
      <c r="B2640">
        <v>135636</v>
      </c>
      <c r="C2640" s="1">
        <v>22</v>
      </c>
      <c r="D2640" t="s">
        <v>25</v>
      </c>
      <c r="E2640" s="7">
        <v>1.02</v>
      </c>
      <c r="F2640" s="2">
        <v>0.9</v>
      </c>
      <c r="G2640" s="7">
        <v>0.56999999999999995</v>
      </c>
      <c r="H2640" s="9" t="s">
        <v>27</v>
      </c>
      <c r="I2640">
        <v>0.53</v>
      </c>
      <c r="J2640">
        <v>0.43</v>
      </c>
      <c r="K2640">
        <v>0.6</v>
      </c>
      <c r="L2640">
        <v>0.39</v>
      </c>
      <c r="M2640">
        <v>0.28000000000000003</v>
      </c>
      <c r="N2640">
        <v>0.71</v>
      </c>
      <c r="O2640">
        <v>0.87</v>
      </c>
      <c r="P2640">
        <v>0.28999999999999998</v>
      </c>
      <c r="Q2640">
        <v>0.71</v>
      </c>
      <c r="R2640" s="2">
        <v>0.43</v>
      </c>
      <c r="S2640" t="str">
        <f>IF(Table1[[#This Row],[Years_Experience]]&lt;=5,"Early Career",
IF(Table1[[#This Row],[Years_Experience]]&lt;=15,"Mid Career","Senior Level"))</f>
        <v>Senior Level</v>
      </c>
      <c r="T2640" t="str">
        <f>IF(Table1[[#This Row],[AI_Exposure_Index]]&gt;=0.7,"High Exposure", IF(Table1[[#This Row],[AI_Exposure_Index]]&gt;=0.3,"Medium Exposure","Low Exposure"))</f>
        <v>High Exposure</v>
      </c>
    </row>
    <row r="2641" spans="1:20" x14ac:dyDescent="0.25">
      <c r="A2641" t="s">
        <v>35</v>
      </c>
      <c r="B2641">
        <v>124697</v>
      </c>
      <c r="C2641" s="1">
        <v>12</v>
      </c>
      <c r="D2641" t="s">
        <v>38</v>
      </c>
      <c r="E2641" s="7">
        <v>1.44</v>
      </c>
      <c r="F2641" s="2">
        <v>0.62</v>
      </c>
      <c r="G2641" s="7">
        <v>0.44</v>
      </c>
      <c r="H2641" s="9" t="s">
        <v>27</v>
      </c>
      <c r="I2641">
        <v>0.76</v>
      </c>
      <c r="J2641">
        <v>0.31</v>
      </c>
      <c r="K2641">
        <v>0.8</v>
      </c>
      <c r="L2641">
        <v>0.76</v>
      </c>
      <c r="M2641">
        <v>0.77</v>
      </c>
      <c r="N2641">
        <v>1</v>
      </c>
      <c r="O2641">
        <v>0.14000000000000001</v>
      </c>
      <c r="P2641">
        <v>0.39</v>
      </c>
      <c r="Q2641">
        <v>0.63</v>
      </c>
      <c r="R2641" s="2">
        <v>0.59</v>
      </c>
      <c r="S2641" t="str">
        <f>IF(Table1[[#This Row],[Years_Experience]]&lt;=5,"Early Career",
IF(Table1[[#This Row],[Years_Experience]]&lt;=15,"Mid Career","Senior Level"))</f>
        <v>Mid Career</v>
      </c>
      <c r="T2641" t="str">
        <f>IF(Table1[[#This Row],[AI_Exposure_Index]]&gt;=0.7,"High Exposure", IF(Table1[[#This Row],[AI_Exposure_Index]]&gt;=0.3,"Medium Exposure","Low Exposure"))</f>
        <v>Medium Exposure</v>
      </c>
    </row>
    <row r="2642" spans="1:20" x14ac:dyDescent="0.25">
      <c r="A2642" t="s">
        <v>18</v>
      </c>
      <c r="B2642">
        <v>132887</v>
      </c>
      <c r="C2642" s="1">
        <v>9</v>
      </c>
      <c r="D2642" t="s">
        <v>19</v>
      </c>
      <c r="E2642" s="7">
        <v>1.21</v>
      </c>
      <c r="F2642" s="2">
        <v>0.05</v>
      </c>
      <c r="G2642" s="7">
        <v>0.88</v>
      </c>
      <c r="H2642" s="9" t="s">
        <v>20</v>
      </c>
      <c r="I2642">
        <v>0.06</v>
      </c>
      <c r="J2642">
        <v>0.54</v>
      </c>
      <c r="K2642">
        <v>0.24</v>
      </c>
      <c r="L2642">
        <v>0.8</v>
      </c>
      <c r="M2642">
        <v>0.05</v>
      </c>
      <c r="N2642">
        <v>0.15</v>
      </c>
      <c r="O2642">
        <v>0.1</v>
      </c>
      <c r="P2642">
        <v>7.0000000000000007E-2</v>
      </c>
      <c r="Q2642">
        <v>0.6</v>
      </c>
      <c r="R2642" s="2">
        <v>0.87</v>
      </c>
      <c r="S2642" t="str">
        <f>IF(Table1[[#This Row],[Years_Experience]]&lt;=5,"Early Career",
IF(Table1[[#This Row],[Years_Experience]]&lt;=15,"Mid Career","Senior Level"))</f>
        <v>Mid Career</v>
      </c>
      <c r="T2642" t="str">
        <f>IF(Table1[[#This Row],[AI_Exposure_Index]]&gt;=0.7,"High Exposure", IF(Table1[[#This Row],[AI_Exposure_Index]]&gt;=0.3,"Medium Exposure","Low Exposure"))</f>
        <v>Low Exposure</v>
      </c>
    </row>
    <row r="2643" spans="1:20" x14ac:dyDescent="0.25">
      <c r="A2643" t="s">
        <v>37</v>
      </c>
      <c r="B2643">
        <v>104336</v>
      </c>
      <c r="C2643" s="1">
        <v>21</v>
      </c>
      <c r="D2643" t="s">
        <v>19</v>
      </c>
      <c r="E2643" s="7">
        <v>0.84</v>
      </c>
      <c r="F2643" s="2">
        <v>0.21</v>
      </c>
      <c r="G2643" s="7">
        <v>0.44</v>
      </c>
      <c r="H2643" s="9" t="s">
        <v>27</v>
      </c>
      <c r="I2643">
        <v>0.45</v>
      </c>
      <c r="J2643">
        <v>0.42</v>
      </c>
      <c r="K2643">
        <v>0.67</v>
      </c>
      <c r="L2643">
        <v>0.34</v>
      </c>
      <c r="M2643">
        <v>0.66</v>
      </c>
      <c r="N2643">
        <v>0.55000000000000004</v>
      </c>
      <c r="O2643">
        <v>0.05</v>
      </c>
      <c r="P2643">
        <v>0.92</v>
      </c>
      <c r="Q2643">
        <v>0.18</v>
      </c>
      <c r="R2643" s="2">
        <v>0.45</v>
      </c>
      <c r="S2643" t="str">
        <f>IF(Table1[[#This Row],[Years_Experience]]&lt;=5,"Early Career",
IF(Table1[[#This Row],[Years_Experience]]&lt;=15,"Mid Career","Senior Level"))</f>
        <v>Senior Level</v>
      </c>
      <c r="T2643" t="str">
        <f>IF(Table1[[#This Row],[AI_Exposure_Index]]&gt;=0.7,"High Exposure", IF(Table1[[#This Row],[AI_Exposure_Index]]&gt;=0.3,"Medium Exposure","Low Exposure"))</f>
        <v>Low Exposure</v>
      </c>
    </row>
    <row r="2644" spans="1:20" x14ac:dyDescent="0.25">
      <c r="A2644" t="s">
        <v>18</v>
      </c>
      <c r="B2644">
        <v>143398</v>
      </c>
      <c r="C2644" s="1">
        <v>11</v>
      </c>
      <c r="D2644" t="s">
        <v>25</v>
      </c>
      <c r="E2644" s="7">
        <v>0.52</v>
      </c>
      <c r="F2644" s="2">
        <v>0.25</v>
      </c>
      <c r="G2644" s="7">
        <v>0.82</v>
      </c>
      <c r="H2644" s="9" t="s">
        <v>20</v>
      </c>
      <c r="I2644">
        <v>0.22</v>
      </c>
      <c r="J2644">
        <v>0.57999999999999996</v>
      </c>
      <c r="K2644">
        <v>0.82</v>
      </c>
      <c r="L2644">
        <v>0.51</v>
      </c>
      <c r="M2644">
        <v>0.65</v>
      </c>
      <c r="N2644">
        <v>0.67</v>
      </c>
      <c r="O2644">
        <v>0.82</v>
      </c>
      <c r="P2644">
        <v>0.69</v>
      </c>
      <c r="Q2644">
        <v>0.98</v>
      </c>
      <c r="R2644" s="2">
        <v>0.46</v>
      </c>
      <c r="S2644" t="str">
        <f>IF(Table1[[#This Row],[Years_Experience]]&lt;=5,"Early Career",
IF(Table1[[#This Row],[Years_Experience]]&lt;=15,"Mid Career","Senior Level"))</f>
        <v>Mid Career</v>
      </c>
      <c r="T2644" t="str">
        <f>IF(Table1[[#This Row],[AI_Exposure_Index]]&gt;=0.7,"High Exposure", IF(Table1[[#This Row],[AI_Exposure_Index]]&gt;=0.3,"Medium Exposure","Low Exposure"))</f>
        <v>Low Exposure</v>
      </c>
    </row>
    <row r="2645" spans="1:20" x14ac:dyDescent="0.25">
      <c r="A2645" t="s">
        <v>37</v>
      </c>
      <c r="B2645">
        <v>143546</v>
      </c>
      <c r="C2645" s="1">
        <v>8</v>
      </c>
      <c r="D2645" t="s">
        <v>19</v>
      </c>
      <c r="E2645" s="7">
        <v>1.34</v>
      </c>
      <c r="F2645" s="2">
        <v>0.39</v>
      </c>
      <c r="G2645" s="7">
        <v>0.35</v>
      </c>
      <c r="H2645" s="9" t="s">
        <v>27</v>
      </c>
      <c r="I2645">
        <v>0.74</v>
      </c>
      <c r="J2645">
        <v>0.54</v>
      </c>
      <c r="K2645">
        <v>0.9</v>
      </c>
      <c r="L2645">
        <v>0.73</v>
      </c>
      <c r="M2645">
        <v>0.66</v>
      </c>
      <c r="N2645">
        <v>0.89</v>
      </c>
      <c r="O2645">
        <v>0.91</v>
      </c>
      <c r="P2645">
        <v>0.38</v>
      </c>
      <c r="Q2645">
        <v>0.93</v>
      </c>
      <c r="R2645" s="2">
        <v>0.05</v>
      </c>
      <c r="S2645" t="str">
        <f>IF(Table1[[#This Row],[Years_Experience]]&lt;=5,"Early Career",
IF(Table1[[#This Row],[Years_Experience]]&lt;=15,"Mid Career","Senior Level"))</f>
        <v>Mid Career</v>
      </c>
      <c r="T2645" t="str">
        <f>IF(Table1[[#This Row],[AI_Exposure_Index]]&gt;=0.7,"High Exposure", IF(Table1[[#This Row],[AI_Exposure_Index]]&gt;=0.3,"Medium Exposure","Low Exposure"))</f>
        <v>Medium Exposure</v>
      </c>
    </row>
    <row r="2646" spans="1:20" x14ac:dyDescent="0.25">
      <c r="A2646" t="s">
        <v>39</v>
      </c>
      <c r="B2646">
        <v>132676</v>
      </c>
      <c r="C2646" s="1">
        <v>23</v>
      </c>
      <c r="D2646" t="s">
        <v>19</v>
      </c>
      <c r="E2646" s="7">
        <v>0.99</v>
      </c>
      <c r="F2646" s="2">
        <v>0.34</v>
      </c>
      <c r="G2646" s="7">
        <v>0.91</v>
      </c>
      <c r="H2646" s="9" t="s">
        <v>20</v>
      </c>
      <c r="I2646">
        <v>0.64</v>
      </c>
      <c r="J2646">
        <v>0.46</v>
      </c>
      <c r="K2646">
        <v>0.16</v>
      </c>
      <c r="L2646">
        <v>0.94</v>
      </c>
      <c r="M2646">
        <v>0.33</v>
      </c>
      <c r="N2646">
        <v>0.1</v>
      </c>
      <c r="O2646">
        <v>0.56000000000000005</v>
      </c>
      <c r="P2646">
        <v>0.41</v>
      </c>
      <c r="Q2646">
        <v>0.59</v>
      </c>
      <c r="R2646" s="2">
        <v>0.23</v>
      </c>
      <c r="S2646" t="str">
        <f>IF(Table1[[#This Row],[Years_Experience]]&lt;=5,"Early Career",
IF(Table1[[#This Row],[Years_Experience]]&lt;=15,"Mid Career","Senior Level"))</f>
        <v>Senior Level</v>
      </c>
      <c r="T2646" t="str">
        <f>IF(Table1[[#This Row],[AI_Exposure_Index]]&gt;=0.7,"High Exposure", IF(Table1[[#This Row],[AI_Exposure_Index]]&gt;=0.3,"Medium Exposure","Low Exposure"))</f>
        <v>Medium Exposure</v>
      </c>
    </row>
    <row r="2647" spans="1:20" x14ac:dyDescent="0.25">
      <c r="A2647" t="s">
        <v>30</v>
      </c>
      <c r="B2647">
        <v>54569</v>
      </c>
      <c r="C2647" s="1">
        <v>29</v>
      </c>
      <c r="D2647" t="s">
        <v>22</v>
      </c>
      <c r="E2647" s="7">
        <v>0.67</v>
      </c>
      <c r="F2647" s="2">
        <v>0.38</v>
      </c>
      <c r="G2647" s="7">
        <v>0.61</v>
      </c>
      <c r="H2647" s="9" t="s">
        <v>27</v>
      </c>
      <c r="I2647">
        <v>0.99</v>
      </c>
      <c r="J2647">
        <v>0.28000000000000003</v>
      </c>
      <c r="K2647">
        <v>0.92</v>
      </c>
      <c r="L2647">
        <v>0.13</v>
      </c>
      <c r="M2647">
        <v>0.95</v>
      </c>
      <c r="N2647">
        <v>0.75</v>
      </c>
      <c r="O2647">
        <v>0.35</v>
      </c>
      <c r="P2647">
        <v>0.3</v>
      </c>
      <c r="Q2647">
        <v>0.64</v>
      </c>
      <c r="R2647" s="2">
        <v>0.59</v>
      </c>
      <c r="S2647" t="str">
        <f>IF(Table1[[#This Row],[Years_Experience]]&lt;=5,"Early Career",
IF(Table1[[#This Row],[Years_Experience]]&lt;=15,"Mid Career","Senior Level"))</f>
        <v>Senior Level</v>
      </c>
      <c r="T2647" t="str">
        <f>IF(Table1[[#This Row],[AI_Exposure_Index]]&gt;=0.7,"High Exposure", IF(Table1[[#This Row],[AI_Exposure_Index]]&gt;=0.3,"Medium Exposure","Low Exposure"))</f>
        <v>Medium Exposure</v>
      </c>
    </row>
    <row r="2648" spans="1:20" x14ac:dyDescent="0.25">
      <c r="A2648" t="s">
        <v>24</v>
      </c>
      <c r="B2648">
        <v>124093</v>
      </c>
      <c r="C2648" s="1">
        <v>12</v>
      </c>
      <c r="D2648" t="s">
        <v>38</v>
      </c>
      <c r="E2648" s="7">
        <v>1.04</v>
      </c>
      <c r="F2648" s="2">
        <v>0.77</v>
      </c>
      <c r="G2648" s="7">
        <v>0.93</v>
      </c>
      <c r="H2648" s="9" t="s">
        <v>20</v>
      </c>
      <c r="I2648">
        <v>0.59</v>
      </c>
      <c r="J2648">
        <v>0.85</v>
      </c>
      <c r="K2648">
        <v>0.84</v>
      </c>
      <c r="L2648">
        <v>0.92</v>
      </c>
      <c r="M2648">
        <v>7.0000000000000007E-2</v>
      </c>
      <c r="N2648">
        <v>0.57999999999999996</v>
      </c>
      <c r="O2648">
        <v>0.47</v>
      </c>
      <c r="P2648">
        <v>0.49</v>
      </c>
      <c r="Q2648">
        <v>0.46</v>
      </c>
      <c r="R2648" s="2">
        <v>0.84</v>
      </c>
      <c r="S2648" t="str">
        <f>IF(Table1[[#This Row],[Years_Experience]]&lt;=5,"Early Career",
IF(Table1[[#This Row],[Years_Experience]]&lt;=15,"Mid Career","Senior Level"))</f>
        <v>Mid Career</v>
      </c>
      <c r="T2648" t="str">
        <f>IF(Table1[[#This Row],[AI_Exposure_Index]]&gt;=0.7,"High Exposure", IF(Table1[[#This Row],[AI_Exposure_Index]]&gt;=0.3,"Medium Exposure","Low Exposure"))</f>
        <v>High Exposure</v>
      </c>
    </row>
    <row r="2649" spans="1:20" x14ac:dyDescent="0.25">
      <c r="A2649" t="s">
        <v>41</v>
      </c>
      <c r="B2649">
        <v>83638</v>
      </c>
      <c r="C2649" s="1">
        <v>15</v>
      </c>
      <c r="D2649" t="s">
        <v>38</v>
      </c>
      <c r="E2649" s="7">
        <v>0.7</v>
      </c>
      <c r="F2649" s="2">
        <v>0.46</v>
      </c>
      <c r="G2649" s="7">
        <v>0.76</v>
      </c>
      <c r="H2649" s="9" t="s">
        <v>20</v>
      </c>
      <c r="I2649">
        <v>0.66</v>
      </c>
      <c r="J2649">
        <v>0.12</v>
      </c>
      <c r="K2649">
        <v>0.19</v>
      </c>
      <c r="L2649">
        <v>0.53</v>
      </c>
      <c r="M2649">
        <v>0.04</v>
      </c>
      <c r="N2649">
        <v>0.13</v>
      </c>
      <c r="O2649">
        <v>0.86</v>
      </c>
      <c r="P2649">
        <v>0.85</v>
      </c>
      <c r="Q2649">
        <v>0.35</v>
      </c>
      <c r="R2649" s="2">
        <v>0.35</v>
      </c>
      <c r="S2649" t="str">
        <f>IF(Table1[[#This Row],[Years_Experience]]&lt;=5,"Early Career",
IF(Table1[[#This Row],[Years_Experience]]&lt;=15,"Mid Career","Senior Level"))</f>
        <v>Mid Career</v>
      </c>
      <c r="T2649" t="str">
        <f>IF(Table1[[#This Row],[AI_Exposure_Index]]&gt;=0.7,"High Exposure", IF(Table1[[#This Row],[AI_Exposure_Index]]&gt;=0.3,"Medium Exposure","Low Exposure"))</f>
        <v>Medium Exposure</v>
      </c>
    </row>
    <row r="2650" spans="1:20" x14ac:dyDescent="0.25">
      <c r="A2650" t="s">
        <v>29</v>
      </c>
      <c r="B2650">
        <v>126765</v>
      </c>
      <c r="C2650" s="1">
        <v>21</v>
      </c>
      <c r="D2650" t="s">
        <v>38</v>
      </c>
      <c r="E2650" s="7">
        <v>1.08</v>
      </c>
      <c r="F2650" s="2">
        <v>0.03</v>
      </c>
      <c r="G2650" s="7">
        <v>0.2</v>
      </c>
      <c r="H2650" s="9" t="s">
        <v>23</v>
      </c>
      <c r="I2650">
        <v>0.79</v>
      </c>
      <c r="J2650">
        <v>0.95</v>
      </c>
      <c r="K2650">
        <v>0.36</v>
      </c>
      <c r="L2650">
        <v>0.44</v>
      </c>
      <c r="M2650">
        <v>0.67</v>
      </c>
      <c r="N2650">
        <v>0.97</v>
      </c>
      <c r="O2650">
        <v>0.89</v>
      </c>
      <c r="P2650">
        <v>0.67</v>
      </c>
      <c r="Q2650">
        <v>0.86</v>
      </c>
      <c r="R2650" s="2">
        <v>0.09</v>
      </c>
      <c r="S2650" t="str">
        <f>IF(Table1[[#This Row],[Years_Experience]]&lt;=5,"Early Career",
IF(Table1[[#This Row],[Years_Experience]]&lt;=15,"Mid Career","Senior Level"))</f>
        <v>Senior Level</v>
      </c>
      <c r="T2650" t="str">
        <f>IF(Table1[[#This Row],[AI_Exposure_Index]]&gt;=0.7,"High Exposure", IF(Table1[[#This Row],[AI_Exposure_Index]]&gt;=0.3,"Medium Exposure","Low Exposure"))</f>
        <v>Low Exposure</v>
      </c>
    </row>
    <row r="2651" spans="1:20" x14ac:dyDescent="0.25">
      <c r="A2651" t="s">
        <v>21</v>
      </c>
      <c r="B2651">
        <v>121190</v>
      </c>
      <c r="C2651" s="1">
        <v>16</v>
      </c>
      <c r="D2651" t="s">
        <v>25</v>
      </c>
      <c r="E2651" s="7">
        <v>0.68</v>
      </c>
      <c r="F2651" s="2">
        <v>0.01</v>
      </c>
      <c r="G2651" s="7">
        <v>0.21</v>
      </c>
      <c r="H2651" s="9" t="s">
        <v>23</v>
      </c>
      <c r="I2651">
        <v>0.89</v>
      </c>
      <c r="J2651">
        <v>0.63</v>
      </c>
      <c r="K2651">
        <v>0.66</v>
      </c>
      <c r="L2651">
        <v>0.1</v>
      </c>
      <c r="M2651">
        <v>0.66</v>
      </c>
      <c r="N2651">
        <v>0.45</v>
      </c>
      <c r="O2651">
        <v>0.65</v>
      </c>
      <c r="P2651">
        <v>0.33</v>
      </c>
      <c r="Q2651">
        <v>0.57999999999999996</v>
      </c>
      <c r="R2651" s="2">
        <v>0.42</v>
      </c>
      <c r="S2651" t="str">
        <f>IF(Table1[[#This Row],[Years_Experience]]&lt;=5,"Early Career",
IF(Table1[[#This Row],[Years_Experience]]&lt;=15,"Mid Career","Senior Level"))</f>
        <v>Senior Level</v>
      </c>
      <c r="T2651" t="str">
        <f>IF(Table1[[#This Row],[AI_Exposure_Index]]&gt;=0.7,"High Exposure", IF(Table1[[#This Row],[AI_Exposure_Index]]&gt;=0.3,"Medium Exposure","Low Exposure"))</f>
        <v>Low Exposure</v>
      </c>
    </row>
    <row r="2652" spans="1:20" x14ac:dyDescent="0.25">
      <c r="A2652" t="s">
        <v>31</v>
      </c>
      <c r="B2652">
        <v>84916</v>
      </c>
      <c r="C2652" s="1">
        <v>13</v>
      </c>
      <c r="D2652" t="s">
        <v>25</v>
      </c>
      <c r="E2652" s="7">
        <v>0.9</v>
      </c>
      <c r="F2652" s="2">
        <v>0.15</v>
      </c>
      <c r="G2652" s="7">
        <v>0.14000000000000001</v>
      </c>
      <c r="H2652" s="9" t="s">
        <v>23</v>
      </c>
      <c r="I2652">
        <v>0.74</v>
      </c>
      <c r="J2652">
        <v>0.71</v>
      </c>
      <c r="K2652">
        <v>0.91</v>
      </c>
      <c r="L2652">
        <v>0.63</v>
      </c>
      <c r="M2652">
        <v>0.31</v>
      </c>
      <c r="N2652">
        <v>0.78</v>
      </c>
      <c r="O2652">
        <v>0.5</v>
      </c>
      <c r="P2652">
        <v>0.19</v>
      </c>
      <c r="Q2652">
        <v>0.75</v>
      </c>
      <c r="R2652" s="2">
        <v>0.13</v>
      </c>
      <c r="S2652" t="str">
        <f>IF(Table1[[#This Row],[Years_Experience]]&lt;=5,"Early Career",
IF(Table1[[#This Row],[Years_Experience]]&lt;=15,"Mid Career","Senior Level"))</f>
        <v>Mid Career</v>
      </c>
      <c r="T2652" t="str">
        <f>IF(Table1[[#This Row],[AI_Exposure_Index]]&gt;=0.7,"High Exposure", IF(Table1[[#This Row],[AI_Exposure_Index]]&gt;=0.3,"Medium Exposure","Low Exposure"))</f>
        <v>Low Exposure</v>
      </c>
    </row>
    <row r="2653" spans="1:20" x14ac:dyDescent="0.25">
      <c r="A2653" t="s">
        <v>41</v>
      </c>
      <c r="B2653">
        <v>125462</v>
      </c>
      <c r="C2653" s="1">
        <v>13</v>
      </c>
      <c r="D2653" t="s">
        <v>38</v>
      </c>
      <c r="E2653" s="7">
        <v>1.27</v>
      </c>
      <c r="F2653" s="2">
        <v>0.76</v>
      </c>
      <c r="G2653" s="7">
        <v>0.9</v>
      </c>
      <c r="H2653" s="9" t="s">
        <v>20</v>
      </c>
      <c r="I2653">
        <v>0.28999999999999998</v>
      </c>
      <c r="J2653">
        <v>0.87</v>
      </c>
      <c r="K2653">
        <v>0.72</v>
      </c>
      <c r="L2653">
        <v>0.83</v>
      </c>
      <c r="M2653">
        <v>0.71</v>
      </c>
      <c r="N2653">
        <v>0.57999999999999996</v>
      </c>
      <c r="O2653">
        <v>0.11</v>
      </c>
      <c r="P2653">
        <v>0.71</v>
      </c>
      <c r="Q2653">
        <v>0.69</v>
      </c>
      <c r="R2653" s="2">
        <v>0.31</v>
      </c>
      <c r="S2653" t="str">
        <f>IF(Table1[[#This Row],[Years_Experience]]&lt;=5,"Early Career",
IF(Table1[[#This Row],[Years_Experience]]&lt;=15,"Mid Career","Senior Level"))</f>
        <v>Mid Career</v>
      </c>
      <c r="T2653" t="str">
        <f>IF(Table1[[#This Row],[AI_Exposure_Index]]&gt;=0.7,"High Exposure", IF(Table1[[#This Row],[AI_Exposure_Index]]&gt;=0.3,"Medium Exposure","Low Exposure"))</f>
        <v>High Exposure</v>
      </c>
    </row>
    <row r="2654" spans="1:20" x14ac:dyDescent="0.25">
      <c r="A2654" t="s">
        <v>30</v>
      </c>
      <c r="B2654">
        <v>74838</v>
      </c>
      <c r="C2654" s="1">
        <v>15</v>
      </c>
      <c r="D2654" t="s">
        <v>19</v>
      </c>
      <c r="E2654" s="7">
        <v>1.06</v>
      </c>
      <c r="F2654" s="2">
        <v>0.55000000000000004</v>
      </c>
      <c r="G2654" s="7">
        <v>0.45</v>
      </c>
      <c r="H2654" s="9" t="s">
        <v>27</v>
      </c>
      <c r="I2654">
        <v>0.12</v>
      </c>
      <c r="J2654">
        <v>0.22</v>
      </c>
      <c r="K2654">
        <v>0.77</v>
      </c>
      <c r="L2654">
        <v>0.27</v>
      </c>
      <c r="M2654">
        <v>0</v>
      </c>
      <c r="N2654">
        <v>1</v>
      </c>
      <c r="O2654">
        <v>0.21</v>
      </c>
      <c r="P2654">
        <v>0.66</v>
      </c>
      <c r="Q2654">
        <v>0.93</v>
      </c>
      <c r="R2654" s="2">
        <v>0.6</v>
      </c>
      <c r="S2654" t="str">
        <f>IF(Table1[[#This Row],[Years_Experience]]&lt;=5,"Early Career",
IF(Table1[[#This Row],[Years_Experience]]&lt;=15,"Mid Career","Senior Level"))</f>
        <v>Mid Career</v>
      </c>
      <c r="T2654" t="str">
        <f>IF(Table1[[#This Row],[AI_Exposure_Index]]&gt;=0.7,"High Exposure", IF(Table1[[#This Row],[AI_Exposure_Index]]&gt;=0.3,"Medium Exposure","Low Exposure"))</f>
        <v>Medium Exposure</v>
      </c>
    </row>
    <row r="2655" spans="1:20" x14ac:dyDescent="0.25">
      <c r="A2655" t="s">
        <v>34</v>
      </c>
      <c r="B2655">
        <v>113253</v>
      </c>
      <c r="C2655" s="1">
        <v>10</v>
      </c>
      <c r="D2655" t="s">
        <v>19</v>
      </c>
      <c r="E2655" s="7">
        <v>0.78</v>
      </c>
      <c r="F2655" s="2">
        <v>0.89</v>
      </c>
      <c r="G2655" s="7">
        <v>0.39</v>
      </c>
      <c r="H2655" s="9" t="s">
        <v>27</v>
      </c>
      <c r="I2655">
        <v>1</v>
      </c>
      <c r="J2655">
        <v>0.21</v>
      </c>
      <c r="K2655">
        <v>0.67</v>
      </c>
      <c r="L2655">
        <v>0.95</v>
      </c>
      <c r="M2655">
        <v>0.9</v>
      </c>
      <c r="N2655">
        <v>0.44</v>
      </c>
      <c r="O2655">
        <v>0.64</v>
      </c>
      <c r="P2655">
        <v>0.53</v>
      </c>
      <c r="Q2655">
        <v>0.35</v>
      </c>
      <c r="R2655" s="2">
        <v>0.14000000000000001</v>
      </c>
      <c r="S2655" t="str">
        <f>IF(Table1[[#This Row],[Years_Experience]]&lt;=5,"Early Career",
IF(Table1[[#This Row],[Years_Experience]]&lt;=15,"Mid Career","Senior Level"))</f>
        <v>Mid Career</v>
      </c>
      <c r="T2655" t="str">
        <f>IF(Table1[[#This Row],[AI_Exposure_Index]]&gt;=0.7,"High Exposure", IF(Table1[[#This Row],[AI_Exposure_Index]]&gt;=0.3,"Medium Exposure","Low Exposure"))</f>
        <v>High Exposure</v>
      </c>
    </row>
    <row r="2656" spans="1:20" x14ac:dyDescent="0.25">
      <c r="A2656" t="s">
        <v>42</v>
      </c>
      <c r="B2656">
        <v>111546</v>
      </c>
      <c r="C2656" s="1">
        <v>6</v>
      </c>
      <c r="D2656" t="s">
        <v>22</v>
      </c>
      <c r="E2656" s="7">
        <v>1.1100000000000001</v>
      </c>
      <c r="F2656" s="2">
        <v>0.09</v>
      </c>
      <c r="G2656" s="7">
        <v>0.54</v>
      </c>
      <c r="H2656" s="9" t="s">
        <v>27</v>
      </c>
      <c r="I2656">
        <v>0.33</v>
      </c>
      <c r="J2656">
        <v>0.14000000000000001</v>
      </c>
      <c r="K2656">
        <v>0.8</v>
      </c>
      <c r="L2656">
        <v>0.46</v>
      </c>
      <c r="M2656">
        <v>0.73</v>
      </c>
      <c r="N2656">
        <v>0.02</v>
      </c>
      <c r="O2656">
        <v>7.0000000000000007E-2</v>
      </c>
      <c r="P2656">
        <v>0.18</v>
      </c>
      <c r="Q2656">
        <v>0.11</v>
      </c>
      <c r="R2656" s="2">
        <v>0.19</v>
      </c>
      <c r="S2656" t="str">
        <f>IF(Table1[[#This Row],[Years_Experience]]&lt;=5,"Early Career",
IF(Table1[[#This Row],[Years_Experience]]&lt;=15,"Mid Career","Senior Level"))</f>
        <v>Mid Career</v>
      </c>
      <c r="T2656" t="str">
        <f>IF(Table1[[#This Row],[AI_Exposure_Index]]&gt;=0.7,"High Exposure", IF(Table1[[#This Row],[AI_Exposure_Index]]&gt;=0.3,"Medium Exposure","Low Exposure"))</f>
        <v>Low Exposure</v>
      </c>
    </row>
    <row r="2657" spans="1:20" x14ac:dyDescent="0.25">
      <c r="A2657" t="s">
        <v>33</v>
      </c>
      <c r="B2657">
        <v>140217</v>
      </c>
      <c r="C2657" s="1">
        <v>21</v>
      </c>
      <c r="D2657" t="s">
        <v>25</v>
      </c>
      <c r="E2657" s="7">
        <v>0.54</v>
      </c>
      <c r="F2657" s="2">
        <v>0.05</v>
      </c>
      <c r="G2657" s="7">
        <v>0.71</v>
      </c>
      <c r="H2657" s="9" t="s">
        <v>20</v>
      </c>
      <c r="I2657">
        <v>0.7</v>
      </c>
      <c r="J2657">
        <v>0.54</v>
      </c>
      <c r="K2657">
        <v>0.37</v>
      </c>
      <c r="L2657">
        <v>0.68</v>
      </c>
      <c r="M2657">
        <v>0.55000000000000004</v>
      </c>
      <c r="N2657">
        <v>0.01</v>
      </c>
      <c r="O2657">
        <v>0.84</v>
      </c>
      <c r="P2657">
        <v>0.35</v>
      </c>
      <c r="Q2657">
        <v>0.4</v>
      </c>
      <c r="R2657" s="2">
        <v>0.78</v>
      </c>
      <c r="S2657" t="str">
        <f>IF(Table1[[#This Row],[Years_Experience]]&lt;=5,"Early Career",
IF(Table1[[#This Row],[Years_Experience]]&lt;=15,"Mid Career","Senior Level"))</f>
        <v>Senior Level</v>
      </c>
      <c r="T2657" t="str">
        <f>IF(Table1[[#This Row],[AI_Exposure_Index]]&gt;=0.7,"High Exposure", IF(Table1[[#This Row],[AI_Exposure_Index]]&gt;=0.3,"Medium Exposure","Low Exposure"))</f>
        <v>Low Exposure</v>
      </c>
    </row>
    <row r="2658" spans="1:20" x14ac:dyDescent="0.25">
      <c r="A2658" t="s">
        <v>26</v>
      </c>
      <c r="B2658">
        <v>107576</v>
      </c>
      <c r="C2658" s="1">
        <v>7</v>
      </c>
      <c r="D2658" t="s">
        <v>25</v>
      </c>
      <c r="E2658" s="7">
        <v>1.41</v>
      </c>
      <c r="F2658" s="2">
        <v>0.01</v>
      </c>
      <c r="G2658" s="7">
        <v>0.5</v>
      </c>
      <c r="H2658" s="9" t="s">
        <v>27</v>
      </c>
      <c r="I2658">
        <v>0.35</v>
      </c>
      <c r="J2658">
        <v>0.82</v>
      </c>
      <c r="K2658">
        <v>0.03</v>
      </c>
      <c r="L2658">
        <v>0.2</v>
      </c>
      <c r="M2658">
        <v>0.16</v>
      </c>
      <c r="N2658">
        <v>0.74</v>
      </c>
      <c r="O2658">
        <v>0.31</v>
      </c>
      <c r="P2658">
        <v>0.77</v>
      </c>
      <c r="Q2658">
        <v>0.04</v>
      </c>
      <c r="R2658" s="2">
        <v>0.61</v>
      </c>
      <c r="S2658" t="str">
        <f>IF(Table1[[#This Row],[Years_Experience]]&lt;=5,"Early Career",
IF(Table1[[#This Row],[Years_Experience]]&lt;=15,"Mid Career","Senior Level"))</f>
        <v>Mid Career</v>
      </c>
      <c r="T2658" t="str">
        <f>IF(Table1[[#This Row],[AI_Exposure_Index]]&gt;=0.7,"High Exposure", IF(Table1[[#This Row],[AI_Exposure_Index]]&gt;=0.3,"Medium Exposure","Low Exposure"))</f>
        <v>Low Exposure</v>
      </c>
    </row>
    <row r="2659" spans="1:20" x14ac:dyDescent="0.25">
      <c r="A2659" t="s">
        <v>18</v>
      </c>
      <c r="B2659">
        <v>89849</v>
      </c>
      <c r="C2659" s="1">
        <v>19</v>
      </c>
      <c r="D2659" t="s">
        <v>22</v>
      </c>
      <c r="E2659" s="7">
        <v>1.32</v>
      </c>
      <c r="F2659" s="2">
        <v>0.19</v>
      </c>
      <c r="G2659" s="7">
        <v>0.8</v>
      </c>
      <c r="H2659" s="9" t="s">
        <v>20</v>
      </c>
      <c r="I2659">
        <v>0.56999999999999995</v>
      </c>
      <c r="J2659">
        <v>0.03</v>
      </c>
      <c r="K2659">
        <v>0.79</v>
      </c>
      <c r="L2659">
        <v>0.28999999999999998</v>
      </c>
      <c r="M2659">
        <v>0.69</v>
      </c>
      <c r="N2659">
        <v>0.76</v>
      </c>
      <c r="O2659">
        <v>0.12</v>
      </c>
      <c r="P2659">
        <v>0.3</v>
      </c>
      <c r="Q2659">
        <v>0.72</v>
      </c>
      <c r="R2659" s="2">
        <v>0.23</v>
      </c>
      <c r="S2659" t="str">
        <f>IF(Table1[[#This Row],[Years_Experience]]&lt;=5,"Early Career",
IF(Table1[[#This Row],[Years_Experience]]&lt;=15,"Mid Career","Senior Level"))</f>
        <v>Senior Level</v>
      </c>
      <c r="T2659" t="str">
        <f>IF(Table1[[#This Row],[AI_Exposure_Index]]&gt;=0.7,"High Exposure", IF(Table1[[#This Row],[AI_Exposure_Index]]&gt;=0.3,"Medium Exposure","Low Exposure"))</f>
        <v>Low Exposure</v>
      </c>
    </row>
    <row r="2660" spans="1:20" x14ac:dyDescent="0.25">
      <c r="A2660" t="s">
        <v>34</v>
      </c>
      <c r="B2660">
        <v>133970</v>
      </c>
      <c r="C2660" s="1">
        <v>23</v>
      </c>
      <c r="D2660" t="s">
        <v>19</v>
      </c>
      <c r="E2660" s="7">
        <v>0.87</v>
      </c>
      <c r="F2660" s="2">
        <v>0.51</v>
      </c>
      <c r="G2660" s="7">
        <v>0.48</v>
      </c>
      <c r="H2660" s="9" t="s">
        <v>27</v>
      </c>
      <c r="I2660">
        <v>0.9</v>
      </c>
      <c r="J2660">
        <v>0.18</v>
      </c>
      <c r="K2660">
        <v>0.81</v>
      </c>
      <c r="L2660">
        <v>0.02</v>
      </c>
      <c r="M2660">
        <v>0.92</v>
      </c>
      <c r="N2660">
        <v>0.5</v>
      </c>
      <c r="O2660">
        <v>0.23</v>
      </c>
      <c r="P2660">
        <v>0</v>
      </c>
      <c r="Q2660">
        <v>0.56000000000000005</v>
      </c>
      <c r="R2660" s="2">
        <v>0.24</v>
      </c>
      <c r="S2660" t="str">
        <f>IF(Table1[[#This Row],[Years_Experience]]&lt;=5,"Early Career",
IF(Table1[[#This Row],[Years_Experience]]&lt;=15,"Mid Career","Senior Level"))</f>
        <v>Senior Level</v>
      </c>
      <c r="T2660" t="str">
        <f>IF(Table1[[#This Row],[AI_Exposure_Index]]&gt;=0.7,"High Exposure", IF(Table1[[#This Row],[AI_Exposure_Index]]&gt;=0.3,"Medium Exposure","Low Exposure"))</f>
        <v>Medium Exposure</v>
      </c>
    </row>
    <row r="2661" spans="1:20" x14ac:dyDescent="0.25">
      <c r="A2661" t="s">
        <v>28</v>
      </c>
      <c r="B2661">
        <v>65340</v>
      </c>
      <c r="C2661" s="1">
        <v>11</v>
      </c>
      <c r="D2661" t="s">
        <v>25</v>
      </c>
      <c r="E2661" s="7">
        <v>0.59</v>
      </c>
      <c r="F2661" s="2">
        <v>0.28000000000000003</v>
      </c>
      <c r="G2661" s="7">
        <v>0.5</v>
      </c>
      <c r="H2661" s="9" t="s">
        <v>27</v>
      </c>
      <c r="I2661">
        <v>0.56000000000000005</v>
      </c>
      <c r="J2661">
        <v>0.45</v>
      </c>
      <c r="K2661">
        <v>0.46</v>
      </c>
      <c r="L2661">
        <v>0.59</v>
      </c>
      <c r="M2661">
        <v>0.53</v>
      </c>
      <c r="N2661">
        <v>0.13</v>
      </c>
      <c r="O2661">
        <v>0.2</v>
      </c>
      <c r="P2661">
        <v>0.14000000000000001</v>
      </c>
      <c r="Q2661">
        <v>0.69</v>
      </c>
      <c r="R2661" s="2">
        <v>0.53</v>
      </c>
      <c r="S2661" t="str">
        <f>IF(Table1[[#This Row],[Years_Experience]]&lt;=5,"Early Career",
IF(Table1[[#This Row],[Years_Experience]]&lt;=15,"Mid Career","Senior Level"))</f>
        <v>Mid Career</v>
      </c>
      <c r="T2661" t="str">
        <f>IF(Table1[[#This Row],[AI_Exposure_Index]]&gt;=0.7,"High Exposure", IF(Table1[[#This Row],[AI_Exposure_Index]]&gt;=0.3,"Medium Exposure","Low Exposure"))</f>
        <v>Low Exposure</v>
      </c>
    </row>
    <row r="2662" spans="1:20" x14ac:dyDescent="0.25">
      <c r="A2662" t="s">
        <v>24</v>
      </c>
      <c r="B2662">
        <v>94605</v>
      </c>
      <c r="C2662" s="1">
        <v>27</v>
      </c>
      <c r="D2662" t="s">
        <v>19</v>
      </c>
      <c r="E2662" s="7">
        <v>0.83</v>
      </c>
      <c r="F2662" s="2">
        <v>0.8</v>
      </c>
      <c r="G2662" s="7">
        <v>0.84</v>
      </c>
      <c r="H2662" s="9" t="s">
        <v>20</v>
      </c>
      <c r="I2662">
        <v>7.0000000000000007E-2</v>
      </c>
      <c r="J2662">
        <v>0.74</v>
      </c>
      <c r="K2662">
        <v>0.7</v>
      </c>
      <c r="L2662">
        <v>0.8</v>
      </c>
      <c r="M2662">
        <v>0.88</v>
      </c>
      <c r="N2662">
        <v>0.76</v>
      </c>
      <c r="O2662">
        <v>0.84</v>
      </c>
      <c r="P2662">
        <v>0.35</v>
      </c>
      <c r="Q2662">
        <v>0.34</v>
      </c>
      <c r="R2662" s="2">
        <v>0.94</v>
      </c>
      <c r="S2662" t="str">
        <f>IF(Table1[[#This Row],[Years_Experience]]&lt;=5,"Early Career",
IF(Table1[[#This Row],[Years_Experience]]&lt;=15,"Mid Career","Senior Level"))</f>
        <v>Senior Level</v>
      </c>
      <c r="T2662" t="str">
        <f>IF(Table1[[#This Row],[AI_Exposure_Index]]&gt;=0.7,"High Exposure", IF(Table1[[#This Row],[AI_Exposure_Index]]&gt;=0.3,"Medium Exposure","Low Exposure"))</f>
        <v>High Exposure</v>
      </c>
    </row>
    <row r="2663" spans="1:20" x14ac:dyDescent="0.25">
      <c r="A2663" t="s">
        <v>37</v>
      </c>
      <c r="B2663">
        <v>132025</v>
      </c>
      <c r="C2663" s="1">
        <v>3</v>
      </c>
      <c r="D2663" t="s">
        <v>38</v>
      </c>
      <c r="E2663" s="7">
        <v>0.87</v>
      </c>
      <c r="F2663" s="2">
        <v>0.55000000000000004</v>
      </c>
      <c r="G2663" s="7">
        <v>0.65</v>
      </c>
      <c r="H2663" s="9" t="s">
        <v>27</v>
      </c>
      <c r="I2663">
        <v>0.32</v>
      </c>
      <c r="J2663">
        <v>0.15</v>
      </c>
      <c r="K2663">
        <v>0.64</v>
      </c>
      <c r="L2663">
        <v>0.04</v>
      </c>
      <c r="M2663">
        <v>0.38</v>
      </c>
      <c r="N2663">
        <v>0.81</v>
      </c>
      <c r="O2663">
        <v>0.3</v>
      </c>
      <c r="P2663">
        <v>0.93</v>
      </c>
      <c r="Q2663">
        <v>0.96</v>
      </c>
      <c r="R2663" s="2">
        <v>0.82</v>
      </c>
      <c r="S2663" t="str">
        <f>IF(Table1[[#This Row],[Years_Experience]]&lt;=5,"Early Career",
IF(Table1[[#This Row],[Years_Experience]]&lt;=15,"Mid Career","Senior Level"))</f>
        <v>Early Career</v>
      </c>
      <c r="T2663" t="str">
        <f>IF(Table1[[#This Row],[AI_Exposure_Index]]&gt;=0.7,"High Exposure", IF(Table1[[#This Row],[AI_Exposure_Index]]&gt;=0.3,"Medium Exposure","Low Exposure"))</f>
        <v>Medium Exposure</v>
      </c>
    </row>
    <row r="2664" spans="1:20" x14ac:dyDescent="0.25">
      <c r="A2664" t="s">
        <v>42</v>
      </c>
      <c r="B2664">
        <v>42623</v>
      </c>
      <c r="C2664" s="1">
        <v>8</v>
      </c>
      <c r="D2664" t="s">
        <v>22</v>
      </c>
      <c r="E2664" s="7">
        <v>1.07</v>
      </c>
      <c r="F2664" s="2">
        <v>0.53</v>
      </c>
      <c r="G2664" s="7">
        <v>0.63</v>
      </c>
      <c r="H2664" s="9" t="s">
        <v>27</v>
      </c>
      <c r="I2664">
        <v>0.49</v>
      </c>
      <c r="J2664">
        <v>0.41</v>
      </c>
      <c r="K2664">
        <v>0.61</v>
      </c>
      <c r="L2664">
        <v>0.66</v>
      </c>
      <c r="M2664">
        <v>0.75</v>
      </c>
      <c r="N2664">
        <v>0.67</v>
      </c>
      <c r="O2664">
        <v>0.75</v>
      </c>
      <c r="P2664">
        <v>0.67</v>
      </c>
      <c r="Q2664">
        <v>0.48</v>
      </c>
      <c r="R2664" s="2">
        <v>0.13</v>
      </c>
      <c r="S2664" t="str">
        <f>IF(Table1[[#This Row],[Years_Experience]]&lt;=5,"Early Career",
IF(Table1[[#This Row],[Years_Experience]]&lt;=15,"Mid Career","Senior Level"))</f>
        <v>Mid Career</v>
      </c>
      <c r="T2664" t="str">
        <f>IF(Table1[[#This Row],[AI_Exposure_Index]]&gt;=0.7,"High Exposure", IF(Table1[[#This Row],[AI_Exposure_Index]]&gt;=0.3,"Medium Exposure","Low Exposure"))</f>
        <v>Medium Exposure</v>
      </c>
    </row>
    <row r="2665" spans="1:20" x14ac:dyDescent="0.25">
      <c r="A2665" t="s">
        <v>31</v>
      </c>
      <c r="B2665">
        <v>82913</v>
      </c>
      <c r="C2665" s="1">
        <v>27</v>
      </c>
      <c r="D2665" t="s">
        <v>38</v>
      </c>
      <c r="E2665" s="7">
        <v>0.86</v>
      </c>
      <c r="F2665" s="2">
        <v>0.77</v>
      </c>
      <c r="G2665" s="7">
        <v>0.12</v>
      </c>
      <c r="H2665" s="9" t="s">
        <v>23</v>
      </c>
      <c r="I2665">
        <v>0.49</v>
      </c>
      <c r="J2665">
        <v>0.79</v>
      </c>
      <c r="K2665">
        <v>0.64</v>
      </c>
      <c r="L2665">
        <v>0.04</v>
      </c>
      <c r="M2665">
        <v>0.48</v>
      </c>
      <c r="N2665">
        <v>0.99</v>
      </c>
      <c r="O2665">
        <v>0.35</v>
      </c>
      <c r="P2665">
        <v>0.44</v>
      </c>
      <c r="Q2665">
        <v>0.28999999999999998</v>
      </c>
      <c r="R2665" s="2">
        <v>0.5</v>
      </c>
      <c r="S2665" t="str">
        <f>IF(Table1[[#This Row],[Years_Experience]]&lt;=5,"Early Career",
IF(Table1[[#This Row],[Years_Experience]]&lt;=15,"Mid Career","Senior Level"))</f>
        <v>Senior Level</v>
      </c>
      <c r="T2665" t="str">
        <f>IF(Table1[[#This Row],[AI_Exposure_Index]]&gt;=0.7,"High Exposure", IF(Table1[[#This Row],[AI_Exposure_Index]]&gt;=0.3,"Medium Exposure","Low Exposure"))</f>
        <v>High Exposure</v>
      </c>
    </row>
    <row r="2666" spans="1:20" x14ac:dyDescent="0.25">
      <c r="A2666" t="s">
        <v>35</v>
      </c>
      <c r="B2666">
        <v>39159</v>
      </c>
      <c r="C2666" s="1">
        <v>4</v>
      </c>
      <c r="D2666" t="s">
        <v>19</v>
      </c>
      <c r="E2666" s="7">
        <v>1.21</v>
      </c>
      <c r="F2666" s="2">
        <v>0.25</v>
      </c>
      <c r="G2666" s="7">
        <v>0.36</v>
      </c>
      <c r="H2666" s="9" t="s">
        <v>27</v>
      </c>
      <c r="I2666">
        <v>0.93</v>
      </c>
      <c r="J2666">
        <v>0.31</v>
      </c>
      <c r="K2666">
        <v>0.57999999999999996</v>
      </c>
      <c r="L2666">
        <v>0.32</v>
      </c>
      <c r="M2666">
        <v>0.48</v>
      </c>
      <c r="N2666">
        <v>0.9</v>
      </c>
      <c r="O2666">
        <v>7.0000000000000007E-2</v>
      </c>
      <c r="P2666">
        <v>0.86</v>
      </c>
      <c r="Q2666">
        <v>0.56000000000000005</v>
      </c>
      <c r="R2666" s="2">
        <v>0.67</v>
      </c>
      <c r="S2666" t="str">
        <f>IF(Table1[[#This Row],[Years_Experience]]&lt;=5,"Early Career",
IF(Table1[[#This Row],[Years_Experience]]&lt;=15,"Mid Career","Senior Level"))</f>
        <v>Early Career</v>
      </c>
      <c r="T2666" t="str">
        <f>IF(Table1[[#This Row],[AI_Exposure_Index]]&gt;=0.7,"High Exposure", IF(Table1[[#This Row],[AI_Exposure_Index]]&gt;=0.3,"Medium Exposure","Low Exposure"))</f>
        <v>Low Exposure</v>
      </c>
    </row>
    <row r="2667" spans="1:20" x14ac:dyDescent="0.25">
      <c r="A2667" t="s">
        <v>39</v>
      </c>
      <c r="B2667">
        <v>70294</v>
      </c>
      <c r="C2667" s="1">
        <v>16</v>
      </c>
      <c r="D2667" t="s">
        <v>22</v>
      </c>
      <c r="E2667" s="7">
        <v>0.63</v>
      </c>
      <c r="F2667" s="2">
        <v>0.76</v>
      </c>
      <c r="G2667" s="7">
        <v>0.94</v>
      </c>
      <c r="H2667" s="9" t="s">
        <v>20</v>
      </c>
      <c r="I2667">
        <v>0.8</v>
      </c>
      <c r="J2667">
        <v>0.49</v>
      </c>
      <c r="K2667">
        <v>0.92</v>
      </c>
      <c r="L2667">
        <v>0.17</v>
      </c>
      <c r="M2667">
        <v>0.99</v>
      </c>
      <c r="N2667">
        <v>0.72</v>
      </c>
      <c r="O2667">
        <v>0.1</v>
      </c>
      <c r="P2667">
        <v>0.54</v>
      </c>
      <c r="Q2667">
        <v>0.71</v>
      </c>
      <c r="R2667" s="2">
        <v>0.61</v>
      </c>
      <c r="S2667" t="str">
        <f>IF(Table1[[#This Row],[Years_Experience]]&lt;=5,"Early Career",
IF(Table1[[#This Row],[Years_Experience]]&lt;=15,"Mid Career","Senior Level"))</f>
        <v>Senior Level</v>
      </c>
      <c r="T2667" t="str">
        <f>IF(Table1[[#This Row],[AI_Exposure_Index]]&gt;=0.7,"High Exposure", IF(Table1[[#This Row],[AI_Exposure_Index]]&gt;=0.3,"Medium Exposure","Low Exposure"))</f>
        <v>High Exposure</v>
      </c>
    </row>
    <row r="2668" spans="1:20" x14ac:dyDescent="0.25">
      <c r="A2668" t="s">
        <v>29</v>
      </c>
      <c r="B2668">
        <v>110381</v>
      </c>
      <c r="C2668" s="1">
        <v>9</v>
      </c>
      <c r="D2668" t="s">
        <v>38</v>
      </c>
      <c r="E2668" s="7">
        <v>0.84</v>
      </c>
      <c r="F2668" s="2">
        <v>0.35</v>
      </c>
      <c r="G2668" s="7">
        <v>0.26</v>
      </c>
      <c r="H2668" s="9" t="s">
        <v>23</v>
      </c>
      <c r="I2668">
        <v>0.23</v>
      </c>
      <c r="J2668">
        <v>0.09</v>
      </c>
      <c r="K2668">
        <v>0.6</v>
      </c>
      <c r="L2668">
        <v>0.69</v>
      </c>
      <c r="M2668">
        <v>0.28999999999999998</v>
      </c>
      <c r="N2668">
        <v>0.6</v>
      </c>
      <c r="O2668">
        <v>0.78</v>
      </c>
      <c r="P2668">
        <v>0.35</v>
      </c>
      <c r="Q2668">
        <v>0.53</v>
      </c>
      <c r="R2668" s="2">
        <v>0.15</v>
      </c>
      <c r="S2668" t="str">
        <f>IF(Table1[[#This Row],[Years_Experience]]&lt;=5,"Early Career",
IF(Table1[[#This Row],[Years_Experience]]&lt;=15,"Mid Career","Senior Level"))</f>
        <v>Mid Career</v>
      </c>
      <c r="T2668" t="str">
        <f>IF(Table1[[#This Row],[AI_Exposure_Index]]&gt;=0.7,"High Exposure", IF(Table1[[#This Row],[AI_Exposure_Index]]&gt;=0.3,"Medium Exposure","Low Exposure"))</f>
        <v>Medium Exposure</v>
      </c>
    </row>
    <row r="2669" spans="1:20" x14ac:dyDescent="0.25">
      <c r="A2669" t="s">
        <v>41</v>
      </c>
      <c r="B2669">
        <v>142488</v>
      </c>
      <c r="C2669" s="1">
        <v>4</v>
      </c>
      <c r="D2669" t="s">
        <v>22</v>
      </c>
      <c r="E2669" s="7">
        <v>0.8</v>
      </c>
      <c r="F2669" s="2">
        <v>0.98</v>
      </c>
      <c r="G2669" s="7">
        <v>0.77</v>
      </c>
      <c r="H2669" s="9" t="s">
        <v>20</v>
      </c>
      <c r="I2669">
        <v>0.97</v>
      </c>
      <c r="J2669">
        <v>0.73</v>
      </c>
      <c r="K2669">
        <v>0.59</v>
      </c>
      <c r="L2669">
        <v>0.7</v>
      </c>
      <c r="M2669">
        <v>0.71</v>
      </c>
      <c r="N2669">
        <v>0.76</v>
      </c>
      <c r="O2669">
        <v>7.0000000000000007E-2</v>
      </c>
      <c r="P2669">
        <v>0.41</v>
      </c>
      <c r="Q2669">
        <v>0.3</v>
      </c>
      <c r="R2669" s="2">
        <v>7.0000000000000007E-2</v>
      </c>
      <c r="S2669" t="str">
        <f>IF(Table1[[#This Row],[Years_Experience]]&lt;=5,"Early Career",
IF(Table1[[#This Row],[Years_Experience]]&lt;=15,"Mid Career","Senior Level"))</f>
        <v>Early Career</v>
      </c>
      <c r="T2669" t="str">
        <f>IF(Table1[[#This Row],[AI_Exposure_Index]]&gt;=0.7,"High Exposure", IF(Table1[[#This Row],[AI_Exposure_Index]]&gt;=0.3,"Medium Exposure","Low Exposure"))</f>
        <v>High Exposure</v>
      </c>
    </row>
    <row r="2670" spans="1:20" x14ac:dyDescent="0.25">
      <c r="A2670" t="s">
        <v>34</v>
      </c>
      <c r="B2670">
        <v>35749</v>
      </c>
      <c r="C2670" s="1">
        <v>24</v>
      </c>
      <c r="D2670" t="s">
        <v>25</v>
      </c>
      <c r="E2670" s="7">
        <v>0.68</v>
      </c>
      <c r="F2670" s="2">
        <v>0.62</v>
      </c>
      <c r="G2670" s="7">
        <v>0.42</v>
      </c>
      <c r="H2670" s="9" t="s">
        <v>27</v>
      </c>
      <c r="I2670">
        <v>0.64</v>
      </c>
      <c r="J2670">
        <v>0.57999999999999996</v>
      </c>
      <c r="K2670">
        <v>0.87</v>
      </c>
      <c r="L2670">
        <v>0.79</v>
      </c>
      <c r="M2670">
        <v>0.97</v>
      </c>
      <c r="N2670">
        <v>0.6</v>
      </c>
      <c r="O2670">
        <v>0.7</v>
      </c>
      <c r="P2670">
        <v>0.86</v>
      </c>
      <c r="Q2670">
        <v>0.84</v>
      </c>
      <c r="R2670" s="2">
        <v>0.72</v>
      </c>
      <c r="S2670" t="str">
        <f>IF(Table1[[#This Row],[Years_Experience]]&lt;=5,"Early Career",
IF(Table1[[#This Row],[Years_Experience]]&lt;=15,"Mid Career","Senior Level"))</f>
        <v>Senior Level</v>
      </c>
      <c r="T2670" t="str">
        <f>IF(Table1[[#This Row],[AI_Exposure_Index]]&gt;=0.7,"High Exposure", IF(Table1[[#This Row],[AI_Exposure_Index]]&gt;=0.3,"Medium Exposure","Low Exposure"))</f>
        <v>Medium Exposure</v>
      </c>
    </row>
    <row r="2671" spans="1:20" x14ac:dyDescent="0.25">
      <c r="A2671" t="s">
        <v>41</v>
      </c>
      <c r="B2671">
        <v>81833</v>
      </c>
      <c r="C2671" s="1">
        <v>12</v>
      </c>
      <c r="D2671" t="s">
        <v>22</v>
      </c>
      <c r="E2671" s="7">
        <v>1.38</v>
      </c>
      <c r="F2671" s="2">
        <v>0.27</v>
      </c>
      <c r="G2671" s="7">
        <v>0.89</v>
      </c>
      <c r="H2671" s="9" t="s">
        <v>20</v>
      </c>
      <c r="I2671">
        <v>0.84</v>
      </c>
      <c r="J2671">
        <v>0.14000000000000001</v>
      </c>
      <c r="K2671">
        <v>0.31</v>
      </c>
      <c r="L2671">
        <v>0.42</v>
      </c>
      <c r="M2671">
        <v>0.84</v>
      </c>
      <c r="N2671">
        <v>0.89</v>
      </c>
      <c r="O2671">
        <v>0.28000000000000003</v>
      </c>
      <c r="P2671">
        <v>0.69</v>
      </c>
      <c r="Q2671">
        <v>0.08</v>
      </c>
      <c r="R2671" s="2">
        <v>0.41</v>
      </c>
      <c r="S2671" t="str">
        <f>IF(Table1[[#This Row],[Years_Experience]]&lt;=5,"Early Career",
IF(Table1[[#This Row],[Years_Experience]]&lt;=15,"Mid Career","Senior Level"))</f>
        <v>Mid Career</v>
      </c>
      <c r="T2671" t="str">
        <f>IF(Table1[[#This Row],[AI_Exposure_Index]]&gt;=0.7,"High Exposure", IF(Table1[[#This Row],[AI_Exposure_Index]]&gt;=0.3,"Medium Exposure","Low Exposure"))</f>
        <v>Low Exposure</v>
      </c>
    </row>
    <row r="2672" spans="1:20" x14ac:dyDescent="0.25">
      <c r="A2672" t="s">
        <v>28</v>
      </c>
      <c r="B2672">
        <v>52703</v>
      </c>
      <c r="C2672" s="1">
        <v>6</v>
      </c>
      <c r="D2672" t="s">
        <v>19</v>
      </c>
      <c r="E2672" s="7">
        <v>1.39</v>
      </c>
      <c r="F2672" s="2">
        <v>0.77</v>
      </c>
      <c r="G2672" s="7">
        <v>0.43</v>
      </c>
      <c r="H2672" s="9" t="s">
        <v>27</v>
      </c>
      <c r="I2672">
        <v>0.53</v>
      </c>
      <c r="J2672">
        <v>0.65</v>
      </c>
      <c r="K2672">
        <v>0.33</v>
      </c>
      <c r="L2672">
        <v>0.99</v>
      </c>
      <c r="M2672">
        <v>0.88</v>
      </c>
      <c r="N2672">
        <v>0.3</v>
      </c>
      <c r="O2672">
        <v>0.51</v>
      </c>
      <c r="P2672">
        <v>0.23</v>
      </c>
      <c r="Q2672">
        <v>0.51</v>
      </c>
      <c r="R2672" s="2">
        <v>0.68</v>
      </c>
      <c r="S2672" t="str">
        <f>IF(Table1[[#This Row],[Years_Experience]]&lt;=5,"Early Career",
IF(Table1[[#This Row],[Years_Experience]]&lt;=15,"Mid Career","Senior Level"))</f>
        <v>Mid Career</v>
      </c>
      <c r="T2672" t="str">
        <f>IF(Table1[[#This Row],[AI_Exposure_Index]]&gt;=0.7,"High Exposure", IF(Table1[[#This Row],[AI_Exposure_Index]]&gt;=0.3,"Medium Exposure","Low Exposure"))</f>
        <v>High Exposure</v>
      </c>
    </row>
    <row r="2673" spans="1:20" x14ac:dyDescent="0.25">
      <c r="A2673" t="s">
        <v>40</v>
      </c>
      <c r="B2673">
        <v>76554</v>
      </c>
      <c r="C2673" s="1">
        <v>15</v>
      </c>
      <c r="D2673" t="s">
        <v>25</v>
      </c>
      <c r="E2673" s="7">
        <v>1.0900000000000001</v>
      </c>
      <c r="F2673" s="2">
        <v>0.87</v>
      </c>
      <c r="G2673" s="7">
        <v>0.3</v>
      </c>
      <c r="H2673" s="9" t="s">
        <v>23</v>
      </c>
      <c r="I2673">
        <v>0.03</v>
      </c>
      <c r="J2673">
        <v>0.83</v>
      </c>
      <c r="K2673">
        <v>0.79</v>
      </c>
      <c r="L2673">
        <v>0.13</v>
      </c>
      <c r="M2673">
        <v>0.34</v>
      </c>
      <c r="N2673">
        <v>0.88</v>
      </c>
      <c r="O2673">
        <v>0.52</v>
      </c>
      <c r="P2673">
        <v>0.4</v>
      </c>
      <c r="Q2673">
        <v>0.91</v>
      </c>
      <c r="R2673" s="2">
        <v>0.09</v>
      </c>
      <c r="S2673" t="str">
        <f>IF(Table1[[#This Row],[Years_Experience]]&lt;=5,"Early Career",
IF(Table1[[#This Row],[Years_Experience]]&lt;=15,"Mid Career","Senior Level"))</f>
        <v>Mid Career</v>
      </c>
      <c r="T2673" t="str">
        <f>IF(Table1[[#This Row],[AI_Exposure_Index]]&gt;=0.7,"High Exposure", IF(Table1[[#This Row],[AI_Exposure_Index]]&gt;=0.3,"Medium Exposure","Low Exposure"))</f>
        <v>High Exposure</v>
      </c>
    </row>
    <row r="2674" spans="1:20" x14ac:dyDescent="0.25">
      <c r="A2674" t="s">
        <v>24</v>
      </c>
      <c r="B2674">
        <v>67648</v>
      </c>
      <c r="C2674" s="1">
        <v>25</v>
      </c>
      <c r="D2674" t="s">
        <v>25</v>
      </c>
      <c r="E2674" s="7">
        <v>1.1100000000000001</v>
      </c>
      <c r="F2674" s="2">
        <v>0.65</v>
      </c>
      <c r="G2674" s="7">
        <v>0.77</v>
      </c>
      <c r="H2674" s="9" t="s">
        <v>20</v>
      </c>
      <c r="I2674">
        <v>0.56000000000000005</v>
      </c>
      <c r="J2674">
        <v>0.71</v>
      </c>
      <c r="K2674">
        <v>0.57999999999999996</v>
      </c>
      <c r="L2674">
        <v>0.68</v>
      </c>
      <c r="M2674">
        <v>0.26</v>
      </c>
      <c r="N2674">
        <v>0.83</v>
      </c>
      <c r="O2674">
        <v>0.45</v>
      </c>
      <c r="P2674">
        <v>0.99</v>
      </c>
      <c r="Q2674">
        <v>0.02</v>
      </c>
      <c r="R2674" s="2">
        <v>0.38</v>
      </c>
      <c r="S2674" t="str">
        <f>IF(Table1[[#This Row],[Years_Experience]]&lt;=5,"Early Career",
IF(Table1[[#This Row],[Years_Experience]]&lt;=15,"Mid Career","Senior Level"))</f>
        <v>Senior Level</v>
      </c>
      <c r="T2674" t="str">
        <f>IF(Table1[[#This Row],[AI_Exposure_Index]]&gt;=0.7,"High Exposure", IF(Table1[[#This Row],[AI_Exposure_Index]]&gt;=0.3,"Medium Exposure","Low Exposure"))</f>
        <v>Medium Exposure</v>
      </c>
    </row>
    <row r="2675" spans="1:20" x14ac:dyDescent="0.25">
      <c r="A2675" t="s">
        <v>39</v>
      </c>
      <c r="B2675">
        <v>135718</v>
      </c>
      <c r="C2675" s="1">
        <v>4</v>
      </c>
      <c r="D2675" t="s">
        <v>38</v>
      </c>
      <c r="E2675" s="7">
        <v>0.74</v>
      </c>
      <c r="F2675" s="2">
        <v>0.56000000000000005</v>
      </c>
      <c r="G2675" s="7">
        <v>0.88</v>
      </c>
      <c r="H2675" s="9" t="s">
        <v>20</v>
      </c>
      <c r="I2675">
        <v>0.88</v>
      </c>
      <c r="J2675">
        <v>0.21</v>
      </c>
      <c r="K2675">
        <v>0.16</v>
      </c>
      <c r="L2675">
        <v>0.88</v>
      </c>
      <c r="M2675">
        <v>0.36</v>
      </c>
      <c r="N2675">
        <v>0.43</v>
      </c>
      <c r="O2675">
        <v>0.22</v>
      </c>
      <c r="P2675">
        <v>0.43</v>
      </c>
      <c r="Q2675">
        <v>0.23</v>
      </c>
      <c r="R2675" s="2">
        <v>0.67</v>
      </c>
      <c r="S2675" t="str">
        <f>IF(Table1[[#This Row],[Years_Experience]]&lt;=5,"Early Career",
IF(Table1[[#This Row],[Years_Experience]]&lt;=15,"Mid Career","Senior Level"))</f>
        <v>Early Career</v>
      </c>
      <c r="T2675" t="str">
        <f>IF(Table1[[#This Row],[AI_Exposure_Index]]&gt;=0.7,"High Exposure", IF(Table1[[#This Row],[AI_Exposure_Index]]&gt;=0.3,"Medium Exposure","Low Exposure"))</f>
        <v>Medium Exposure</v>
      </c>
    </row>
    <row r="2676" spans="1:20" x14ac:dyDescent="0.25">
      <c r="A2676" t="s">
        <v>39</v>
      </c>
      <c r="B2676">
        <v>53876</v>
      </c>
      <c r="C2676" s="1">
        <v>18</v>
      </c>
      <c r="D2676" t="s">
        <v>22</v>
      </c>
      <c r="E2676" s="7">
        <v>0.72</v>
      </c>
      <c r="F2676" s="2">
        <v>0.57999999999999996</v>
      </c>
      <c r="G2676" s="7">
        <v>0.77</v>
      </c>
      <c r="H2676" s="9" t="s">
        <v>20</v>
      </c>
      <c r="I2676">
        <v>0.77</v>
      </c>
      <c r="J2676">
        <v>0.79</v>
      </c>
      <c r="K2676">
        <v>0.49</v>
      </c>
      <c r="L2676">
        <v>0.15</v>
      </c>
      <c r="M2676">
        <v>0.06</v>
      </c>
      <c r="N2676">
        <v>0.27</v>
      </c>
      <c r="O2676">
        <v>0.73</v>
      </c>
      <c r="P2676">
        <v>0.6</v>
      </c>
      <c r="Q2676">
        <v>0.72</v>
      </c>
      <c r="R2676" s="2">
        <v>0.47</v>
      </c>
      <c r="S2676" t="str">
        <f>IF(Table1[[#This Row],[Years_Experience]]&lt;=5,"Early Career",
IF(Table1[[#This Row],[Years_Experience]]&lt;=15,"Mid Career","Senior Level"))</f>
        <v>Senior Level</v>
      </c>
      <c r="T2676" t="str">
        <f>IF(Table1[[#This Row],[AI_Exposure_Index]]&gt;=0.7,"High Exposure", IF(Table1[[#This Row],[AI_Exposure_Index]]&gt;=0.3,"Medium Exposure","Low Exposure"))</f>
        <v>Medium Exposure</v>
      </c>
    </row>
    <row r="2677" spans="1:20" x14ac:dyDescent="0.25">
      <c r="A2677" t="s">
        <v>44</v>
      </c>
      <c r="B2677">
        <v>56513</v>
      </c>
      <c r="C2677" s="1">
        <v>11</v>
      </c>
      <c r="D2677" t="s">
        <v>22</v>
      </c>
      <c r="E2677" s="7">
        <v>0.57999999999999996</v>
      </c>
      <c r="F2677" s="2">
        <v>0.48</v>
      </c>
      <c r="G2677" s="7">
        <v>0.33</v>
      </c>
      <c r="H2677" s="9" t="s">
        <v>27</v>
      </c>
      <c r="I2677">
        <v>0.83</v>
      </c>
      <c r="J2677">
        <v>0.63</v>
      </c>
      <c r="K2677">
        <v>0.28000000000000003</v>
      </c>
      <c r="L2677">
        <v>0.76</v>
      </c>
      <c r="M2677">
        <v>0.14000000000000001</v>
      </c>
      <c r="N2677">
        <v>0.65</v>
      </c>
      <c r="O2677">
        <v>0.99</v>
      </c>
      <c r="P2677">
        <v>0.15</v>
      </c>
      <c r="Q2677">
        <v>0.14000000000000001</v>
      </c>
      <c r="R2677" s="2">
        <v>0.47</v>
      </c>
      <c r="S2677" t="str">
        <f>IF(Table1[[#This Row],[Years_Experience]]&lt;=5,"Early Career",
IF(Table1[[#This Row],[Years_Experience]]&lt;=15,"Mid Career","Senior Level"))</f>
        <v>Mid Career</v>
      </c>
      <c r="T2677" t="str">
        <f>IF(Table1[[#This Row],[AI_Exposure_Index]]&gt;=0.7,"High Exposure", IF(Table1[[#This Row],[AI_Exposure_Index]]&gt;=0.3,"Medium Exposure","Low Exposure"))</f>
        <v>Medium Exposure</v>
      </c>
    </row>
    <row r="2678" spans="1:20" x14ac:dyDescent="0.25">
      <c r="A2678" t="s">
        <v>35</v>
      </c>
      <c r="B2678">
        <v>125564</v>
      </c>
      <c r="C2678" s="1">
        <v>15</v>
      </c>
      <c r="D2678" t="s">
        <v>19</v>
      </c>
      <c r="E2678" s="7">
        <v>1</v>
      </c>
      <c r="F2678" s="2">
        <v>0.03</v>
      </c>
      <c r="G2678" s="7">
        <v>0.33</v>
      </c>
      <c r="H2678" s="9" t="s">
        <v>27</v>
      </c>
      <c r="I2678">
        <v>0.24</v>
      </c>
      <c r="J2678">
        <v>0.71</v>
      </c>
      <c r="K2678">
        <v>0.74</v>
      </c>
      <c r="L2678">
        <v>0.73</v>
      </c>
      <c r="M2678">
        <v>7.0000000000000007E-2</v>
      </c>
      <c r="N2678">
        <v>0.79</v>
      </c>
      <c r="O2678">
        <v>0.43</v>
      </c>
      <c r="P2678">
        <v>0.48</v>
      </c>
      <c r="Q2678">
        <v>0.42</v>
      </c>
      <c r="R2678" s="2">
        <v>0.86</v>
      </c>
      <c r="S2678" t="str">
        <f>IF(Table1[[#This Row],[Years_Experience]]&lt;=5,"Early Career",
IF(Table1[[#This Row],[Years_Experience]]&lt;=15,"Mid Career","Senior Level"))</f>
        <v>Mid Career</v>
      </c>
      <c r="T2678" t="str">
        <f>IF(Table1[[#This Row],[AI_Exposure_Index]]&gt;=0.7,"High Exposure", IF(Table1[[#This Row],[AI_Exposure_Index]]&gt;=0.3,"Medium Exposure","Low Exposure"))</f>
        <v>Low Exposure</v>
      </c>
    </row>
    <row r="2679" spans="1:20" x14ac:dyDescent="0.25">
      <c r="A2679" t="s">
        <v>41</v>
      </c>
      <c r="B2679">
        <v>65253</v>
      </c>
      <c r="C2679" s="1">
        <v>22</v>
      </c>
      <c r="D2679" t="s">
        <v>25</v>
      </c>
      <c r="E2679" s="7">
        <v>1.33</v>
      </c>
      <c r="F2679" s="2">
        <v>0.5</v>
      </c>
      <c r="G2679" s="7">
        <v>0.9</v>
      </c>
      <c r="H2679" s="9" t="s">
        <v>20</v>
      </c>
      <c r="I2679">
        <v>0.01</v>
      </c>
      <c r="J2679">
        <v>0.48</v>
      </c>
      <c r="K2679">
        <v>0.04</v>
      </c>
      <c r="L2679">
        <v>0.31</v>
      </c>
      <c r="M2679">
        <v>0.8</v>
      </c>
      <c r="N2679">
        <v>0.94</v>
      </c>
      <c r="O2679">
        <v>0.24</v>
      </c>
      <c r="P2679">
        <v>0.02</v>
      </c>
      <c r="Q2679">
        <v>0.4</v>
      </c>
      <c r="R2679" s="2">
        <v>0.34</v>
      </c>
      <c r="S2679" t="str">
        <f>IF(Table1[[#This Row],[Years_Experience]]&lt;=5,"Early Career",
IF(Table1[[#This Row],[Years_Experience]]&lt;=15,"Mid Career","Senior Level"))</f>
        <v>Senior Level</v>
      </c>
      <c r="T2679" t="str">
        <f>IF(Table1[[#This Row],[AI_Exposure_Index]]&gt;=0.7,"High Exposure", IF(Table1[[#This Row],[AI_Exposure_Index]]&gt;=0.3,"Medium Exposure","Low Exposure"))</f>
        <v>Medium Exposure</v>
      </c>
    </row>
    <row r="2680" spans="1:20" x14ac:dyDescent="0.25">
      <c r="A2680" t="s">
        <v>26</v>
      </c>
      <c r="B2680">
        <v>138482</v>
      </c>
      <c r="C2680" s="1">
        <v>23</v>
      </c>
      <c r="D2680" t="s">
        <v>38</v>
      </c>
      <c r="E2680" s="7">
        <v>0.9</v>
      </c>
      <c r="F2680" s="2">
        <v>0.5</v>
      </c>
      <c r="G2680" s="7">
        <v>0.39</v>
      </c>
      <c r="H2680" s="9" t="s">
        <v>27</v>
      </c>
      <c r="I2680">
        <v>0.83</v>
      </c>
      <c r="J2680">
        <v>0.25</v>
      </c>
      <c r="K2680">
        <v>0.05</v>
      </c>
      <c r="L2680">
        <v>0.56000000000000005</v>
      </c>
      <c r="M2680">
        <v>0.32</v>
      </c>
      <c r="N2680">
        <v>0.71</v>
      </c>
      <c r="O2680">
        <v>0.08</v>
      </c>
      <c r="P2680">
        <v>0.97</v>
      </c>
      <c r="Q2680">
        <v>0.19</v>
      </c>
      <c r="R2680" s="2">
        <v>0.36</v>
      </c>
      <c r="S2680" t="str">
        <f>IF(Table1[[#This Row],[Years_Experience]]&lt;=5,"Early Career",
IF(Table1[[#This Row],[Years_Experience]]&lt;=15,"Mid Career","Senior Level"))</f>
        <v>Senior Level</v>
      </c>
      <c r="T2680" t="str">
        <f>IF(Table1[[#This Row],[AI_Exposure_Index]]&gt;=0.7,"High Exposure", IF(Table1[[#This Row],[AI_Exposure_Index]]&gt;=0.3,"Medium Exposure","Low Exposure"))</f>
        <v>Medium Exposure</v>
      </c>
    </row>
    <row r="2681" spans="1:20" x14ac:dyDescent="0.25">
      <c r="A2681" t="s">
        <v>40</v>
      </c>
      <c r="B2681">
        <v>143169</v>
      </c>
      <c r="C2681" s="1">
        <v>0</v>
      </c>
      <c r="D2681" t="s">
        <v>38</v>
      </c>
      <c r="E2681" s="7">
        <v>0.7</v>
      </c>
      <c r="F2681" s="2">
        <v>0.69</v>
      </c>
      <c r="G2681" s="7">
        <v>0.17</v>
      </c>
      <c r="H2681" s="9" t="s">
        <v>23</v>
      </c>
      <c r="I2681">
        <v>0.21</v>
      </c>
      <c r="J2681">
        <v>0.02</v>
      </c>
      <c r="K2681">
        <v>0.48</v>
      </c>
      <c r="L2681">
        <v>0.42</v>
      </c>
      <c r="M2681">
        <v>0.43</v>
      </c>
      <c r="N2681">
        <v>0.21</v>
      </c>
      <c r="O2681">
        <v>0.95</v>
      </c>
      <c r="P2681">
        <v>0</v>
      </c>
      <c r="Q2681">
        <v>0.89</v>
      </c>
      <c r="R2681" s="2">
        <v>0.74</v>
      </c>
      <c r="S2681" t="str">
        <f>IF(Table1[[#This Row],[Years_Experience]]&lt;=5,"Early Career",
IF(Table1[[#This Row],[Years_Experience]]&lt;=15,"Mid Career","Senior Level"))</f>
        <v>Early Career</v>
      </c>
      <c r="T2681" t="str">
        <f>IF(Table1[[#This Row],[AI_Exposure_Index]]&gt;=0.7,"High Exposure", IF(Table1[[#This Row],[AI_Exposure_Index]]&gt;=0.3,"Medium Exposure","Low Exposure"))</f>
        <v>Medium Exposure</v>
      </c>
    </row>
    <row r="2682" spans="1:20" x14ac:dyDescent="0.25">
      <c r="A2682" t="s">
        <v>30</v>
      </c>
      <c r="B2682">
        <v>89816</v>
      </c>
      <c r="C2682" s="1">
        <v>16</v>
      </c>
      <c r="D2682" t="s">
        <v>19</v>
      </c>
      <c r="E2682" s="7">
        <v>1.49</v>
      </c>
      <c r="F2682" s="2">
        <v>0.47</v>
      </c>
      <c r="G2682" s="7">
        <v>0.56000000000000005</v>
      </c>
      <c r="H2682" s="9" t="s">
        <v>27</v>
      </c>
      <c r="I2682">
        <v>0.13</v>
      </c>
      <c r="J2682">
        <v>0.46</v>
      </c>
      <c r="K2682">
        <v>0.47</v>
      </c>
      <c r="L2682">
        <v>0.8</v>
      </c>
      <c r="M2682">
        <v>0.92</v>
      </c>
      <c r="N2682">
        <v>0.08</v>
      </c>
      <c r="O2682">
        <v>0.31</v>
      </c>
      <c r="P2682">
        <v>0.3</v>
      </c>
      <c r="Q2682">
        <v>1</v>
      </c>
      <c r="R2682" s="2">
        <v>0.56000000000000005</v>
      </c>
      <c r="S2682" t="str">
        <f>IF(Table1[[#This Row],[Years_Experience]]&lt;=5,"Early Career",
IF(Table1[[#This Row],[Years_Experience]]&lt;=15,"Mid Career","Senior Level"))</f>
        <v>Senior Level</v>
      </c>
      <c r="T2682" t="str">
        <f>IF(Table1[[#This Row],[AI_Exposure_Index]]&gt;=0.7,"High Exposure", IF(Table1[[#This Row],[AI_Exposure_Index]]&gt;=0.3,"Medium Exposure","Low Exposure"))</f>
        <v>Medium Exposure</v>
      </c>
    </row>
    <row r="2683" spans="1:20" x14ac:dyDescent="0.25">
      <c r="A2683" t="s">
        <v>24</v>
      </c>
      <c r="B2683">
        <v>71729</v>
      </c>
      <c r="C2683" s="1">
        <v>11</v>
      </c>
      <c r="D2683" t="s">
        <v>38</v>
      </c>
      <c r="E2683" s="7">
        <v>1.22</v>
      </c>
      <c r="F2683" s="2">
        <v>0.43</v>
      </c>
      <c r="G2683" s="7">
        <v>0.77</v>
      </c>
      <c r="H2683" s="9" t="s">
        <v>20</v>
      </c>
      <c r="I2683">
        <v>0.91</v>
      </c>
      <c r="J2683">
        <v>0.46</v>
      </c>
      <c r="K2683">
        <v>0.8</v>
      </c>
      <c r="L2683">
        <v>0.26</v>
      </c>
      <c r="M2683">
        <v>0.69</v>
      </c>
      <c r="N2683">
        <v>0.41</v>
      </c>
      <c r="O2683">
        <v>0.03</v>
      </c>
      <c r="P2683">
        <v>0.41</v>
      </c>
      <c r="Q2683">
        <v>0.55000000000000004</v>
      </c>
      <c r="R2683" s="2">
        <v>0.15</v>
      </c>
      <c r="S2683" t="str">
        <f>IF(Table1[[#This Row],[Years_Experience]]&lt;=5,"Early Career",
IF(Table1[[#This Row],[Years_Experience]]&lt;=15,"Mid Career","Senior Level"))</f>
        <v>Mid Career</v>
      </c>
      <c r="T2683" t="str">
        <f>IF(Table1[[#This Row],[AI_Exposure_Index]]&gt;=0.7,"High Exposure", IF(Table1[[#This Row],[AI_Exposure_Index]]&gt;=0.3,"Medium Exposure","Low Exposure"))</f>
        <v>Medium Exposure</v>
      </c>
    </row>
    <row r="2684" spans="1:20" x14ac:dyDescent="0.25">
      <c r="A2684" t="s">
        <v>29</v>
      </c>
      <c r="B2684">
        <v>90924</v>
      </c>
      <c r="C2684" s="1">
        <v>11</v>
      </c>
      <c r="D2684" t="s">
        <v>22</v>
      </c>
      <c r="E2684" s="7">
        <v>0.84</v>
      </c>
      <c r="F2684" s="2">
        <v>0.46</v>
      </c>
      <c r="G2684" s="7">
        <v>0.16</v>
      </c>
      <c r="H2684" s="9" t="s">
        <v>23</v>
      </c>
      <c r="I2684">
        <v>0.46</v>
      </c>
      <c r="J2684">
        <v>0.14000000000000001</v>
      </c>
      <c r="K2684">
        <v>0.18</v>
      </c>
      <c r="L2684">
        <v>0.85</v>
      </c>
      <c r="M2684">
        <v>0.16</v>
      </c>
      <c r="N2684">
        <v>0.67</v>
      </c>
      <c r="O2684">
        <v>0.42</v>
      </c>
      <c r="P2684">
        <v>0.97</v>
      </c>
      <c r="Q2684">
        <v>7.0000000000000007E-2</v>
      </c>
      <c r="R2684" s="2">
        <v>0.83</v>
      </c>
      <c r="S2684" t="str">
        <f>IF(Table1[[#This Row],[Years_Experience]]&lt;=5,"Early Career",
IF(Table1[[#This Row],[Years_Experience]]&lt;=15,"Mid Career","Senior Level"))</f>
        <v>Mid Career</v>
      </c>
      <c r="T2684" t="str">
        <f>IF(Table1[[#This Row],[AI_Exposure_Index]]&gt;=0.7,"High Exposure", IF(Table1[[#This Row],[AI_Exposure_Index]]&gt;=0.3,"Medium Exposure","Low Exposure"))</f>
        <v>Medium Exposure</v>
      </c>
    </row>
    <row r="2685" spans="1:20" x14ac:dyDescent="0.25">
      <c r="A2685" t="s">
        <v>30</v>
      </c>
      <c r="B2685">
        <v>135963</v>
      </c>
      <c r="C2685" s="1">
        <v>23</v>
      </c>
      <c r="D2685" t="s">
        <v>22</v>
      </c>
      <c r="E2685" s="7">
        <v>0.76</v>
      </c>
      <c r="F2685" s="2">
        <v>0.01</v>
      </c>
      <c r="G2685" s="7">
        <v>0.46</v>
      </c>
      <c r="H2685" s="9" t="s">
        <v>27</v>
      </c>
      <c r="I2685">
        <v>0.31</v>
      </c>
      <c r="J2685">
        <v>0.36</v>
      </c>
      <c r="K2685">
        <v>0.92</v>
      </c>
      <c r="L2685">
        <v>0.36</v>
      </c>
      <c r="M2685">
        <v>0.42</v>
      </c>
      <c r="N2685">
        <v>0.76</v>
      </c>
      <c r="O2685">
        <v>0.79</v>
      </c>
      <c r="P2685">
        <v>0.08</v>
      </c>
      <c r="Q2685">
        <v>0.7</v>
      </c>
      <c r="R2685" s="2">
        <v>0.48</v>
      </c>
      <c r="S2685" t="str">
        <f>IF(Table1[[#This Row],[Years_Experience]]&lt;=5,"Early Career",
IF(Table1[[#This Row],[Years_Experience]]&lt;=15,"Mid Career","Senior Level"))</f>
        <v>Senior Level</v>
      </c>
      <c r="T2685" t="str">
        <f>IF(Table1[[#This Row],[AI_Exposure_Index]]&gt;=0.7,"High Exposure", IF(Table1[[#This Row],[AI_Exposure_Index]]&gt;=0.3,"Medium Exposure","Low Exposure"))</f>
        <v>Low Exposure</v>
      </c>
    </row>
    <row r="2686" spans="1:20" x14ac:dyDescent="0.25">
      <c r="A2686" t="s">
        <v>44</v>
      </c>
      <c r="B2686">
        <v>46294</v>
      </c>
      <c r="C2686" s="1">
        <v>4</v>
      </c>
      <c r="D2686" t="s">
        <v>19</v>
      </c>
      <c r="E2686" s="7">
        <v>0.55000000000000004</v>
      </c>
      <c r="F2686" s="2">
        <v>0.26</v>
      </c>
      <c r="G2686" s="7">
        <v>0.44</v>
      </c>
      <c r="H2686" s="9" t="s">
        <v>27</v>
      </c>
      <c r="I2686">
        <v>0.26</v>
      </c>
      <c r="J2686">
        <v>0.38</v>
      </c>
      <c r="K2686">
        <v>0.57999999999999996</v>
      </c>
      <c r="L2686">
        <v>0.73</v>
      </c>
      <c r="M2686">
        <v>0.61</v>
      </c>
      <c r="N2686">
        <v>0.68</v>
      </c>
      <c r="O2686">
        <v>0.87</v>
      </c>
      <c r="P2686">
        <v>0.87</v>
      </c>
      <c r="Q2686">
        <v>0.86</v>
      </c>
      <c r="R2686" s="2">
        <v>0.15</v>
      </c>
      <c r="S2686" t="str">
        <f>IF(Table1[[#This Row],[Years_Experience]]&lt;=5,"Early Career",
IF(Table1[[#This Row],[Years_Experience]]&lt;=15,"Mid Career","Senior Level"))</f>
        <v>Early Career</v>
      </c>
      <c r="T2686" t="str">
        <f>IF(Table1[[#This Row],[AI_Exposure_Index]]&gt;=0.7,"High Exposure", IF(Table1[[#This Row],[AI_Exposure_Index]]&gt;=0.3,"Medium Exposure","Low Exposure"))</f>
        <v>Low Exposure</v>
      </c>
    </row>
    <row r="2687" spans="1:20" x14ac:dyDescent="0.25">
      <c r="A2687" t="s">
        <v>26</v>
      </c>
      <c r="B2687">
        <v>34383</v>
      </c>
      <c r="C2687" s="1">
        <v>24</v>
      </c>
      <c r="D2687" t="s">
        <v>19</v>
      </c>
      <c r="E2687" s="7">
        <v>0.86</v>
      </c>
      <c r="F2687" s="2">
        <v>0.5</v>
      </c>
      <c r="G2687" s="7">
        <v>0.35</v>
      </c>
      <c r="H2687" s="9" t="s">
        <v>27</v>
      </c>
      <c r="I2687">
        <v>0.28999999999999998</v>
      </c>
      <c r="J2687">
        <v>0.98</v>
      </c>
      <c r="K2687">
        <v>0.35</v>
      </c>
      <c r="L2687">
        <v>0.42</v>
      </c>
      <c r="M2687">
        <v>0.01</v>
      </c>
      <c r="N2687">
        <v>0.72</v>
      </c>
      <c r="O2687">
        <v>0.41</v>
      </c>
      <c r="P2687">
        <v>0.1</v>
      </c>
      <c r="Q2687">
        <v>0.97</v>
      </c>
      <c r="R2687" s="2">
        <v>0.78</v>
      </c>
      <c r="S2687" t="str">
        <f>IF(Table1[[#This Row],[Years_Experience]]&lt;=5,"Early Career",
IF(Table1[[#This Row],[Years_Experience]]&lt;=15,"Mid Career","Senior Level"))</f>
        <v>Senior Level</v>
      </c>
      <c r="T2687" t="str">
        <f>IF(Table1[[#This Row],[AI_Exposure_Index]]&gt;=0.7,"High Exposure", IF(Table1[[#This Row],[AI_Exposure_Index]]&gt;=0.3,"Medium Exposure","Low Exposure"))</f>
        <v>Medium Exposure</v>
      </c>
    </row>
    <row r="2688" spans="1:20" x14ac:dyDescent="0.25">
      <c r="A2688" t="s">
        <v>40</v>
      </c>
      <c r="B2688">
        <v>93742</v>
      </c>
      <c r="C2688" s="1">
        <v>18</v>
      </c>
      <c r="D2688" t="s">
        <v>38</v>
      </c>
      <c r="E2688" s="7">
        <v>0.91</v>
      </c>
      <c r="F2688" s="2">
        <v>0.96</v>
      </c>
      <c r="G2688" s="7">
        <v>0.23</v>
      </c>
      <c r="H2688" s="9" t="s">
        <v>23</v>
      </c>
      <c r="I2688">
        <v>0.21</v>
      </c>
      <c r="J2688">
        <v>0.7</v>
      </c>
      <c r="K2688">
        <v>0.01</v>
      </c>
      <c r="L2688">
        <v>0.13</v>
      </c>
      <c r="M2688">
        <v>0.43</v>
      </c>
      <c r="N2688">
        <v>0.01</v>
      </c>
      <c r="O2688">
        <v>0.46</v>
      </c>
      <c r="P2688">
        <v>0.52</v>
      </c>
      <c r="Q2688">
        <v>0.62</v>
      </c>
      <c r="R2688" s="2">
        <v>0.1</v>
      </c>
      <c r="S2688" t="str">
        <f>IF(Table1[[#This Row],[Years_Experience]]&lt;=5,"Early Career",
IF(Table1[[#This Row],[Years_Experience]]&lt;=15,"Mid Career","Senior Level"))</f>
        <v>Senior Level</v>
      </c>
      <c r="T2688" t="str">
        <f>IF(Table1[[#This Row],[AI_Exposure_Index]]&gt;=0.7,"High Exposure", IF(Table1[[#This Row],[AI_Exposure_Index]]&gt;=0.3,"Medium Exposure","Low Exposure"))</f>
        <v>High Exposure</v>
      </c>
    </row>
    <row r="2689" spans="1:20" x14ac:dyDescent="0.25">
      <c r="A2689" t="s">
        <v>39</v>
      </c>
      <c r="B2689">
        <v>82210</v>
      </c>
      <c r="C2689" s="1">
        <v>8</v>
      </c>
      <c r="D2689" t="s">
        <v>22</v>
      </c>
      <c r="E2689" s="7">
        <v>1.1599999999999999</v>
      </c>
      <c r="F2689" s="2">
        <v>0.61</v>
      </c>
      <c r="G2689" s="7">
        <v>0.71</v>
      </c>
      <c r="H2689" s="9" t="s">
        <v>20</v>
      </c>
      <c r="I2689">
        <v>0.54</v>
      </c>
      <c r="J2689">
        <v>0.78</v>
      </c>
      <c r="K2689">
        <v>7.0000000000000007E-2</v>
      </c>
      <c r="L2689">
        <v>0.41</v>
      </c>
      <c r="M2689">
        <v>0.33</v>
      </c>
      <c r="N2689">
        <v>0.91</v>
      </c>
      <c r="O2689">
        <v>0.19</v>
      </c>
      <c r="P2689">
        <v>0.32</v>
      </c>
      <c r="Q2689">
        <v>0.9</v>
      </c>
      <c r="R2689" s="2">
        <v>0.33</v>
      </c>
      <c r="S2689" t="str">
        <f>IF(Table1[[#This Row],[Years_Experience]]&lt;=5,"Early Career",
IF(Table1[[#This Row],[Years_Experience]]&lt;=15,"Mid Career","Senior Level"))</f>
        <v>Mid Career</v>
      </c>
      <c r="T2689" t="str">
        <f>IF(Table1[[#This Row],[AI_Exposure_Index]]&gt;=0.7,"High Exposure", IF(Table1[[#This Row],[AI_Exposure_Index]]&gt;=0.3,"Medium Exposure","Low Exposure"))</f>
        <v>Medium Exposure</v>
      </c>
    </row>
    <row r="2690" spans="1:20" x14ac:dyDescent="0.25">
      <c r="A2690" t="s">
        <v>18</v>
      </c>
      <c r="B2690">
        <v>55281</v>
      </c>
      <c r="C2690" s="1">
        <v>25</v>
      </c>
      <c r="D2690" t="s">
        <v>22</v>
      </c>
      <c r="E2690" s="7">
        <v>0.79</v>
      </c>
      <c r="F2690" s="2">
        <v>0.91</v>
      </c>
      <c r="G2690" s="7">
        <v>0.91</v>
      </c>
      <c r="H2690" s="9" t="s">
        <v>20</v>
      </c>
      <c r="I2690">
        <v>0.44</v>
      </c>
      <c r="J2690">
        <v>0.72</v>
      </c>
      <c r="K2690">
        <v>0.11</v>
      </c>
      <c r="L2690">
        <v>0.54</v>
      </c>
      <c r="M2690">
        <v>0.96</v>
      </c>
      <c r="N2690">
        <v>0.67</v>
      </c>
      <c r="O2690">
        <v>0.82</v>
      </c>
      <c r="P2690">
        <v>0.26</v>
      </c>
      <c r="Q2690">
        <v>0.8</v>
      </c>
      <c r="R2690" s="2">
        <v>0.35</v>
      </c>
      <c r="S2690" t="str">
        <f>IF(Table1[[#This Row],[Years_Experience]]&lt;=5,"Early Career",
IF(Table1[[#This Row],[Years_Experience]]&lt;=15,"Mid Career","Senior Level"))</f>
        <v>Senior Level</v>
      </c>
      <c r="T2690" t="str">
        <f>IF(Table1[[#This Row],[AI_Exposure_Index]]&gt;=0.7,"High Exposure", IF(Table1[[#This Row],[AI_Exposure_Index]]&gt;=0.3,"Medium Exposure","Low Exposure"))</f>
        <v>High Exposure</v>
      </c>
    </row>
    <row r="2691" spans="1:20" x14ac:dyDescent="0.25">
      <c r="A2691" t="s">
        <v>31</v>
      </c>
      <c r="B2691">
        <v>35143</v>
      </c>
      <c r="C2691" s="1">
        <v>10</v>
      </c>
      <c r="D2691" t="s">
        <v>25</v>
      </c>
      <c r="E2691" s="7">
        <v>0.99</v>
      </c>
      <c r="F2691" s="2">
        <v>0.19</v>
      </c>
      <c r="G2691" s="7">
        <v>0.18</v>
      </c>
      <c r="H2691" s="9" t="s">
        <v>23</v>
      </c>
      <c r="I2691">
        <v>0.62</v>
      </c>
      <c r="J2691">
        <v>0.87</v>
      </c>
      <c r="K2691">
        <v>0.3</v>
      </c>
      <c r="L2691">
        <v>0.98</v>
      </c>
      <c r="M2691">
        <v>0.85</v>
      </c>
      <c r="N2691">
        <v>0.4</v>
      </c>
      <c r="O2691">
        <v>0.23</v>
      </c>
      <c r="P2691">
        <v>7.0000000000000007E-2</v>
      </c>
      <c r="Q2691">
        <v>0.23</v>
      </c>
      <c r="R2691" s="2">
        <v>0.88</v>
      </c>
      <c r="S2691" t="str">
        <f>IF(Table1[[#This Row],[Years_Experience]]&lt;=5,"Early Career",
IF(Table1[[#This Row],[Years_Experience]]&lt;=15,"Mid Career","Senior Level"))</f>
        <v>Mid Career</v>
      </c>
      <c r="T2691" t="str">
        <f>IF(Table1[[#This Row],[AI_Exposure_Index]]&gt;=0.7,"High Exposure", IF(Table1[[#This Row],[AI_Exposure_Index]]&gt;=0.3,"Medium Exposure","Low Exposure"))</f>
        <v>Low Exposure</v>
      </c>
    </row>
    <row r="2692" spans="1:20" x14ac:dyDescent="0.25">
      <c r="A2692" t="s">
        <v>44</v>
      </c>
      <c r="B2692">
        <v>67404</v>
      </c>
      <c r="C2692" s="1">
        <v>17</v>
      </c>
      <c r="D2692" t="s">
        <v>19</v>
      </c>
      <c r="E2692" s="7">
        <v>0.52</v>
      </c>
      <c r="F2692" s="2">
        <v>0.14000000000000001</v>
      </c>
      <c r="G2692" s="7">
        <v>0.42</v>
      </c>
      <c r="H2692" s="9" t="s">
        <v>27</v>
      </c>
      <c r="I2692">
        <v>0.22</v>
      </c>
      <c r="J2692">
        <v>0.1</v>
      </c>
      <c r="K2692">
        <v>0.95</v>
      </c>
      <c r="L2692">
        <v>0.27</v>
      </c>
      <c r="M2692">
        <v>0.01</v>
      </c>
      <c r="N2692">
        <v>0.94</v>
      </c>
      <c r="O2692">
        <v>0.57999999999999996</v>
      </c>
      <c r="P2692">
        <v>0.08</v>
      </c>
      <c r="Q2692">
        <v>0.03</v>
      </c>
      <c r="R2692" s="2">
        <v>0.11</v>
      </c>
      <c r="S2692" t="str">
        <f>IF(Table1[[#This Row],[Years_Experience]]&lt;=5,"Early Career",
IF(Table1[[#This Row],[Years_Experience]]&lt;=15,"Mid Career","Senior Level"))</f>
        <v>Senior Level</v>
      </c>
      <c r="T2692" t="str">
        <f>IF(Table1[[#This Row],[AI_Exposure_Index]]&gt;=0.7,"High Exposure", IF(Table1[[#This Row],[AI_Exposure_Index]]&gt;=0.3,"Medium Exposure","Low Exposure"))</f>
        <v>Low Exposure</v>
      </c>
    </row>
    <row r="2693" spans="1:20" x14ac:dyDescent="0.25">
      <c r="A2693" t="s">
        <v>29</v>
      </c>
      <c r="B2693">
        <v>83568</v>
      </c>
      <c r="C2693" s="1">
        <v>24</v>
      </c>
      <c r="D2693" t="s">
        <v>22</v>
      </c>
      <c r="E2693" s="7">
        <v>1.1499999999999999</v>
      </c>
      <c r="F2693" s="2">
        <v>0.56999999999999995</v>
      </c>
      <c r="G2693" s="7">
        <v>0.09</v>
      </c>
      <c r="H2693" s="9" t="s">
        <v>23</v>
      </c>
      <c r="I2693">
        <v>0.49</v>
      </c>
      <c r="J2693">
        <v>0.96</v>
      </c>
      <c r="K2693">
        <v>0.84</v>
      </c>
      <c r="L2693">
        <v>0.72</v>
      </c>
      <c r="M2693">
        <v>0.52</v>
      </c>
      <c r="N2693">
        <v>0.39</v>
      </c>
      <c r="O2693">
        <v>0.45</v>
      </c>
      <c r="P2693">
        <v>0.76</v>
      </c>
      <c r="Q2693">
        <v>0.55000000000000004</v>
      </c>
      <c r="R2693" s="2">
        <v>0.76</v>
      </c>
      <c r="S2693" t="str">
        <f>IF(Table1[[#This Row],[Years_Experience]]&lt;=5,"Early Career",
IF(Table1[[#This Row],[Years_Experience]]&lt;=15,"Mid Career","Senior Level"))</f>
        <v>Senior Level</v>
      </c>
      <c r="T2693" t="str">
        <f>IF(Table1[[#This Row],[AI_Exposure_Index]]&gt;=0.7,"High Exposure", IF(Table1[[#This Row],[AI_Exposure_Index]]&gt;=0.3,"Medium Exposure","Low Exposure"))</f>
        <v>Medium Exposure</v>
      </c>
    </row>
    <row r="2694" spans="1:20" x14ac:dyDescent="0.25">
      <c r="A2694" t="s">
        <v>18</v>
      </c>
      <c r="B2694">
        <v>134534</v>
      </c>
      <c r="C2694" s="1">
        <v>1</v>
      </c>
      <c r="D2694" t="s">
        <v>22</v>
      </c>
      <c r="E2694" s="7">
        <v>1.1000000000000001</v>
      </c>
      <c r="F2694" s="2">
        <v>0.64</v>
      </c>
      <c r="G2694" s="7">
        <v>0.8</v>
      </c>
      <c r="H2694" s="9" t="s">
        <v>20</v>
      </c>
      <c r="I2694">
        <v>0.2</v>
      </c>
      <c r="J2694">
        <v>0.37</v>
      </c>
      <c r="K2694">
        <v>0.52</v>
      </c>
      <c r="L2694">
        <v>0.03</v>
      </c>
      <c r="M2694">
        <v>0.48</v>
      </c>
      <c r="N2694">
        <v>0.86</v>
      </c>
      <c r="O2694">
        <v>0.98</v>
      </c>
      <c r="P2694">
        <v>0.86</v>
      </c>
      <c r="Q2694">
        <v>0.17</v>
      </c>
      <c r="R2694" s="2">
        <v>0.16</v>
      </c>
      <c r="S2694" t="str">
        <f>IF(Table1[[#This Row],[Years_Experience]]&lt;=5,"Early Career",
IF(Table1[[#This Row],[Years_Experience]]&lt;=15,"Mid Career","Senior Level"))</f>
        <v>Early Career</v>
      </c>
      <c r="T2694" t="str">
        <f>IF(Table1[[#This Row],[AI_Exposure_Index]]&gt;=0.7,"High Exposure", IF(Table1[[#This Row],[AI_Exposure_Index]]&gt;=0.3,"Medium Exposure","Low Exposure"))</f>
        <v>Medium Exposure</v>
      </c>
    </row>
    <row r="2695" spans="1:20" x14ac:dyDescent="0.25">
      <c r="A2695" t="s">
        <v>33</v>
      </c>
      <c r="B2695">
        <v>37120</v>
      </c>
      <c r="C2695" s="1">
        <v>20</v>
      </c>
      <c r="D2695" t="s">
        <v>25</v>
      </c>
      <c r="E2695" s="7">
        <v>1.18</v>
      </c>
      <c r="F2695" s="2">
        <v>0.23</v>
      </c>
      <c r="G2695" s="7">
        <v>0.72</v>
      </c>
      <c r="H2695" s="9" t="s">
        <v>20</v>
      </c>
      <c r="I2695">
        <v>0.44</v>
      </c>
      <c r="J2695">
        <v>0.28000000000000003</v>
      </c>
      <c r="K2695">
        <v>0.6</v>
      </c>
      <c r="L2695">
        <v>0.8</v>
      </c>
      <c r="M2695">
        <v>0.92</v>
      </c>
      <c r="N2695">
        <v>0.96</v>
      </c>
      <c r="O2695">
        <v>0.35</v>
      </c>
      <c r="P2695">
        <v>0.86</v>
      </c>
      <c r="Q2695">
        <v>0.59</v>
      </c>
      <c r="R2695" s="2">
        <v>0.69</v>
      </c>
      <c r="S2695" t="str">
        <f>IF(Table1[[#This Row],[Years_Experience]]&lt;=5,"Early Career",
IF(Table1[[#This Row],[Years_Experience]]&lt;=15,"Mid Career","Senior Level"))</f>
        <v>Senior Level</v>
      </c>
      <c r="T2695" t="str">
        <f>IF(Table1[[#This Row],[AI_Exposure_Index]]&gt;=0.7,"High Exposure", IF(Table1[[#This Row],[AI_Exposure_Index]]&gt;=0.3,"Medium Exposure","Low Exposure"))</f>
        <v>Low Exposure</v>
      </c>
    </row>
    <row r="2696" spans="1:20" x14ac:dyDescent="0.25">
      <c r="A2696" t="s">
        <v>42</v>
      </c>
      <c r="B2696">
        <v>140931</v>
      </c>
      <c r="C2696" s="1">
        <v>7</v>
      </c>
      <c r="D2696" t="s">
        <v>19</v>
      </c>
      <c r="E2696" s="7">
        <v>1.45</v>
      </c>
      <c r="F2696" s="2">
        <v>0.13</v>
      </c>
      <c r="G2696" s="7">
        <v>0.52</v>
      </c>
      <c r="H2696" s="9" t="s">
        <v>27</v>
      </c>
      <c r="I2696">
        <v>0.34</v>
      </c>
      <c r="J2696">
        <v>0.34</v>
      </c>
      <c r="K2696">
        <v>0.75</v>
      </c>
      <c r="L2696">
        <v>0.68</v>
      </c>
      <c r="M2696">
        <v>0.73</v>
      </c>
      <c r="N2696">
        <v>0.25</v>
      </c>
      <c r="O2696">
        <v>0.17</v>
      </c>
      <c r="P2696">
        <v>0.72</v>
      </c>
      <c r="Q2696">
        <v>0.3</v>
      </c>
      <c r="R2696" s="2">
        <v>0.22</v>
      </c>
      <c r="S2696" t="str">
        <f>IF(Table1[[#This Row],[Years_Experience]]&lt;=5,"Early Career",
IF(Table1[[#This Row],[Years_Experience]]&lt;=15,"Mid Career","Senior Level"))</f>
        <v>Mid Career</v>
      </c>
      <c r="T2696" t="str">
        <f>IF(Table1[[#This Row],[AI_Exposure_Index]]&gt;=0.7,"High Exposure", IF(Table1[[#This Row],[AI_Exposure_Index]]&gt;=0.3,"Medium Exposure","Low Exposure"))</f>
        <v>Low Exposure</v>
      </c>
    </row>
    <row r="2697" spans="1:20" x14ac:dyDescent="0.25">
      <c r="A2697" t="s">
        <v>42</v>
      </c>
      <c r="B2697">
        <v>68191</v>
      </c>
      <c r="C2697" s="1">
        <v>7</v>
      </c>
      <c r="D2697" t="s">
        <v>25</v>
      </c>
      <c r="E2697" s="7">
        <v>0.93</v>
      </c>
      <c r="F2697" s="2">
        <v>0.15</v>
      </c>
      <c r="G2697" s="7">
        <v>0.4</v>
      </c>
      <c r="H2697" s="9" t="s">
        <v>27</v>
      </c>
      <c r="I2697">
        <v>0.89</v>
      </c>
      <c r="J2697">
        <v>0.69</v>
      </c>
      <c r="K2697">
        <v>0.74</v>
      </c>
      <c r="L2697">
        <v>0.4</v>
      </c>
      <c r="M2697">
        <v>0.6</v>
      </c>
      <c r="N2697">
        <v>0.5</v>
      </c>
      <c r="O2697">
        <v>0.17</v>
      </c>
      <c r="P2697">
        <v>0.05</v>
      </c>
      <c r="Q2697">
        <v>0.68</v>
      </c>
      <c r="R2697" s="2">
        <v>0.12</v>
      </c>
      <c r="S2697" t="str">
        <f>IF(Table1[[#This Row],[Years_Experience]]&lt;=5,"Early Career",
IF(Table1[[#This Row],[Years_Experience]]&lt;=15,"Mid Career","Senior Level"))</f>
        <v>Mid Career</v>
      </c>
      <c r="T2697" t="str">
        <f>IF(Table1[[#This Row],[AI_Exposure_Index]]&gt;=0.7,"High Exposure", IF(Table1[[#This Row],[AI_Exposure_Index]]&gt;=0.3,"Medium Exposure","Low Exposure"))</f>
        <v>Low Exposure</v>
      </c>
    </row>
    <row r="2698" spans="1:20" x14ac:dyDescent="0.25">
      <c r="A2698" t="s">
        <v>35</v>
      </c>
      <c r="B2698">
        <v>58453</v>
      </c>
      <c r="C2698" s="1">
        <v>1</v>
      </c>
      <c r="D2698" t="s">
        <v>38</v>
      </c>
      <c r="E2698" s="7">
        <v>1.24</v>
      </c>
      <c r="F2698" s="2">
        <v>0.44</v>
      </c>
      <c r="G2698" s="7">
        <v>0.61</v>
      </c>
      <c r="H2698" s="9" t="s">
        <v>27</v>
      </c>
      <c r="I2698">
        <v>0.87</v>
      </c>
      <c r="J2698">
        <v>0.2</v>
      </c>
      <c r="K2698">
        <v>0.99</v>
      </c>
      <c r="L2698">
        <v>0.76</v>
      </c>
      <c r="M2698">
        <v>0.16</v>
      </c>
      <c r="N2698">
        <v>0.84</v>
      </c>
      <c r="O2698">
        <v>0.5</v>
      </c>
      <c r="P2698">
        <v>7.0000000000000007E-2</v>
      </c>
      <c r="Q2698">
        <v>0.13</v>
      </c>
      <c r="R2698" s="2">
        <v>0.43</v>
      </c>
      <c r="S2698" t="str">
        <f>IF(Table1[[#This Row],[Years_Experience]]&lt;=5,"Early Career",
IF(Table1[[#This Row],[Years_Experience]]&lt;=15,"Mid Career","Senior Level"))</f>
        <v>Early Career</v>
      </c>
      <c r="T2698" t="str">
        <f>IF(Table1[[#This Row],[AI_Exposure_Index]]&gt;=0.7,"High Exposure", IF(Table1[[#This Row],[AI_Exposure_Index]]&gt;=0.3,"Medium Exposure","Low Exposure"))</f>
        <v>Medium Exposure</v>
      </c>
    </row>
    <row r="2699" spans="1:20" x14ac:dyDescent="0.25">
      <c r="A2699" t="s">
        <v>34</v>
      </c>
      <c r="B2699">
        <v>114815</v>
      </c>
      <c r="C2699" s="1">
        <v>15</v>
      </c>
      <c r="D2699" t="s">
        <v>22</v>
      </c>
      <c r="E2699" s="7">
        <v>0.72</v>
      </c>
      <c r="F2699" s="2">
        <v>0.95</v>
      </c>
      <c r="G2699" s="7">
        <v>0.49</v>
      </c>
      <c r="H2699" s="9" t="s">
        <v>27</v>
      </c>
      <c r="I2699">
        <v>0.23</v>
      </c>
      <c r="J2699">
        <v>0.56000000000000005</v>
      </c>
      <c r="K2699">
        <v>0.91</v>
      </c>
      <c r="L2699">
        <v>0.56999999999999995</v>
      </c>
      <c r="M2699">
        <v>0.51</v>
      </c>
      <c r="N2699">
        <v>0.75</v>
      </c>
      <c r="O2699">
        <v>0.15</v>
      </c>
      <c r="P2699">
        <v>0.91</v>
      </c>
      <c r="Q2699">
        <v>0.57999999999999996</v>
      </c>
      <c r="R2699" s="2">
        <v>0.69</v>
      </c>
      <c r="S2699" t="str">
        <f>IF(Table1[[#This Row],[Years_Experience]]&lt;=5,"Early Career",
IF(Table1[[#This Row],[Years_Experience]]&lt;=15,"Mid Career","Senior Level"))</f>
        <v>Mid Career</v>
      </c>
      <c r="T2699" t="str">
        <f>IF(Table1[[#This Row],[AI_Exposure_Index]]&gt;=0.7,"High Exposure", IF(Table1[[#This Row],[AI_Exposure_Index]]&gt;=0.3,"Medium Exposure","Low Exposure"))</f>
        <v>High Exposure</v>
      </c>
    </row>
    <row r="2700" spans="1:20" x14ac:dyDescent="0.25">
      <c r="A2700" t="s">
        <v>32</v>
      </c>
      <c r="B2700">
        <v>122562</v>
      </c>
      <c r="C2700" s="1">
        <v>18</v>
      </c>
      <c r="D2700" t="s">
        <v>25</v>
      </c>
      <c r="E2700" s="7">
        <v>1.1399999999999999</v>
      </c>
      <c r="F2700" s="2">
        <v>0.64</v>
      </c>
      <c r="G2700" s="7">
        <v>0.59</v>
      </c>
      <c r="H2700" s="9" t="s">
        <v>27</v>
      </c>
      <c r="I2700">
        <v>0.05</v>
      </c>
      <c r="J2700">
        <v>0.38</v>
      </c>
      <c r="K2700">
        <v>0.96</v>
      </c>
      <c r="L2700">
        <v>0.26</v>
      </c>
      <c r="M2700">
        <v>0.54</v>
      </c>
      <c r="N2700">
        <v>0.18</v>
      </c>
      <c r="O2700">
        <v>0.32</v>
      </c>
      <c r="P2700">
        <v>0.72</v>
      </c>
      <c r="Q2700">
        <v>0.64</v>
      </c>
      <c r="R2700" s="2">
        <v>0.41</v>
      </c>
      <c r="S2700" t="str">
        <f>IF(Table1[[#This Row],[Years_Experience]]&lt;=5,"Early Career",
IF(Table1[[#This Row],[Years_Experience]]&lt;=15,"Mid Career","Senior Level"))</f>
        <v>Senior Level</v>
      </c>
      <c r="T2700" t="str">
        <f>IF(Table1[[#This Row],[AI_Exposure_Index]]&gt;=0.7,"High Exposure", IF(Table1[[#This Row],[AI_Exposure_Index]]&gt;=0.3,"Medium Exposure","Low Exposure"))</f>
        <v>Medium Exposure</v>
      </c>
    </row>
    <row r="2701" spans="1:20" x14ac:dyDescent="0.25">
      <c r="A2701" t="s">
        <v>33</v>
      </c>
      <c r="B2701">
        <v>145427</v>
      </c>
      <c r="C2701" s="1">
        <v>7</v>
      </c>
      <c r="D2701" t="s">
        <v>19</v>
      </c>
      <c r="E2701" s="7">
        <v>0.77</v>
      </c>
      <c r="F2701" s="2">
        <v>0.78</v>
      </c>
      <c r="G2701" s="7">
        <v>0.82</v>
      </c>
      <c r="H2701" s="9" t="s">
        <v>20</v>
      </c>
      <c r="I2701">
        <v>0.88</v>
      </c>
      <c r="J2701">
        <v>0.02</v>
      </c>
      <c r="K2701">
        <v>0.57999999999999996</v>
      </c>
      <c r="L2701">
        <v>0.23</v>
      </c>
      <c r="M2701">
        <v>0.06</v>
      </c>
      <c r="N2701">
        <v>0.91</v>
      </c>
      <c r="O2701">
        <v>0.82</v>
      </c>
      <c r="P2701">
        <v>0.19</v>
      </c>
      <c r="Q2701">
        <v>0.84</v>
      </c>
      <c r="R2701" s="2">
        <v>0.15</v>
      </c>
      <c r="S2701" t="str">
        <f>IF(Table1[[#This Row],[Years_Experience]]&lt;=5,"Early Career",
IF(Table1[[#This Row],[Years_Experience]]&lt;=15,"Mid Career","Senior Level"))</f>
        <v>Mid Career</v>
      </c>
      <c r="T2701" t="str">
        <f>IF(Table1[[#This Row],[AI_Exposure_Index]]&gt;=0.7,"High Exposure", IF(Table1[[#This Row],[AI_Exposure_Index]]&gt;=0.3,"Medium Exposure","Low Exposure"))</f>
        <v>High Exposure</v>
      </c>
    </row>
    <row r="2702" spans="1:20" x14ac:dyDescent="0.25">
      <c r="A2702" t="s">
        <v>33</v>
      </c>
      <c r="B2702">
        <v>142113</v>
      </c>
      <c r="C2702" s="1">
        <v>11</v>
      </c>
      <c r="D2702" t="s">
        <v>38</v>
      </c>
      <c r="E2702" s="7">
        <v>0.87</v>
      </c>
      <c r="F2702" s="2">
        <v>0.43</v>
      </c>
      <c r="G2702" s="7">
        <v>0.85</v>
      </c>
      <c r="H2702" s="9" t="s">
        <v>20</v>
      </c>
      <c r="I2702">
        <v>0.06</v>
      </c>
      <c r="J2702">
        <v>0.69</v>
      </c>
      <c r="K2702">
        <v>0.78</v>
      </c>
      <c r="L2702">
        <v>0.4</v>
      </c>
      <c r="M2702">
        <v>0.17</v>
      </c>
      <c r="N2702">
        <v>0.03</v>
      </c>
      <c r="O2702">
        <v>0.64</v>
      </c>
      <c r="P2702">
        <v>0.27</v>
      </c>
      <c r="Q2702">
        <v>0.46</v>
      </c>
      <c r="R2702" s="2">
        <v>0.39</v>
      </c>
      <c r="S2702" t="str">
        <f>IF(Table1[[#This Row],[Years_Experience]]&lt;=5,"Early Career",
IF(Table1[[#This Row],[Years_Experience]]&lt;=15,"Mid Career","Senior Level"))</f>
        <v>Mid Career</v>
      </c>
      <c r="T2702" t="str">
        <f>IF(Table1[[#This Row],[AI_Exposure_Index]]&gt;=0.7,"High Exposure", IF(Table1[[#This Row],[AI_Exposure_Index]]&gt;=0.3,"Medium Exposure","Low Exposure"))</f>
        <v>Medium Exposure</v>
      </c>
    </row>
    <row r="2703" spans="1:20" x14ac:dyDescent="0.25">
      <c r="A2703" t="s">
        <v>41</v>
      </c>
      <c r="B2703">
        <v>111912</v>
      </c>
      <c r="C2703" s="1">
        <v>10</v>
      </c>
      <c r="D2703" t="s">
        <v>22</v>
      </c>
      <c r="E2703" s="7">
        <v>0.96</v>
      </c>
      <c r="F2703" s="2">
        <v>0.51</v>
      </c>
      <c r="G2703" s="7">
        <v>0.86</v>
      </c>
      <c r="H2703" s="9" t="s">
        <v>20</v>
      </c>
      <c r="I2703">
        <v>0.25</v>
      </c>
      <c r="J2703">
        <v>0.21</v>
      </c>
      <c r="K2703">
        <v>0.81</v>
      </c>
      <c r="L2703">
        <v>0.7</v>
      </c>
      <c r="M2703">
        <v>0.77</v>
      </c>
      <c r="N2703">
        <v>0.12</v>
      </c>
      <c r="O2703">
        <v>0.22</v>
      </c>
      <c r="P2703">
        <v>0.57999999999999996</v>
      </c>
      <c r="Q2703">
        <v>0.86</v>
      </c>
      <c r="R2703" s="2">
        <v>0.89</v>
      </c>
      <c r="S2703" t="str">
        <f>IF(Table1[[#This Row],[Years_Experience]]&lt;=5,"Early Career",
IF(Table1[[#This Row],[Years_Experience]]&lt;=15,"Mid Career","Senior Level"))</f>
        <v>Mid Career</v>
      </c>
      <c r="T2703" t="str">
        <f>IF(Table1[[#This Row],[AI_Exposure_Index]]&gt;=0.7,"High Exposure", IF(Table1[[#This Row],[AI_Exposure_Index]]&gt;=0.3,"Medium Exposure","Low Exposure"))</f>
        <v>Medium Exposure</v>
      </c>
    </row>
    <row r="2704" spans="1:20" x14ac:dyDescent="0.25">
      <c r="A2704" t="s">
        <v>39</v>
      </c>
      <c r="B2704">
        <v>33390</v>
      </c>
      <c r="C2704" s="1">
        <v>14</v>
      </c>
      <c r="D2704" t="s">
        <v>38</v>
      </c>
      <c r="E2704" s="7">
        <v>1.32</v>
      </c>
      <c r="F2704" s="2">
        <v>0.04</v>
      </c>
      <c r="G2704" s="7">
        <v>0.92</v>
      </c>
      <c r="H2704" s="9" t="s">
        <v>20</v>
      </c>
      <c r="I2704">
        <v>0.06</v>
      </c>
      <c r="J2704">
        <v>0.42</v>
      </c>
      <c r="K2704">
        <v>0.54</v>
      </c>
      <c r="L2704">
        <v>0.23</v>
      </c>
      <c r="M2704">
        <v>0.52</v>
      </c>
      <c r="N2704">
        <v>0.89</v>
      </c>
      <c r="O2704">
        <v>0.87</v>
      </c>
      <c r="P2704">
        <v>0.94</v>
      </c>
      <c r="Q2704">
        <v>0.48</v>
      </c>
      <c r="R2704" s="2">
        <v>0.41</v>
      </c>
      <c r="S2704" t="str">
        <f>IF(Table1[[#This Row],[Years_Experience]]&lt;=5,"Early Career",
IF(Table1[[#This Row],[Years_Experience]]&lt;=15,"Mid Career","Senior Level"))</f>
        <v>Mid Career</v>
      </c>
      <c r="T2704" t="str">
        <f>IF(Table1[[#This Row],[AI_Exposure_Index]]&gt;=0.7,"High Exposure", IF(Table1[[#This Row],[AI_Exposure_Index]]&gt;=0.3,"Medium Exposure","Low Exposure"))</f>
        <v>Low Exposure</v>
      </c>
    </row>
    <row r="2705" spans="1:20" x14ac:dyDescent="0.25">
      <c r="A2705" t="s">
        <v>35</v>
      </c>
      <c r="B2705">
        <v>100174</v>
      </c>
      <c r="C2705" s="1">
        <v>20</v>
      </c>
      <c r="D2705" t="s">
        <v>22</v>
      </c>
      <c r="E2705" s="7">
        <v>0.54</v>
      </c>
      <c r="F2705" s="2">
        <v>0.42</v>
      </c>
      <c r="G2705" s="7">
        <v>0.59</v>
      </c>
      <c r="H2705" s="9" t="s">
        <v>27</v>
      </c>
      <c r="I2705">
        <v>0.28000000000000003</v>
      </c>
      <c r="J2705">
        <v>0.05</v>
      </c>
      <c r="K2705">
        <v>0.02</v>
      </c>
      <c r="L2705">
        <v>0.93</v>
      </c>
      <c r="M2705">
        <v>0.25</v>
      </c>
      <c r="N2705">
        <v>0.45</v>
      </c>
      <c r="O2705">
        <v>0.95</v>
      </c>
      <c r="P2705">
        <v>0.47</v>
      </c>
      <c r="Q2705">
        <v>0.08</v>
      </c>
      <c r="R2705" s="2">
        <v>0.55000000000000004</v>
      </c>
      <c r="S2705" t="str">
        <f>IF(Table1[[#This Row],[Years_Experience]]&lt;=5,"Early Career",
IF(Table1[[#This Row],[Years_Experience]]&lt;=15,"Mid Career","Senior Level"))</f>
        <v>Senior Level</v>
      </c>
      <c r="T2705" t="str">
        <f>IF(Table1[[#This Row],[AI_Exposure_Index]]&gt;=0.7,"High Exposure", IF(Table1[[#This Row],[AI_Exposure_Index]]&gt;=0.3,"Medium Exposure","Low Exposure"))</f>
        <v>Medium Exposure</v>
      </c>
    </row>
    <row r="2706" spans="1:20" x14ac:dyDescent="0.25">
      <c r="A2706" t="s">
        <v>44</v>
      </c>
      <c r="B2706">
        <v>42225</v>
      </c>
      <c r="C2706" s="1">
        <v>27</v>
      </c>
      <c r="D2706" t="s">
        <v>22</v>
      </c>
      <c r="E2706" s="7">
        <v>1.35</v>
      </c>
      <c r="F2706" s="2">
        <v>0.1</v>
      </c>
      <c r="G2706" s="7">
        <v>0.42</v>
      </c>
      <c r="H2706" s="9" t="s">
        <v>27</v>
      </c>
      <c r="I2706">
        <v>0.68</v>
      </c>
      <c r="J2706">
        <v>0.51</v>
      </c>
      <c r="K2706">
        <v>0.22</v>
      </c>
      <c r="L2706">
        <v>0.52</v>
      </c>
      <c r="M2706">
        <v>7.0000000000000007E-2</v>
      </c>
      <c r="N2706">
        <v>0.35</v>
      </c>
      <c r="O2706">
        <v>0.52</v>
      </c>
      <c r="P2706">
        <v>0.23</v>
      </c>
      <c r="Q2706">
        <v>0.66</v>
      </c>
      <c r="R2706" s="2">
        <v>0.05</v>
      </c>
      <c r="S2706" t="str">
        <f>IF(Table1[[#This Row],[Years_Experience]]&lt;=5,"Early Career",
IF(Table1[[#This Row],[Years_Experience]]&lt;=15,"Mid Career","Senior Level"))</f>
        <v>Senior Level</v>
      </c>
      <c r="T2706" t="str">
        <f>IF(Table1[[#This Row],[AI_Exposure_Index]]&gt;=0.7,"High Exposure", IF(Table1[[#This Row],[AI_Exposure_Index]]&gt;=0.3,"Medium Exposure","Low Exposure"))</f>
        <v>Low Exposure</v>
      </c>
    </row>
    <row r="2707" spans="1:20" x14ac:dyDescent="0.25">
      <c r="A2707" t="s">
        <v>41</v>
      </c>
      <c r="B2707">
        <v>62864</v>
      </c>
      <c r="C2707" s="1">
        <v>29</v>
      </c>
      <c r="D2707" t="s">
        <v>19</v>
      </c>
      <c r="E2707" s="7">
        <v>0.93</v>
      </c>
      <c r="F2707" s="2">
        <v>0.71</v>
      </c>
      <c r="G2707" s="7">
        <v>0.92</v>
      </c>
      <c r="H2707" s="9" t="s">
        <v>20</v>
      </c>
      <c r="I2707">
        <v>0.63</v>
      </c>
      <c r="J2707">
        <v>0.96</v>
      </c>
      <c r="K2707">
        <v>0.28000000000000003</v>
      </c>
      <c r="L2707">
        <v>0.94</v>
      </c>
      <c r="M2707">
        <v>0.61</v>
      </c>
      <c r="N2707">
        <v>0.75</v>
      </c>
      <c r="O2707">
        <v>0.9</v>
      </c>
      <c r="P2707">
        <v>0.55000000000000004</v>
      </c>
      <c r="Q2707">
        <v>0.86</v>
      </c>
      <c r="R2707" s="2">
        <v>0.54</v>
      </c>
      <c r="S2707" t="str">
        <f>IF(Table1[[#This Row],[Years_Experience]]&lt;=5,"Early Career",
IF(Table1[[#This Row],[Years_Experience]]&lt;=15,"Mid Career","Senior Level"))</f>
        <v>Senior Level</v>
      </c>
      <c r="T2707" t="str">
        <f>IF(Table1[[#This Row],[AI_Exposure_Index]]&gt;=0.7,"High Exposure", IF(Table1[[#This Row],[AI_Exposure_Index]]&gt;=0.3,"Medium Exposure","Low Exposure"))</f>
        <v>High Exposure</v>
      </c>
    </row>
    <row r="2708" spans="1:20" x14ac:dyDescent="0.25">
      <c r="A2708" t="s">
        <v>29</v>
      </c>
      <c r="B2708">
        <v>102135</v>
      </c>
      <c r="C2708" s="1">
        <v>15</v>
      </c>
      <c r="D2708" t="s">
        <v>19</v>
      </c>
      <c r="E2708" s="7">
        <v>0.65</v>
      </c>
      <c r="F2708" s="2">
        <v>0.45</v>
      </c>
      <c r="G2708" s="7">
        <v>0.19</v>
      </c>
      <c r="H2708" s="9" t="s">
        <v>23</v>
      </c>
      <c r="I2708">
        <v>0.98</v>
      </c>
      <c r="J2708">
        <v>0.79</v>
      </c>
      <c r="K2708">
        <v>0.75</v>
      </c>
      <c r="L2708">
        <v>0.64</v>
      </c>
      <c r="M2708">
        <v>0.35</v>
      </c>
      <c r="N2708">
        <v>0.17</v>
      </c>
      <c r="O2708">
        <v>0.22</v>
      </c>
      <c r="P2708">
        <v>0.01</v>
      </c>
      <c r="Q2708">
        <v>0.67</v>
      </c>
      <c r="R2708" s="2">
        <v>0.81</v>
      </c>
      <c r="S2708" t="str">
        <f>IF(Table1[[#This Row],[Years_Experience]]&lt;=5,"Early Career",
IF(Table1[[#This Row],[Years_Experience]]&lt;=15,"Mid Career","Senior Level"))</f>
        <v>Mid Career</v>
      </c>
      <c r="T2708" t="str">
        <f>IF(Table1[[#This Row],[AI_Exposure_Index]]&gt;=0.7,"High Exposure", IF(Table1[[#This Row],[AI_Exposure_Index]]&gt;=0.3,"Medium Exposure","Low Exposure"))</f>
        <v>Medium Exposure</v>
      </c>
    </row>
    <row r="2709" spans="1:20" x14ac:dyDescent="0.25">
      <c r="A2709" t="s">
        <v>40</v>
      </c>
      <c r="B2709">
        <v>120061</v>
      </c>
      <c r="C2709" s="1">
        <v>26</v>
      </c>
      <c r="D2709" t="s">
        <v>38</v>
      </c>
      <c r="E2709" s="7">
        <v>0.84</v>
      </c>
      <c r="F2709" s="2">
        <v>0.09</v>
      </c>
      <c r="G2709" s="7">
        <v>0.12</v>
      </c>
      <c r="H2709" s="9" t="s">
        <v>23</v>
      </c>
      <c r="I2709">
        <v>0.45</v>
      </c>
      <c r="J2709">
        <v>0.26</v>
      </c>
      <c r="K2709">
        <v>0.34</v>
      </c>
      <c r="L2709">
        <v>0.91</v>
      </c>
      <c r="M2709">
        <v>0.33</v>
      </c>
      <c r="N2709">
        <v>0.79</v>
      </c>
      <c r="O2709">
        <v>0.63</v>
      </c>
      <c r="P2709">
        <v>0.34</v>
      </c>
      <c r="Q2709">
        <v>0.82</v>
      </c>
      <c r="R2709" s="2">
        <v>0.6</v>
      </c>
      <c r="S2709" t="str">
        <f>IF(Table1[[#This Row],[Years_Experience]]&lt;=5,"Early Career",
IF(Table1[[#This Row],[Years_Experience]]&lt;=15,"Mid Career","Senior Level"))</f>
        <v>Senior Level</v>
      </c>
      <c r="T2709" t="str">
        <f>IF(Table1[[#This Row],[AI_Exposure_Index]]&gt;=0.7,"High Exposure", IF(Table1[[#This Row],[AI_Exposure_Index]]&gt;=0.3,"Medium Exposure","Low Exposure"))</f>
        <v>Low Exposure</v>
      </c>
    </row>
    <row r="2710" spans="1:20" x14ac:dyDescent="0.25">
      <c r="A2710" t="s">
        <v>33</v>
      </c>
      <c r="B2710">
        <v>84879</v>
      </c>
      <c r="C2710" s="1">
        <v>3</v>
      </c>
      <c r="D2710" t="s">
        <v>25</v>
      </c>
      <c r="E2710" s="7">
        <v>1.25</v>
      </c>
      <c r="F2710" s="2">
        <v>7.0000000000000007E-2</v>
      </c>
      <c r="G2710" s="7">
        <v>0.81</v>
      </c>
      <c r="H2710" s="9" t="s">
        <v>20</v>
      </c>
      <c r="I2710">
        <v>0.41</v>
      </c>
      <c r="J2710">
        <v>0.15</v>
      </c>
      <c r="K2710">
        <v>0.16</v>
      </c>
      <c r="L2710">
        <v>0.8</v>
      </c>
      <c r="M2710">
        <v>0.83</v>
      </c>
      <c r="N2710">
        <v>0.56000000000000005</v>
      </c>
      <c r="O2710">
        <v>0.3</v>
      </c>
      <c r="P2710">
        <v>0.93</v>
      </c>
      <c r="Q2710">
        <v>0.62</v>
      </c>
      <c r="R2710" s="2">
        <v>0.8</v>
      </c>
      <c r="S2710" t="str">
        <f>IF(Table1[[#This Row],[Years_Experience]]&lt;=5,"Early Career",
IF(Table1[[#This Row],[Years_Experience]]&lt;=15,"Mid Career","Senior Level"))</f>
        <v>Early Career</v>
      </c>
      <c r="T2710" t="str">
        <f>IF(Table1[[#This Row],[AI_Exposure_Index]]&gt;=0.7,"High Exposure", IF(Table1[[#This Row],[AI_Exposure_Index]]&gt;=0.3,"Medium Exposure","Low Exposure"))</f>
        <v>Low Exposure</v>
      </c>
    </row>
    <row r="2711" spans="1:20" x14ac:dyDescent="0.25">
      <c r="A2711" t="s">
        <v>42</v>
      </c>
      <c r="B2711">
        <v>105342</v>
      </c>
      <c r="C2711" s="1">
        <v>22</v>
      </c>
      <c r="D2711" t="s">
        <v>38</v>
      </c>
      <c r="E2711" s="7">
        <v>1.37</v>
      </c>
      <c r="F2711" s="2">
        <v>0.45</v>
      </c>
      <c r="G2711" s="7">
        <v>0.44</v>
      </c>
      <c r="H2711" s="9" t="s">
        <v>27</v>
      </c>
      <c r="I2711">
        <v>0.73</v>
      </c>
      <c r="J2711">
        <v>0.66</v>
      </c>
      <c r="K2711">
        <v>0.15</v>
      </c>
      <c r="L2711">
        <v>0.77</v>
      </c>
      <c r="M2711">
        <v>0.11</v>
      </c>
      <c r="N2711">
        <v>0.73</v>
      </c>
      <c r="O2711">
        <v>0.99</v>
      </c>
      <c r="P2711">
        <v>0.96</v>
      </c>
      <c r="Q2711">
        <v>0.8</v>
      </c>
      <c r="R2711" s="2">
        <v>0.53</v>
      </c>
      <c r="S2711" t="str">
        <f>IF(Table1[[#This Row],[Years_Experience]]&lt;=5,"Early Career",
IF(Table1[[#This Row],[Years_Experience]]&lt;=15,"Mid Career","Senior Level"))</f>
        <v>Senior Level</v>
      </c>
      <c r="T2711" t="str">
        <f>IF(Table1[[#This Row],[AI_Exposure_Index]]&gt;=0.7,"High Exposure", IF(Table1[[#This Row],[AI_Exposure_Index]]&gt;=0.3,"Medium Exposure","Low Exposure"))</f>
        <v>Medium Exposure</v>
      </c>
    </row>
    <row r="2712" spans="1:20" x14ac:dyDescent="0.25">
      <c r="A2712" t="s">
        <v>32</v>
      </c>
      <c r="B2712">
        <v>115424</v>
      </c>
      <c r="C2712" s="1">
        <v>27</v>
      </c>
      <c r="D2712" t="s">
        <v>22</v>
      </c>
      <c r="E2712" s="7">
        <v>0.51</v>
      </c>
      <c r="F2712" s="2">
        <v>0.73</v>
      </c>
      <c r="G2712" s="7">
        <v>0.34</v>
      </c>
      <c r="H2712" s="9" t="s">
        <v>27</v>
      </c>
      <c r="I2712">
        <v>0.6</v>
      </c>
      <c r="J2712">
        <v>0.01</v>
      </c>
      <c r="K2712">
        <v>0.91</v>
      </c>
      <c r="L2712">
        <v>0.49</v>
      </c>
      <c r="M2712">
        <v>0.26</v>
      </c>
      <c r="N2712">
        <v>0.39</v>
      </c>
      <c r="O2712">
        <v>0.85</v>
      </c>
      <c r="P2712">
        <v>0.93</v>
      </c>
      <c r="Q2712">
        <v>0.12</v>
      </c>
      <c r="R2712" s="2">
        <v>0.78</v>
      </c>
      <c r="S2712" t="str">
        <f>IF(Table1[[#This Row],[Years_Experience]]&lt;=5,"Early Career",
IF(Table1[[#This Row],[Years_Experience]]&lt;=15,"Mid Career","Senior Level"))</f>
        <v>Senior Level</v>
      </c>
      <c r="T2712" t="str">
        <f>IF(Table1[[#This Row],[AI_Exposure_Index]]&gt;=0.7,"High Exposure", IF(Table1[[#This Row],[AI_Exposure_Index]]&gt;=0.3,"Medium Exposure","Low Exposure"))</f>
        <v>High Exposure</v>
      </c>
    </row>
    <row r="2713" spans="1:20" x14ac:dyDescent="0.25">
      <c r="A2713" t="s">
        <v>18</v>
      </c>
      <c r="B2713">
        <v>75381</v>
      </c>
      <c r="C2713" s="1">
        <v>12</v>
      </c>
      <c r="D2713" t="s">
        <v>38</v>
      </c>
      <c r="E2713" s="7">
        <v>1.39</v>
      </c>
      <c r="F2713" s="2">
        <v>0.87</v>
      </c>
      <c r="G2713" s="7">
        <v>0.84</v>
      </c>
      <c r="H2713" s="9" t="s">
        <v>20</v>
      </c>
      <c r="I2713">
        <v>7.0000000000000007E-2</v>
      </c>
      <c r="J2713">
        <v>0.48</v>
      </c>
      <c r="K2713">
        <v>0.21</v>
      </c>
      <c r="L2713">
        <v>0.44</v>
      </c>
      <c r="M2713">
        <v>0.72</v>
      </c>
      <c r="N2713">
        <v>0.67</v>
      </c>
      <c r="O2713">
        <v>0.78</v>
      </c>
      <c r="P2713">
        <v>0.48</v>
      </c>
      <c r="Q2713">
        <v>0.51</v>
      </c>
      <c r="R2713" s="2">
        <v>0.94</v>
      </c>
      <c r="S2713" t="str">
        <f>IF(Table1[[#This Row],[Years_Experience]]&lt;=5,"Early Career",
IF(Table1[[#This Row],[Years_Experience]]&lt;=15,"Mid Career","Senior Level"))</f>
        <v>Mid Career</v>
      </c>
      <c r="T2713" t="str">
        <f>IF(Table1[[#This Row],[AI_Exposure_Index]]&gt;=0.7,"High Exposure", IF(Table1[[#This Row],[AI_Exposure_Index]]&gt;=0.3,"Medium Exposure","Low Exposure"))</f>
        <v>High Exposure</v>
      </c>
    </row>
    <row r="2714" spans="1:20" x14ac:dyDescent="0.25">
      <c r="A2714" t="s">
        <v>28</v>
      </c>
      <c r="B2714">
        <v>112146</v>
      </c>
      <c r="C2714" s="1">
        <v>23</v>
      </c>
      <c r="D2714" t="s">
        <v>22</v>
      </c>
      <c r="E2714" s="7">
        <v>1.1599999999999999</v>
      </c>
      <c r="F2714" s="2">
        <v>0.75</v>
      </c>
      <c r="G2714" s="7">
        <v>0.56000000000000005</v>
      </c>
      <c r="H2714" s="9" t="s">
        <v>27</v>
      </c>
      <c r="I2714">
        <v>0.91</v>
      </c>
      <c r="J2714">
        <v>0.36</v>
      </c>
      <c r="K2714">
        <v>0.43</v>
      </c>
      <c r="L2714">
        <v>0.38</v>
      </c>
      <c r="M2714">
        <v>0.77</v>
      </c>
      <c r="N2714">
        <v>0.87</v>
      </c>
      <c r="O2714">
        <v>0.36</v>
      </c>
      <c r="P2714">
        <v>0.14000000000000001</v>
      </c>
      <c r="Q2714">
        <v>0.49</v>
      </c>
      <c r="R2714" s="2">
        <v>0.98</v>
      </c>
      <c r="S2714" t="str">
        <f>IF(Table1[[#This Row],[Years_Experience]]&lt;=5,"Early Career",
IF(Table1[[#This Row],[Years_Experience]]&lt;=15,"Mid Career","Senior Level"))</f>
        <v>Senior Level</v>
      </c>
      <c r="T2714" t="str">
        <f>IF(Table1[[#This Row],[AI_Exposure_Index]]&gt;=0.7,"High Exposure", IF(Table1[[#This Row],[AI_Exposure_Index]]&gt;=0.3,"Medium Exposure","Low Exposure"))</f>
        <v>High Exposure</v>
      </c>
    </row>
    <row r="2715" spans="1:20" x14ac:dyDescent="0.25">
      <c r="A2715" t="s">
        <v>44</v>
      </c>
      <c r="B2715">
        <v>61973</v>
      </c>
      <c r="C2715" s="1">
        <v>11</v>
      </c>
      <c r="D2715" t="s">
        <v>25</v>
      </c>
      <c r="E2715" s="7">
        <v>0.77</v>
      </c>
      <c r="F2715" s="2">
        <v>0.45</v>
      </c>
      <c r="G2715" s="7">
        <v>0.67</v>
      </c>
      <c r="H2715" s="9" t="s">
        <v>27</v>
      </c>
      <c r="I2715">
        <v>0.55000000000000004</v>
      </c>
      <c r="J2715">
        <v>0.57999999999999996</v>
      </c>
      <c r="K2715">
        <v>0.01</v>
      </c>
      <c r="L2715">
        <v>0.65</v>
      </c>
      <c r="M2715">
        <v>0.31</v>
      </c>
      <c r="N2715">
        <v>0.51</v>
      </c>
      <c r="O2715">
        <v>0.53</v>
      </c>
      <c r="P2715">
        <v>0.59</v>
      </c>
      <c r="Q2715">
        <v>0.82</v>
      </c>
      <c r="R2715" s="2">
        <v>0.3</v>
      </c>
      <c r="S2715" t="str">
        <f>IF(Table1[[#This Row],[Years_Experience]]&lt;=5,"Early Career",
IF(Table1[[#This Row],[Years_Experience]]&lt;=15,"Mid Career","Senior Level"))</f>
        <v>Mid Career</v>
      </c>
      <c r="T2715" t="str">
        <f>IF(Table1[[#This Row],[AI_Exposure_Index]]&gt;=0.7,"High Exposure", IF(Table1[[#This Row],[AI_Exposure_Index]]&gt;=0.3,"Medium Exposure","Low Exposure"))</f>
        <v>Medium Exposure</v>
      </c>
    </row>
    <row r="2716" spans="1:20" x14ac:dyDescent="0.25">
      <c r="A2716" t="s">
        <v>26</v>
      </c>
      <c r="B2716">
        <v>147442</v>
      </c>
      <c r="C2716" s="1">
        <v>16</v>
      </c>
      <c r="D2716" t="s">
        <v>22</v>
      </c>
      <c r="E2716" s="7">
        <v>1.22</v>
      </c>
      <c r="F2716" s="2">
        <v>0.8</v>
      </c>
      <c r="G2716" s="7">
        <v>0.39</v>
      </c>
      <c r="H2716" s="9" t="s">
        <v>27</v>
      </c>
      <c r="I2716">
        <v>0</v>
      </c>
      <c r="J2716">
        <v>0.67</v>
      </c>
      <c r="K2716">
        <v>0.16</v>
      </c>
      <c r="L2716">
        <v>0.96</v>
      </c>
      <c r="M2716">
        <v>0.6</v>
      </c>
      <c r="N2716">
        <v>0.85</v>
      </c>
      <c r="O2716">
        <v>0.81</v>
      </c>
      <c r="P2716">
        <v>0.56000000000000005</v>
      </c>
      <c r="Q2716">
        <v>0.44</v>
      </c>
      <c r="R2716" s="2">
        <v>0.5</v>
      </c>
      <c r="S2716" t="str">
        <f>IF(Table1[[#This Row],[Years_Experience]]&lt;=5,"Early Career",
IF(Table1[[#This Row],[Years_Experience]]&lt;=15,"Mid Career","Senior Level"))</f>
        <v>Senior Level</v>
      </c>
      <c r="T2716" t="str">
        <f>IF(Table1[[#This Row],[AI_Exposure_Index]]&gt;=0.7,"High Exposure", IF(Table1[[#This Row],[AI_Exposure_Index]]&gt;=0.3,"Medium Exposure","Low Exposure"))</f>
        <v>High Exposure</v>
      </c>
    </row>
    <row r="2717" spans="1:20" x14ac:dyDescent="0.25">
      <c r="A2717" t="s">
        <v>40</v>
      </c>
      <c r="B2717">
        <v>73904</v>
      </c>
      <c r="C2717" s="1">
        <v>2</v>
      </c>
      <c r="D2717" t="s">
        <v>38</v>
      </c>
      <c r="E2717" s="7">
        <v>0.71</v>
      </c>
      <c r="F2717" s="2">
        <v>0.64</v>
      </c>
      <c r="G2717" s="7">
        <v>0.2</v>
      </c>
      <c r="H2717" s="9" t="s">
        <v>23</v>
      </c>
      <c r="I2717">
        <v>0.4</v>
      </c>
      <c r="J2717">
        <v>0.06</v>
      </c>
      <c r="K2717">
        <v>0.38</v>
      </c>
      <c r="L2717">
        <v>0.23</v>
      </c>
      <c r="M2717">
        <v>0.84</v>
      </c>
      <c r="N2717">
        <v>0.1</v>
      </c>
      <c r="O2717">
        <v>0.36</v>
      </c>
      <c r="P2717">
        <v>0.7</v>
      </c>
      <c r="Q2717">
        <v>0.9</v>
      </c>
      <c r="R2717" s="2">
        <v>0.34</v>
      </c>
      <c r="S2717" t="str">
        <f>IF(Table1[[#This Row],[Years_Experience]]&lt;=5,"Early Career",
IF(Table1[[#This Row],[Years_Experience]]&lt;=15,"Mid Career","Senior Level"))</f>
        <v>Early Career</v>
      </c>
      <c r="T2717" t="str">
        <f>IF(Table1[[#This Row],[AI_Exposure_Index]]&gt;=0.7,"High Exposure", IF(Table1[[#This Row],[AI_Exposure_Index]]&gt;=0.3,"Medium Exposure","Low Exposure"))</f>
        <v>Medium Exposure</v>
      </c>
    </row>
    <row r="2718" spans="1:20" x14ac:dyDescent="0.25">
      <c r="A2718" t="s">
        <v>34</v>
      </c>
      <c r="B2718">
        <v>131937</v>
      </c>
      <c r="C2718" s="1">
        <v>24</v>
      </c>
      <c r="D2718" t="s">
        <v>38</v>
      </c>
      <c r="E2718" s="7">
        <v>0.7</v>
      </c>
      <c r="F2718" s="2">
        <v>0.37</v>
      </c>
      <c r="G2718" s="7">
        <v>0.43</v>
      </c>
      <c r="H2718" s="9" t="s">
        <v>27</v>
      </c>
      <c r="I2718">
        <v>0.64</v>
      </c>
      <c r="J2718">
        <v>0.72</v>
      </c>
      <c r="K2718">
        <v>0.37</v>
      </c>
      <c r="L2718">
        <v>0.15</v>
      </c>
      <c r="M2718">
        <v>0.14000000000000001</v>
      </c>
      <c r="N2718">
        <v>0.81</v>
      </c>
      <c r="O2718">
        <v>0.65</v>
      </c>
      <c r="P2718">
        <v>0.73</v>
      </c>
      <c r="Q2718">
        <v>0.49</v>
      </c>
      <c r="R2718" s="2">
        <v>0.46</v>
      </c>
      <c r="S2718" t="str">
        <f>IF(Table1[[#This Row],[Years_Experience]]&lt;=5,"Early Career",
IF(Table1[[#This Row],[Years_Experience]]&lt;=15,"Mid Career","Senior Level"))</f>
        <v>Senior Level</v>
      </c>
      <c r="T2718" t="str">
        <f>IF(Table1[[#This Row],[AI_Exposure_Index]]&gt;=0.7,"High Exposure", IF(Table1[[#This Row],[AI_Exposure_Index]]&gt;=0.3,"Medium Exposure","Low Exposure"))</f>
        <v>Medium Exposure</v>
      </c>
    </row>
    <row r="2719" spans="1:20" x14ac:dyDescent="0.25">
      <c r="A2719" t="s">
        <v>37</v>
      </c>
      <c r="B2719">
        <v>122928</v>
      </c>
      <c r="C2719" s="1">
        <v>23</v>
      </c>
      <c r="D2719" t="s">
        <v>19</v>
      </c>
      <c r="E2719" s="7">
        <v>0.91</v>
      </c>
      <c r="F2719" s="2">
        <v>0.5</v>
      </c>
      <c r="G2719" s="7">
        <v>0.67</v>
      </c>
      <c r="H2719" s="9" t="s">
        <v>27</v>
      </c>
      <c r="I2719">
        <v>0.61</v>
      </c>
      <c r="J2719">
        <v>0.28999999999999998</v>
      </c>
      <c r="K2719">
        <v>0.56000000000000005</v>
      </c>
      <c r="L2719">
        <v>0.99</v>
      </c>
      <c r="M2719">
        <v>0.85</v>
      </c>
      <c r="N2719">
        <v>0.28000000000000003</v>
      </c>
      <c r="O2719">
        <v>0.95</v>
      </c>
      <c r="P2719">
        <v>0.98</v>
      </c>
      <c r="Q2719">
        <v>0.23</v>
      </c>
      <c r="R2719" s="2">
        <v>0.9</v>
      </c>
      <c r="S2719" t="str">
        <f>IF(Table1[[#This Row],[Years_Experience]]&lt;=5,"Early Career",
IF(Table1[[#This Row],[Years_Experience]]&lt;=15,"Mid Career","Senior Level"))</f>
        <v>Senior Level</v>
      </c>
      <c r="T2719" t="str">
        <f>IF(Table1[[#This Row],[AI_Exposure_Index]]&gt;=0.7,"High Exposure", IF(Table1[[#This Row],[AI_Exposure_Index]]&gt;=0.3,"Medium Exposure","Low Exposure"))</f>
        <v>Medium Exposure</v>
      </c>
    </row>
    <row r="2720" spans="1:20" x14ac:dyDescent="0.25">
      <c r="A2720" t="s">
        <v>28</v>
      </c>
      <c r="B2720">
        <v>133120</v>
      </c>
      <c r="C2720" s="1">
        <v>25</v>
      </c>
      <c r="D2720" t="s">
        <v>25</v>
      </c>
      <c r="E2720" s="7">
        <v>1.17</v>
      </c>
      <c r="F2720" s="2">
        <v>0.04</v>
      </c>
      <c r="G2720" s="7">
        <v>0.42</v>
      </c>
      <c r="H2720" s="9" t="s">
        <v>27</v>
      </c>
      <c r="I2720">
        <v>0.67</v>
      </c>
      <c r="J2720">
        <v>0.91</v>
      </c>
      <c r="K2720">
        <v>0.5</v>
      </c>
      <c r="L2720">
        <v>0.41</v>
      </c>
      <c r="M2720">
        <v>0.92</v>
      </c>
      <c r="N2720">
        <v>0.97</v>
      </c>
      <c r="O2720">
        <v>0.06</v>
      </c>
      <c r="P2720">
        <v>0.92</v>
      </c>
      <c r="Q2720">
        <v>0.08</v>
      </c>
      <c r="R2720" s="2">
        <v>0.34</v>
      </c>
      <c r="S2720" t="str">
        <f>IF(Table1[[#This Row],[Years_Experience]]&lt;=5,"Early Career",
IF(Table1[[#This Row],[Years_Experience]]&lt;=15,"Mid Career","Senior Level"))</f>
        <v>Senior Level</v>
      </c>
      <c r="T2720" t="str">
        <f>IF(Table1[[#This Row],[AI_Exposure_Index]]&gt;=0.7,"High Exposure", IF(Table1[[#This Row],[AI_Exposure_Index]]&gt;=0.3,"Medium Exposure","Low Exposure"))</f>
        <v>Low Exposure</v>
      </c>
    </row>
    <row r="2721" spans="1:20" x14ac:dyDescent="0.25">
      <c r="A2721" t="s">
        <v>36</v>
      </c>
      <c r="B2721">
        <v>33796</v>
      </c>
      <c r="C2721" s="1">
        <v>5</v>
      </c>
      <c r="D2721" t="s">
        <v>25</v>
      </c>
      <c r="E2721" s="7">
        <v>1.23</v>
      </c>
      <c r="F2721" s="2">
        <v>0.78</v>
      </c>
      <c r="G2721" s="7">
        <v>0.32</v>
      </c>
      <c r="H2721" s="9" t="s">
        <v>27</v>
      </c>
      <c r="I2721">
        <v>0.13</v>
      </c>
      <c r="J2721">
        <v>0.94</v>
      </c>
      <c r="K2721">
        <v>0.08</v>
      </c>
      <c r="L2721">
        <v>0.08</v>
      </c>
      <c r="M2721">
        <v>0.84</v>
      </c>
      <c r="N2721">
        <v>0.64</v>
      </c>
      <c r="O2721">
        <v>0.35</v>
      </c>
      <c r="P2721">
        <v>0.17</v>
      </c>
      <c r="Q2721">
        <v>0.88</v>
      </c>
      <c r="R2721" s="2">
        <v>0.99</v>
      </c>
      <c r="S2721" t="str">
        <f>IF(Table1[[#This Row],[Years_Experience]]&lt;=5,"Early Career",
IF(Table1[[#This Row],[Years_Experience]]&lt;=15,"Mid Career","Senior Level"))</f>
        <v>Early Career</v>
      </c>
      <c r="T2721" t="str">
        <f>IF(Table1[[#This Row],[AI_Exposure_Index]]&gt;=0.7,"High Exposure", IF(Table1[[#This Row],[AI_Exposure_Index]]&gt;=0.3,"Medium Exposure","Low Exposure"))</f>
        <v>High Exposure</v>
      </c>
    </row>
    <row r="2722" spans="1:20" x14ac:dyDescent="0.25">
      <c r="A2722" t="s">
        <v>35</v>
      </c>
      <c r="B2722">
        <v>92058</v>
      </c>
      <c r="C2722" s="1">
        <v>1</v>
      </c>
      <c r="D2722" t="s">
        <v>22</v>
      </c>
      <c r="E2722" s="7">
        <v>0.76</v>
      </c>
      <c r="F2722" s="2">
        <v>0.55000000000000004</v>
      </c>
      <c r="G2722" s="7">
        <v>0.63</v>
      </c>
      <c r="H2722" s="9" t="s">
        <v>27</v>
      </c>
      <c r="I2722">
        <v>0.35</v>
      </c>
      <c r="J2722">
        <v>0.71</v>
      </c>
      <c r="K2722">
        <v>0.54</v>
      </c>
      <c r="L2722">
        <v>0.54</v>
      </c>
      <c r="M2722">
        <v>0.86</v>
      </c>
      <c r="N2722">
        <v>0.47</v>
      </c>
      <c r="O2722">
        <v>0.85</v>
      </c>
      <c r="P2722">
        <v>0.36</v>
      </c>
      <c r="Q2722">
        <v>0.17</v>
      </c>
      <c r="R2722" s="2">
        <v>0.46</v>
      </c>
      <c r="S2722" t="str">
        <f>IF(Table1[[#This Row],[Years_Experience]]&lt;=5,"Early Career",
IF(Table1[[#This Row],[Years_Experience]]&lt;=15,"Mid Career","Senior Level"))</f>
        <v>Early Career</v>
      </c>
      <c r="T2722" t="str">
        <f>IF(Table1[[#This Row],[AI_Exposure_Index]]&gt;=0.7,"High Exposure", IF(Table1[[#This Row],[AI_Exposure_Index]]&gt;=0.3,"Medium Exposure","Low Exposure"))</f>
        <v>Medium Exposure</v>
      </c>
    </row>
    <row r="2723" spans="1:20" x14ac:dyDescent="0.25">
      <c r="A2723" t="s">
        <v>37</v>
      </c>
      <c r="B2723">
        <v>46005</v>
      </c>
      <c r="C2723" s="1">
        <v>28</v>
      </c>
      <c r="D2723" t="s">
        <v>38</v>
      </c>
      <c r="E2723" s="7">
        <v>1.31</v>
      </c>
      <c r="F2723" s="2">
        <v>0.48</v>
      </c>
      <c r="G2723" s="7">
        <v>0.53</v>
      </c>
      <c r="H2723" s="9" t="s">
        <v>27</v>
      </c>
      <c r="I2723">
        <v>0.89</v>
      </c>
      <c r="J2723">
        <v>0.51</v>
      </c>
      <c r="K2723">
        <v>0.22</v>
      </c>
      <c r="L2723">
        <v>0.13</v>
      </c>
      <c r="M2723">
        <v>0.87</v>
      </c>
      <c r="N2723">
        <v>0.06</v>
      </c>
      <c r="O2723">
        <v>0.12</v>
      </c>
      <c r="P2723">
        <v>0.06</v>
      </c>
      <c r="Q2723">
        <v>0.42</v>
      </c>
      <c r="R2723" s="2">
        <v>0.53</v>
      </c>
      <c r="S2723" t="str">
        <f>IF(Table1[[#This Row],[Years_Experience]]&lt;=5,"Early Career",
IF(Table1[[#This Row],[Years_Experience]]&lt;=15,"Mid Career","Senior Level"))</f>
        <v>Senior Level</v>
      </c>
      <c r="T2723" t="str">
        <f>IF(Table1[[#This Row],[AI_Exposure_Index]]&gt;=0.7,"High Exposure", IF(Table1[[#This Row],[AI_Exposure_Index]]&gt;=0.3,"Medium Exposure","Low Exposure"))</f>
        <v>Medium Exposure</v>
      </c>
    </row>
    <row r="2724" spans="1:20" x14ac:dyDescent="0.25">
      <c r="A2724" t="s">
        <v>18</v>
      </c>
      <c r="B2724">
        <v>63445</v>
      </c>
      <c r="C2724" s="1">
        <v>14</v>
      </c>
      <c r="D2724" t="s">
        <v>22</v>
      </c>
      <c r="E2724" s="7">
        <v>0.89</v>
      </c>
      <c r="F2724" s="2">
        <v>0.52</v>
      </c>
      <c r="G2724" s="7">
        <v>0.89</v>
      </c>
      <c r="H2724" s="9" t="s">
        <v>20</v>
      </c>
      <c r="I2724">
        <v>0.83</v>
      </c>
      <c r="J2724">
        <v>0.68</v>
      </c>
      <c r="K2724">
        <v>0.47</v>
      </c>
      <c r="L2724">
        <v>0.22</v>
      </c>
      <c r="M2724">
        <v>0.85</v>
      </c>
      <c r="N2724">
        <v>0.34</v>
      </c>
      <c r="O2724">
        <v>0.36</v>
      </c>
      <c r="P2724">
        <v>0.92</v>
      </c>
      <c r="Q2724">
        <v>0.98</v>
      </c>
      <c r="R2724" s="2">
        <v>0.9</v>
      </c>
      <c r="S2724" t="str">
        <f>IF(Table1[[#This Row],[Years_Experience]]&lt;=5,"Early Career",
IF(Table1[[#This Row],[Years_Experience]]&lt;=15,"Mid Career","Senior Level"))</f>
        <v>Mid Career</v>
      </c>
      <c r="T2724" t="str">
        <f>IF(Table1[[#This Row],[AI_Exposure_Index]]&gt;=0.7,"High Exposure", IF(Table1[[#This Row],[AI_Exposure_Index]]&gt;=0.3,"Medium Exposure","Low Exposure"))</f>
        <v>Medium Exposure</v>
      </c>
    </row>
    <row r="2725" spans="1:20" x14ac:dyDescent="0.25">
      <c r="A2725" t="s">
        <v>36</v>
      </c>
      <c r="B2725">
        <v>50377</v>
      </c>
      <c r="C2725" s="1">
        <v>0</v>
      </c>
      <c r="D2725" t="s">
        <v>19</v>
      </c>
      <c r="E2725" s="7">
        <v>1.2</v>
      </c>
      <c r="F2725" s="2">
        <v>0.87</v>
      </c>
      <c r="G2725" s="7">
        <v>0.42</v>
      </c>
      <c r="H2725" s="9" t="s">
        <v>27</v>
      </c>
      <c r="I2725">
        <v>0.95</v>
      </c>
      <c r="J2725">
        <v>0.88</v>
      </c>
      <c r="K2725">
        <v>0.24</v>
      </c>
      <c r="L2725">
        <v>0.49</v>
      </c>
      <c r="M2725">
        <v>7.0000000000000007E-2</v>
      </c>
      <c r="N2725">
        <v>0.95</v>
      </c>
      <c r="O2725">
        <v>0.56999999999999995</v>
      </c>
      <c r="P2725">
        <v>0.25</v>
      </c>
      <c r="Q2725">
        <v>0.28999999999999998</v>
      </c>
      <c r="R2725" s="2">
        <v>0.98</v>
      </c>
      <c r="S2725" t="str">
        <f>IF(Table1[[#This Row],[Years_Experience]]&lt;=5,"Early Career",
IF(Table1[[#This Row],[Years_Experience]]&lt;=15,"Mid Career","Senior Level"))</f>
        <v>Early Career</v>
      </c>
      <c r="T2725" t="str">
        <f>IF(Table1[[#This Row],[AI_Exposure_Index]]&gt;=0.7,"High Exposure", IF(Table1[[#This Row],[AI_Exposure_Index]]&gt;=0.3,"Medium Exposure","Low Exposure"))</f>
        <v>High Exposure</v>
      </c>
    </row>
    <row r="2726" spans="1:20" x14ac:dyDescent="0.25">
      <c r="A2726" t="s">
        <v>39</v>
      </c>
      <c r="B2726">
        <v>88851</v>
      </c>
      <c r="C2726" s="1">
        <v>0</v>
      </c>
      <c r="D2726" t="s">
        <v>38</v>
      </c>
      <c r="E2726" s="7">
        <v>1</v>
      </c>
      <c r="F2726" s="2">
        <v>0.42</v>
      </c>
      <c r="G2726" s="7">
        <v>0.72</v>
      </c>
      <c r="H2726" s="9" t="s">
        <v>20</v>
      </c>
      <c r="I2726">
        <v>0.08</v>
      </c>
      <c r="J2726">
        <v>0.59</v>
      </c>
      <c r="K2726">
        <v>0.51</v>
      </c>
      <c r="L2726">
        <v>0.36</v>
      </c>
      <c r="M2726">
        <v>0.56999999999999995</v>
      </c>
      <c r="N2726">
        <v>7.0000000000000007E-2</v>
      </c>
      <c r="O2726">
        <v>0.94</v>
      </c>
      <c r="P2726">
        <v>0.28999999999999998</v>
      </c>
      <c r="Q2726">
        <v>7.0000000000000007E-2</v>
      </c>
      <c r="R2726" s="2">
        <v>0.17</v>
      </c>
      <c r="S2726" t="str">
        <f>IF(Table1[[#This Row],[Years_Experience]]&lt;=5,"Early Career",
IF(Table1[[#This Row],[Years_Experience]]&lt;=15,"Mid Career","Senior Level"))</f>
        <v>Early Career</v>
      </c>
      <c r="T2726" t="str">
        <f>IF(Table1[[#This Row],[AI_Exposure_Index]]&gt;=0.7,"High Exposure", IF(Table1[[#This Row],[AI_Exposure_Index]]&gt;=0.3,"Medium Exposure","Low Exposure"))</f>
        <v>Medium Exposure</v>
      </c>
    </row>
    <row r="2727" spans="1:20" x14ac:dyDescent="0.25">
      <c r="A2727" t="s">
        <v>29</v>
      </c>
      <c r="B2727">
        <v>94127</v>
      </c>
      <c r="C2727" s="1">
        <v>13</v>
      </c>
      <c r="D2727" t="s">
        <v>19</v>
      </c>
      <c r="E2727" s="7">
        <v>0.92</v>
      </c>
      <c r="F2727" s="2">
        <v>0.18</v>
      </c>
      <c r="G2727" s="7">
        <v>0.23</v>
      </c>
      <c r="H2727" s="9" t="s">
        <v>23</v>
      </c>
      <c r="I2727">
        <v>0.27</v>
      </c>
      <c r="J2727">
        <v>0.44</v>
      </c>
      <c r="K2727">
        <v>0.93</v>
      </c>
      <c r="L2727">
        <v>0.3</v>
      </c>
      <c r="M2727">
        <v>0.79</v>
      </c>
      <c r="N2727">
        <v>0.16</v>
      </c>
      <c r="O2727">
        <v>0.18</v>
      </c>
      <c r="P2727">
        <v>0.46</v>
      </c>
      <c r="Q2727">
        <v>0.23</v>
      </c>
      <c r="R2727" s="2">
        <v>0.9</v>
      </c>
      <c r="S2727" t="str">
        <f>IF(Table1[[#This Row],[Years_Experience]]&lt;=5,"Early Career",
IF(Table1[[#This Row],[Years_Experience]]&lt;=15,"Mid Career","Senior Level"))</f>
        <v>Mid Career</v>
      </c>
      <c r="T2727" t="str">
        <f>IF(Table1[[#This Row],[AI_Exposure_Index]]&gt;=0.7,"High Exposure", IF(Table1[[#This Row],[AI_Exposure_Index]]&gt;=0.3,"Medium Exposure","Low Exposure"))</f>
        <v>Low Exposure</v>
      </c>
    </row>
    <row r="2728" spans="1:20" x14ac:dyDescent="0.25">
      <c r="A2728" t="s">
        <v>37</v>
      </c>
      <c r="B2728">
        <v>36703</v>
      </c>
      <c r="C2728" s="1">
        <v>11</v>
      </c>
      <c r="D2728" t="s">
        <v>25</v>
      </c>
      <c r="E2728" s="7">
        <v>1.24</v>
      </c>
      <c r="F2728" s="2">
        <v>0.82</v>
      </c>
      <c r="G2728" s="7">
        <v>0.69</v>
      </c>
      <c r="H2728" s="9" t="s">
        <v>27</v>
      </c>
      <c r="I2728">
        <v>0.53</v>
      </c>
      <c r="J2728">
        <v>0.09</v>
      </c>
      <c r="K2728">
        <v>0.37</v>
      </c>
      <c r="L2728">
        <v>0.84</v>
      </c>
      <c r="M2728">
        <v>0.4</v>
      </c>
      <c r="N2728">
        <v>0.46</v>
      </c>
      <c r="O2728">
        <v>0.41</v>
      </c>
      <c r="P2728">
        <v>0.24</v>
      </c>
      <c r="Q2728">
        <v>7.0000000000000007E-2</v>
      </c>
      <c r="R2728" s="2">
        <v>0.18</v>
      </c>
      <c r="S2728" t="str">
        <f>IF(Table1[[#This Row],[Years_Experience]]&lt;=5,"Early Career",
IF(Table1[[#This Row],[Years_Experience]]&lt;=15,"Mid Career","Senior Level"))</f>
        <v>Mid Career</v>
      </c>
      <c r="T2728" t="str">
        <f>IF(Table1[[#This Row],[AI_Exposure_Index]]&gt;=0.7,"High Exposure", IF(Table1[[#This Row],[AI_Exposure_Index]]&gt;=0.3,"Medium Exposure","Low Exposure"))</f>
        <v>High Exposure</v>
      </c>
    </row>
    <row r="2729" spans="1:20" x14ac:dyDescent="0.25">
      <c r="A2729" t="s">
        <v>21</v>
      </c>
      <c r="B2729">
        <v>120027</v>
      </c>
      <c r="C2729" s="1">
        <v>21</v>
      </c>
      <c r="D2729" t="s">
        <v>19</v>
      </c>
      <c r="E2729" s="7">
        <v>1.07</v>
      </c>
      <c r="F2729" s="2">
        <v>0.25</v>
      </c>
      <c r="G2729" s="7">
        <v>0.2</v>
      </c>
      <c r="H2729" s="9" t="s">
        <v>23</v>
      </c>
      <c r="I2729">
        <v>0.56999999999999995</v>
      </c>
      <c r="J2729">
        <v>0.08</v>
      </c>
      <c r="K2729">
        <v>0.67</v>
      </c>
      <c r="L2729">
        <v>0.38</v>
      </c>
      <c r="M2729">
        <v>0.88</v>
      </c>
      <c r="N2729">
        <v>0.53</v>
      </c>
      <c r="O2729">
        <v>0.08</v>
      </c>
      <c r="P2729">
        <v>0.01</v>
      </c>
      <c r="Q2729">
        <v>0.7</v>
      </c>
      <c r="R2729" s="2">
        <v>0.4</v>
      </c>
      <c r="S2729" t="str">
        <f>IF(Table1[[#This Row],[Years_Experience]]&lt;=5,"Early Career",
IF(Table1[[#This Row],[Years_Experience]]&lt;=15,"Mid Career","Senior Level"))</f>
        <v>Senior Level</v>
      </c>
      <c r="T2729" t="str">
        <f>IF(Table1[[#This Row],[AI_Exposure_Index]]&gt;=0.7,"High Exposure", IF(Table1[[#This Row],[AI_Exposure_Index]]&gt;=0.3,"Medium Exposure","Low Exposure"))</f>
        <v>Low Exposure</v>
      </c>
    </row>
    <row r="2730" spans="1:20" x14ac:dyDescent="0.25">
      <c r="A2730" t="s">
        <v>26</v>
      </c>
      <c r="B2730">
        <v>36384</v>
      </c>
      <c r="C2730" s="1">
        <v>13</v>
      </c>
      <c r="D2730" t="s">
        <v>22</v>
      </c>
      <c r="E2730" s="7">
        <v>0.56999999999999995</v>
      </c>
      <c r="F2730" s="2">
        <v>0.45</v>
      </c>
      <c r="G2730" s="7">
        <v>0.46</v>
      </c>
      <c r="H2730" s="9" t="s">
        <v>27</v>
      </c>
      <c r="I2730">
        <v>0.31</v>
      </c>
      <c r="J2730">
        <v>0.8</v>
      </c>
      <c r="K2730">
        <v>0.17</v>
      </c>
      <c r="L2730">
        <v>0.76</v>
      </c>
      <c r="M2730">
        <v>0.5</v>
      </c>
      <c r="N2730">
        <v>0.08</v>
      </c>
      <c r="O2730">
        <v>0.97</v>
      </c>
      <c r="P2730">
        <v>0.73</v>
      </c>
      <c r="Q2730">
        <v>0.26</v>
      </c>
      <c r="R2730" s="2">
        <v>0.57999999999999996</v>
      </c>
      <c r="S2730" t="str">
        <f>IF(Table1[[#This Row],[Years_Experience]]&lt;=5,"Early Career",
IF(Table1[[#This Row],[Years_Experience]]&lt;=15,"Mid Career","Senior Level"))</f>
        <v>Mid Career</v>
      </c>
      <c r="T2730" t="str">
        <f>IF(Table1[[#This Row],[AI_Exposure_Index]]&gt;=0.7,"High Exposure", IF(Table1[[#This Row],[AI_Exposure_Index]]&gt;=0.3,"Medium Exposure","Low Exposure"))</f>
        <v>Medium Exposure</v>
      </c>
    </row>
    <row r="2731" spans="1:20" x14ac:dyDescent="0.25">
      <c r="A2731" t="s">
        <v>42</v>
      </c>
      <c r="B2731">
        <v>41460</v>
      </c>
      <c r="C2731" s="1">
        <v>29</v>
      </c>
      <c r="D2731" t="s">
        <v>25</v>
      </c>
      <c r="E2731" s="7">
        <v>1.46</v>
      </c>
      <c r="F2731" s="2">
        <v>0.43</v>
      </c>
      <c r="G2731" s="7">
        <v>0.65</v>
      </c>
      <c r="H2731" s="9" t="s">
        <v>27</v>
      </c>
      <c r="I2731">
        <v>0.41</v>
      </c>
      <c r="J2731">
        <v>0.35</v>
      </c>
      <c r="K2731">
        <v>0.12</v>
      </c>
      <c r="L2731">
        <v>0.04</v>
      </c>
      <c r="M2731">
        <v>0.3</v>
      </c>
      <c r="N2731">
        <v>0.94</v>
      </c>
      <c r="O2731">
        <v>0.96</v>
      </c>
      <c r="P2731">
        <v>0.81</v>
      </c>
      <c r="Q2731">
        <v>0.35</v>
      </c>
      <c r="R2731" s="2">
        <v>0.14000000000000001</v>
      </c>
      <c r="S2731" t="str">
        <f>IF(Table1[[#This Row],[Years_Experience]]&lt;=5,"Early Career",
IF(Table1[[#This Row],[Years_Experience]]&lt;=15,"Mid Career","Senior Level"))</f>
        <v>Senior Level</v>
      </c>
      <c r="T2731" t="str">
        <f>IF(Table1[[#This Row],[AI_Exposure_Index]]&gt;=0.7,"High Exposure", IF(Table1[[#This Row],[AI_Exposure_Index]]&gt;=0.3,"Medium Exposure","Low Exposure"))</f>
        <v>Medium Exposure</v>
      </c>
    </row>
    <row r="2732" spans="1:20" x14ac:dyDescent="0.25">
      <c r="A2732" t="s">
        <v>26</v>
      </c>
      <c r="B2732">
        <v>87803</v>
      </c>
      <c r="C2732" s="1">
        <v>1</v>
      </c>
      <c r="D2732" t="s">
        <v>25</v>
      </c>
      <c r="E2732" s="7">
        <v>0.92</v>
      </c>
      <c r="F2732" s="2">
        <v>0.65</v>
      </c>
      <c r="G2732" s="7">
        <v>0.57999999999999996</v>
      </c>
      <c r="H2732" s="9" t="s">
        <v>27</v>
      </c>
      <c r="I2732">
        <v>0.75</v>
      </c>
      <c r="J2732">
        <v>0.78</v>
      </c>
      <c r="K2732">
        <v>0.5</v>
      </c>
      <c r="L2732">
        <v>0.79</v>
      </c>
      <c r="M2732">
        <v>0.03</v>
      </c>
      <c r="N2732">
        <v>0.68</v>
      </c>
      <c r="O2732">
        <v>0.24</v>
      </c>
      <c r="P2732">
        <v>0.27</v>
      </c>
      <c r="Q2732">
        <v>0.09</v>
      </c>
      <c r="R2732" s="2">
        <v>0.19</v>
      </c>
      <c r="S2732" t="str">
        <f>IF(Table1[[#This Row],[Years_Experience]]&lt;=5,"Early Career",
IF(Table1[[#This Row],[Years_Experience]]&lt;=15,"Mid Career","Senior Level"))</f>
        <v>Early Career</v>
      </c>
      <c r="T2732" t="str">
        <f>IF(Table1[[#This Row],[AI_Exposure_Index]]&gt;=0.7,"High Exposure", IF(Table1[[#This Row],[AI_Exposure_Index]]&gt;=0.3,"Medium Exposure","Low Exposure"))</f>
        <v>Medium Exposure</v>
      </c>
    </row>
    <row r="2733" spans="1:20" x14ac:dyDescent="0.25">
      <c r="A2733" t="s">
        <v>40</v>
      </c>
      <c r="B2733">
        <v>46482</v>
      </c>
      <c r="C2733" s="1">
        <v>1</v>
      </c>
      <c r="D2733" t="s">
        <v>22</v>
      </c>
      <c r="E2733" s="7">
        <v>1.43</v>
      </c>
      <c r="F2733" s="2">
        <v>0.42</v>
      </c>
      <c r="G2733" s="7">
        <v>0.09</v>
      </c>
      <c r="H2733" s="9" t="s">
        <v>23</v>
      </c>
      <c r="I2733">
        <v>0.2</v>
      </c>
      <c r="J2733">
        <v>0.56000000000000005</v>
      </c>
      <c r="K2733">
        <v>0.35</v>
      </c>
      <c r="L2733">
        <v>0.64</v>
      </c>
      <c r="M2733">
        <v>0.42</v>
      </c>
      <c r="N2733">
        <v>0.81</v>
      </c>
      <c r="O2733">
        <v>0.43</v>
      </c>
      <c r="P2733">
        <v>0.56999999999999995</v>
      </c>
      <c r="Q2733">
        <v>0.32</v>
      </c>
      <c r="R2733" s="2">
        <v>0.7</v>
      </c>
      <c r="S2733" t="str">
        <f>IF(Table1[[#This Row],[Years_Experience]]&lt;=5,"Early Career",
IF(Table1[[#This Row],[Years_Experience]]&lt;=15,"Mid Career","Senior Level"))</f>
        <v>Early Career</v>
      </c>
      <c r="T2733" t="str">
        <f>IF(Table1[[#This Row],[AI_Exposure_Index]]&gt;=0.7,"High Exposure", IF(Table1[[#This Row],[AI_Exposure_Index]]&gt;=0.3,"Medium Exposure","Low Exposure"))</f>
        <v>Medium Exposure</v>
      </c>
    </row>
    <row r="2734" spans="1:20" x14ac:dyDescent="0.25">
      <c r="A2734" t="s">
        <v>33</v>
      </c>
      <c r="B2734">
        <v>73307</v>
      </c>
      <c r="C2734" s="1">
        <v>20</v>
      </c>
      <c r="D2734" t="s">
        <v>22</v>
      </c>
      <c r="E2734" s="7">
        <v>0.78</v>
      </c>
      <c r="F2734" s="2">
        <v>0.4</v>
      </c>
      <c r="G2734" s="7">
        <v>0.85</v>
      </c>
      <c r="H2734" s="9" t="s">
        <v>20</v>
      </c>
      <c r="I2734">
        <v>0.94</v>
      </c>
      <c r="J2734">
        <v>0.13</v>
      </c>
      <c r="K2734">
        <v>0.8</v>
      </c>
      <c r="L2734">
        <v>0.54</v>
      </c>
      <c r="M2734">
        <v>0.53</v>
      </c>
      <c r="N2734">
        <v>0.96</v>
      </c>
      <c r="O2734">
        <v>0.61</v>
      </c>
      <c r="P2734">
        <v>0.83</v>
      </c>
      <c r="Q2734">
        <v>0.51</v>
      </c>
      <c r="R2734" s="2">
        <v>0.25</v>
      </c>
      <c r="S2734" t="str">
        <f>IF(Table1[[#This Row],[Years_Experience]]&lt;=5,"Early Career",
IF(Table1[[#This Row],[Years_Experience]]&lt;=15,"Mid Career","Senior Level"))</f>
        <v>Senior Level</v>
      </c>
      <c r="T2734" t="str">
        <f>IF(Table1[[#This Row],[AI_Exposure_Index]]&gt;=0.7,"High Exposure", IF(Table1[[#This Row],[AI_Exposure_Index]]&gt;=0.3,"Medium Exposure","Low Exposure"))</f>
        <v>Medium Exposure</v>
      </c>
    </row>
    <row r="2735" spans="1:20" x14ac:dyDescent="0.25">
      <c r="A2735" t="s">
        <v>37</v>
      </c>
      <c r="B2735">
        <v>37505</v>
      </c>
      <c r="C2735" s="1">
        <v>27</v>
      </c>
      <c r="D2735" t="s">
        <v>22</v>
      </c>
      <c r="E2735" s="7">
        <v>1.34</v>
      </c>
      <c r="F2735" s="2">
        <v>0.92</v>
      </c>
      <c r="G2735" s="7">
        <v>0.38</v>
      </c>
      <c r="H2735" s="9" t="s">
        <v>27</v>
      </c>
      <c r="I2735">
        <v>0.32</v>
      </c>
      <c r="J2735">
        <v>0.52</v>
      </c>
      <c r="K2735">
        <v>0.56999999999999995</v>
      </c>
      <c r="L2735">
        <v>0.19</v>
      </c>
      <c r="M2735">
        <v>0.23</v>
      </c>
      <c r="N2735">
        <v>0.76</v>
      </c>
      <c r="O2735">
        <v>0.73</v>
      </c>
      <c r="P2735">
        <v>0.84</v>
      </c>
      <c r="Q2735">
        <v>0.93</v>
      </c>
      <c r="R2735" s="2">
        <v>0.31</v>
      </c>
      <c r="S2735" t="str">
        <f>IF(Table1[[#This Row],[Years_Experience]]&lt;=5,"Early Career",
IF(Table1[[#This Row],[Years_Experience]]&lt;=15,"Mid Career","Senior Level"))</f>
        <v>Senior Level</v>
      </c>
      <c r="T2735" t="str">
        <f>IF(Table1[[#This Row],[AI_Exposure_Index]]&gt;=0.7,"High Exposure", IF(Table1[[#This Row],[AI_Exposure_Index]]&gt;=0.3,"Medium Exposure","Low Exposure"))</f>
        <v>High Exposure</v>
      </c>
    </row>
    <row r="2736" spans="1:20" x14ac:dyDescent="0.25">
      <c r="A2736" t="s">
        <v>33</v>
      </c>
      <c r="B2736">
        <v>57205</v>
      </c>
      <c r="C2736" s="1">
        <v>10</v>
      </c>
      <c r="D2736" t="s">
        <v>22</v>
      </c>
      <c r="E2736" s="7">
        <v>1.46</v>
      </c>
      <c r="F2736" s="2">
        <v>0.67</v>
      </c>
      <c r="G2736" s="7">
        <v>0.77</v>
      </c>
      <c r="H2736" s="9" t="s">
        <v>20</v>
      </c>
      <c r="I2736">
        <v>0.27</v>
      </c>
      <c r="J2736">
        <v>0.7</v>
      </c>
      <c r="K2736">
        <v>0.93</v>
      </c>
      <c r="L2736">
        <v>0.82</v>
      </c>
      <c r="M2736">
        <v>0.73</v>
      </c>
      <c r="N2736">
        <v>0.39</v>
      </c>
      <c r="O2736">
        <v>0.72</v>
      </c>
      <c r="P2736">
        <v>0.8</v>
      </c>
      <c r="Q2736">
        <v>0.75</v>
      </c>
      <c r="R2736" s="2">
        <v>0.68</v>
      </c>
      <c r="S2736" t="str">
        <f>IF(Table1[[#This Row],[Years_Experience]]&lt;=5,"Early Career",
IF(Table1[[#This Row],[Years_Experience]]&lt;=15,"Mid Career","Senior Level"))</f>
        <v>Mid Career</v>
      </c>
      <c r="T2736" t="str">
        <f>IF(Table1[[#This Row],[AI_Exposure_Index]]&gt;=0.7,"High Exposure", IF(Table1[[#This Row],[AI_Exposure_Index]]&gt;=0.3,"Medium Exposure","Low Exposure"))</f>
        <v>Medium Exposure</v>
      </c>
    </row>
    <row r="2737" spans="1:20" x14ac:dyDescent="0.25">
      <c r="A2737" t="s">
        <v>34</v>
      </c>
      <c r="B2737">
        <v>82025</v>
      </c>
      <c r="C2737" s="1">
        <v>10</v>
      </c>
      <c r="D2737" t="s">
        <v>22</v>
      </c>
      <c r="E2737" s="7">
        <v>0.98</v>
      </c>
      <c r="F2737" s="2">
        <v>0.66</v>
      </c>
      <c r="G2737" s="7">
        <v>0.68</v>
      </c>
      <c r="H2737" s="9" t="s">
        <v>27</v>
      </c>
      <c r="I2737">
        <v>0.61</v>
      </c>
      <c r="J2737">
        <v>0.61</v>
      </c>
      <c r="K2737">
        <v>0.99</v>
      </c>
      <c r="L2737">
        <v>0.09</v>
      </c>
      <c r="M2737">
        <v>0.28000000000000003</v>
      </c>
      <c r="N2737">
        <v>0.66</v>
      </c>
      <c r="O2737">
        <v>0.32</v>
      </c>
      <c r="P2737">
        <v>0.35</v>
      </c>
      <c r="Q2737">
        <v>0.89</v>
      </c>
      <c r="R2737" s="2">
        <v>0.57999999999999996</v>
      </c>
      <c r="S2737" t="str">
        <f>IF(Table1[[#This Row],[Years_Experience]]&lt;=5,"Early Career",
IF(Table1[[#This Row],[Years_Experience]]&lt;=15,"Mid Career","Senior Level"))</f>
        <v>Mid Career</v>
      </c>
      <c r="T2737" t="str">
        <f>IF(Table1[[#This Row],[AI_Exposure_Index]]&gt;=0.7,"High Exposure", IF(Table1[[#This Row],[AI_Exposure_Index]]&gt;=0.3,"Medium Exposure","Low Exposure"))</f>
        <v>Medium Exposure</v>
      </c>
    </row>
    <row r="2738" spans="1:20" x14ac:dyDescent="0.25">
      <c r="A2738" t="s">
        <v>35</v>
      </c>
      <c r="B2738">
        <v>121676</v>
      </c>
      <c r="C2738" s="1">
        <v>21</v>
      </c>
      <c r="D2738" t="s">
        <v>19</v>
      </c>
      <c r="E2738" s="7">
        <v>0.57999999999999996</v>
      </c>
      <c r="F2738" s="2">
        <v>0.31</v>
      </c>
      <c r="G2738" s="7">
        <v>0.52</v>
      </c>
      <c r="H2738" s="9" t="s">
        <v>27</v>
      </c>
      <c r="I2738">
        <v>0.17</v>
      </c>
      <c r="J2738">
        <v>0.86</v>
      </c>
      <c r="K2738">
        <v>0.57999999999999996</v>
      </c>
      <c r="L2738">
        <v>0.06</v>
      </c>
      <c r="M2738">
        <v>0.3</v>
      </c>
      <c r="N2738">
        <v>0.62</v>
      </c>
      <c r="O2738">
        <v>0.34</v>
      </c>
      <c r="P2738">
        <v>0.51</v>
      </c>
      <c r="Q2738">
        <v>0.91</v>
      </c>
      <c r="R2738" s="2">
        <v>0.35</v>
      </c>
      <c r="S2738" t="str">
        <f>IF(Table1[[#This Row],[Years_Experience]]&lt;=5,"Early Career",
IF(Table1[[#This Row],[Years_Experience]]&lt;=15,"Mid Career","Senior Level"))</f>
        <v>Senior Level</v>
      </c>
      <c r="T2738" t="str">
        <f>IF(Table1[[#This Row],[AI_Exposure_Index]]&gt;=0.7,"High Exposure", IF(Table1[[#This Row],[AI_Exposure_Index]]&gt;=0.3,"Medium Exposure","Low Exposure"))</f>
        <v>Medium Exposure</v>
      </c>
    </row>
    <row r="2739" spans="1:20" x14ac:dyDescent="0.25">
      <c r="A2739" t="s">
        <v>18</v>
      </c>
      <c r="B2739">
        <v>145614</v>
      </c>
      <c r="C2739" s="1">
        <v>28</v>
      </c>
      <c r="D2739" t="s">
        <v>25</v>
      </c>
      <c r="E2739" s="7">
        <v>0.82</v>
      </c>
      <c r="F2739" s="2">
        <v>0.82</v>
      </c>
      <c r="G2739" s="7">
        <v>0.72</v>
      </c>
      <c r="H2739" s="9" t="s">
        <v>20</v>
      </c>
      <c r="I2739">
        <v>0.18</v>
      </c>
      <c r="J2739">
        <v>0.95</v>
      </c>
      <c r="K2739">
        <v>0.93</v>
      </c>
      <c r="L2739">
        <v>0.22</v>
      </c>
      <c r="M2739">
        <v>0.55000000000000004</v>
      </c>
      <c r="N2739">
        <v>0.14000000000000001</v>
      </c>
      <c r="O2739">
        <v>0.67</v>
      </c>
      <c r="P2739">
        <v>0.19</v>
      </c>
      <c r="Q2739">
        <v>0.05</v>
      </c>
      <c r="R2739" s="2">
        <v>0.82</v>
      </c>
      <c r="S2739" t="str">
        <f>IF(Table1[[#This Row],[Years_Experience]]&lt;=5,"Early Career",
IF(Table1[[#This Row],[Years_Experience]]&lt;=15,"Mid Career","Senior Level"))</f>
        <v>Senior Level</v>
      </c>
      <c r="T2739" t="str">
        <f>IF(Table1[[#This Row],[AI_Exposure_Index]]&gt;=0.7,"High Exposure", IF(Table1[[#This Row],[AI_Exposure_Index]]&gt;=0.3,"Medium Exposure","Low Exposure"))</f>
        <v>High Exposure</v>
      </c>
    </row>
    <row r="2740" spans="1:20" x14ac:dyDescent="0.25">
      <c r="A2740" t="s">
        <v>39</v>
      </c>
      <c r="B2740">
        <v>124362</v>
      </c>
      <c r="C2740" s="1">
        <v>1</v>
      </c>
      <c r="D2740" t="s">
        <v>25</v>
      </c>
      <c r="E2740" s="7">
        <v>1.33</v>
      </c>
      <c r="F2740" s="2">
        <v>0.11</v>
      </c>
      <c r="G2740" s="7">
        <v>0.89</v>
      </c>
      <c r="H2740" s="9" t="s">
        <v>20</v>
      </c>
      <c r="I2740">
        <v>0.68</v>
      </c>
      <c r="J2740">
        <v>0.91</v>
      </c>
      <c r="K2740">
        <v>0.49</v>
      </c>
      <c r="L2740">
        <v>0.13</v>
      </c>
      <c r="M2740">
        <v>0.06</v>
      </c>
      <c r="N2740">
        <v>0.32</v>
      </c>
      <c r="O2740">
        <v>0.09</v>
      </c>
      <c r="P2740">
        <v>0.54</v>
      </c>
      <c r="Q2740">
        <v>0.01</v>
      </c>
      <c r="R2740" s="2">
        <v>0.44</v>
      </c>
      <c r="S2740" t="str">
        <f>IF(Table1[[#This Row],[Years_Experience]]&lt;=5,"Early Career",
IF(Table1[[#This Row],[Years_Experience]]&lt;=15,"Mid Career","Senior Level"))</f>
        <v>Early Career</v>
      </c>
      <c r="T2740" t="str">
        <f>IF(Table1[[#This Row],[AI_Exposure_Index]]&gt;=0.7,"High Exposure", IF(Table1[[#This Row],[AI_Exposure_Index]]&gt;=0.3,"Medium Exposure","Low Exposure"))</f>
        <v>Low Exposure</v>
      </c>
    </row>
    <row r="2741" spans="1:20" x14ac:dyDescent="0.25">
      <c r="A2741" t="s">
        <v>28</v>
      </c>
      <c r="B2741">
        <v>133132</v>
      </c>
      <c r="C2741" s="1">
        <v>12</v>
      </c>
      <c r="D2741" t="s">
        <v>38</v>
      </c>
      <c r="E2741" s="7">
        <v>1.18</v>
      </c>
      <c r="F2741" s="2">
        <v>0.37</v>
      </c>
      <c r="G2741" s="7">
        <v>0.44</v>
      </c>
      <c r="H2741" s="9" t="s">
        <v>27</v>
      </c>
      <c r="I2741">
        <v>0.34</v>
      </c>
      <c r="J2741">
        <v>0.99</v>
      </c>
      <c r="K2741">
        <v>0.72</v>
      </c>
      <c r="L2741">
        <v>0.51</v>
      </c>
      <c r="M2741">
        <v>0.57999999999999996</v>
      </c>
      <c r="N2741">
        <v>0.62</v>
      </c>
      <c r="O2741">
        <v>0.02</v>
      </c>
      <c r="P2741">
        <v>0.08</v>
      </c>
      <c r="Q2741">
        <v>0.65</v>
      </c>
      <c r="R2741" s="2">
        <v>0.36</v>
      </c>
      <c r="S2741" t="str">
        <f>IF(Table1[[#This Row],[Years_Experience]]&lt;=5,"Early Career",
IF(Table1[[#This Row],[Years_Experience]]&lt;=15,"Mid Career","Senior Level"))</f>
        <v>Mid Career</v>
      </c>
      <c r="T2741" t="str">
        <f>IF(Table1[[#This Row],[AI_Exposure_Index]]&gt;=0.7,"High Exposure", IF(Table1[[#This Row],[AI_Exposure_Index]]&gt;=0.3,"Medium Exposure","Low Exposure"))</f>
        <v>Medium Exposure</v>
      </c>
    </row>
    <row r="2742" spans="1:20" x14ac:dyDescent="0.25">
      <c r="A2742" t="s">
        <v>41</v>
      </c>
      <c r="B2742">
        <v>133601</v>
      </c>
      <c r="C2742" s="1">
        <v>9</v>
      </c>
      <c r="D2742" t="s">
        <v>19</v>
      </c>
      <c r="E2742" s="7">
        <v>0.63</v>
      </c>
      <c r="F2742" s="2">
        <v>0.3</v>
      </c>
      <c r="G2742" s="7">
        <v>0.93</v>
      </c>
      <c r="H2742" s="9" t="s">
        <v>20</v>
      </c>
      <c r="I2742">
        <v>0.2</v>
      </c>
      <c r="J2742">
        <v>0.14000000000000001</v>
      </c>
      <c r="K2742">
        <v>0.63</v>
      </c>
      <c r="L2742">
        <v>0.52</v>
      </c>
      <c r="M2742">
        <v>0.57999999999999996</v>
      </c>
      <c r="N2742">
        <v>0.44</v>
      </c>
      <c r="O2742">
        <v>0.47</v>
      </c>
      <c r="P2742">
        <v>0.78</v>
      </c>
      <c r="Q2742">
        <v>0.22</v>
      </c>
      <c r="R2742" s="2">
        <v>0.4</v>
      </c>
      <c r="S2742" t="str">
        <f>IF(Table1[[#This Row],[Years_Experience]]&lt;=5,"Early Career",
IF(Table1[[#This Row],[Years_Experience]]&lt;=15,"Mid Career","Senior Level"))</f>
        <v>Mid Career</v>
      </c>
      <c r="T2742" t="str">
        <f>IF(Table1[[#This Row],[AI_Exposure_Index]]&gt;=0.7,"High Exposure", IF(Table1[[#This Row],[AI_Exposure_Index]]&gt;=0.3,"Medium Exposure","Low Exposure"))</f>
        <v>Medium Exposure</v>
      </c>
    </row>
    <row r="2743" spans="1:20" x14ac:dyDescent="0.25">
      <c r="A2743" t="s">
        <v>28</v>
      </c>
      <c r="B2743">
        <v>32894</v>
      </c>
      <c r="C2743" s="1">
        <v>3</v>
      </c>
      <c r="D2743" t="s">
        <v>38</v>
      </c>
      <c r="E2743" s="7">
        <v>0.79</v>
      </c>
      <c r="F2743" s="2">
        <v>0.19</v>
      </c>
      <c r="G2743" s="7">
        <v>0.38</v>
      </c>
      <c r="H2743" s="9" t="s">
        <v>27</v>
      </c>
      <c r="I2743">
        <v>0.02</v>
      </c>
      <c r="J2743">
        <v>0.27</v>
      </c>
      <c r="K2743">
        <v>0.05</v>
      </c>
      <c r="L2743">
        <v>0.15</v>
      </c>
      <c r="M2743">
        <v>0.36</v>
      </c>
      <c r="N2743">
        <v>0.02</v>
      </c>
      <c r="O2743">
        <v>0.75</v>
      </c>
      <c r="P2743">
        <v>0.8</v>
      </c>
      <c r="Q2743">
        <v>0.41</v>
      </c>
      <c r="R2743" s="2">
        <v>0.98</v>
      </c>
      <c r="S2743" t="str">
        <f>IF(Table1[[#This Row],[Years_Experience]]&lt;=5,"Early Career",
IF(Table1[[#This Row],[Years_Experience]]&lt;=15,"Mid Career","Senior Level"))</f>
        <v>Early Career</v>
      </c>
      <c r="T2743" t="str">
        <f>IF(Table1[[#This Row],[AI_Exposure_Index]]&gt;=0.7,"High Exposure", IF(Table1[[#This Row],[AI_Exposure_Index]]&gt;=0.3,"Medium Exposure","Low Exposure"))</f>
        <v>Low Exposure</v>
      </c>
    </row>
    <row r="2744" spans="1:20" x14ac:dyDescent="0.25">
      <c r="A2744" t="s">
        <v>36</v>
      </c>
      <c r="B2744">
        <v>65714</v>
      </c>
      <c r="C2744" s="1">
        <v>11</v>
      </c>
      <c r="D2744" t="s">
        <v>25</v>
      </c>
      <c r="E2744" s="7">
        <v>0.69</v>
      </c>
      <c r="F2744" s="2">
        <v>0.74</v>
      </c>
      <c r="G2744" s="7">
        <v>0.63</v>
      </c>
      <c r="H2744" s="9" t="s">
        <v>27</v>
      </c>
      <c r="I2744">
        <v>0.95</v>
      </c>
      <c r="J2744">
        <v>0.24</v>
      </c>
      <c r="K2744">
        <v>0.69</v>
      </c>
      <c r="L2744">
        <v>0.75</v>
      </c>
      <c r="M2744">
        <v>0.31</v>
      </c>
      <c r="N2744">
        <v>0.48</v>
      </c>
      <c r="O2744">
        <v>0.1</v>
      </c>
      <c r="P2744">
        <v>0.17</v>
      </c>
      <c r="Q2744">
        <v>0.06</v>
      </c>
      <c r="R2744" s="2">
        <v>0.56000000000000005</v>
      </c>
      <c r="S2744" t="str">
        <f>IF(Table1[[#This Row],[Years_Experience]]&lt;=5,"Early Career",
IF(Table1[[#This Row],[Years_Experience]]&lt;=15,"Mid Career","Senior Level"))</f>
        <v>Mid Career</v>
      </c>
      <c r="T2744" t="str">
        <f>IF(Table1[[#This Row],[AI_Exposure_Index]]&gt;=0.7,"High Exposure", IF(Table1[[#This Row],[AI_Exposure_Index]]&gt;=0.3,"Medium Exposure","Low Exposure"))</f>
        <v>High Exposure</v>
      </c>
    </row>
    <row r="2745" spans="1:20" x14ac:dyDescent="0.25">
      <c r="A2745" t="s">
        <v>44</v>
      </c>
      <c r="B2745">
        <v>110560</v>
      </c>
      <c r="C2745" s="1">
        <v>25</v>
      </c>
      <c r="D2745" t="s">
        <v>38</v>
      </c>
      <c r="E2745" s="7">
        <v>1.04</v>
      </c>
      <c r="F2745" s="2">
        <v>0.92</v>
      </c>
      <c r="G2745" s="7">
        <v>0.4</v>
      </c>
      <c r="H2745" s="9" t="s">
        <v>27</v>
      </c>
      <c r="I2745">
        <v>0.06</v>
      </c>
      <c r="J2745">
        <v>0.88</v>
      </c>
      <c r="K2745">
        <v>0.48</v>
      </c>
      <c r="L2745">
        <v>0.74</v>
      </c>
      <c r="M2745">
        <v>0.01</v>
      </c>
      <c r="N2745">
        <v>0.49</v>
      </c>
      <c r="O2745">
        <v>0.33</v>
      </c>
      <c r="P2745">
        <v>0.03</v>
      </c>
      <c r="Q2745">
        <v>0.78</v>
      </c>
      <c r="R2745" s="2">
        <v>0.51</v>
      </c>
      <c r="S2745" t="str">
        <f>IF(Table1[[#This Row],[Years_Experience]]&lt;=5,"Early Career",
IF(Table1[[#This Row],[Years_Experience]]&lt;=15,"Mid Career","Senior Level"))</f>
        <v>Senior Level</v>
      </c>
      <c r="T2745" t="str">
        <f>IF(Table1[[#This Row],[AI_Exposure_Index]]&gt;=0.7,"High Exposure", IF(Table1[[#This Row],[AI_Exposure_Index]]&gt;=0.3,"Medium Exposure","Low Exposure"))</f>
        <v>High Exposure</v>
      </c>
    </row>
    <row r="2746" spans="1:20" x14ac:dyDescent="0.25">
      <c r="A2746" t="s">
        <v>43</v>
      </c>
      <c r="B2746">
        <v>115236</v>
      </c>
      <c r="C2746" s="1">
        <v>23</v>
      </c>
      <c r="D2746" t="s">
        <v>25</v>
      </c>
      <c r="E2746" s="7">
        <v>0.95</v>
      </c>
      <c r="F2746" s="2">
        <v>0.81</v>
      </c>
      <c r="G2746" s="7">
        <v>0.05</v>
      </c>
      <c r="H2746" s="9" t="s">
        <v>23</v>
      </c>
      <c r="I2746">
        <v>0.94</v>
      </c>
      <c r="J2746">
        <v>0.26</v>
      </c>
      <c r="K2746">
        <v>0.83</v>
      </c>
      <c r="L2746">
        <v>0.82</v>
      </c>
      <c r="M2746">
        <v>0.16</v>
      </c>
      <c r="N2746">
        <v>0.47</v>
      </c>
      <c r="O2746">
        <v>0.04</v>
      </c>
      <c r="P2746">
        <v>0.35</v>
      </c>
      <c r="Q2746">
        <v>0.73</v>
      </c>
      <c r="R2746" s="2">
        <v>0.24</v>
      </c>
      <c r="S2746" t="str">
        <f>IF(Table1[[#This Row],[Years_Experience]]&lt;=5,"Early Career",
IF(Table1[[#This Row],[Years_Experience]]&lt;=15,"Mid Career","Senior Level"))</f>
        <v>Senior Level</v>
      </c>
      <c r="T2746" t="str">
        <f>IF(Table1[[#This Row],[AI_Exposure_Index]]&gt;=0.7,"High Exposure", IF(Table1[[#This Row],[AI_Exposure_Index]]&gt;=0.3,"Medium Exposure","Low Exposure"))</f>
        <v>High Exposure</v>
      </c>
    </row>
    <row r="2747" spans="1:20" x14ac:dyDescent="0.25">
      <c r="A2747" t="s">
        <v>41</v>
      </c>
      <c r="B2747">
        <v>36276</v>
      </c>
      <c r="C2747" s="1">
        <v>16</v>
      </c>
      <c r="D2747" t="s">
        <v>19</v>
      </c>
      <c r="E2747" s="7">
        <v>1.04</v>
      </c>
      <c r="F2747" s="2">
        <v>0.51</v>
      </c>
      <c r="G2747" s="7">
        <v>0.87</v>
      </c>
      <c r="H2747" s="9" t="s">
        <v>20</v>
      </c>
      <c r="I2747">
        <v>0.76</v>
      </c>
      <c r="J2747">
        <v>0.7</v>
      </c>
      <c r="K2747">
        <v>0.85</v>
      </c>
      <c r="L2747">
        <v>0.22</v>
      </c>
      <c r="M2747">
        <v>0.56999999999999995</v>
      </c>
      <c r="N2747">
        <v>0.36</v>
      </c>
      <c r="O2747">
        <v>0.96</v>
      </c>
      <c r="P2747">
        <v>0.44</v>
      </c>
      <c r="Q2747">
        <v>0.96</v>
      </c>
      <c r="R2747" s="2">
        <v>0.77</v>
      </c>
      <c r="S2747" t="str">
        <f>IF(Table1[[#This Row],[Years_Experience]]&lt;=5,"Early Career",
IF(Table1[[#This Row],[Years_Experience]]&lt;=15,"Mid Career","Senior Level"))</f>
        <v>Senior Level</v>
      </c>
      <c r="T2747" t="str">
        <f>IF(Table1[[#This Row],[AI_Exposure_Index]]&gt;=0.7,"High Exposure", IF(Table1[[#This Row],[AI_Exposure_Index]]&gt;=0.3,"Medium Exposure","Low Exposure"))</f>
        <v>Medium Exposure</v>
      </c>
    </row>
    <row r="2748" spans="1:20" x14ac:dyDescent="0.25">
      <c r="A2748" t="s">
        <v>37</v>
      </c>
      <c r="B2748">
        <v>111779</v>
      </c>
      <c r="C2748" s="1">
        <v>22</v>
      </c>
      <c r="D2748" t="s">
        <v>38</v>
      </c>
      <c r="E2748" s="7">
        <v>0.94</v>
      </c>
      <c r="F2748" s="2">
        <v>0.49</v>
      </c>
      <c r="G2748" s="7">
        <v>0.51</v>
      </c>
      <c r="H2748" s="9" t="s">
        <v>27</v>
      </c>
      <c r="I2748">
        <v>0.28999999999999998</v>
      </c>
      <c r="J2748">
        <v>0.9</v>
      </c>
      <c r="K2748">
        <v>0.79</v>
      </c>
      <c r="L2748">
        <v>0.8</v>
      </c>
      <c r="M2748">
        <v>0.43</v>
      </c>
      <c r="N2748">
        <v>7.0000000000000007E-2</v>
      </c>
      <c r="O2748">
        <v>0.68</v>
      </c>
      <c r="P2748">
        <v>0.37</v>
      </c>
      <c r="Q2748">
        <v>0.87</v>
      </c>
      <c r="R2748" s="2">
        <v>0.78</v>
      </c>
      <c r="S2748" t="str">
        <f>IF(Table1[[#This Row],[Years_Experience]]&lt;=5,"Early Career",
IF(Table1[[#This Row],[Years_Experience]]&lt;=15,"Mid Career","Senior Level"))</f>
        <v>Senior Level</v>
      </c>
      <c r="T2748" t="str">
        <f>IF(Table1[[#This Row],[AI_Exposure_Index]]&gt;=0.7,"High Exposure", IF(Table1[[#This Row],[AI_Exposure_Index]]&gt;=0.3,"Medium Exposure","Low Exposure"))</f>
        <v>Medium Exposure</v>
      </c>
    </row>
    <row r="2749" spans="1:20" x14ac:dyDescent="0.25">
      <c r="A2749" t="s">
        <v>26</v>
      </c>
      <c r="B2749">
        <v>44775</v>
      </c>
      <c r="C2749" s="1">
        <v>26</v>
      </c>
      <c r="D2749" t="s">
        <v>25</v>
      </c>
      <c r="E2749" s="7">
        <v>1.19</v>
      </c>
      <c r="F2749" s="2">
        <v>0.6</v>
      </c>
      <c r="G2749" s="7">
        <v>0.53</v>
      </c>
      <c r="H2749" s="9" t="s">
        <v>27</v>
      </c>
      <c r="I2749">
        <v>0.51</v>
      </c>
      <c r="J2749">
        <v>0.23</v>
      </c>
      <c r="K2749">
        <v>0.24</v>
      </c>
      <c r="L2749">
        <v>0.77</v>
      </c>
      <c r="M2749">
        <v>0.02</v>
      </c>
      <c r="N2749">
        <v>0.78</v>
      </c>
      <c r="O2749">
        <v>0.53</v>
      </c>
      <c r="P2749">
        <v>0.94</v>
      </c>
      <c r="Q2749">
        <v>1</v>
      </c>
      <c r="R2749" s="2">
        <v>0.66</v>
      </c>
      <c r="S2749" t="str">
        <f>IF(Table1[[#This Row],[Years_Experience]]&lt;=5,"Early Career",
IF(Table1[[#This Row],[Years_Experience]]&lt;=15,"Mid Career","Senior Level"))</f>
        <v>Senior Level</v>
      </c>
      <c r="T2749" t="str">
        <f>IF(Table1[[#This Row],[AI_Exposure_Index]]&gt;=0.7,"High Exposure", IF(Table1[[#This Row],[AI_Exposure_Index]]&gt;=0.3,"Medium Exposure","Low Exposure"))</f>
        <v>Medium Exposure</v>
      </c>
    </row>
    <row r="2750" spans="1:20" x14ac:dyDescent="0.25">
      <c r="A2750" t="s">
        <v>32</v>
      </c>
      <c r="B2750">
        <v>140564</v>
      </c>
      <c r="C2750" s="1">
        <v>22</v>
      </c>
      <c r="D2750" t="s">
        <v>38</v>
      </c>
      <c r="E2750" s="7">
        <v>0.7</v>
      </c>
      <c r="F2750" s="2">
        <v>0.48</v>
      </c>
      <c r="G2750" s="7">
        <v>0.34</v>
      </c>
      <c r="H2750" s="9" t="s">
        <v>27</v>
      </c>
      <c r="I2750">
        <v>0.57999999999999996</v>
      </c>
      <c r="J2750">
        <v>0.81</v>
      </c>
      <c r="K2750">
        <v>0.26</v>
      </c>
      <c r="L2750">
        <v>0.42</v>
      </c>
      <c r="M2750">
        <v>0.55000000000000004</v>
      </c>
      <c r="N2750">
        <v>0.91</v>
      </c>
      <c r="O2750">
        <v>0.14000000000000001</v>
      </c>
      <c r="P2750">
        <v>0.24</v>
      </c>
      <c r="Q2750">
        <v>0.92</v>
      </c>
      <c r="R2750" s="2">
        <v>0.04</v>
      </c>
      <c r="S2750" t="str">
        <f>IF(Table1[[#This Row],[Years_Experience]]&lt;=5,"Early Career",
IF(Table1[[#This Row],[Years_Experience]]&lt;=15,"Mid Career","Senior Level"))</f>
        <v>Senior Level</v>
      </c>
      <c r="T2750" t="str">
        <f>IF(Table1[[#This Row],[AI_Exposure_Index]]&gt;=0.7,"High Exposure", IF(Table1[[#This Row],[AI_Exposure_Index]]&gt;=0.3,"Medium Exposure","Low Exposure"))</f>
        <v>Medium Exposure</v>
      </c>
    </row>
    <row r="2751" spans="1:20" x14ac:dyDescent="0.25">
      <c r="A2751" t="s">
        <v>24</v>
      </c>
      <c r="B2751">
        <v>108256</v>
      </c>
      <c r="C2751" s="1">
        <v>23</v>
      </c>
      <c r="D2751" t="s">
        <v>19</v>
      </c>
      <c r="E2751" s="7">
        <v>0.88</v>
      </c>
      <c r="F2751" s="2">
        <v>0.64</v>
      </c>
      <c r="G2751" s="7">
        <v>0.82</v>
      </c>
      <c r="H2751" s="9" t="s">
        <v>20</v>
      </c>
      <c r="I2751">
        <v>0.85</v>
      </c>
      <c r="J2751">
        <v>0.16</v>
      </c>
      <c r="K2751">
        <v>0.23</v>
      </c>
      <c r="L2751">
        <v>0.51</v>
      </c>
      <c r="M2751">
        <v>0.41</v>
      </c>
      <c r="N2751">
        <v>0.56999999999999995</v>
      </c>
      <c r="O2751">
        <v>0.92</v>
      </c>
      <c r="P2751">
        <v>0.92</v>
      </c>
      <c r="Q2751">
        <v>0.23</v>
      </c>
      <c r="R2751" s="2">
        <v>0.3</v>
      </c>
      <c r="S2751" t="str">
        <f>IF(Table1[[#This Row],[Years_Experience]]&lt;=5,"Early Career",
IF(Table1[[#This Row],[Years_Experience]]&lt;=15,"Mid Career","Senior Level"))</f>
        <v>Senior Level</v>
      </c>
      <c r="T2751" t="str">
        <f>IF(Table1[[#This Row],[AI_Exposure_Index]]&gt;=0.7,"High Exposure", IF(Table1[[#This Row],[AI_Exposure_Index]]&gt;=0.3,"Medium Exposure","Low Exposure"))</f>
        <v>Medium Exposure</v>
      </c>
    </row>
    <row r="2752" spans="1:20" x14ac:dyDescent="0.25">
      <c r="A2752" t="s">
        <v>36</v>
      </c>
      <c r="B2752">
        <v>117377</v>
      </c>
      <c r="C2752" s="1">
        <v>1</v>
      </c>
      <c r="D2752" t="s">
        <v>38</v>
      </c>
      <c r="E2752" s="7">
        <v>0.9</v>
      </c>
      <c r="F2752" s="2">
        <v>0.93</v>
      </c>
      <c r="G2752" s="7">
        <v>0.48</v>
      </c>
      <c r="H2752" s="9" t="s">
        <v>27</v>
      </c>
      <c r="I2752">
        <v>0.8</v>
      </c>
      <c r="J2752">
        <v>0.51</v>
      </c>
      <c r="K2752">
        <v>0.12</v>
      </c>
      <c r="L2752">
        <v>0.44</v>
      </c>
      <c r="M2752">
        <v>0.63</v>
      </c>
      <c r="N2752">
        <v>0.72</v>
      </c>
      <c r="O2752">
        <v>0.65</v>
      </c>
      <c r="P2752">
        <v>0.12</v>
      </c>
      <c r="Q2752">
        <v>0.3</v>
      </c>
      <c r="R2752" s="2">
        <v>0.73</v>
      </c>
      <c r="S2752" t="str">
        <f>IF(Table1[[#This Row],[Years_Experience]]&lt;=5,"Early Career",
IF(Table1[[#This Row],[Years_Experience]]&lt;=15,"Mid Career","Senior Level"))</f>
        <v>Early Career</v>
      </c>
      <c r="T2752" t="str">
        <f>IF(Table1[[#This Row],[AI_Exposure_Index]]&gt;=0.7,"High Exposure", IF(Table1[[#This Row],[AI_Exposure_Index]]&gt;=0.3,"Medium Exposure","Low Exposure"))</f>
        <v>High Exposure</v>
      </c>
    </row>
    <row r="2753" spans="1:20" x14ac:dyDescent="0.25">
      <c r="A2753" t="s">
        <v>18</v>
      </c>
      <c r="B2753">
        <v>39479</v>
      </c>
      <c r="C2753" s="1">
        <v>19</v>
      </c>
      <c r="D2753" t="s">
        <v>38</v>
      </c>
      <c r="E2753" s="7">
        <v>0.54</v>
      </c>
      <c r="F2753" s="2">
        <v>0.05</v>
      </c>
      <c r="G2753" s="7">
        <v>0.86</v>
      </c>
      <c r="H2753" s="9" t="s">
        <v>20</v>
      </c>
      <c r="I2753">
        <v>0.55000000000000004</v>
      </c>
      <c r="J2753">
        <v>0.16</v>
      </c>
      <c r="K2753">
        <v>0.55000000000000004</v>
      </c>
      <c r="L2753">
        <v>0.97</v>
      </c>
      <c r="M2753">
        <v>0.63</v>
      </c>
      <c r="N2753">
        <v>0.45</v>
      </c>
      <c r="O2753">
        <v>0.83</v>
      </c>
      <c r="P2753">
        <v>0.21</v>
      </c>
      <c r="Q2753">
        <v>0.41</v>
      </c>
      <c r="R2753" s="2">
        <v>0.53</v>
      </c>
      <c r="S2753" t="str">
        <f>IF(Table1[[#This Row],[Years_Experience]]&lt;=5,"Early Career",
IF(Table1[[#This Row],[Years_Experience]]&lt;=15,"Mid Career","Senior Level"))</f>
        <v>Senior Level</v>
      </c>
      <c r="T2753" t="str">
        <f>IF(Table1[[#This Row],[AI_Exposure_Index]]&gt;=0.7,"High Exposure", IF(Table1[[#This Row],[AI_Exposure_Index]]&gt;=0.3,"Medium Exposure","Low Exposure"))</f>
        <v>Low Exposure</v>
      </c>
    </row>
    <row r="2754" spans="1:20" x14ac:dyDescent="0.25">
      <c r="A2754" t="s">
        <v>24</v>
      </c>
      <c r="B2754">
        <v>130003</v>
      </c>
      <c r="C2754" s="1">
        <v>19</v>
      </c>
      <c r="D2754" t="s">
        <v>25</v>
      </c>
      <c r="E2754" s="7">
        <v>0.79</v>
      </c>
      <c r="F2754" s="2">
        <v>0.92</v>
      </c>
      <c r="G2754" s="7">
        <v>0.71</v>
      </c>
      <c r="H2754" s="9" t="s">
        <v>20</v>
      </c>
      <c r="I2754">
        <v>0.92</v>
      </c>
      <c r="J2754">
        <v>0.22</v>
      </c>
      <c r="K2754">
        <v>0.38</v>
      </c>
      <c r="L2754">
        <v>0.53</v>
      </c>
      <c r="M2754">
        <v>0.98</v>
      </c>
      <c r="N2754">
        <v>0.54</v>
      </c>
      <c r="O2754">
        <v>0.45</v>
      </c>
      <c r="P2754">
        <v>0.57999999999999996</v>
      </c>
      <c r="Q2754">
        <v>0.97</v>
      </c>
      <c r="R2754" s="2">
        <v>0.82</v>
      </c>
      <c r="S2754" t="str">
        <f>IF(Table1[[#This Row],[Years_Experience]]&lt;=5,"Early Career",
IF(Table1[[#This Row],[Years_Experience]]&lt;=15,"Mid Career","Senior Level"))</f>
        <v>Senior Level</v>
      </c>
      <c r="T2754" t="str">
        <f>IF(Table1[[#This Row],[AI_Exposure_Index]]&gt;=0.7,"High Exposure", IF(Table1[[#This Row],[AI_Exposure_Index]]&gt;=0.3,"Medium Exposure","Low Exposure"))</f>
        <v>High Exposure</v>
      </c>
    </row>
    <row r="2755" spans="1:20" x14ac:dyDescent="0.25">
      <c r="A2755" t="s">
        <v>26</v>
      </c>
      <c r="B2755">
        <v>128039</v>
      </c>
      <c r="C2755" s="1">
        <v>17</v>
      </c>
      <c r="D2755" t="s">
        <v>22</v>
      </c>
      <c r="E2755" s="7">
        <v>1.34</v>
      </c>
      <c r="F2755" s="2">
        <v>0.8</v>
      </c>
      <c r="G2755" s="7">
        <v>0.57999999999999996</v>
      </c>
      <c r="H2755" s="9" t="s">
        <v>27</v>
      </c>
      <c r="I2755">
        <v>0.66</v>
      </c>
      <c r="J2755">
        <v>0.44</v>
      </c>
      <c r="K2755">
        <v>0.64</v>
      </c>
      <c r="L2755">
        <v>0.74</v>
      </c>
      <c r="M2755">
        <v>0.12</v>
      </c>
      <c r="N2755">
        <v>0.26</v>
      </c>
      <c r="O2755">
        <v>0.19</v>
      </c>
      <c r="P2755">
        <v>0.84</v>
      </c>
      <c r="Q2755">
        <v>0.68</v>
      </c>
      <c r="R2755" s="2">
        <v>0.45</v>
      </c>
      <c r="S2755" t="str">
        <f>IF(Table1[[#This Row],[Years_Experience]]&lt;=5,"Early Career",
IF(Table1[[#This Row],[Years_Experience]]&lt;=15,"Mid Career","Senior Level"))</f>
        <v>Senior Level</v>
      </c>
      <c r="T2755" t="str">
        <f>IF(Table1[[#This Row],[AI_Exposure_Index]]&gt;=0.7,"High Exposure", IF(Table1[[#This Row],[AI_Exposure_Index]]&gt;=0.3,"Medium Exposure","Low Exposure"))</f>
        <v>High Exposure</v>
      </c>
    </row>
    <row r="2756" spans="1:20" x14ac:dyDescent="0.25">
      <c r="A2756" t="s">
        <v>44</v>
      </c>
      <c r="B2756">
        <v>55563</v>
      </c>
      <c r="C2756" s="1">
        <v>3</v>
      </c>
      <c r="D2756" t="s">
        <v>38</v>
      </c>
      <c r="E2756" s="7">
        <v>1.41</v>
      </c>
      <c r="F2756" s="2">
        <v>0.72</v>
      </c>
      <c r="G2756" s="7">
        <v>0.33</v>
      </c>
      <c r="H2756" s="9" t="s">
        <v>27</v>
      </c>
      <c r="I2756">
        <v>0.51</v>
      </c>
      <c r="J2756">
        <v>0.71</v>
      </c>
      <c r="K2756">
        <v>0.21</v>
      </c>
      <c r="L2756">
        <v>0.33</v>
      </c>
      <c r="M2756">
        <v>0.42</v>
      </c>
      <c r="N2756">
        <v>0.79</v>
      </c>
      <c r="O2756">
        <v>0.49</v>
      </c>
      <c r="P2756">
        <v>0.49</v>
      </c>
      <c r="Q2756">
        <v>0.43</v>
      </c>
      <c r="R2756" s="2">
        <v>0.23</v>
      </c>
      <c r="S2756" t="str">
        <f>IF(Table1[[#This Row],[Years_Experience]]&lt;=5,"Early Career",
IF(Table1[[#This Row],[Years_Experience]]&lt;=15,"Mid Career","Senior Level"))</f>
        <v>Early Career</v>
      </c>
      <c r="T2756" t="str">
        <f>IF(Table1[[#This Row],[AI_Exposure_Index]]&gt;=0.7,"High Exposure", IF(Table1[[#This Row],[AI_Exposure_Index]]&gt;=0.3,"Medium Exposure","Low Exposure"))</f>
        <v>High Exposure</v>
      </c>
    </row>
    <row r="2757" spans="1:20" x14ac:dyDescent="0.25">
      <c r="A2757" t="s">
        <v>30</v>
      </c>
      <c r="B2757">
        <v>57287</v>
      </c>
      <c r="C2757" s="1">
        <v>28</v>
      </c>
      <c r="D2757" t="s">
        <v>19</v>
      </c>
      <c r="E2757" s="7">
        <v>1.07</v>
      </c>
      <c r="F2757" s="2">
        <v>0.32</v>
      </c>
      <c r="G2757" s="7">
        <v>0.36</v>
      </c>
      <c r="H2757" s="9" t="s">
        <v>27</v>
      </c>
      <c r="I2757">
        <v>0.43</v>
      </c>
      <c r="J2757">
        <v>0.9</v>
      </c>
      <c r="K2757">
        <v>1</v>
      </c>
      <c r="L2757">
        <v>0.36</v>
      </c>
      <c r="M2757">
        <v>0.15</v>
      </c>
      <c r="N2757">
        <v>0.31</v>
      </c>
      <c r="O2757">
        <v>0.33</v>
      </c>
      <c r="P2757">
        <v>0.64</v>
      </c>
      <c r="Q2757">
        <v>0.5</v>
      </c>
      <c r="R2757" s="2">
        <v>0.77</v>
      </c>
      <c r="S2757" t="str">
        <f>IF(Table1[[#This Row],[Years_Experience]]&lt;=5,"Early Career",
IF(Table1[[#This Row],[Years_Experience]]&lt;=15,"Mid Career","Senior Level"))</f>
        <v>Senior Level</v>
      </c>
      <c r="T2757" t="str">
        <f>IF(Table1[[#This Row],[AI_Exposure_Index]]&gt;=0.7,"High Exposure", IF(Table1[[#This Row],[AI_Exposure_Index]]&gt;=0.3,"Medium Exposure","Low Exposure"))</f>
        <v>Medium Exposure</v>
      </c>
    </row>
    <row r="2758" spans="1:20" x14ac:dyDescent="0.25">
      <c r="A2758" t="s">
        <v>37</v>
      </c>
      <c r="B2758">
        <v>70103</v>
      </c>
      <c r="C2758" s="1">
        <v>5</v>
      </c>
      <c r="D2758" t="s">
        <v>22</v>
      </c>
      <c r="E2758" s="7">
        <v>1.28</v>
      </c>
      <c r="F2758" s="2">
        <v>0.25</v>
      </c>
      <c r="G2758" s="7">
        <v>0.64</v>
      </c>
      <c r="H2758" s="9" t="s">
        <v>27</v>
      </c>
      <c r="I2758">
        <v>0.6</v>
      </c>
      <c r="J2758">
        <v>0.93</v>
      </c>
      <c r="K2758">
        <v>0.78</v>
      </c>
      <c r="L2758">
        <v>0.6</v>
      </c>
      <c r="M2758">
        <v>0.91</v>
      </c>
      <c r="N2758">
        <v>0.6</v>
      </c>
      <c r="O2758">
        <v>0.52</v>
      </c>
      <c r="P2758">
        <v>0.36</v>
      </c>
      <c r="Q2758">
        <v>0.88</v>
      </c>
      <c r="R2758" s="2">
        <v>0.12</v>
      </c>
      <c r="S2758" t="str">
        <f>IF(Table1[[#This Row],[Years_Experience]]&lt;=5,"Early Career",
IF(Table1[[#This Row],[Years_Experience]]&lt;=15,"Mid Career","Senior Level"))</f>
        <v>Early Career</v>
      </c>
      <c r="T2758" t="str">
        <f>IF(Table1[[#This Row],[AI_Exposure_Index]]&gt;=0.7,"High Exposure", IF(Table1[[#This Row],[AI_Exposure_Index]]&gt;=0.3,"Medium Exposure","Low Exposure"))</f>
        <v>Low Exposure</v>
      </c>
    </row>
    <row r="2759" spans="1:20" x14ac:dyDescent="0.25">
      <c r="A2759" t="s">
        <v>40</v>
      </c>
      <c r="B2759">
        <v>126600</v>
      </c>
      <c r="C2759" s="1">
        <v>19</v>
      </c>
      <c r="D2759" t="s">
        <v>19</v>
      </c>
      <c r="E2759" s="7">
        <v>1.05</v>
      </c>
      <c r="F2759" s="2">
        <v>0.54</v>
      </c>
      <c r="G2759" s="7">
        <v>0.21</v>
      </c>
      <c r="H2759" s="9" t="s">
        <v>23</v>
      </c>
      <c r="I2759">
        <v>0.51</v>
      </c>
      <c r="J2759">
        <v>0.26</v>
      </c>
      <c r="K2759">
        <v>0.86</v>
      </c>
      <c r="L2759">
        <v>0.66</v>
      </c>
      <c r="M2759">
        <v>0.86</v>
      </c>
      <c r="N2759">
        <v>0.28000000000000003</v>
      </c>
      <c r="O2759">
        <v>0.64</v>
      </c>
      <c r="P2759">
        <v>0.71</v>
      </c>
      <c r="Q2759">
        <v>0.38</v>
      </c>
      <c r="R2759" s="2">
        <v>0.81</v>
      </c>
      <c r="S2759" t="str">
        <f>IF(Table1[[#This Row],[Years_Experience]]&lt;=5,"Early Career",
IF(Table1[[#This Row],[Years_Experience]]&lt;=15,"Mid Career","Senior Level"))</f>
        <v>Senior Level</v>
      </c>
      <c r="T2759" t="str">
        <f>IF(Table1[[#This Row],[AI_Exposure_Index]]&gt;=0.7,"High Exposure", IF(Table1[[#This Row],[AI_Exposure_Index]]&gt;=0.3,"Medium Exposure","Low Exposure"))</f>
        <v>Medium Exposure</v>
      </c>
    </row>
    <row r="2760" spans="1:20" x14ac:dyDescent="0.25">
      <c r="A2760" t="s">
        <v>28</v>
      </c>
      <c r="B2760">
        <v>57217</v>
      </c>
      <c r="C2760" s="1">
        <v>16</v>
      </c>
      <c r="D2760" t="s">
        <v>19</v>
      </c>
      <c r="E2760" s="7">
        <v>1.1100000000000001</v>
      </c>
      <c r="F2760" s="2">
        <v>0.59</v>
      </c>
      <c r="G2760" s="7">
        <v>0.51</v>
      </c>
      <c r="H2760" s="9" t="s">
        <v>27</v>
      </c>
      <c r="I2760">
        <v>0.63</v>
      </c>
      <c r="J2760">
        <v>0.17</v>
      </c>
      <c r="K2760">
        <v>0.68</v>
      </c>
      <c r="L2760">
        <v>0.34</v>
      </c>
      <c r="M2760">
        <v>0.45</v>
      </c>
      <c r="N2760">
        <v>0.33</v>
      </c>
      <c r="O2760">
        <v>0.47</v>
      </c>
      <c r="P2760">
        <v>0.62</v>
      </c>
      <c r="Q2760">
        <v>0.84</v>
      </c>
      <c r="R2760" s="2">
        <v>0.48</v>
      </c>
      <c r="S2760" t="str">
        <f>IF(Table1[[#This Row],[Years_Experience]]&lt;=5,"Early Career",
IF(Table1[[#This Row],[Years_Experience]]&lt;=15,"Mid Career","Senior Level"))</f>
        <v>Senior Level</v>
      </c>
      <c r="T2760" t="str">
        <f>IF(Table1[[#This Row],[AI_Exposure_Index]]&gt;=0.7,"High Exposure", IF(Table1[[#This Row],[AI_Exposure_Index]]&gt;=0.3,"Medium Exposure","Low Exposure"))</f>
        <v>Medium Exposure</v>
      </c>
    </row>
    <row r="2761" spans="1:20" x14ac:dyDescent="0.25">
      <c r="A2761" t="s">
        <v>36</v>
      </c>
      <c r="B2761">
        <v>82216</v>
      </c>
      <c r="C2761" s="1">
        <v>22</v>
      </c>
      <c r="D2761" t="s">
        <v>38</v>
      </c>
      <c r="E2761" s="7">
        <v>1.19</v>
      </c>
      <c r="F2761" s="2">
        <v>0.49</v>
      </c>
      <c r="G2761" s="7">
        <v>0.44</v>
      </c>
      <c r="H2761" s="9" t="s">
        <v>27</v>
      </c>
      <c r="I2761">
        <v>0.41</v>
      </c>
      <c r="J2761">
        <v>0.56000000000000005</v>
      </c>
      <c r="K2761">
        <v>0.28999999999999998</v>
      </c>
      <c r="L2761">
        <v>0.21</v>
      </c>
      <c r="M2761">
        <v>0.14000000000000001</v>
      </c>
      <c r="N2761">
        <v>0.35</v>
      </c>
      <c r="O2761">
        <v>0.05</v>
      </c>
      <c r="P2761">
        <v>0.57999999999999996</v>
      </c>
      <c r="Q2761">
        <v>0.18</v>
      </c>
      <c r="R2761" s="2">
        <v>0.38</v>
      </c>
      <c r="S2761" t="str">
        <f>IF(Table1[[#This Row],[Years_Experience]]&lt;=5,"Early Career",
IF(Table1[[#This Row],[Years_Experience]]&lt;=15,"Mid Career","Senior Level"))</f>
        <v>Senior Level</v>
      </c>
      <c r="T2761" t="str">
        <f>IF(Table1[[#This Row],[AI_Exposure_Index]]&gt;=0.7,"High Exposure", IF(Table1[[#This Row],[AI_Exposure_Index]]&gt;=0.3,"Medium Exposure","Low Exposure"))</f>
        <v>Medium Exposure</v>
      </c>
    </row>
    <row r="2762" spans="1:20" x14ac:dyDescent="0.25">
      <c r="A2762" t="s">
        <v>31</v>
      </c>
      <c r="B2762">
        <v>147063</v>
      </c>
      <c r="C2762" s="1">
        <v>28</v>
      </c>
      <c r="D2762" t="s">
        <v>25</v>
      </c>
      <c r="E2762" s="7">
        <v>1.35</v>
      </c>
      <c r="F2762" s="2">
        <v>0.63</v>
      </c>
      <c r="G2762" s="7">
        <v>0.21</v>
      </c>
      <c r="H2762" s="9" t="s">
        <v>23</v>
      </c>
      <c r="I2762">
        <v>0.54</v>
      </c>
      <c r="J2762">
        <v>0.67</v>
      </c>
      <c r="K2762">
        <v>0.03</v>
      </c>
      <c r="L2762">
        <v>0.12</v>
      </c>
      <c r="M2762">
        <v>0.09</v>
      </c>
      <c r="N2762">
        <v>0.1</v>
      </c>
      <c r="O2762">
        <v>0.26</v>
      </c>
      <c r="P2762">
        <v>0.53</v>
      </c>
      <c r="Q2762">
        <v>0.11</v>
      </c>
      <c r="R2762" s="2">
        <v>0.94</v>
      </c>
      <c r="S2762" t="str">
        <f>IF(Table1[[#This Row],[Years_Experience]]&lt;=5,"Early Career",
IF(Table1[[#This Row],[Years_Experience]]&lt;=15,"Mid Career","Senior Level"))</f>
        <v>Senior Level</v>
      </c>
      <c r="T2762" t="str">
        <f>IF(Table1[[#This Row],[AI_Exposure_Index]]&gt;=0.7,"High Exposure", IF(Table1[[#This Row],[AI_Exposure_Index]]&gt;=0.3,"Medium Exposure","Low Exposure"))</f>
        <v>Medium Exposure</v>
      </c>
    </row>
    <row r="2763" spans="1:20" x14ac:dyDescent="0.25">
      <c r="A2763" t="s">
        <v>42</v>
      </c>
      <c r="B2763">
        <v>67631</v>
      </c>
      <c r="C2763" s="1">
        <v>21</v>
      </c>
      <c r="D2763" t="s">
        <v>19</v>
      </c>
      <c r="E2763" s="7">
        <v>0.99</v>
      </c>
      <c r="F2763" s="2">
        <v>0.6</v>
      </c>
      <c r="G2763" s="7">
        <v>0.32</v>
      </c>
      <c r="H2763" s="9" t="s">
        <v>27</v>
      </c>
      <c r="I2763">
        <v>0.52</v>
      </c>
      <c r="J2763">
        <v>0.56000000000000005</v>
      </c>
      <c r="K2763">
        <v>0.69</v>
      </c>
      <c r="L2763">
        <v>1</v>
      </c>
      <c r="M2763">
        <v>0.42</v>
      </c>
      <c r="N2763">
        <v>0.51</v>
      </c>
      <c r="O2763">
        <v>0.08</v>
      </c>
      <c r="P2763">
        <v>0.83</v>
      </c>
      <c r="Q2763">
        <v>0.1</v>
      </c>
      <c r="R2763" s="2">
        <v>0.93</v>
      </c>
      <c r="S2763" t="str">
        <f>IF(Table1[[#This Row],[Years_Experience]]&lt;=5,"Early Career",
IF(Table1[[#This Row],[Years_Experience]]&lt;=15,"Mid Career","Senior Level"))</f>
        <v>Senior Level</v>
      </c>
      <c r="T2763" t="str">
        <f>IF(Table1[[#This Row],[AI_Exposure_Index]]&gt;=0.7,"High Exposure", IF(Table1[[#This Row],[AI_Exposure_Index]]&gt;=0.3,"Medium Exposure","Low Exposure"))</f>
        <v>Medium Exposure</v>
      </c>
    </row>
    <row r="2764" spans="1:20" x14ac:dyDescent="0.25">
      <c r="A2764" t="s">
        <v>24</v>
      </c>
      <c r="B2764">
        <v>116425</v>
      </c>
      <c r="C2764" s="1">
        <v>27</v>
      </c>
      <c r="D2764" t="s">
        <v>19</v>
      </c>
      <c r="E2764" s="7">
        <v>0.83</v>
      </c>
      <c r="F2764" s="2">
        <v>0.34</v>
      </c>
      <c r="G2764" s="7">
        <v>0.94</v>
      </c>
      <c r="H2764" s="9" t="s">
        <v>20</v>
      </c>
      <c r="I2764">
        <v>0.98</v>
      </c>
      <c r="J2764">
        <v>0.97</v>
      </c>
      <c r="K2764">
        <v>0.7</v>
      </c>
      <c r="L2764">
        <v>0.11</v>
      </c>
      <c r="M2764">
        <v>0.39</v>
      </c>
      <c r="N2764">
        <v>0.28999999999999998</v>
      </c>
      <c r="O2764">
        <v>0.71</v>
      </c>
      <c r="P2764">
        <v>0.49</v>
      </c>
      <c r="Q2764">
        <v>0.62</v>
      </c>
      <c r="R2764" s="2">
        <v>0.01</v>
      </c>
      <c r="S2764" t="str">
        <f>IF(Table1[[#This Row],[Years_Experience]]&lt;=5,"Early Career",
IF(Table1[[#This Row],[Years_Experience]]&lt;=15,"Mid Career","Senior Level"))</f>
        <v>Senior Level</v>
      </c>
      <c r="T2764" t="str">
        <f>IF(Table1[[#This Row],[AI_Exposure_Index]]&gt;=0.7,"High Exposure", IF(Table1[[#This Row],[AI_Exposure_Index]]&gt;=0.3,"Medium Exposure","Low Exposure"))</f>
        <v>Medium Exposure</v>
      </c>
    </row>
    <row r="2765" spans="1:20" x14ac:dyDescent="0.25">
      <c r="A2765" t="s">
        <v>44</v>
      </c>
      <c r="B2765">
        <v>146598</v>
      </c>
      <c r="C2765" s="1">
        <v>16</v>
      </c>
      <c r="D2765" t="s">
        <v>19</v>
      </c>
      <c r="E2765" s="7">
        <v>1.17</v>
      </c>
      <c r="F2765" s="2">
        <v>0.95</v>
      </c>
      <c r="G2765" s="7">
        <v>0.64</v>
      </c>
      <c r="H2765" s="9" t="s">
        <v>27</v>
      </c>
      <c r="I2765">
        <v>0.48</v>
      </c>
      <c r="J2765">
        <v>0.02</v>
      </c>
      <c r="K2765">
        <v>0.99</v>
      </c>
      <c r="L2765">
        <v>0.06</v>
      </c>
      <c r="M2765">
        <v>0.19</v>
      </c>
      <c r="N2765">
        <v>0.05</v>
      </c>
      <c r="O2765">
        <v>0.62</v>
      </c>
      <c r="P2765">
        <v>0.57999999999999996</v>
      </c>
      <c r="Q2765">
        <v>0.21</v>
      </c>
      <c r="R2765" s="2">
        <v>0.96</v>
      </c>
      <c r="S2765" t="str">
        <f>IF(Table1[[#This Row],[Years_Experience]]&lt;=5,"Early Career",
IF(Table1[[#This Row],[Years_Experience]]&lt;=15,"Mid Career","Senior Level"))</f>
        <v>Senior Level</v>
      </c>
      <c r="T2765" t="str">
        <f>IF(Table1[[#This Row],[AI_Exposure_Index]]&gt;=0.7,"High Exposure", IF(Table1[[#This Row],[AI_Exposure_Index]]&gt;=0.3,"Medium Exposure","Low Exposure"))</f>
        <v>High Exposure</v>
      </c>
    </row>
    <row r="2766" spans="1:20" x14ac:dyDescent="0.25">
      <c r="A2766" t="s">
        <v>36</v>
      </c>
      <c r="B2766">
        <v>45597</v>
      </c>
      <c r="C2766" s="1">
        <v>28</v>
      </c>
      <c r="D2766" t="s">
        <v>19</v>
      </c>
      <c r="E2766" s="7">
        <v>1.1599999999999999</v>
      </c>
      <c r="F2766" s="2">
        <v>0.28000000000000003</v>
      </c>
      <c r="G2766" s="7">
        <v>0.64</v>
      </c>
      <c r="H2766" s="9" t="s">
        <v>27</v>
      </c>
      <c r="I2766">
        <v>0.36</v>
      </c>
      <c r="J2766">
        <v>0.25</v>
      </c>
      <c r="K2766">
        <v>0.26</v>
      </c>
      <c r="L2766">
        <v>0.82</v>
      </c>
      <c r="M2766">
        <v>0.46</v>
      </c>
      <c r="N2766">
        <v>0.72</v>
      </c>
      <c r="O2766">
        <v>0.65</v>
      </c>
      <c r="P2766">
        <v>0.31</v>
      </c>
      <c r="Q2766">
        <v>0.21</v>
      </c>
      <c r="R2766" s="2">
        <v>0.13</v>
      </c>
      <c r="S2766" t="str">
        <f>IF(Table1[[#This Row],[Years_Experience]]&lt;=5,"Early Career",
IF(Table1[[#This Row],[Years_Experience]]&lt;=15,"Mid Career","Senior Level"))</f>
        <v>Senior Level</v>
      </c>
      <c r="T2766" t="str">
        <f>IF(Table1[[#This Row],[AI_Exposure_Index]]&gt;=0.7,"High Exposure", IF(Table1[[#This Row],[AI_Exposure_Index]]&gt;=0.3,"Medium Exposure","Low Exposure"))</f>
        <v>Low Exposure</v>
      </c>
    </row>
    <row r="2767" spans="1:20" x14ac:dyDescent="0.25">
      <c r="A2767" t="s">
        <v>26</v>
      </c>
      <c r="B2767">
        <v>119643</v>
      </c>
      <c r="C2767" s="1">
        <v>4</v>
      </c>
      <c r="D2767" t="s">
        <v>22</v>
      </c>
      <c r="E2767" s="7">
        <v>0.76</v>
      </c>
      <c r="F2767" s="2">
        <v>0.08</v>
      </c>
      <c r="G2767" s="7">
        <v>0.59</v>
      </c>
      <c r="H2767" s="9" t="s">
        <v>27</v>
      </c>
      <c r="I2767">
        <v>0.15</v>
      </c>
      <c r="J2767">
        <v>0.52</v>
      </c>
      <c r="K2767">
        <v>0.25</v>
      </c>
      <c r="L2767">
        <v>0.51</v>
      </c>
      <c r="M2767">
        <v>0.75</v>
      </c>
      <c r="N2767">
        <v>0.27</v>
      </c>
      <c r="O2767">
        <v>0.35</v>
      </c>
      <c r="P2767">
        <v>0.72</v>
      </c>
      <c r="Q2767">
        <v>0.55000000000000004</v>
      </c>
      <c r="R2767" s="2">
        <v>0.09</v>
      </c>
      <c r="S2767" t="str">
        <f>IF(Table1[[#This Row],[Years_Experience]]&lt;=5,"Early Career",
IF(Table1[[#This Row],[Years_Experience]]&lt;=15,"Mid Career","Senior Level"))</f>
        <v>Early Career</v>
      </c>
      <c r="T2767" t="str">
        <f>IF(Table1[[#This Row],[AI_Exposure_Index]]&gt;=0.7,"High Exposure", IF(Table1[[#This Row],[AI_Exposure_Index]]&gt;=0.3,"Medium Exposure","Low Exposure"))</f>
        <v>Low Exposure</v>
      </c>
    </row>
    <row r="2768" spans="1:20" x14ac:dyDescent="0.25">
      <c r="A2768" t="s">
        <v>24</v>
      </c>
      <c r="B2768">
        <v>56108</v>
      </c>
      <c r="C2768" s="1">
        <v>28</v>
      </c>
      <c r="D2768" t="s">
        <v>25</v>
      </c>
      <c r="E2768" s="7">
        <v>0.89</v>
      </c>
      <c r="F2768" s="2">
        <v>0.28000000000000003</v>
      </c>
      <c r="G2768" s="7">
        <v>0.76</v>
      </c>
      <c r="H2768" s="9" t="s">
        <v>20</v>
      </c>
      <c r="I2768">
        <v>0.54</v>
      </c>
      <c r="J2768">
        <v>0.71</v>
      </c>
      <c r="K2768">
        <v>0.8</v>
      </c>
      <c r="L2768">
        <v>0.92</v>
      </c>
      <c r="M2768">
        <v>0.36</v>
      </c>
      <c r="N2768">
        <v>0.93</v>
      </c>
      <c r="O2768">
        <v>0.62</v>
      </c>
      <c r="P2768">
        <v>0.39</v>
      </c>
      <c r="Q2768">
        <v>0.89</v>
      </c>
      <c r="R2768" s="2">
        <v>0.57999999999999996</v>
      </c>
      <c r="S2768" t="str">
        <f>IF(Table1[[#This Row],[Years_Experience]]&lt;=5,"Early Career",
IF(Table1[[#This Row],[Years_Experience]]&lt;=15,"Mid Career","Senior Level"))</f>
        <v>Senior Level</v>
      </c>
      <c r="T2768" t="str">
        <f>IF(Table1[[#This Row],[AI_Exposure_Index]]&gt;=0.7,"High Exposure", IF(Table1[[#This Row],[AI_Exposure_Index]]&gt;=0.3,"Medium Exposure","Low Exposure"))</f>
        <v>Low Exposure</v>
      </c>
    </row>
    <row r="2769" spans="1:20" x14ac:dyDescent="0.25">
      <c r="A2769" t="s">
        <v>36</v>
      </c>
      <c r="B2769">
        <v>40130</v>
      </c>
      <c r="C2769" s="1">
        <v>23</v>
      </c>
      <c r="D2769" t="s">
        <v>22</v>
      </c>
      <c r="E2769" s="7">
        <v>1.33</v>
      </c>
      <c r="F2769" s="2">
        <v>0.95</v>
      </c>
      <c r="G2769" s="7">
        <v>0.35</v>
      </c>
      <c r="H2769" s="9" t="s">
        <v>27</v>
      </c>
      <c r="I2769">
        <v>0.88</v>
      </c>
      <c r="J2769">
        <v>0.68</v>
      </c>
      <c r="K2769">
        <v>0.33</v>
      </c>
      <c r="L2769">
        <v>0.87</v>
      </c>
      <c r="M2769">
        <v>0.6</v>
      </c>
      <c r="N2769">
        <v>0.85</v>
      </c>
      <c r="O2769">
        <v>0.47</v>
      </c>
      <c r="P2769">
        <v>0.5</v>
      </c>
      <c r="Q2769">
        <v>0.28999999999999998</v>
      </c>
      <c r="R2769" s="2">
        <v>0.39</v>
      </c>
      <c r="S2769" t="str">
        <f>IF(Table1[[#This Row],[Years_Experience]]&lt;=5,"Early Career",
IF(Table1[[#This Row],[Years_Experience]]&lt;=15,"Mid Career","Senior Level"))</f>
        <v>Senior Level</v>
      </c>
      <c r="T2769" t="str">
        <f>IF(Table1[[#This Row],[AI_Exposure_Index]]&gt;=0.7,"High Exposure", IF(Table1[[#This Row],[AI_Exposure_Index]]&gt;=0.3,"Medium Exposure","Low Exposure"))</f>
        <v>High Exposure</v>
      </c>
    </row>
    <row r="2770" spans="1:20" x14ac:dyDescent="0.25">
      <c r="A2770" t="s">
        <v>43</v>
      </c>
      <c r="B2770">
        <v>43077</v>
      </c>
      <c r="C2770" s="1">
        <v>5</v>
      </c>
      <c r="D2770" t="s">
        <v>25</v>
      </c>
      <c r="E2770" s="7">
        <v>0.78</v>
      </c>
      <c r="F2770" s="2">
        <v>0.28999999999999998</v>
      </c>
      <c r="G2770" s="7">
        <v>0.06</v>
      </c>
      <c r="H2770" s="9" t="s">
        <v>23</v>
      </c>
      <c r="I2770">
        <v>0.12</v>
      </c>
      <c r="J2770">
        <v>0.52</v>
      </c>
      <c r="K2770">
        <v>0.57999999999999996</v>
      </c>
      <c r="L2770">
        <v>0.82</v>
      </c>
      <c r="M2770">
        <v>0.06</v>
      </c>
      <c r="N2770">
        <v>0.36</v>
      </c>
      <c r="O2770">
        <v>0.2</v>
      </c>
      <c r="P2770">
        <v>0.36</v>
      </c>
      <c r="Q2770">
        <v>0.35</v>
      </c>
      <c r="R2770" s="2">
        <v>0.35</v>
      </c>
      <c r="S2770" t="str">
        <f>IF(Table1[[#This Row],[Years_Experience]]&lt;=5,"Early Career",
IF(Table1[[#This Row],[Years_Experience]]&lt;=15,"Mid Career","Senior Level"))</f>
        <v>Early Career</v>
      </c>
      <c r="T2770" t="str">
        <f>IF(Table1[[#This Row],[AI_Exposure_Index]]&gt;=0.7,"High Exposure", IF(Table1[[#This Row],[AI_Exposure_Index]]&gt;=0.3,"Medium Exposure","Low Exposure"))</f>
        <v>Low Exposure</v>
      </c>
    </row>
    <row r="2771" spans="1:20" x14ac:dyDescent="0.25">
      <c r="A2771" t="s">
        <v>37</v>
      </c>
      <c r="B2771">
        <v>38957</v>
      </c>
      <c r="C2771" s="1">
        <v>12</v>
      </c>
      <c r="D2771" t="s">
        <v>19</v>
      </c>
      <c r="E2771" s="7">
        <v>1.19</v>
      </c>
      <c r="F2771" s="2">
        <v>0.76</v>
      </c>
      <c r="G2771" s="7">
        <v>0.44</v>
      </c>
      <c r="H2771" s="9" t="s">
        <v>27</v>
      </c>
      <c r="I2771">
        <v>0.15</v>
      </c>
      <c r="J2771">
        <v>0.52</v>
      </c>
      <c r="K2771">
        <v>0.92</v>
      </c>
      <c r="L2771">
        <v>0.12</v>
      </c>
      <c r="M2771">
        <v>0.75</v>
      </c>
      <c r="N2771">
        <v>0.6</v>
      </c>
      <c r="O2771">
        <v>0.59</v>
      </c>
      <c r="P2771">
        <v>0.93</v>
      </c>
      <c r="Q2771">
        <v>0.96</v>
      </c>
      <c r="R2771" s="2">
        <v>0.24</v>
      </c>
      <c r="S2771" t="str">
        <f>IF(Table1[[#This Row],[Years_Experience]]&lt;=5,"Early Career",
IF(Table1[[#This Row],[Years_Experience]]&lt;=15,"Mid Career","Senior Level"))</f>
        <v>Mid Career</v>
      </c>
      <c r="T2771" t="str">
        <f>IF(Table1[[#This Row],[AI_Exposure_Index]]&gt;=0.7,"High Exposure", IF(Table1[[#This Row],[AI_Exposure_Index]]&gt;=0.3,"Medium Exposure","Low Exposure"))</f>
        <v>High Exposure</v>
      </c>
    </row>
    <row r="2772" spans="1:20" x14ac:dyDescent="0.25">
      <c r="A2772" t="s">
        <v>32</v>
      </c>
      <c r="B2772">
        <v>52989</v>
      </c>
      <c r="C2772" s="1">
        <v>20</v>
      </c>
      <c r="D2772" t="s">
        <v>22</v>
      </c>
      <c r="E2772" s="7">
        <v>0.91</v>
      </c>
      <c r="F2772" s="2">
        <v>0.62</v>
      </c>
      <c r="G2772" s="7">
        <v>0.56999999999999995</v>
      </c>
      <c r="H2772" s="9" t="s">
        <v>27</v>
      </c>
      <c r="I2772">
        <v>0.96</v>
      </c>
      <c r="J2772">
        <v>0.52</v>
      </c>
      <c r="K2772">
        <v>0.94</v>
      </c>
      <c r="L2772">
        <v>0.64</v>
      </c>
      <c r="M2772">
        <v>0.48</v>
      </c>
      <c r="N2772">
        <v>0.64</v>
      </c>
      <c r="O2772">
        <v>0.6</v>
      </c>
      <c r="P2772">
        <v>0.42</v>
      </c>
      <c r="Q2772">
        <v>0.56000000000000005</v>
      </c>
      <c r="R2772" s="2">
        <v>0.7</v>
      </c>
      <c r="S2772" t="str">
        <f>IF(Table1[[#This Row],[Years_Experience]]&lt;=5,"Early Career",
IF(Table1[[#This Row],[Years_Experience]]&lt;=15,"Mid Career","Senior Level"))</f>
        <v>Senior Level</v>
      </c>
      <c r="T2772" t="str">
        <f>IF(Table1[[#This Row],[AI_Exposure_Index]]&gt;=0.7,"High Exposure", IF(Table1[[#This Row],[AI_Exposure_Index]]&gt;=0.3,"Medium Exposure","Low Exposure"))</f>
        <v>Medium Exposure</v>
      </c>
    </row>
    <row r="2773" spans="1:20" x14ac:dyDescent="0.25">
      <c r="A2773" t="s">
        <v>44</v>
      </c>
      <c r="B2773">
        <v>70544</v>
      </c>
      <c r="C2773" s="1">
        <v>1</v>
      </c>
      <c r="D2773" t="s">
        <v>22</v>
      </c>
      <c r="E2773" s="7">
        <v>1.05</v>
      </c>
      <c r="F2773" s="2">
        <v>0.01</v>
      </c>
      <c r="G2773" s="7">
        <v>0.5</v>
      </c>
      <c r="H2773" s="9" t="s">
        <v>27</v>
      </c>
      <c r="I2773">
        <v>0.05</v>
      </c>
      <c r="J2773">
        <v>0.63</v>
      </c>
      <c r="K2773">
        <v>0.94</v>
      </c>
      <c r="L2773">
        <v>0.4</v>
      </c>
      <c r="M2773">
        <v>0.89</v>
      </c>
      <c r="N2773">
        <v>0.81</v>
      </c>
      <c r="O2773">
        <v>0.16</v>
      </c>
      <c r="P2773">
        <v>0.79</v>
      </c>
      <c r="Q2773">
        <v>0.52</v>
      </c>
      <c r="R2773" s="2">
        <v>0.92</v>
      </c>
      <c r="S2773" t="str">
        <f>IF(Table1[[#This Row],[Years_Experience]]&lt;=5,"Early Career",
IF(Table1[[#This Row],[Years_Experience]]&lt;=15,"Mid Career","Senior Level"))</f>
        <v>Early Career</v>
      </c>
      <c r="T2773" t="str">
        <f>IF(Table1[[#This Row],[AI_Exposure_Index]]&gt;=0.7,"High Exposure", IF(Table1[[#This Row],[AI_Exposure_Index]]&gt;=0.3,"Medium Exposure","Low Exposure"))</f>
        <v>Low Exposure</v>
      </c>
    </row>
    <row r="2774" spans="1:20" x14ac:dyDescent="0.25">
      <c r="A2774" t="s">
        <v>24</v>
      </c>
      <c r="B2774">
        <v>45580</v>
      </c>
      <c r="C2774" s="1">
        <v>4</v>
      </c>
      <c r="D2774" t="s">
        <v>25</v>
      </c>
      <c r="E2774" s="7">
        <v>0.74</v>
      </c>
      <c r="F2774" s="2">
        <v>0.13</v>
      </c>
      <c r="G2774" s="7">
        <v>0.71</v>
      </c>
      <c r="H2774" s="9" t="s">
        <v>20</v>
      </c>
      <c r="I2774">
        <v>0.32</v>
      </c>
      <c r="J2774">
        <v>0.28000000000000003</v>
      </c>
      <c r="K2774">
        <v>0.42</v>
      </c>
      <c r="L2774">
        <v>0.46</v>
      </c>
      <c r="M2774">
        <v>0.14000000000000001</v>
      </c>
      <c r="N2774">
        <v>0.62</v>
      </c>
      <c r="O2774">
        <v>0.22</v>
      </c>
      <c r="P2774">
        <v>0.12</v>
      </c>
      <c r="Q2774">
        <v>0.71</v>
      </c>
      <c r="R2774" s="2">
        <v>0.02</v>
      </c>
      <c r="S2774" t="str">
        <f>IF(Table1[[#This Row],[Years_Experience]]&lt;=5,"Early Career",
IF(Table1[[#This Row],[Years_Experience]]&lt;=15,"Mid Career","Senior Level"))</f>
        <v>Early Career</v>
      </c>
      <c r="T2774" t="str">
        <f>IF(Table1[[#This Row],[AI_Exposure_Index]]&gt;=0.7,"High Exposure", IF(Table1[[#This Row],[AI_Exposure_Index]]&gt;=0.3,"Medium Exposure","Low Exposure"))</f>
        <v>Low Exposure</v>
      </c>
    </row>
    <row r="2775" spans="1:20" x14ac:dyDescent="0.25">
      <c r="A2775" t="s">
        <v>34</v>
      </c>
      <c r="B2775">
        <v>110614</v>
      </c>
      <c r="C2775" s="1">
        <v>2</v>
      </c>
      <c r="D2775" t="s">
        <v>19</v>
      </c>
      <c r="E2775" s="7">
        <v>1.38</v>
      </c>
      <c r="F2775" s="2">
        <v>0.14000000000000001</v>
      </c>
      <c r="G2775" s="7">
        <v>0.63</v>
      </c>
      <c r="H2775" s="9" t="s">
        <v>27</v>
      </c>
      <c r="I2775">
        <v>0.06</v>
      </c>
      <c r="J2775">
        <v>0.55000000000000004</v>
      </c>
      <c r="K2775">
        <v>0.3</v>
      </c>
      <c r="L2775">
        <v>0.19</v>
      </c>
      <c r="M2775">
        <v>0.31</v>
      </c>
      <c r="N2775">
        <v>0.82</v>
      </c>
      <c r="O2775">
        <v>0.06</v>
      </c>
      <c r="P2775">
        <v>0.65</v>
      </c>
      <c r="Q2775">
        <v>0.91</v>
      </c>
      <c r="R2775" s="2">
        <v>0.45</v>
      </c>
      <c r="S2775" t="str">
        <f>IF(Table1[[#This Row],[Years_Experience]]&lt;=5,"Early Career",
IF(Table1[[#This Row],[Years_Experience]]&lt;=15,"Mid Career","Senior Level"))</f>
        <v>Early Career</v>
      </c>
      <c r="T2775" t="str">
        <f>IF(Table1[[#This Row],[AI_Exposure_Index]]&gt;=0.7,"High Exposure", IF(Table1[[#This Row],[AI_Exposure_Index]]&gt;=0.3,"Medium Exposure","Low Exposure"))</f>
        <v>Low Exposure</v>
      </c>
    </row>
    <row r="2776" spans="1:20" x14ac:dyDescent="0.25">
      <c r="A2776" t="s">
        <v>30</v>
      </c>
      <c r="B2776">
        <v>135953</v>
      </c>
      <c r="C2776" s="1">
        <v>15</v>
      </c>
      <c r="D2776" t="s">
        <v>25</v>
      </c>
      <c r="E2776" s="7">
        <v>1.1100000000000001</v>
      </c>
      <c r="F2776" s="2">
        <v>0.91</v>
      </c>
      <c r="G2776" s="7">
        <v>0.48</v>
      </c>
      <c r="H2776" s="9" t="s">
        <v>27</v>
      </c>
      <c r="I2776">
        <v>0.74</v>
      </c>
      <c r="J2776">
        <v>0.92</v>
      </c>
      <c r="K2776">
        <v>0.68</v>
      </c>
      <c r="L2776">
        <v>0.21</v>
      </c>
      <c r="M2776">
        <v>0.82</v>
      </c>
      <c r="N2776">
        <v>0.95</v>
      </c>
      <c r="O2776">
        <v>0.41</v>
      </c>
      <c r="P2776">
        <v>0.7</v>
      </c>
      <c r="Q2776">
        <v>0.52</v>
      </c>
      <c r="R2776" s="2">
        <v>0.11</v>
      </c>
      <c r="S2776" t="str">
        <f>IF(Table1[[#This Row],[Years_Experience]]&lt;=5,"Early Career",
IF(Table1[[#This Row],[Years_Experience]]&lt;=15,"Mid Career","Senior Level"))</f>
        <v>Mid Career</v>
      </c>
      <c r="T2776" t="str">
        <f>IF(Table1[[#This Row],[AI_Exposure_Index]]&gt;=0.7,"High Exposure", IF(Table1[[#This Row],[AI_Exposure_Index]]&gt;=0.3,"Medium Exposure","Low Exposure"))</f>
        <v>High Exposure</v>
      </c>
    </row>
    <row r="2777" spans="1:20" x14ac:dyDescent="0.25">
      <c r="A2777" t="s">
        <v>29</v>
      </c>
      <c r="B2777">
        <v>111687</v>
      </c>
      <c r="C2777" s="1">
        <v>21</v>
      </c>
      <c r="D2777" t="s">
        <v>25</v>
      </c>
      <c r="E2777" s="7">
        <v>1.17</v>
      </c>
      <c r="F2777" s="2">
        <v>0.16</v>
      </c>
      <c r="G2777" s="7">
        <v>0.2</v>
      </c>
      <c r="H2777" s="9" t="s">
        <v>23</v>
      </c>
      <c r="I2777">
        <v>0.03</v>
      </c>
      <c r="J2777">
        <v>0.06</v>
      </c>
      <c r="K2777">
        <v>0.26</v>
      </c>
      <c r="L2777">
        <v>0.74</v>
      </c>
      <c r="M2777">
        <v>0.13</v>
      </c>
      <c r="N2777">
        <v>0.2</v>
      </c>
      <c r="O2777">
        <v>0.91</v>
      </c>
      <c r="P2777">
        <v>0.55000000000000004</v>
      </c>
      <c r="Q2777">
        <v>0.62</v>
      </c>
      <c r="R2777" s="2">
        <v>0.46</v>
      </c>
      <c r="S2777" t="str">
        <f>IF(Table1[[#This Row],[Years_Experience]]&lt;=5,"Early Career",
IF(Table1[[#This Row],[Years_Experience]]&lt;=15,"Mid Career","Senior Level"))</f>
        <v>Senior Level</v>
      </c>
      <c r="T2777" t="str">
        <f>IF(Table1[[#This Row],[AI_Exposure_Index]]&gt;=0.7,"High Exposure", IF(Table1[[#This Row],[AI_Exposure_Index]]&gt;=0.3,"Medium Exposure","Low Exposure"))</f>
        <v>Low Exposure</v>
      </c>
    </row>
    <row r="2778" spans="1:20" x14ac:dyDescent="0.25">
      <c r="A2778" t="s">
        <v>32</v>
      </c>
      <c r="B2778">
        <v>147426</v>
      </c>
      <c r="C2778" s="1">
        <v>15</v>
      </c>
      <c r="D2778" t="s">
        <v>38</v>
      </c>
      <c r="E2778" s="7">
        <v>1.0900000000000001</v>
      </c>
      <c r="F2778" s="2">
        <v>0.25</v>
      </c>
      <c r="G2778" s="7">
        <v>0.49</v>
      </c>
      <c r="H2778" s="9" t="s">
        <v>27</v>
      </c>
      <c r="I2778">
        <v>0.4</v>
      </c>
      <c r="J2778">
        <v>0.69</v>
      </c>
      <c r="K2778">
        <v>0.4</v>
      </c>
      <c r="L2778">
        <v>0.04</v>
      </c>
      <c r="M2778">
        <v>0.84</v>
      </c>
      <c r="N2778">
        <v>0.32</v>
      </c>
      <c r="O2778">
        <v>0.95</v>
      </c>
      <c r="P2778">
        <v>0.88</v>
      </c>
      <c r="Q2778">
        <v>0.23</v>
      </c>
      <c r="R2778" s="2">
        <v>0.97</v>
      </c>
      <c r="S2778" t="str">
        <f>IF(Table1[[#This Row],[Years_Experience]]&lt;=5,"Early Career",
IF(Table1[[#This Row],[Years_Experience]]&lt;=15,"Mid Career","Senior Level"))</f>
        <v>Mid Career</v>
      </c>
      <c r="T2778" t="str">
        <f>IF(Table1[[#This Row],[AI_Exposure_Index]]&gt;=0.7,"High Exposure", IF(Table1[[#This Row],[AI_Exposure_Index]]&gt;=0.3,"Medium Exposure","Low Exposure"))</f>
        <v>Low Exposure</v>
      </c>
    </row>
    <row r="2779" spans="1:20" x14ac:dyDescent="0.25">
      <c r="A2779" t="s">
        <v>36</v>
      </c>
      <c r="B2779">
        <v>92778</v>
      </c>
      <c r="C2779" s="1">
        <v>13</v>
      </c>
      <c r="D2779" t="s">
        <v>25</v>
      </c>
      <c r="E2779" s="7">
        <v>1.18</v>
      </c>
      <c r="F2779" s="2">
        <v>0.99</v>
      </c>
      <c r="G2779" s="7">
        <v>0.67</v>
      </c>
      <c r="H2779" s="9" t="s">
        <v>27</v>
      </c>
      <c r="I2779">
        <v>0.69</v>
      </c>
      <c r="J2779">
        <v>0.86</v>
      </c>
      <c r="K2779">
        <v>0.61</v>
      </c>
      <c r="L2779">
        <v>0.93</v>
      </c>
      <c r="M2779">
        <v>0.52</v>
      </c>
      <c r="N2779">
        <v>0.74</v>
      </c>
      <c r="O2779">
        <v>0.92</v>
      </c>
      <c r="P2779">
        <v>0.42</v>
      </c>
      <c r="Q2779">
        <v>0.03</v>
      </c>
      <c r="R2779" s="2">
        <v>0.11</v>
      </c>
      <c r="S2779" t="str">
        <f>IF(Table1[[#This Row],[Years_Experience]]&lt;=5,"Early Career",
IF(Table1[[#This Row],[Years_Experience]]&lt;=15,"Mid Career","Senior Level"))</f>
        <v>Mid Career</v>
      </c>
      <c r="T2779" t="str">
        <f>IF(Table1[[#This Row],[AI_Exposure_Index]]&gt;=0.7,"High Exposure", IF(Table1[[#This Row],[AI_Exposure_Index]]&gt;=0.3,"Medium Exposure","Low Exposure"))</f>
        <v>High Exposure</v>
      </c>
    </row>
    <row r="2780" spans="1:20" x14ac:dyDescent="0.25">
      <c r="A2780" t="s">
        <v>43</v>
      </c>
      <c r="B2780">
        <v>107863</v>
      </c>
      <c r="C2780" s="1">
        <v>15</v>
      </c>
      <c r="D2780" t="s">
        <v>22</v>
      </c>
      <c r="E2780" s="7">
        <v>0.98</v>
      </c>
      <c r="F2780" s="2">
        <v>0.87</v>
      </c>
      <c r="G2780" s="7">
        <v>0.28999999999999998</v>
      </c>
      <c r="H2780" s="9" t="s">
        <v>23</v>
      </c>
      <c r="I2780">
        <v>0.19</v>
      </c>
      <c r="J2780">
        <v>0.11</v>
      </c>
      <c r="K2780">
        <v>0.6</v>
      </c>
      <c r="L2780">
        <v>0.38</v>
      </c>
      <c r="M2780">
        <v>0.34</v>
      </c>
      <c r="N2780">
        <v>0.73</v>
      </c>
      <c r="O2780">
        <v>0.15</v>
      </c>
      <c r="P2780">
        <v>0.78</v>
      </c>
      <c r="Q2780">
        <v>0.36</v>
      </c>
      <c r="R2780" s="2">
        <v>0.99</v>
      </c>
      <c r="S2780" t="str">
        <f>IF(Table1[[#This Row],[Years_Experience]]&lt;=5,"Early Career",
IF(Table1[[#This Row],[Years_Experience]]&lt;=15,"Mid Career","Senior Level"))</f>
        <v>Mid Career</v>
      </c>
      <c r="T2780" t="str">
        <f>IF(Table1[[#This Row],[AI_Exposure_Index]]&gt;=0.7,"High Exposure", IF(Table1[[#This Row],[AI_Exposure_Index]]&gt;=0.3,"Medium Exposure","Low Exposure"))</f>
        <v>High Exposure</v>
      </c>
    </row>
    <row r="2781" spans="1:20" x14ac:dyDescent="0.25">
      <c r="A2781" t="s">
        <v>32</v>
      </c>
      <c r="B2781">
        <v>73622</v>
      </c>
      <c r="C2781" s="1">
        <v>14</v>
      </c>
      <c r="D2781" t="s">
        <v>25</v>
      </c>
      <c r="E2781" s="7">
        <v>0.55000000000000004</v>
      </c>
      <c r="F2781" s="2">
        <v>0.28000000000000003</v>
      </c>
      <c r="G2781" s="7">
        <v>0.48</v>
      </c>
      <c r="H2781" s="9" t="s">
        <v>27</v>
      </c>
      <c r="I2781">
        <v>0.77</v>
      </c>
      <c r="J2781">
        <v>0.02</v>
      </c>
      <c r="K2781">
        <v>0.11</v>
      </c>
      <c r="L2781">
        <v>0.72</v>
      </c>
      <c r="M2781">
        <v>0.59</v>
      </c>
      <c r="N2781">
        <v>0.72</v>
      </c>
      <c r="O2781">
        <v>0.23</v>
      </c>
      <c r="P2781">
        <v>0.8</v>
      </c>
      <c r="Q2781">
        <v>0.48</v>
      </c>
      <c r="R2781" s="2">
        <v>0.61</v>
      </c>
      <c r="S2781" t="str">
        <f>IF(Table1[[#This Row],[Years_Experience]]&lt;=5,"Early Career",
IF(Table1[[#This Row],[Years_Experience]]&lt;=15,"Mid Career","Senior Level"))</f>
        <v>Mid Career</v>
      </c>
      <c r="T2781" t="str">
        <f>IF(Table1[[#This Row],[AI_Exposure_Index]]&gt;=0.7,"High Exposure", IF(Table1[[#This Row],[AI_Exposure_Index]]&gt;=0.3,"Medium Exposure","Low Exposure"))</f>
        <v>Low Exposure</v>
      </c>
    </row>
    <row r="2782" spans="1:20" x14ac:dyDescent="0.25">
      <c r="A2782" t="s">
        <v>24</v>
      </c>
      <c r="B2782">
        <v>119565</v>
      </c>
      <c r="C2782" s="1">
        <v>9</v>
      </c>
      <c r="D2782" t="s">
        <v>19</v>
      </c>
      <c r="E2782" s="7">
        <v>1.27</v>
      </c>
      <c r="F2782" s="2">
        <v>0.21</v>
      </c>
      <c r="G2782" s="7">
        <v>0.76</v>
      </c>
      <c r="H2782" s="9" t="s">
        <v>20</v>
      </c>
      <c r="I2782">
        <v>0.09</v>
      </c>
      <c r="J2782">
        <v>0.6</v>
      </c>
      <c r="K2782">
        <v>0.55000000000000004</v>
      </c>
      <c r="L2782">
        <v>0.61</v>
      </c>
      <c r="M2782">
        <v>0.62</v>
      </c>
      <c r="N2782">
        <v>0.5</v>
      </c>
      <c r="O2782">
        <v>0.49</v>
      </c>
      <c r="P2782">
        <v>0.92</v>
      </c>
      <c r="Q2782">
        <v>0.53</v>
      </c>
      <c r="R2782" s="2">
        <v>0.62</v>
      </c>
      <c r="S2782" t="str">
        <f>IF(Table1[[#This Row],[Years_Experience]]&lt;=5,"Early Career",
IF(Table1[[#This Row],[Years_Experience]]&lt;=15,"Mid Career","Senior Level"))</f>
        <v>Mid Career</v>
      </c>
      <c r="T2782" t="str">
        <f>IF(Table1[[#This Row],[AI_Exposure_Index]]&gt;=0.7,"High Exposure", IF(Table1[[#This Row],[AI_Exposure_Index]]&gt;=0.3,"Medium Exposure","Low Exposure"))</f>
        <v>Low Exposure</v>
      </c>
    </row>
    <row r="2783" spans="1:20" x14ac:dyDescent="0.25">
      <c r="A2783" t="s">
        <v>35</v>
      </c>
      <c r="B2783">
        <v>36944</v>
      </c>
      <c r="C2783" s="1">
        <v>29</v>
      </c>
      <c r="D2783" t="s">
        <v>19</v>
      </c>
      <c r="E2783" s="7">
        <v>0.52</v>
      </c>
      <c r="F2783" s="2">
        <v>0.87</v>
      </c>
      <c r="G2783" s="7">
        <v>0.52</v>
      </c>
      <c r="H2783" s="9" t="s">
        <v>27</v>
      </c>
      <c r="I2783">
        <v>0.38</v>
      </c>
      <c r="J2783">
        <v>0.6</v>
      </c>
      <c r="K2783">
        <v>0.36</v>
      </c>
      <c r="L2783">
        <v>0.72</v>
      </c>
      <c r="M2783">
        <v>0.02</v>
      </c>
      <c r="N2783">
        <v>0.41</v>
      </c>
      <c r="O2783">
        <v>0.83</v>
      </c>
      <c r="P2783">
        <v>0.25</v>
      </c>
      <c r="Q2783">
        <v>0.05</v>
      </c>
      <c r="R2783" s="2">
        <v>0.5</v>
      </c>
      <c r="S2783" t="str">
        <f>IF(Table1[[#This Row],[Years_Experience]]&lt;=5,"Early Career",
IF(Table1[[#This Row],[Years_Experience]]&lt;=15,"Mid Career","Senior Level"))</f>
        <v>Senior Level</v>
      </c>
      <c r="T2783" t="str">
        <f>IF(Table1[[#This Row],[AI_Exposure_Index]]&gt;=0.7,"High Exposure", IF(Table1[[#This Row],[AI_Exposure_Index]]&gt;=0.3,"Medium Exposure","Low Exposure"))</f>
        <v>High Exposure</v>
      </c>
    </row>
    <row r="2784" spans="1:20" x14ac:dyDescent="0.25">
      <c r="A2784" t="s">
        <v>29</v>
      </c>
      <c r="B2784">
        <v>36357</v>
      </c>
      <c r="C2784" s="1">
        <v>27</v>
      </c>
      <c r="D2784" t="s">
        <v>38</v>
      </c>
      <c r="E2784" s="7">
        <v>0.56999999999999995</v>
      </c>
      <c r="F2784" s="2">
        <v>0.06</v>
      </c>
      <c r="G2784" s="7">
        <v>0.2</v>
      </c>
      <c r="H2784" s="9" t="s">
        <v>23</v>
      </c>
      <c r="I2784">
        <v>0.25</v>
      </c>
      <c r="J2784">
        <v>0.41</v>
      </c>
      <c r="K2784">
        <v>0.83</v>
      </c>
      <c r="L2784">
        <v>0.2</v>
      </c>
      <c r="M2784">
        <v>0.72</v>
      </c>
      <c r="N2784">
        <v>0.5</v>
      </c>
      <c r="O2784">
        <v>0.9</v>
      </c>
      <c r="P2784">
        <v>0.97</v>
      </c>
      <c r="Q2784">
        <v>0.48</v>
      </c>
      <c r="R2784" s="2">
        <v>0.57999999999999996</v>
      </c>
      <c r="S2784" t="str">
        <f>IF(Table1[[#This Row],[Years_Experience]]&lt;=5,"Early Career",
IF(Table1[[#This Row],[Years_Experience]]&lt;=15,"Mid Career","Senior Level"))</f>
        <v>Senior Level</v>
      </c>
      <c r="T2784" t="str">
        <f>IF(Table1[[#This Row],[AI_Exposure_Index]]&gt;=0.7,"High Exposure", IF(Table1[[#This Row],[AI_Exposure_Index]]&gt;=0.3,"Medium Exposure","Low Exposure"))</f>
        <v>Low Exposure</v>
      </c>
    </row>
    <row r="2785" spans="1:20" x14ac:dyDescent="0.25">
      <c r="A2785" t="s">
        <v>18</v>
      </c>
      <c r="B2785">
        <v>130709</v>
      </c>
      <c r="C2785" s="1">
        <v>29</v>
      </c>
      <c r="D2785" t="s">
        <v>38</v>
      </c>
      <c r="E2785" s="7">
        <v>0.73</v>
      </c>
      <c r="F2785" s="2">
        <v>0.32</v>
      </c>
      <c r="G2785" s="7">
        <v>0.94</v>
      </c>
      <c r="H2785" s="9" t="s">
        <v>20</v>
      </c>
      <c r="I2785">
        <v>0.43</v>
      </c>
      <c r="J2785">
        <v>0</v>
      </c>
      <c r="K2785">
        <v>0.84</v>
      </c>
      <c r="L2785">
        <v>0.6</v>
      </c>
      <c r="M2785">
        <v>0.17</v>
      </c>
      <c r="N2785">
        <v>0.03</v>
      </c>
      <c r="O2785">
        <v>0.28999999999999998</v>
      </c>
      <c r="P2785">
        <v>0.93</v>
      </c>
      <c r="Q2785">
        <v>0.93</v>
      </c>
      <c r="R2785" s="2">
        <v>0.31</v>
      </c>
      <c r="S2785" t="str">
        <f>IF(Table1[[#This Row],[Years_Experience]]&lt;=5,"Early Career",
IF(Table1[[#This Row],[Years_Experience]]&lt;=15,"Mid Career","Senior Level"))</f>
        <v>Senior Level</v>
      </c>
      <c r="T2785" t="str">
        <f>IF(Table1[[#This Row],[AI_Exposure_Index]]&gt;=0.7,"High Exposure", IF(Table1[[#This Row],[AI_Exposure_Index]]&gt;=0.3,"Medium Exposure","Low Exposure"))</f>
        <v>Medium Exposure</v>
      </c>
    </row>
    <row r="2786" spans="1:20" x14ac:dyDescent="0.25">
      <c r="A2786" t="s">
        <v>26</v>
      </c>
      <c r="B2786">
        <v>133134</v>
      </c>
      <c r="C2786" s="1">
        <v>3</v>
      </c>
      <c r="D2786" t="s">
        <v>25</v>
      </c>
      <c r="E2786" s="7">
        <v>1.1499999999999999</v>
      </c>
      <c r="F2786" s="2">
        <v>0.44</v>
      </c>
      <c r="G2786" s="7">
        <v>0.43</v>
      </c>
      <c r="H2786" s="9" t="s">
        <v>27</v>
      </c>
      <c r="I2786">
        <v>0.52</v>
      </c>
      <c r="J2786">
        <v>0.28999999999999998</v>
      </c>
      <c r="K2786">
        <v>0.06</v>
      </c>
      <c r="L2786">
        <v>0.14000000000000001</v>
      </c>
      <c r="M2786">
        <v>0.28999999999999998</v>
      </c>
      <c r="N2786">
        <v>0.98</v>
      </c>
      <c r="O2786">
        <v>0.97</v>
      </c>
      <c r="P2786">
        <v>0.83</v>
      </c>
      <c r="Q2786">
        <v>0.23</v>
      </c>
      <c r="R2786" s="2">
        <v>0.44</v>
      </c>
      <c r="S2786" t="str">
        <f>IF(Table1[[#This Row],[Years_Experience]]&lt;=5,"Early Career",
IF(Table1[[#This Row],[Years_Experience]]&lt;=15,"Mid Career","Senior Level"))</f>
        <v>Early Career</v>
      </c>
      <c r="T2786" t="str">
        <f>IF(Table1[[#This Row],[AI_Exposure_Index]]&gt;=0.7,"High Exposure", IF(Table1[[#This Row],[AI_Exposure_Index]]&gt;=0.3,"Medium Exposure","Low Exposure"))</f>
        <v>Medium Exposure</v>
      </c>
    </row>
    <row r="2787" spans="1:20" x14ac:dyDescent="0.25">
      <c r="A2787" t="s">
        <v>28</v>
      </c>
      <c r="B2787">
        <v>135383</v>
      </c>
      <c r="C2787" s="1">
        <v>29</v>
      </c>
      <c r="D2787" t="s">
        <v>19</v>
      </c>
      <c r="E2787" s="7">
        <v>0.54</v>
      </c>
      <c r="F2787" s="2">
        <v>0.39</v>
      </c>
      <c r="G2787" s="7">
        <v>0.51</v>
      </c>
      <c r="H2787" s="9" t="s">
        <v>27</v>
      </c>
      <c r="I2787">
        <v>7.0000000000000007E-2</v>
      </c>
      <c r="J2787">
        <v>0.8</v>
      </c>
      <c r="K2787">
        <v>0.69</v>
      </c>
      <c r="L2787">
        <v>0.35</v>
      </c>
      <c r="M2787">
        <v>0.65</v>
      </c>
      <c r="N2787">
        <v>0.23</v>
      </c>
      <c r="O2787">
        <v>0.27</v>
      </c>
      <c r="P2787">
        <v>0.31</v>
      </c>
      <c r="Q2787">
        <v>0.8</v>
      </c>
      <c r="R2787" s="2">
        <v>0.21</v>
      </c>
      <c r="S2787" t="str">
        <f>IF(Table1[[#This Row],[Years_Experience]]&lt;=5,"Early Career",
IF(Table1[[#This Row],[Years_Experience]]&lt;=15,"Mid Career","Senior Level"))</f>
        <v>Senior Level</v>
      </c>
      <c r="T2787" t="str">
        <f>IF(Table1[[#This Row],[AI_Exposure_Index]]&gt;=0.7,"High Exposure", IF(Table1[[#This Row],[AI_Exposure_Index]]&gt;=0.3,"Medium Exposure","Low Exposure"))</f>
        <v>Medium Exposure</v>
      </c>
    </row>
    <row r="2788" spans="1:20" x14ac:dyDescent="0.25">
      <c r="A2788" t="s">
        <v>41</v>
      </c>
      <c r="B2788">
        <v>58212</v>
      </c>
      <c r="C2788" s="1">
        <v>13</v>
      </c>
      <c r="D2788" t="s">
        <v>19</v>
      </c>
      <c r="E2788" s="7">
        <v>0.79</v>
      </c>
      <c r="F2788" s="2">
        <v>0.2</v>
      </c>
      <c r="G2788" s="7">
        <v>0.76</v>
      </c>
      <c r="H2788" s="9" t="s">
        <v>20</v>
      </c>
      <c r="I2788">
        <v>0.65</v>
      </c>
      <c r="J2788">
        <v>0.53</v>
      </c>
      <c r="K2788">
        <v>0.72</v>
      </c>
      <c r="L2788">
        <v>0.22</v>
      </c>
      <c r="M2788">
        <v>0.01</v>
      </c>
      <c r="N2788">
        <v>0.68</v>
      </c>
      <c r="O2788">
        <v>0.11</v>
      </c>
      <c r="P2788">
        <v>0.25</v>
      </c>
      <c r="Q2788">
        <v>0.31</v>
      </c>
      <c r="R2788" s="2">
        <v>0.75</v>
      </c>
      <c r="S2788" t="str">
        <f>IF(Table1[[#This Row],[Years_Experience]]&lt;=5,"Early Career",
IF(Table1[[#This Row],[Years_Experience]]&lt;=15,"Mid Career","Senior Level"))</f>
        <v>Mid Career</v>
      </c>
      <c r="T2788" t="str">
        <f>IF(Table1[[#This Row],[AI_Exposure_Index]]&gt;=0.7,"High Exposure", IF(Table1[[#This Row],[AI_Exposure_Index]]&gt;=0.3,"Medium Exposure","Low Exposure"))</f>
        <v>Low Exposure</v>
      </c>
    </row>
    <row r="2789" spans="1:20" x14ac:dyDescent="0.25">
      <c r="A2789" t="s">
        <v>44</v>
      </c>
      <c r="B2789">
        <v>59210</v>
      </c>
      <c r="C2789" s="1">
        <v>25</v>
      </c>
      <c r="D2789" t="s">
        <v>38</v>
      </c>
      <c r="E2789" s="7">
        <v>1.1000000000000001</v>
      </c>
      <c r="F2789" s="2">
        <v>0.18</v>
      </c>
      <c r="G2789" s="7">
        <v>0.57999999999999996</v>
      </c>
      <c r="H2789" s="9" t="s">
        <v>27</v>
      </c>
      <c r="I2789">
        <v>0.39</v>
      </c>
      <c r="J2789">
        <v>0.25</v>
      </c>
      <c r="K2789">
        <v>0.68</v>
      </c>
      <c r="L2789">
        <v>0.61</v>
      </c>
      <c r="M2789">
        <v>0.08</v>
      </c>
      <c r="N2789">
        <v>0.67</v>
      </c>
      <c r="O2789">
        <v>0.49</v>
      </c>
      <c r="P2789">
        <v>0.75</v>
      </c>
      <c r="Q2789">
        <v>0.19</v>
      </c>
      <c r="R2789" s="2">
        <v>0.26</v>
      </c>
      <c r="S2789" t="str">
        <f>IF(Table1[[#This Row],[Years_Experience]]&lt;=5,"Early Career",
IF(Table1[[#This Row],[Years_Experience]]&lt;=15,"Mid Career","Senior Level"))</f>
        <v>Senior Level</v>
      </c>
      <c r="T2789" t="str">
        <f>IF(Table1[[#This Row],[AI_Exposure_Index]]&gt;=0.7,"High Exposure", IF(Table1[[#This Row],[AI_Exposure_Index]]&gt;=0.3,"Medium Exposure","Low Exposure"))</f>
        <v>Low Exposure</v>
      </c>
    </row>
    <row r="2790" spans="1:20" x14ac:dyDescent="0.25">
      <c r="A2790" t="s">
        <v>30</v>
      </c>
      <c r="B2790">
        <v>65630</v>
      </c>
      <c r="C2790" s="1">
        <v>6</v>
      </c>
      <c r="D2790" t="s">
        <v>19</v>
      </c>
      <c r="E2790" s="7">
        <v>0.89</v>
      </c>
      <c r="F2790" s="2">
        <v>0.48</v>
      </c>
      <c r="G2790" s="7">
        <v>0.6</v>
      </c>
      <c r="H2790" s="9" t="s">
        <v>27</v>
      </c>
      <c r="I2790">
        <v>0.56000000000000005</v>
      </c>
      <c r="J2790">
        <v>0.71</v>
      </c>
      <c r="K2790">
        <v>0.15</v>
      </c>
      <c r="L2790">
        <v>0.73</v>
      </c>
      <c r="M2790">
        <v>0.46</v>
      </c>
      <c r="N2790">
        <v>0.03</v>
      </c>
      <c r="O2790">
        <v>0.23</v>
      </c>
      <c r="P2790">
        <v>0.03</v>
      </c>
      <c r="Q2790">
        <v>0.46</v>
      </c>
      <c r="R2790" s="2">
        <v>0.33</v>
      </c>
      <c r="S2790" t="str">
        <f>IF(Table1[[#This Row],[Years_Experience]]&lt;=5,"Early Career",
IF(Table1[[#This Row],[Years_Experience]]&lt;=15,"Mid Career","Senior Level"))</f>
        <v>Mid Career</v>
      </c>
      <c r="T2790" t="str">
        <f>IF(Table1[[#This Row],[AI_Exposure_Index]]&gt;=0.7,"High Exposure", IF(Table1[[#This Row],[AI_Exposure_Index]]&gt;=0.3,"Medium Exposure","Low Exposure"))</f>
        <v>Medium Exposure</v>
      </c>
    </row>
    <row r="2791" spans="1:20" x14ac:dyDescent="0.25">
      <c r="A2791" t="s">
        <v>32</v>
      </c>
      <c r="B2791">
        <v>127942</v>
      </c>
      <c r="C2791" s="1">
        <v>20</v>
      </c>
      <c r="D2791" t="s">
        <v>25</v>
      </c>
      <c r="E2791" s="7">
        <v>1.33</v>
      </c>
      <c r="F2791" s="2">
        <v>0.87</v>
      </c>
      <c r="G2791" s="7">
        <v>0.5</v>
      </c>
      <c r="H2791" s="9" t="s">
        <v>27</v>
      </c>
      <c r="I2791">
        <v>0.81</v>
      </c>
      <c r="J2791">
        <v>0.27</v>
      </c>
      <c r="K2791">
        <v>0.56000000000000005</v>
      </c>
      <c r="L2791">
        <v>0.39</v>
      </c>
      <c r="M2791">
        <v>0.17</v>
      </c>
      <c r="N2791">
        <v>7.0000000000000007E-2</v>
      </c>
      <c r="O2791">
        <v>0.56000000000000005</v>
      </c>
      <c r="P2791">
        <v>0.1</v>
      </c>
      <c r="Q2791">
        <v>0.72</v>
      </c>
      <c r="R2791" s="2">
        <v>0.92</v>
      </c>
      <c r="S2791" t="str">
        <f>IF(Table1[[#This Row],[Years_Experience]]&lt;=5,"Early Career",
IF(Table1[[#This Row],[Years_Experience]]&lt;=15,"Mid Career","Senior Level"))</f>
        <v>Senior Level</v>
      </c>
      <c r="T2791" t="str">
        <f>IF(Table1[[#This Row],[AI_Exposure_Index]]&gt;=0.7,"High Exposure", IF(Table1[[#This Row],[AI_Exposure_Index]]&gt;=0.3,"Medium Exposure","Low Exposure"))</f>
        <v>High Exposure</v>
      </c>
    </row>
    <row r="2792" spans="1:20" x14ac:dyDescent="0.25">
      <c r="A2792" t="s">
        <v>37</v>
      </c>
      <c r="B2792">
        <v>147050</v>
      </c>
      <c r="C2792" s="1">
        <v>16</v>
      </c>
      <c r="D2792" t="s">
        <v>25</v>
      </c>
      <c r="E2792" s="7">
        <v>1.24</v>
      </c>
      <c r="F2792" s="2">
        <v>0.47</v>
      </c>
      <c r="G2792" s="7">
        <v>0.41</v>
      </c>
      <c r="H2792" s="9" t="s">
        <v>27</v>
      </c>
      <c r="I2792">
        <v>0.92</v>
      </c>
      <c r="J2792">
        <v>0.89</v>
      </c>
      <c r="K2792">
        <v>0.1</v>
      </c>
      <c r="L2792">
        <v>0.03</v>
      </c>
      <c r="M2792">
        <v>0.98</v>
      </c>
      <c r="N2792">
        <v>0.96</v>
      </c>
      <c r="O2792">
        <v>0.42</v>
      </c>
      <c r="P2792">
        <v>0.05</v>
      </c>
      <c r="Q2792">
        <v>0.62</v>
      </c>
      <c r="R2792" s="2">
        <v>0.28999999999999998</v>
      </c>
      <c r="S2792" t="str">
        <f>IF(Table1[[#This Row],[Years_Experience]]&lt;=5,"Early Career",
IF(Table1[[#This Row],[Years_Experience]]&lt;=15,"Mid Career","Senior Level"))</f>
        <v>Senior Level</v>
      </c>
      <c r="T2792" t="str">
        <f>IF(Table1[[#This Row],[AI_Exposure_Index]]&gt;=0.7,"High Exposure", IF(Table1[[#This Row],[AI_Exposure_Index]]&gt;=0.3,"Medium Exposure","Low Exposure"))</f>
        <v>Medium Exposure</v>
      </c>
    </row>
    <row r="2793" spans="1:20" x14ac:dyDescent="0.25">
      <c r="A2793" t="s">
        <v>26</v>
      </c>
      <c r="B2793">
        <v>100655</v>
      </c>
      <c r="C2793" s="1">
        <v>3</v>
      </c>
      <c r="D2793" t="s">
        <v>38</v>
      </c>
      <c r="E2793" s="7">
        <v>1.1499999999999999</v>
      </c>
      <c r="F2793" s="2">
        <v>0.79</v>
      </c>
      <c r="G2793" s="7">
        <v>0.41</v>
      </c>
      <c r="H2793" s="9" t="s">
        <v>27</v>
      </c>
      <c r="I2793">
        <v>0.7</v>
      </c>
      <c r="J2793">
        <v>0.28999999999999998</v>
      </c>
      <c r="K2793">
        <v>0.04</v>
      </c>
      <c r="L2793">
        <v>0.51</v>
      </c>
      <c r="M2793">
        <v>0.49</v>
      </c>
      <c r="N2793">
        <v>0.76</v>
      </c>
      <c r="O2793">
        <v>0.87</v>
      </c>
      <c r="P2793">
        <v>0.35</v>
      </c>
      <c r="Q2793">
        <v>0.45</v>
      </c>
      <c r="R2793" s="2">
        <v>0.47</v>
      </c>
      <c r="S2793" t="str">
        <f>IF(Table1[[#This Row],[Years_Experience]]&lt;=5,"Early Career",
IF(Table1[[#This Row],[Years_Experience]]&lt;=15,"Mid Career","Senior Level"))</f>
        <v>Early Career</v>
      </c>
      <c r="T2793" t="str">
        <f>IF(Table1[[#This Row],[AI_Exposure_Index]]&gt;=0.7,"High Exposure", IF(Table1[[#This Row],[AI_Exposure_Index]]&gt;=0.3,"Medium Exposure","Low Exposure"))</f>
        <v>High Exposure</v>
      </c>
    </row>
    <row r="2794" spans="1:20" x14ac:dyDescent="0.25">
      <c r="A2794" t="s">
        <v>26</v>
      </c>
      <c r="B2794">
        <v>52901</v>
      </c>
      <c r="C2794" s="1">
        <v>8</v>
      </c>
      <c r="D2794" t="s">
        <v>19</v>
      </c>
      <c r="E2794" s="7">
        <v>1.02</v>
      </c>
      <c r="F2794" s="2">
        <v>0.74</v>
      </c>
      <c r="G2794" s="7">
        <v>0.67</v>
      </c>
      <c r="H2794" s="9" t="s">
        <v>27</v>
      </c>
      <c r="I2794">
        <v>0.65</v>
      </c>
      <c r="J2794">
        <v>0.21</v>
      </c>
      <c r="K2794">
        <v>0.16</v>
      </c>
      <c r="L2794">
        <v>0.37</v>
      </c>
      <c r="M2794">
        <v>0.35</v>
      </c>
      <c r="N2794">
        <v>0.41</v>
      </c>
      <c r="O2794">
        <v>0.18</v>
      </c>
      <c r="P2794">
        <v>0.98</v>
      </c>
      <c r="Q2794">
        <v>0.15</v>
      </c>
      <c r="R2794" s="2">
        <v>0.65</v>
      </c>
      <c r="S2794" t="str">
        <f>IF(Table1[[#This Row],[Years_Experience]]&lt;=5,"Early Career",
IF(Table1[[#This Row],[Years_Experience]]&lt;=15,"Mid Career","Senior Level"))</f>
        <v>Mid Career</v>
      </c>
      <c r="T2794" t="str">
        <f>IF(Table1[[#This Row],[AI_Exposure_Index]]&gt;=0.7,"High Exposure", IF(Table1[[#This Row],[AI_Exposure_Index]]&gt;=0.3,"Medium Exposure","Low Exposure"))</f>
        <v>High Exposure</v>
      </c>
    </row>
    <row r="2795" spans="1:20" x14ac:dyDescent="0.25">
      <c r="A2795" t="s">
        <v>44</v>
      </c>
      <c r="B2795">
        <v>63144</v>
      </c>
      <c r="C2795" s="1">
        <v>24</v>
      </c>
      <c r="D2795" t="s">
        <v>22</v>
      </c>
      <c r="E2795" s="7">
        <v>0.81</v>
      </c>
      <c r="F2795" s="2">
        <v>0.41</v>
      </c>
      <c r="G2795" s="7">
        <v>0.45</v>
      </c>
      <c r="H2795" s="9" t="s">
        <v>27</v>
      </c>
      <c r="I2795">
        <v>0.5</v>
      </c>
      <c r="J2795">
        <v>0.6</v>
      </c>
      <c r="K2795">
        <v>0.57999999999999996</v>
      </c>
      <c r="L2795">
        <v>0.63</v>
      </c>
      <c r="M2795">
        <v>0.84</v>
      </c>
      <c r="N2795">
        <v>0.89</v>
      </c>
      <c r="O2795">
        <v>0.74</v>
      </c>
      <c r="P2795">
        <v>0.08</v>
      </c>
      <c r="Q2795">
        <v>0.96</v>
      </c>
      <c r="R2795" s="2">
        <v>0.95</v>
      </c>
      <c r="S2795" t="str">
        <f>IF(Table1[[#This Row],[Years_Experience]]&lt;=5,"Early Career",
IF(Table1[[#This Row],[Years_Experience]]&lt;=15,"Mid Career","Senior Level"))</f>
        <v>Senior Level</v>
      </c>
      <c r="T2795" t="str">
        <f>IF(Table1[[#This Row],[AI_Exposure_Index]]&gt;=0.7,"High Exposure", IF(Table1[[#This Row],[AI_Exposure_Index]]&gt;=0.3,"Medium Exposure","Low Exposure"))</f>
        <v>Medium Exposure</v>
      </c>
    </row>
    <row r="2796" spans="1:20" x14ac:dyDescent="0.25">
      <c r="A2796" t="s">
        <v>26</v>
      </c>
      <c r="B2796">
        <v>44410</v>
      </c>
      <c r="C2796" s="1">
        <v>7</v>
      </c>
      <c r="D2796" t="s">
        <v>38</v>
      </c>
      <c r="E2796" s="7">
        <v>1.1499999999999999</v>
      </c>
      <c r="F2796" s="2">
        <v>0.54</v>
      </c>
      <c r="G2796" s="7">
        <v>0.51</v>
      </c>
      <c r="H2796" s="9" t="s">
        <v>27</v>
      </c>
      <c r="I2796">
        <v>0.69</v>
      </c>
      <c r="J2796">
        <v>0.49</v>
      </c>
      <c r="K2796">
        <v>0.53</v>
      </c>
      <c r="L2796">
        <v>0.94</v>
      </c>
      <c r="M2796">
        <v>0.39</v>
      </c>
      <c r="N2796">
        <v>0.76</v>
      </c>
      <c r="O2796">
        <v>0.33</v>
      </c>
      <c r="P2796">
        <v>0.33</v>
      </c>
      <c r="Q2796">
        <v>0.93</v>
      </c>
      <c r="R2796" s="2">
        <v>0.7</v>
      </c>
      <c r="S2796" t="str">
        <f>IF(Table1[[#This Row],[Years_Experience]]&lt;=5,"Early Career",
IF(Table1[[#This Row],[Years_Experience]]&lt;=15,"Mid Career","Senior Level"))</f>
        <v>Mid Career</v>
      </c>
      <c r="T2796" t="str">
        <f>IF(Table1[[#This Row],[AI_Exposure_Index]]&gt;=0.7,"High Exposure", IF(Table1[[#This Row],[AI_Exposure_Index]]&gt;=0.3,"Medium Exposure","Low Exposure"))</f>
        <v>Medium Exposure</v>
      </c>
    </row>
    <row r="2797" spans="1:20" x14ac:dyDescent="0.25">
      <c r="A2797" t="s">
        <v>30</v>
      </c>
      <c r="B2797">
        <v>43785</v>
      </c>
      <c r="C2797" s="1">
        <v>27</v>
      </c>
      <c r="D2797" t="s">
        <v>19</v>
      </c>
      <c r="E2797" s="7">
        <v>0.5</v>
      </c>
      <c r="F2797" s="2">
        <v>0.99</v>
      </c>
      <c r="G2797" s="7">
        <v>0.69</v>
      </c>
      <c r="H2797" s="9" t="s">
        <v>27</v>
      </c>
      <c r="I2797">
        <v>0.1</v>
      </c>
      <c r="J2797">
        <v>7.0000000000000007E-2</v>
      </c>
      <c r="K2797">
        <v>0.77</v>
      </c>
      <c r="L2797">
        <v>0.35</v>
      </c>
      <c r="M2797">
        <v>0.92</v>
      </c>
      <c r="N2797">
        <v>0.54</v>
      </c>
      <c r="O2797">
        <v>0.39</v>
      </c>
      <c r="P2797">
        <v>7.0000000000000007E-2</v>
      </c>
      <c r="Q2797">
        <v>0.46</v>
      </c>
      <c r="R2797" s="2">
        <v>0.28000000000000003</v>
      </c>
      <c r="S2797" t="str">
        <f>IF(Table1[[#This Row],[Years_Experience]]&lt;=5,"Early Career",
IF(Table1[[#This Row],[Years_Experience]]&lt;=15,"Mid Career","Senior Level"))</f>
        <v>Senior Level</v>
      </c>
      <c r="T2797" t="str">
        <f>IF(Table1[[#This Row],[AI_Exposure_Index]]&gt;=0.7,"High Exposure", IF(Table1[[#This Row],[AI_Exposure_Index]]&gt;=0.3,"Medium Exposure","Low Exposure"))</f>
        <v>High Exposure</v>
      </c>
    </row>
    <row r="2798" spans="1:20" x14ac:dyDescent="0.25">
      <c r="A2798" t="s">
        <v>18</v>
      </c>
      <c r="B2798">
        <v>90037</v>
      </c>
      <c r="C2798" s="1">
        <v>11</v>
      </c>
      <c r="D2798" t="s">
        <v>38</v>
      </c>
      <c r="E2798" s="7">
        <v>1.48</v>
      </c>
      <c r="F2798" s="2">
        <v>0.67</v>
      </c>
      <c r="G2798" s="7">
        <v>0.79</v>
      </c>
      <c r="H2798" s="9" t="s">
        <v>20</v>
      </c>
      <c r="I2798">
        <v>0.3</v>
      </c>
      <c r="J2798">
        <v>0.09</v>
      </c>
      <c r="K2798">
        <v>0.22</v>
      </c>
      <c r="L2798">
        <v>0.28000000000000003</v>
      </c>
      <c r="M2798">
        <v>0.34</v>
      </c>
      <c r="N2798">
        <v>0.63</v>
      </c>
      <c r="O2798">
        <v>0.11</v>
      </c>
      <c r="P2798">
        <v>0.06</v>
      </c>
      <c r="Q2798">
        <v>0.93</v>
      </c>
      <c r="R2798" s="2">
        <v>0.8</v>
      </c>
      <c r="S2798" t="str">
        <f>IF(Table1[[#This Row],[Years_Experience]]&lt;=5,"Early Career",
IF(Table1[[#This Row],[Years_Experience]]&lt;=15,"Mid Career","Senior Level"))</f>
        <v>Mid Career</v>
      </c>
      <c r="T2798" t="str">
        <f>IF(Table1[[#This Row],[AI_Exposure_Index]]&gt;=0.7,"High Exposure", IF(Table1[[#This Row],[AI_Exposure_Index]]&gt;=0.3,"Medium Exposure","Low Exposure"))</f>
        <v>Medium Exposure</v>
      </c>
    </row>
    <row r="2799" spans="1:20" x14ac:dyDescent="0.25">
      <c r="A2799" t="s">
        <v>35</v>
      </c>
      <c r="B2799">
        <v>132424</v>
      </c>
      <c r="C2799" s="1">
        <v>5</v>
      </c>
      <c r="D2799" t="s">
        <v>22</v>
      </c>
      <c r="E2799" s="7">
        <v>1.0900000000000001</v>
      </c>
      <c r="F2799" s="2">
        <v>0.64</v>
      </c>
      <c r="G2799" s="7">
        <v>0.6</v>
      </c>
      <c r="H2799" s="9" t="s">
        <v>27</v>
      </c>
      <c r="I2799">
        <v>0.86</v>
      </c>
      <c r="J2799">
        <v>0.36</v>
      </c>
      <c r="K2799">
        <v>0.66</v>
      </c>
      <c r="L2799">
        <v>0.8</v>
      </c>
      <c r="M2799">
        <v>0.7</v>
      </c>
      <c r="N2799">
        <v>0.92</v>
      </c>
      <c r="O2799">
        <v>0.49</v>
      </c>
      <c r="P2799">
        <v>0.8</v>
      </c>
      <c r="Q2799">
        <v>0.91</v>
      </c>
      <c r="R2799" s="2">
        <v>0.56000000000000005</v>
      </c>
      <c r="S2799" t="str">
        <f>IF(Table1[[#This Row],[Years_Experience]]&lt;=5,"Early Career",
IF(Table1[[#This Row],[Years_Experience]]&lt;=15,"Mid Career","Senior Level"))</f>
        <v>Early Career</v>
      </c>
      <c r="T2799" t="str">
        <f>IF(Table1[[#This Row],[AI_Exposure_Index]]&gt;=0.7,"High Exposure", IF(Table1[[#This Row],[AI_Exposure_Index]]&gt;=0.3,"Medium Exposure","Low Exposure"))</f>
        <v>Medium Exposure</v>
      </c>
    </row>
    <row r="2800" spans="1:20" x14ac:dyDescent="0.25">
      <c r="A2800" t="s">
        <v>39</v>
      </c>
      <c r="B2800">
        <v>118400</v>
      </c>
      <c r="C2800" s="1">
        <v>12</v>
      </c>
      <c r="D2800" t="s">
        <v>25</v>
      </c>
      <c r="E2800" s="7">
        <v>1.35</v>
      </c>
      <c r="F2800" s="2">
        <v>0.82</v>
      </c>
      <c r="G2800" s="7">
        <v>0.8</v>
      </c>
      <c r="H2800" s="9" t="s">
        <v>20</v>
      </c>
      <c r="I2800">
        <v>0.23</v>
      </c>
      <c r="J2800">
        <v>0.98</v>
      </c>
      <c r="K2800">
        <v>0.55000000000000004</v>
      </c>
      <c r="L2800">
        <v>0.52</v>
      </c>
      <c r="M2800">
        <v>0.95</v>
      </c>
      <c r="N2800">
        <v>0.41</v>
      </c>
      <c r="O2800">
        <v>0.85</v>
      </c>
      <c r="P2800">
        <v>0.7</v>
      </c>
      <c r="Q2800">
        <v>0.97</v>
      </c>
      <c r="R2800" s="2">
        <v>0.43</v>
      </c>
      <c r="S2800" t="str">
        <f>IF(Table1[[#This Row],[Years_Experience]]&lt;=5,"Early Career",
IF(Table1[[#This Row],[Years_Experience]]&lt;=15,"Mid Career","Senior Level"))</f>
        <v>Mid Career</v>
      </c>
      <c r="T2800" t="str">
        <f>IF(Table1[[#This Row],[AI_Exposure_Index]]&gt;=0.7,"High Exposure", IF(Table1[[#This Row],[AI_Exposure_Index]]&gt;=0.3,"Medium Exposure","Low Exposure"))</f>
        <v>High Exposure</v>
      </c>
    </row>
    <row r="2801" spans="1:20" x14ac:dyDescent="0.25">
      <c r="A2801" t="s">
        <v>21</v>
      </c>
      <c r="B2801">
        <v>41151</v>
      </c>
      <c r="C2801" s="1">
        <v>22</v>
      </c>
      <c r="D2801" t="s">
        <v>25</v>
      </c>
      <c r="E2801" s="7">
        <v>0.98</v>
      </c>
      <c r="F2801" s="2">
        <v>0.56999999999999995</v>
      </c>
      <c r="G2801" s="7">
        <v>0.13</v>
      </c>
      <c r="H2801" s="9" t="s">
        <v>23</v>
      </c>
      <c r="I2801">
        <v>0.55000000000000004</v>
      </c>
      <c r="J2801">
        <v>0.56999999999999995</v>
      </c>
      <c r="K2801">
        <v>0.9</v>
      </c>
      <c r="L2801">
        <v>0.7</v>
      </c>
      <c r="M2801">
        <v>0.83</v>
      </c>
      <c r="N2801">
        <v>0.77</v>
      </c>
      <c r="O2801">
        <v>0.28000000000000003</v>
      </c>
      <c r="P2801">
        <v>0.21</v>
      </c>
      <c r="Q2801">
        <v>0.26</v>
      </c>
      <c r="R2801" s="2">
        <v>0.15</v>
      </c>
      <c r="S2801" t="str">
        <f>IF(Table1[[#This Row],[Years_Experience]]&lt;=5,"Early Career",
IF(Table1[[#This Row],[Years_Experience]]&lt;=15,"Mid Career","Senior Level"))</f>
        <v>Senior Level</v>
      </c>
      <c r="T2801" t="str">
        <f>IF(Table1[[#This Row],[AI_Exposure_Index]]&gt;=0.7,"High Exposure", IF(Table1[[#This Row],[AI_Exposure_Index]]&gt;=0.3,"Medium Exposure","Low Exposure"))</f>
        <v>Medium Exposure</v>
      </c>
    </row>
    <row r="2802" spans="1:20" x14ac:dyDescent="0.25">
      <c r="A2802" t="s">
        <v>30</v>
      </c>
      <c r="B2802">
        <v>56257</v>
      </c>
      <c r="C2802" s="1">
        <v>4</v>
      </c>
      <c r="D2802" t="s">
        <v>38</v>
      </c>
      <c r="E2802" s="7">
        <v>1.04</v>
      </c>
      <c r="F2802" s="2">
        <v>0.65</v>
      </c>
      <c r="G2802" s="7">
        <v>0.56999999999999995</v>
      </c>
      <c r="H2802" s="9" t="s">
        <v>27</v>
      </c>
      <c r="I2802">
        <v>0.36</v>
      </c>
      <c r="J2802">
        <v>0.21</v>
      </c>
      <c r="K2802">
        <v>0.2</v>
      </c>
      <c r="L2802">
        <v>0.6</v>
      </c>
      <c r="M2802">
        <v>0.16</v>
      </c>
      <c r="N2802">
        <v>0.4</v>
      </c>
      <c r="O2802">
        <v>0.21</v>
      </c>
      <c r="P2802">
        <v>0.66</v>
      </c>
      <c r="Q2802">
        <v>0.62</v>
      </c>
      <c r="R2802" s="2">
        <v>0.38</v>
      </c>
      <c r="S2802" t="str">
        <f>IF(Table1[[#This Row],[Years_Experience]]&lt;=5,"Early Career",
IF(Table1[[#This Row],[Years_Experience]]&lt;=15,"Mid Career","Senior Level"))</f>
        <v>Early Career</v>
      </c>
      <c r="T2802" t="str">
        <f>IF(Table1[[#This Row],[AI_Exposure_Index]]&gt;=0.7,"High Exposure", IF(Table1[[#This Row],[AI_Exposure_Index]]&gt;=0.3,"Medium Exposure","Low Exposure"))</f>
        <v>Medium Exposure</v>
      </c>
    </row>
    <row r="2803" spans="1:20" x14ac:dyDescent="0.25">
      <c r="A2803" t="s">
        <v>43</v>
      </c>
      <c r="B2803">
        <v>136933</v>
      </c>
      <c r="C2803" s="1">
        <v>16</v>
      </c>
      <c r="D2803" t="s">
        <v>38</v>
      </c>
      <c r="E2803" s="7">
        <v>0.97</v>
      </c>
      <c r="F2803" s="2">
        <v>0.21</v>
      </c>
      <c r="G2803" s="7">
        <v>0.28999999999999998</v>
      </c>
      <c r="H2803" s="9" t="s">
        <v>23</v>
      </c>
      <c r="I2803">
        <v>0.27</v>
      </c>
      <c r="J2803">
        <v>0.19</v>
      </c>
      <c r="K2803">
        <v>0.22</v>
      </c>
      <c r="L2803">
        <v>0.71</v>
      </c>
      <c r="M2803">
        <v>0.91</v>
      </c>
      <c r="N2803">
        <v>0.08</v>
      </c>
      <c r="O2803">
        <v>0.75</v>
      </c>
      <c r="P2803">
        <v>0.49</v>
      </c>
      <c r="Q2803">
        <v>0.83</v>
      </c>
      <c r="R2803" s="2">
        <v>0.42</v>
      </c>
      <c r="S2803" t="str">
        <f>IF(Table1[[#This Row],[Years_Experience]]&lt;=5,"Early Career",
IF(Table1[[#This Row],[Years_Experience]]&lt;=15,"Mid Career","Senior Level"))</f>
        <v>Senior Level</v>
      </c>
      <c r="T2803" t="str">
        <f>IF(Table1[[#This Row],[AI_Exposure_Index]]&gt;=0.7,"High Exposure", IF(Table1[[#This Row],[AI_Exposure_Index]]&gt;=0.3,"Medium Exposure","Low Exposure"))</f>
        <v>Low Exposure</v>
      </c>
    </row>
    <row r="2804" spans="1:20" x14ac:dyDescent="0.25">
      <c r="A2804" t="s">
        <v>35</v>
      </c>
      <c r="B2804">
        <v>50705</v>
      </c>
      <c r="C2804" s="1">
        <v>29</v>
      </c>
      <c r="D2804" t="s">
        <v>22</v>
      </c>
      <c r="E2804" s="7">
        <v>1.32</v>
      </c>
      <c r="F2804" s="2">
        <v>0.37</v>
      </c>
      <c r="G2804" s="7">
        <v>0.65</v>
      </c>
      <c r="H2804" s="9" t="s">
        <v>27</v>
      </c>
      <c r="I2804">
        <v>0.14000000000000001</v>
      </c>
      <c r="J2804">
        <v>0.54</v>
      </c>
      <c r="K2804">
        <v>0.68</v>
      </c>
      <c r="L2804">
        <v>0.08</v>
      </c>
      <c r="M2804">
        <v>0.93</v>
      </c>
      <c r="N2804">
        <v>0.52</v>
      </c>
      <c r="O2804">
        <v>0.65</v>
      </c>
      <c r="P2804">
        <v>0.18</v>
      </c>
      <c r="Q2804">
        <v>0.26</v>
      </c>
      <c r="R2804" s="2">
        <v>0.12</v>
      </c>
      <c r="S2804" t="str">
        <f>IF(Table1[[#This Row],[Years_Experience]]&lt;=5,"Early Career",
IF(Table1[[#This Row],[Years_Experience]]&lt;=15,"Mid Career","Senior Level"))</f>
        <v>Senior Level</v>
      </c>
      <c r="T2804" t="str">
        <f>IF(Table1[[#This Row],[AI_Exposure_Index]]&gt;=0.7,"High Exposure", IF(Table1[[#This Row],[AI_Exposure_Index]]&gt;=0.3,"Medium Exposure","Low Exposure"))</f>
        <v>Medium Exposure</v>
      </c>
    </row>
    <row r="2805" spans="1:20" x14ac:dyDescent="0.25">
      <c r="A2805" t="s">
        <v>37</v>
      </c>
      <c r="B2805">
        <v>123064</v>
      </c>
      <c r="C2805" s="1">
        <v>9</v>
      </c>
      <c r="D2805" t="s">
        <v>22</v>
      </c>
      <c r="E2805" s="7">
        <v>1.33</v>
      </c>
      <c r="F2805" s="2">
        <v>0.49</v>
      </c>
      <c r="G2805" s="7">
        <v>0.51</v>
      </c>
      <c r="H2805" s="9" t="s">
        <v>27</v>
      </c>
      <c r="I2805">
        <v>0.24</v>
      </c>
      <c r="J2805">
        <v>0.04</v>
      </c>
      <c r="K2805">
        <v>0.62</v>
      </c>
      <c r="L2805">
        <v>0.42</v>
      </c>
      <c r="M2805">
        <v>0.98</v>
      </c>
      <c r="N2805">
        <v>0.78</v>
      </c>
      <c r="O2805">
        <v>0.81</v>
      </c>
      <c r="P2805">
        <v>0.01</v>
      </c>
      <c r="Q2805">
        <v>0.78</v>
      </c>
      <c r="R2805" s="2">
        <v>0.19</v>
      </c>
      <c r="S2805" t="str">
        <f>IF(Table1[[#This Row],[Years_Experience]]&lt;=5,"Early Career",
IF(Table1[[#This Row],[Years_Experience]]&lt;=15,"Mid Career","Senior Level"))</f>
        <v>Mid Career</v>
      </c>
      <c r="T2805" t="str">
        <f>IF(Table1[[#This Row],[AI_Exposure_Index]]&gt;=0.7,"High Exposure", IF(Table1[[#This Row],[AI_Exposure_Index]]&gt;=0.3,"Medium Exposure","Low Exposure"))</f>
        <v>Medium Exposure</v>
      </c>
    </row>
    <row r="2806" spans="1:20" x14ac:dyDescent="0.25">
      <c r="A2806" t="s">
        <v>35</v>
      </c>
      <c r="B2806">
        <v>77089</v>
      </c>
      <c r="C2806" s="1">
        <v>24</v>
      </c>
      <c r="D2806" t="s">
        <v>38</v>
      </c>
      <c r="E2806" s="7">
        <v>1.07</v>
      </c>
      <c r="F2806" s="2">
        <v>0.45</v>
      </c>
      <c r="G2806" s="7">
        <v>0.35</v>
      </c>
      <c r="H2806" s="9" t="s">
        <v>27</v>
      </c>
      <c r="I2806">
        <v>0.46</v>
      </c>
      <c r="J2806">
        <v>0.04</v>
      </c>
      <c r="K2806">
        <v>0.04</v>
      </c>
      <c r="L2806">
        <v>0.66</v>
      </c>
      <c r="M2806">
        <v>0.95</v>
      </c>
      <c r="N2806">
        <v>0.78</v>
      </c>
      <c r="O2806">
        <v>0.47</v>
      </c>
      <c r="P2806">
        <v>0.06</v>
      </c>
      <c r="Q2806">
        <v>0.05</v>
      </c>
      <c r="R2806" s="2">
        <v>0.16</v>
      </c>
      <c r="S2806" t="str">
        <f>IF(Table1[[#This Row],[Years_Experience]]&lt;=5,"Early Career",
IF(Table1[[#This Row],[Years_Experience]]&lt;=15,"Mid Career","Senior Level"))</f>
        <v>Senior Level</v>
      </c>
      <c r="T2806" t="str">
        <f>IF(Table1[[#This Row],[AI_Exposure_Index]]&gt;=0.7,"High Exposure", IF(Table1[[#This Row],[AI_Exposure_Index]]&gt;=0.3,"Medium Exposure","Low Exposure"))</f>
        <v>Medium Exposure</v>
      </c>
    </row>
    <row r="2807" spans="1:20" x14ac:dyDescent="0.25">
      <c r="A2807" t="s">
        <v>28</v>
      </c>
      <c r="B2807">
        <v>76978</v>
      </c>
      <c r="C2807" s="1">
        <v>7</v>
      </c>
      <c r="D2807" t="s">
        <v>25</v>
      </c>
      <c r="E2807" s="7">
        <v>1.34</v>
      </c>
      <c r="F2807" s="2">
        <v>0.4</v>
      </c>
      <c r="G2807" s="7">
        <v>0.57999999999999996</v>
      </c>
      <c r="H2807" s="9" t="s">
        <v>27</v>
      </c>
      <c r="I2807">
        <v>0.61</v>
      </c>
      <c r="J2807">
        <v>0.95</v>
      </c>
      <c r="K2807">
        <v>0.23</v>
      </c>
      <c r="L2807">
        <v>0.45</v>
      </c>
      <c r="M2807">
        <v>0.86</v>
      </c>
      <c r="N2807">
        <v>0.55000000000000004</v>
      </c>
      <c r="O2807">
        <v>0.25</v>
      </c>
      <c r="P2807">
        <v>0.21</v>
      </c>
      <c r="Q2807">
        <v>0.75</v>
      </c>
      <c r="R2807" s="2">
        <v>0.01</v>
      </c>
      <c r="S2807" t="str">
        <f>IF(Table1[[#This Row],[Years_Experience]]&lt;=5,"Early Career",
IF(Table1[[#This Row],[Years_Experience]]&lt;=15,"Mid Career","Senior Level"))</f>
        <v>Mid Career</v>
      </c>
      <c r="T2807" t="str">
        <f>IF(Table1[[#This Row],[AI_Exposure_Index]]&gt;=0.7,"High Exposure", IF(Table1[[#This Row],[AI_Exposure_Index]]&gt;=0.3,"Medium Exposure","Low Exposure"))</f>
        <v>Medium Exposure</v>
      </c>
    </row>
    <row r="2808" spans="1:20" x14ac:dyDescent="0.25">
      <c r="A2808" t="s">
        <v>37</v>
      </c>
      <c r="B2808">
        <v>62235</v>
      </c>
      <c r="C2808" s="1">
        <v>5</v>
      </c>
      <c r="D2808" t="s">
        <v>38</v>
      </c>
      <c r="E2808" s="7">
        <v>1.1299999999999999</v>
      </c>
      <c r="F2808" s="2">
        <v>0.02</v>
      </c>
      <c r="G2808" s="7">
        <v>0.54</v>
      </c>
      <c r="H2808" s="9" t="s">
        <v>27</v>
      </c>
      <c r="I2808">
        <v>0.57999999999999996</v>
      </c>
      <c r="J2808">
        <v>0.47</v>
      </c>
      <c r="K2808">
        <v>0.85</v>
      </c>
      <c r="L2808">
        <v>0.66</v>
      </c>
      <c r="M2808">
        <v>0.78</v>
      </c>
      <c r="N2808">
        <v>0.12</v>
      </c>
      <c r="O2808">
        <v>0.05</v>
      </c>
      <c r="P2808">
        <v>0.03</v>
      </c>
      <c r="Q2808">
        <v>0.15</v>
      </c>
      <c r="R2808" s="2">
        <v>0.67</v>
      </c>
      <c r="S2808" t="str">
        <f>IF(Table1[[#This Row],[Years_Experience]]&lt;=5,"Early Career",
IF(Table1[[#This Row],[Years_Experience]]&lt;=15,"Mid Career","Senior Level"))</f>
        <v>Early Career</v>
      </c>
      <c r="T2808" t="str">
        <f>IF(Table1[[#This Row],[AI_Exposure_Index]]&gt;=0.7,"High Exposure", IF(Table1[[#This Row],[AI_Exposure_Index]]&gt;=0.3,"Medium Exposure","Low Exposure"))</f>
        <v>Low Exposure</v>
      </c>
    </row>
    <row r="2809" spans="1:20" x14ac:dyDescent="0.25">
      <c r="A2809" t="s">
        <v>40</v>
      </c>
      <c r="B2809">
        <v>43739</v>
      </c>
      <c r="C2809" s="1">
        <v>17</v>
      </c>
      <c r="D2809" t="s">
        <v>22</v>
      </c>
      <c r="E2809" s="7">
        <v>0.69</v>
      </c>
      <c r="F2809" s="2">
        <v>0.75</v>
      </c>
      <c r="G2809" s="7">
        <v>0.14000000000000001</v>
      </c>
      <c r="H2809" s="9" t="s">
        <v>23</v>
      </c>
      <c r="I2809">
        <v>0.89</v>
      </c>
      <c r="J2809">
        <v>0.94</v>
      </c>
      <c r="K2809">
        <v>0.92</v>
      </c>
      <c r="L2809">
        <v>0.82</v>
      </c>
      <c r="M2809">
        <v>0.69</v>
      </c>
      <c r="N2809">
        <v>0.91</v>
      </c>
      <c r="O2809">
        <v>0.71</v>
      </c>
      <c r="P2809">
        <v>0.95</v>
      </c>
      <c r="Q2809">
        <v>0.02</v>
      </c>
      <c r="R2809" s="2">
        <v>0.92</v>
      </c>
      <c r="S2809" t="str">
        <f>IF(Table1[[#This Row],[Years_Experience]]&lt;=5,"Early Career",
IF(Table1[[#This Row],[Years_Experience]]&lt;=15,"Mid Career","Senior Level"))</f>
        <v>Senior Level</v>
      </c>
      <c r="T2809" t="str">
        <f>IF(Table1[[#This Row],[AI_Exposure_Index]]&gt;=0.7,"High Exposure", IF(Table1[[#This Row],[AI_Exposure_Index]]&gt;=0.3,"Medium Exposure","Low Exposure"))</f>
        <v>High Exposure</v>
      </c>
    </row>
    <row r="2810" spans="1:20" x14ac:dyDescent="0.25">
      <c r="A2810" t="s">
        <v>37</v>
      </c>
      <c r="B2810">
        <v>96321</v>
      </c>
      <c r="C2810" s="1">
        <v>2</v>
      </c>
      <c r="D2810" t="s">
        <v>38</v>
      </c>
      <c r="E2810" s="7">
        <v>0.71</v>
      </c>
      <c r="F2810" s="2">
        <v>0.11</v>
      </c>
      <c r="G2810" s="7">
        <v>0.64</v>
      </c>
      <c r="H2810" s="9" t="s">
        <v>27</v>
      </c>
      <c r="I2810">
        <v>0.51</v>
      </c>
      <c r="J2810">
        <v>0.98</v>
      </c>
      <c r="K2810">
        <v>0.12</v>
      </c>
      <c r="L2810">
        <v>0.41</v>
      </c>
      <c r="M2810">
        <v>0.33</v>
      </c>
      <c r="N2810">
        <v>0.52</v>
      </c>
      <c r="O2810">
        <v>0.63</v>
      </c>
      <c r="P2810">
        <v>0.66</v>
      </c>
      <c r="Q2810">
        <v>0</v>
      </c>
      <c r="R2810" s="2">
        <v>0.09</v>
      </c>
      <c r="S2810" t="str">
        <f>IF(Table1[[#This Row],[Years_Experience]]&lt;=5,"Early Career",
IF(Table1[[#This Row],[Years_Experience]]&lt;=15,"Mid Career","Senior Level"))</f>
        <v>Early Career</v>
      </c>
      <c r="T2810" t="str">
        <f>IF(Table1[[#This Row],[AI_Exposure_Index]]&gt;=0.7,"High Exposure", IF(Table1[[#This Row],[AI_Exposure_Index]]&gt;=0.3,"Medium Exposure","Low Exposure"))</f>
        <v>Low Exposure</v>
      </c>
    </row>
    <row r="2811" spans="1:20" x14ac:dyDescent="0.25">
      <c r="A2811" t="s">
        <v>26</v>
      </c>
      <c r="B2811">
        <v>94314</v>
      </c>
      <c r="C2811" s="1">
        <v>10</v>
      </c>
      <c r="D2811" t="s">
        <v>38</v>
      </c>
      <c r="E2811" s="7">
        <v>0.92</v>
      </c>
      <c r="F2811" s="2">
        <v>0.06</v>
      </c>
      <c r="G2811" s="7">
        <v>0.38</v>
      </c>
      <c r="H2811" s="9" t="s">
        <v>27</v>
      </c>
      <c r="I2811">
        <v>0.79</v>
      </c>
      <c r="J2811">
        <v>0.57999999999999996</v>
      </c>
      <c r="K2811">
        <v>0.36</v>
      </c>
      <c r="L2811">
        <v>0.28999999999999998</v>
      </c>
      <c r="M2811">
        <v>0.56000000000000005</v>
      </c>
      <c r="N2811">
        <v>0.43</v>
      </c>
      <c r="O2811">
        <v>0.06</v>
      </c>
      <c r="P2811">
        <v>0.67</v>
      </c>
      <c r="Q2811">
        <v>0.5</v>
      </c>
      <c r="R2811" s="2">
        <v>0.28000000000000003</v>
      </c>
      <c r="S2811" t="str">
        <f>IF(Table1[[#This Row],[Years_Experience]]&lt;=5,"Early Career",
IF(Table1[[#This Row],[Years_Experience]]&lt;=15,"Mid Career","Senior Level"))</f>
        <v>Mid Career</v>
      </c>
      <c r="T2811" t="str">
        <f>IF(Table1[[#This Row],[AI_Exposure_Index]]&gt;=0.7,"High Exposure", IF(Table1[[#This Row],[AI_Exposure_Index]]&gt;=0.3,"Medium Exposure","Low Exposure"))</f>
        <v>Low Exposure</v>
      </c>
    </row>
    <row r="2812" spans="1:20" x14ac:dyDescent="0.25">
      <c r="A2812" t="s">
        <v>41</v>
      </c>
      <c r="B2812">
        <v>72229</v>
      </c>
      <c r="C2812" s="1">
        <v>12</v>
      </c>
      <c r="D2812" t="s">
        <v>25</v>
      </c>
      <c r="E2812" s="7">
        <v>1.47</v>
      </c>
      <c r="F2812" s="2">
        <v>0.38</v>
      </c>
      <c r="G2812" s="7">
        <v>0.88</v>
      </c>
      <c r="H2812" s="9" t="s">
        <v>20</v>
      </c>
      <c r="I2812">
        <v>0.69</v>
      </c>
      <c r="J2812">
        <v>0.23</v>
      </c>
      <c r="K2812">
        <v>0.56000000000000005</v>
      </c>
      <c r="L2812">
        <v>0.36</v>
      </c>
      <c r="M2812">
        <v>0.24</v>
      </c>
      <c r="N2812">
        <v>0.9</v>
      </c>
      <c r="O2812">
        <v>0.38</v>
      </c>
      <c r="P2812">
        <v>0.28000000000000003</v>
      </c>
      <c r="Q2812">
        <v>0.93</v>
      </c>
      <c r="R2812" s="2">
        <v>0.2</v>
      </c>
      <c r="S2812" t="str">
        <f>IF(Table1[[#This Row],[Years_Experience]]&lt;=5,"Early Career",
IF(Table1[[#This Row],[Years_Experience]]&lt;=15,"Mid Career","Senior Level"))</f>
        <v>Mid Career</v>
      </c>
      <c r="T2812" t="str">
        <f>IF(Table1[[#This Row],[AI_Exposure_Index]]&gt;=0.7,"High Exposure", IF(Table1[[#This Row],[AI_Exposure_Index]]&gt;=0.3,"Medium Exposure","Low Exposure"))</f>
        <v>Medium Exposure</v>
      </c>
    </row>
    <row r="2813" spans="1:20" x14ac:dyDescent="0.25">
      <c r="A2813" t="s">
        <v>42</v>
      </c>
      <c r="B2813">
        <v>121842</v>
      </c>
      <c r="C2813" s="1">
        <v>3</v>
      </c>
      <c r="D2813" t="s">
        <v>19</v>
      </c>
      <c r="E2813" s="7">
        <v>1.42</v>
      </c>
      <c r="F2813" s="2">
        <v>0.65</v>
      </c>
      <c r="G2813" s="7">
        <v>0.63</v>
      </c>
      <c r="H2813" s="9" t="s">
        <v>27</v>
      </c>
      <c r="I2813">
        <v>0.71</v>
      </c>
      <c r="J2813">
        <v>0.31</v>
      </c>
      <c r="K2813">
        <v>0.5</v>
      </c>
      <c r="L2813">
        <v>0.94</v>
      </c>
      <c r="M2813">
        <v>0.02</v>
      </c>
      <c r="N2813">
        <v>0.79</v>
      </c>
      <c r="O2813">
        <v>0.25</v>
      </c>
      <c r="P2813">
        <v>0.19</v>
      </c>
      <c r="Q2813">
        <v>0.23</v>
      </c>
      <c r="R2813" s="2">
        <v>0.06</v>
      </c>
      <c r="S2813" t="str">
        <f>IF(Table1[[#This Row],[Years_Experience]]&lt;=5,"Early Career",
IF(Table1[[#This Row],[Years_Experience]]&lt;=15,"Mid Career","Senior Level"))</f>
        <v>Early Career</v>
      </c>
      <c r="T2813" t="str">
        <f>IF(Table1[[#This Row],[AI_Exposure_Index]]&gt;=0.7,"High Exposure", IF(Table1[[#This Row],[AI_Exposure_Index]]&gt;=0.3,"Medium Exposure","Low Exposure"))</f>
        <v>Medium Exposure</v>
      </c>
    </row>
    <row r="2814" spans="1:20" x14ac:dyDescent="0.25">
      <c r="A2814" t="s">
        <v>18</v>
      </c>
      <c r="B2814">
        <v>55564</v>
      </c>
      <c r="C2814" s="1">
        <v>25</v>
      </c>
      <c r="D2814" t="s">
        <v>25</v>
      </c>
      <c r="E2814" s="7">
        <v>1.02</v>
      </c>
      <c r="F2814" s="2">
        <v>0.87</v>
      </c>
      <c r="G2814" s="7">
        <v>0.88</v>
      </c>
      <c r="H2814" s="9" t="s">
        <v>20</v>
      </c>
      <c r="I2814">
        <v>0.56000000000000005</v>
      </c>
      <c r="J2814">
        <v>0.81</v>
      </c>
      <c r="K2814">
        <v>0.84</v>
      </c>
      <c r="L2814">
        <v>0.23</v>
      </c>
      <c r="M2814">
        <v>0.46</v>
      </c>
      <c r="N2814">
        <v>0.63</v>
      </c>
      <c r="O2814">
        <v>0.98</v>
      </c>
      <c r="P2814">
        <v>0.68</v>
      </c>
      <c r="Q2814">
        <v>0.9</v>
      </c>
      <c r="R2814" s="2">
        <v>0.85</v>
      </c>
      <c r="S2814" t="str">
        <f>IF(Table1[[#This Row],[Years_Experience]]&lt;=5,"Early Career",
IF(Table1[[#This Row],[Years_Experience]]&lt;=15,"Mid Career","Senior Level"))</f>
        <v>Senior Level</v>
      </c>
      <c r="T2814" t="str">
        <f>IF(Table1[[#This Row],[AI_Exposure_Index]]&gt;=0.7,"High Exposure", IF(Table1[[#This Row],[AI_Exposure_Index]]&gt;=0.3,"Medium Exposure","Low Exposure"))</f>
        <v>High Exposure</v>
      </c>
    </row>
    <row r="2815" spans="1:20" x14ac:dyDescent="0.25">
      <c r="A2815" t="s">
        <v>35</v>
      </c>
      <c r="B2815">
        <v>35555</v>
      </c>
      <c r="C2815" s="1">
        <v>4</v>
      </c>
      <c r="D2815" t="s">
        <v>38</v>
      </c>
      <c r="E2815" s="7">
        <v>0.88</v>
      </c>
      <c r="F2815" s="2">
        <v>0.89</v>
      </c>
      <c r="G2815" s="7">
        <v>0.45</v>
      </c>
      <c r="H2815" s="9" t="s">
        <v>27</v>
      </c>
      <c r="I2815">
        <v>0.78</v>
      </c>
      <c r="J2815">
        <v>0.13</v>
      </c>
      <c r="K2815">
        <v>0.31</v>
      </c>
      <c r="L2815">
        <v>0.61</v>
      </c>
      <c r="M2815">
        <v>0.42</v>
      </c>
      <c r="N2815">
        <v>0.94</v>
      </c>
      <c r="O2815">
        <v>0.96</v>
      </c>
      <c r="P2815">
        <v>0.5</v>
      </c>
      <c r="Q2815">
        <v>0.54</v>
      </c>
      <c r="R2815" s="2">
        <v>0.72</v>
      </c>
      <c r="S2815" t="str">
        <f>IF(Table1[[#This Row],[Years_Experience]]&lt;=5,"Early Career",
IF(Table1[[#This Row],[Years_Experience]]&lt;=15,"Mid Career","Senior Level"))</f>
        <v>Early Career</v>
      </c>
      <c r="T2815" t="str">
        <f>IF(Table1[[#This Row],[AI_Exposure_Index]]&gt;=0.7,"High Exposure", IF(Table1[[#This Row],[AI_Exposure_Index]]&gt;=0.3,"Medium Exposure","Low Exposure"))</f>
        <v>High Exposure</v>
      </c>
    </row>
    <row r="2816" spans="1:20" x14ac:dyDescent="0.25">
      <c r="A2816" t="s">
        <v>37</v>
      </c>
      <c r="B2816">
        <v>116134</v>
      </c>
      <c r="C2816" s="1">
        <v>9</v>
      </c>
      <c r="D2816" t="s">
        <v>22</v>
      </c>
      <c r="E2816" s="7">
        <v>1.25</v>
      </c>
      <c r="F2816" s="2">
        <v>0.19</v>
      </c>
      <c r="G2816" s="7">
        <v>0.6</v>
      </c>
      <c r="H2816" s="9" t="s">
        <v>27</v>
      </c>
      <c r="I2816">
        <v>0.24</v>
      </c>
      <c r="J2816">
        <v>0.83</v>
      </c>
      <c r="K2816">
        <v>0.61</v>
      </c>
      <c r="L2816">
        <v>0.24</v>
      </c>
      <c r="M2816">
        <v>0.65</v>
      </c>
      <c r="N2816">
        <v>0.23</v>
      </c>
      <c r="O2816">
        <v>0.27</v>
      </c>
      <c r="P2816">
        <v>0.85</v>
      </c>
      <c r="Q2816">
        <v>0.93</v>
      </c>
      <c r="R2816" s="2">
        <v>0.26</v>
      </c>
      <c r="S2816" t="str">
        <f>IF(Table1[[#This Row],[Years_Experience]]&lt;=5,"Early Career",
IF(Table1[[#This Row],[Years_Experience]]&lt;=15,"Mid Career","Senior Level"))</f>
        <v>Mid Career</v>
      </c>
      <c r="T2816" t="str">
        <f>IF(Table1[[#This Row],[AI_Exposure_Index]]&gt;=0.7,"High Exposure", IF(Table1[[#This Row],[AI_Exposure_Index]]&gt;=0.3,"Medium Exposure","Low Exposure"))</f>
        <v>Low Exposure</v>
      </c>
    </row>
    <row r="2817" spans="1:20" x14ac:dyDescent="0.25">
      <c r="A2817" t="s">
        <v>18</v>
      </c>
      <c r="B2817">
        <v>79326</v>
      </c>
      <c r="C2817" s="1">
        <v>16</v>
      </c>
      <c r="D2817" t="s">
        <v>22</v>
      </c>
      <c r="E2817" s="7">
        <v>0.62</v>
      </c>
      <c r="F2817" s="2">
        <v>0.24</v>
      </c>
      <c r="G2817" s="7">
        <v>0.71</v>
      </c>
      <c r="H2817" s="9" t="s">
        <v>20</v>
      </c>
      <c r="I2817">
        <v>0.24</v>
      </c>
      <c r="J2817">
        <v>0.39</v>
      </c>
      <c r="K2817">
        <v>0.93</v>
      </c>
      <c r="L2817">
        <v>0.24</v>
      </c>
      <c r="M2817">
        <v>0.37</v>
      </c>
      <c r="N2817">
        <v>0.73</v>
      </c>
      <c r="O2817">
        <v>0.3</v>
      </c>
      <c r="P2817">
        <v>0.68</v>
      </c>
      <c r="Q2817">
        <v>0.43</v>
      </c>
      <c r="R2817" s="2">
        <v>0.2</v>
      </c>
      <c r="S2817" t="str">
        <f>IF(Table1[[#This Row],[Years_Experience]]&lt;=5,"Early Career",
IF(Table1[[#This Row],[Years_Experience]]&lt;=15,"Mid Career","Senior Level"))</f>
        <v>Senior Level</v>
      </c>
      <c r="T2817" t="str">
        <f>IF(Table1[[#This Row],[AI_Exposure_Index]]&gt;=0.7,"High Exposure", IF(Table1[[#This Row],[AI_Exposure_Index]]&gt;=0.3,"Medium Exposure","Low Exposure"))</f>
        <v>Low Exposure</v>
      </c>
    </row>
    <row r="2818" spans="1:20" x14ac:dyDescent="0.25">
      <c r="A2818" t="s">
        <v>28</v>
      </c>
      <c r="B2818">
        <v>114141</v>
      </c>
      <c r="C2818" s="1">
        <v>22</v>
      </c>
      <c r="D2818" t="s">
        <v>19</v>
      </c>
      <c r="E2818" s="7">
        <v>0.79</v>
      </c>
      <c r="F2818" s="2">
        <v>0.03</v>
      </c>
      <c r="G2818" s="7">
        <v>0.44</v>
      </c>
      <c r="H2818" s="9" t="s">
        <v>27</v>
      </c>
      <c r="I2818">
        <v>0.46</v>
      </c>
      <c r="J2818">
        <v>0.68</v>
      </c>
      <c r="K2818">
        <v>0.46</v>
      </c>
      <c r="L2818">
        <v>0.59</v>
      </c>
      <c r="M2818">
        <v>0.6</v>
      </c>
      <c r="N2818">
        <v>0.37</v>
      </c>
      <c r="O2818">
        <v>0.93</v>
      </c>
      <c r="P2818">
        <v>0.96</v>
      </c>
      <c r="Q2818">
        <v>0.57999999999999996</v>
      </c>
      <c r="R2818" s="2">
        <v>7.0000000000000007E-2</v>
      </c>
      <c r="S2818" t="str">
        <f>IF(Table1[[#This Row],[Years_Experience]]&lt;=5,"Early Career",
IF(Table1[[#This Row],[Years_Experience]]&lt;=15,"Mid Career","Senior Level"))</f>
        <v>Senior Level</v>
      </c>
      <c r="T2818" t="str">
        <f>IF(Table1[[#This Row],[AI_Exposure_Index]]&gt;=0.7,"High Exposure", IF(Table1[[#This Row],[AI_Exposure_Index]]&gt;=0.3,"Medium Exposure","Low Exposure"))</f>
        <v>Low Exposure</v>
      </c>
    </row>
    <row r="2819" spans="1:20" x14ac:dyDescent="0.25">
      <c r="A2819" t="s">
        <v>42</v>
      </c>
      <c r="B2819">
        <v>65120</v>
      </c>
      <c r="C2819" s="1">
        <v>7</v>
      </c>
      <c r="D2819" t="s">
        <v>38</v>
      </c>
      <c r="E2819" s="7">
        <v>0.98</v>
      </c>
      <c r="F2819" s="2">
        <v>0.18</v>
      </c>
      <c r="G2819" s="7">
        <v>0.38</v>
      </c>
      <c r="H2819" s="9" t="s">
        <v>27</v>
      </c>
      <c r="I2819">
        <v>0.7</v>
      </c>
      <c r="J2819">
        <v>0.08</v>
      </c>
      <c r="K2819">
        <v>0.95</v>
      </c>
      <c r="L2819">
        <v>0.2</v>
      </c>
      <c r="M2819">
        <v>0.66</v>
      </c>
      <c r="N2819">
        <v>0.92</v>
      </c>
      <c r="O2819">
        <v>0.25</v>
      </c>
      <c r="P2819">
        <v>0.93</v>
      </c>
      <c r="Q2819">
        <v>0.39</v>
      </c>
      <c r="R2819" s="2">
        <v>0.96</v>
      </c>
      <c r="S2819" t="str">
        <f>IF(Table1[[#This Row],[Years_Experience]]&lt;=5,"Early Career",
IF(Table1[[#This Row],[Years_Experience]]&lt;=15,"Mid Career","Senior Level"))</f>
        <v>Mid Career</v>
      </c>
      <c r="T2819" t="str">
        <f>IF(Table1[[#This Row],[AI_Exposure_Index]]&gt;=0.7,"High Exposure", IF(Table1[[#This Row],[AI_Exposure_Index]]&gt;=0.3,"Medium Exposure","Low Exposure"))</f>
        <v>Low Exposure</v>
      </c>
    </row>
    <row r="2820" spans="1:20" x14ac:dyDescent="0.25">
      <c r="A2820" t="s">
        <v>29</v>
      </c>
      <c r="B2820">
        <v>115317</v>
      </c>
      <c r="C2820" s="1">
        <v>0</v>
      </c>
      <c r="D2820" t="s">
        <v>19</v>
      </c>
      <c r="E2820" s="7">
        <v>1.33</v>
      </c>
      <c r="F2820" s="2">
        <v>0.19</v>
      </c>
      <c r="G2820" s="7">
        <v>0.1</v>
      </c>
      <c r="H2820" s="9" t="s">
        <v>23</v>
      </c>
      <c r="I2820">
        <v>0.23</v>
      </c>
      <c r="J2820">
        <v>0.08</v>
      </c>
      <c r="K2820">
        <v>0.16</v>
      </c>
      <c r="L2820">
        <v>0.63</v>
      </c>
      <c r="M2820">
        <v>0.45</v>
      </c>
      <c r="N2820">
        <v>0.79</v>
      </c>
      <c r="O2820">
        <v>0.33</v>
      </c>
      <c r="P2820">
        <v>0.97</v>
      </c>
      <c r="Q2820">
        <v>0.05</v>
      </c>
      <c r="R2820" s="2">
        <v>0.06</v>
      </c>
      <c r="S2820" t="str">
        <f>IF(Table1[[#This Row],[Years_Experience]]&lt;=5,"Early Career",
IF(Table1[[#This Row],[Years_Experience]]&lt;=15,"Mid Career","Senior Level"))</f>
        <v>Early Career</v>
      </c>
      <c r="T2820" t="str">
        <f>IF(Table1[[#This Row],[AI_Exposure_Index]]&gt;=0.7,"High Exposure", IF(Table1[[#This Row],[AI_Exposure_Index]]&gt;=0.3,"Medium Exposure","Low Exposure"))</f>
        <v>Low Exposure</v>
      </c>
    </row>
    <row r="2821" spans="1:20" x14ac:dyDescent="0.25">
      <c r="A2821" t="s">
        <v>40</v>
      </c>
      <c r="B2821">
        <v>115564</v>
      </c>
      <c r="C2821" s="1">
        <v>7</v>
      </c>
      <c r="D2821" t="s">
        <v>22</v>
      </c>
      <c r="E2821" s="7">
        <v>1.3</v>
      </c>
      <c r="F2821" s="2">
        <v>0.89</v>
      </c>
      <c r="G2821" s="7">
        <v>0.17</v>
      </c>
      <c r="H2821" s="9" t="s">
        <v>23</v>
      </c>
      <c r="I2821">
        <v>0.27</v>
      </c>
      <c r="J2821">
        <v>0.01</v>
      </c>
      <c r="K2821">
        <v>0.51</v>
      </c>
      <c r="L2821">
        <v>0.48</v>
      </c>
      <c r="M2821">
        <v>0.34</v>
      </c>
      <c r="N2821">
        <v>0.57999999999999996</v>
      </c>
      <c r="O2821">
        <v>0.73</v>
      </c>
      <c r="P2821">
        <v>0.7</v>
      </c>
      <c r="Q2821">
        <v>0.26</v>
      </c>
      <c r="R2821" s="2">
        <v>0.59</v>
      </c>
      <c r="S2821" t="str">
        <f>IF(Table1[[#This Row],[Years_Experience]]&lt;=5,"Early Career",
IF(Table1[[#This Row],[Years_Experience]]&lt;=15,"Mid Career","Senior Level"))</f>
        <v>Mid Career</v>
      </c>
      <c r="T2821" t="str">
        <f>IF(Table1[[#This Row],[AI_Exposure_Index]]&gt;=0.7,"High Exposure", IF(Table1[[#This Row],[AI_Exposure_Index]]&gt;=0.3,"Medium Exposure","Low Exposure"))</f>
        <v>High Exposure</v>
      </c>
    </row>
    <row r="2822" spans="1:20" x14ac:dyDescent="0.25">
      <c r="A2822" t="s">
        <v>34</v>
      </c>
      <c r="B2822">
        <v>35504</v>
      </c>
      <c r="C2822" s="1">
        <v>14</v>
      </c>
      <c r="D2822" t="s">
        <v>38</v>
      </c>
      <c r="E2822" s="7">
        <v>1.29</v>
      </c>
      <c r="F2822" s="2">
        <v>0.12</v>
      </c>
      <c r="G2822" s="7">
        <v>0.57999999999999996</v>
      </c>
      <c r="H2822" s="9" t="s">
        <v>27</v>
      </c>
      <c r="I2822">
        <v>0.77</v>
      </c>
      <c r="J2822">
        <v>0.15</v>
      </c>
      <c r="K2822">
        <v>0.91</v>
      </c>
      <c r="L2822">
        <v>0.13</v>
      </c>
      <c r="M2822">
        <v>0.87</v>
      </c>
      <c r="N2822">
        <v>0.35</v>
      </c>
      <c r="O2822">
        <v>0.11</v>
      </c>
      <c r="P2822">
        <v>0.28999999999999998</v>
      </c>
      <c r="Q2822">
        <v>0.18</v>
      </c>
      <c r="R2822" s="2">
        <v>0.49</v>
      </c>
      <c r="S2822" t="str">
        <f>IF(Table1[[#This Row],[Years_Experience]]&lt;=5,"Early Career",
IF(Table1[[#This Row],[Years_Experience]]&lt;=15,"Mid Career","Senior Level"))</f>
        <v>Mid Career</v>
      </c>
      <c r="T2822" t="str">
        <f>IF(Table1[[#This Row],[AI_Exposure_Index]]&gt;=0.7,"High Exposure", IF(Table1[[#This Row],[AI_Exposure_Index]]&gt;=0.3,"Medium Exposure","Low Exposure"))</f>
        <v>Low Exposure</v>
      </c>
    </row>
    <row r="2823" spans="1:20" x14ac:dyDescent="0.25">
      <c r="A2823" t="s">
        <v>35</v>
      </c>
      <c r="B2823">
        <v>63489</v>
      </c>
      <c r="C2823" s="1">
        <v>20</v>
      </c>
      <c r="D2823" t="s">
        <v>22</v>
      </c>
      <c r="E2823" s="7">
        <v>1.1100000000000001</v>
      </c>
      <c r="F2823" s="2">
        <v>0.33</v>
      </c>
      <c r="G2823" s="7">
        <v>0.66</v>
      </c>
      <c r="H2823" s="9" t="s">
        <v>27</v>
      </c>
      <c r="I2823">
        <v>0.63</v>
      </c>
      <c r="J2823">
        <v>0.36</v>
      </c>
      <c r="K2823">
        <v>0.99</v>
      </c>
      <c r="L2823">
        <v>0.19</v>
      </c>
      <c r="M2823">
        <v>0.52</v>
      </c>
      <c r="N2823">
        <v>0.8</v>
      </c>
      <c r="O2823">
        <v>0</v>
      </c>
      <c r="P2823">
        <v>0.7</v>
      </c>
      <c r="Q2823">
        <v>0.27</v>
      </c>
      <c r="R2823" s="2">
        <v>0.17</v>
      </c>
      <c r="S2823" t="str">
        <f>IF(Table1[[#This Row],[Years_Experience]]&lt;=5,"Early Career",
IF(Table1[[#This Row],[Years_Experience]]&lt;=15,"Mid Career","Senior Level"))</f>
        <v>Senior Level</v>
      </c>
      <c r="T2823" t="str">
        <f>IF(Table1[[#This Row],[AI_Exposure_Index]]&gt;=0.7,"High Exposure", IF(Table1[[#This Row],[AI_Exposure_Index]]&gt;=0.3,"Medium Exposure","Low Exposure"))</f>
        <v>Medium Exposure</v>
      </c>
    </row>
    <row r="2824" spans="1:20" x14ac:dyDescent="0.25">
      <c r="A2824" t="s">
        <v>31</v>
      </c>
      <c r="B2824">
        <v>135390</v>
      </c>
      <c r="C2824" s="1">
        <v>18</v>
      </c>
      <c r="D2824" t="s">
        <v>22</v>
      </c>
      <c r="E2824" s="7">
        <v>1.39</v>
      </c>
      <c r="F2824" s="2">
        <v>0.97</v>
      </c>
      <c r="G2824" s="7">
        <v>0.1</v>
      </c>
      <c r="H2824" s="9" t="s">
        <v>23</v>
      </c>
      <c r="I2824">
        <v>0.12</v>
      </c>
      <c r="J2824">
        <v>0.36</v>
      </c>
      <c r="K2824">
        <v>0.59</v>
      </c>
      <c r="L2824">
        <v>0.87</v>
      </c>
      <c r="M2824">
        <v>0.97</v>
      </c>
      <c r="N2824">
        <v>0.75</v>
      </c>
      <c r="O2824">
        <v>0.6</v>
      </c>
      <c r="P2824">
        <v>0.14000000000000001</v>
      </c>
      <c r="Q2824">
        <v>7.0000000000000007E-2</v>
      </c>
      <c r="R2824" s="2">
        <v>0.6</v>
      </c>
      <c r="S2824" t="str">
        <f>IF(Table1[[#This Row],[Years_Experience]]&lt;=5,"Early Career",
IF(Table1[[#This Row],[Years_Experience]]&lt;=15,"Mid Career","Senior Level"))</f>
        <v>Senior Level</v>
      </c>
      <c r="T2824" t="str">
        <f>IF(Table1[[#This Row],[AI_Exposure_Index]]&gt;=0.7,"High Exposure", IF(Table1[[#This Row],[AI_Exposure_Index]]&gt;=0.3,"Medium Exposure","Low Exposure"))</f>
        <v>High Exposure</v>
      </c>
    </row>
    <row r="2825" spans="1:20" x14ac:dyDescent="0.25">
      <c r="A2825" t="s">
        <v>31</v>
      </c>
      <c r="B2825">
        <v>36902</v>
      </c>
      <c r="C2825" s="1">
        <v>13</v>
      </c>
      <c r="D2825" t="s">
        <v>19</v>
      </c>
      <c r="E2825" s="7">
        <v>0.82</v>
      </c>
      <c r="F2825" s="2">
        <v>0.85</v>
      </c>
      <c r="G2825" s="7">
        <v>0.06</v>
      </c>
      <c r="H2825" s="9" t="s">
        <v>23</v>
      </c>
      <c r="I2825">
        <v>0.42</v>
      </c>
      <c r="J2825">
        <v>0.97</v>
      </c>
      <c r="K2825">
        <v>0.8</v>
      </c>
      <c r="L2825">
        <v>0.03</v>
      </c>
      <c r="M2825">
        <v>0.87</v>
      </c>
      <c r="N2825">
        <v>0.47</v>
      </c>
      <c r="O2825">
        <v>0.36</v>
      </c>
      <c r="P2825">
        <v>0.35</v>
      </c>
      <c r="Q2825">
        <v>0.6</v>
      </c>
      <c r="R2825" s="2">
        <v>0.53</v>
      </c>
      <c r="S2825" t="str">
        <f>IF(Table1[[#This Row],[Years_Experience]]&lt;=5,"Early Career",
IF(Table1[[#This Row],[Years_Experience]]&lt;=15,"Mid Career","Senior Level"))</f>
        <v>Mid Career</v>
      </c>
      <c r="T2825" t="str">
        <f>IF(Table1[[#This Row],[AI_Exposure_Index]]&gt;=0.7,"High Exposure", IF(Table1[[#This Row],[AI_Exposure_Index]]&gt;=0.3,"Medium Exposure","Low Exposure"))</f>
        <v>High Exposure</v>
      </c>
    </row>
    <row r="2826" spans="1:20" x14ac:dyDescent="0.25">
      <c r="A2826" t="s">
        <v>41</v>
      </c>
      <c r="B2826">
        <v>77373</v>
      </c>
      <c r="C2826" s="1">
        <v>29</v>
      </c>
      <c r="D2826" t="s">
        <v>25</v>
      </c>
      <c r="E2826" s="7">
        <v>0.64</v>
      </c>
      <c r="F2826" s="2">
        <v>0.56999999999999995</v>
      </c>
      <c r="G2826" s="7">
        <v>0.76</v>
      </c>
      <c r="H2826" s="9" t="s">
        <v>20</v>
      </c>
      <c r="I2826">
        <v>0.84</v>
      </c>
      <c r="J2826">
        <v>0.66</v>
      </c>
      <c r="K2826">
        <v>0.45</v>
      </c>
      <c r="L2826">
        <v>0.18</v>
      </c>
      <c r="M2826">
        <v>0.01</v>
      </c>
      <c r="N2826">
        <v>0.31</v>
      </c>
      <c r="O2826">
        <v>0.05</v>
      </c>
      <c r="P2826">
        <v>0.48</v>
      </c>
      <c r="Q2826">
        <v>0.82</v>
      </c>
      <c r="R2826" s="2">
        <v>0.28999999999999998</v>
      </c>
      <c r="S2826" t="str">
        <f>IF(Table1[[#This Row],[Years_Experience]]&lt;=5,"Early Career",
IF(Table1[[#This Row],[Years_Experience]]&lt;=15,"Mid Career","Senior Level"))</f>
        <v>Senior Level</v>
      </c>
      <c r="T2826" t="str">
        <f>IF(Table1[[#This Row],[AI_Exposure_Index]]&gt;=0.7,"High Exposure", IF(Table1[[#This Row],[AI_Exposure_Index]]&gt;=0.3,"Medium Exposure","Low Exposure"))</f>
        <v>Medium Exposure</v>
      </c>
    </row>
    <row r="2827" spans="1:20" x14ac:dyDescent="0.25">
      <c r="A2827" t="s">
        <v>31</v>
      </c>
      <c r="B2827">
        <v>57309</v>
      </c>
      <c r="C2827" s="1">
        <v>16</v>
      </c>
      <c r="D2827" t="s">
        <v>22</v>
      </c>
      <c r="E2827" s="7">
        <v>0.63</v>
      </c>
      <c r="F2827" s="2">
        <v>0.7</v>
      </c>
      <c r="G2827" s="7">
        <v>0.21</v>
      </c>
      <c r="H2827" s="9" t="s">
        <v>23</v>
      </c>
      <c r="I2827">
        <v>0.15</v>
      </c>
      <c r="J2827">
        <v>0.65</v>
      </c>
      <c r="K2827">
        <v>0.14000000000000001</v>
      </c>
      <c r="L2827">
        <v>0.39</v>
      </c>
      <c r="M2827">
        <v>0.56999999999999995</v>
      </c>
      <c r="N2827">
        <v>0.05</v>
      </c>
      <c r="O2827">
        <v>0.15</v>
      </c>
      <c r="P2827">
        <v>0.32</v>
      </c>
      <c r="Q2827">
        <v>0.46</v>
      </c>
      <c r="R2827" s="2">
        <v>0.86</v>
      </c>
      <c r="S2827" t="str">
        <f>IF(Table1[[#This Row],[Years_Experience]]&lt;=5,"Early Career",
IF(Table1[[#This Row],[Years_Experience]]&lt;=15,"Mid Career","Senior Level"))</f>
        <v>Senior Level</v>
      </c>
      <c r="T2827" t="str">
        <f>IF(Table1[[#This Row],[AI_Exposure_Index]]&gt;=0.7,"High Exposure", IF(Table1[[#This Row],[AI_Exposure_Index]]&gt;=0.3,"Medium Exposure","Low Exposure"))</f>
        <v>High Exposure</v>
      </c>
    </row>
    <row r="2828" spans="1:20" x14ac:dyDescent="0.25">
      <c r="A2828" t="s">
        <v>29</v>
      </c>
      <c r="B2828">
        <v>104010</v>
      </c>
      <c r="C2828" s="1">
        <v>16</v>
      </c>
      <c r="D2828" t="s">
        <v>19</v>
      </c>
      <c r="E2828" s="7">
        <v>0.98</v>
      </c>
      <c r="F2828" s="2">
        <v>0.35</v>
      </c>
      <c r="G2828" s="7">
        <v>0.12</v>
      </c>
      <c r="H2828" s="9" t="s">
        <v>23</v>
      </c>
      <c r="I2828">
        <v>0.63</v>
      </c>
      <c r="J2828">
        <v>0.26</v>
      </c>
      <c r="K2828">
        <v>0.77</v>
      </c>
      <c r="L2828">
        <v>0.51</v>
      </c>
      <c r="M2828">
        <v>0.09</v>
      </c>
      <c r="N2828">
        <v>0.63</v>
      </c>
      <c r="O2828">
        <v>0.56999999999999995</v>
      </c>
      <c r="P2828">
        <v>0.34</v>
      </c>
      <c r="Q2828">
        <v>0.01</v>
      </c>
      <c r="R2828" s="2">
        <v>0.2</v>
      </c>
      <c r="S2828" t="str">
        <f>IF(Table1[[#This Row],[Years_Experience]]&lt;=5,"Early Career",
IF(Table1[[#This Row],[Years_Experience]]&lt;=15,"Mid Career","Senior Level"))</f>
        <v>Senior Level</v>
      </c>
      <c r="T2828" t="str">
        <f>IF(Table1[[#This Row],[AI_Exposure_Index]]&gt;=0.7,"High Exposure", IF(Table1[[#This Row],[AI_Exposure_Index]]&gt;=0.3,"Medium Exposure","Low Exposure"))</f>
        <v>Medium Exposure</v>
      </c>
    </row>
    <row r="2829" spans="1:20" x14ac:dyDescent="0.25">
      <c r="A2829" t="s">
        <v>36</v>
      </c>
      <c r="B2829">
        <v>68011</v>
      </c>
      <c r="C2829" s="1">
        <v>25</v>
      </c>
      <c r="D2829" t="s">
        <v>19</v>
      </c>
      <c r="E2829" s="7">
        <v>1.08</v>
      </c>
      <c r="F2829" s="2">
        <v>0.2</v>
      </c>
      <c r="G2829" s="7">
        <v>0.57999999999999996</v>
      </c>
      <c r="H2829" s="9" t="s">
        <v>27</v>
      </c>
      <c r="I2829">
        <v>0.86</v>
      </c>
      <c r="J2829">
        <v>0.65</v>
      </c>
      <c r="K2829">
        <v>0.69</v>
      </c>
      <c r="L2829">
        <v>0.61</v>
      </c>
      <c r="M2829">
        <v>0.99</v>
      </c>
      <c r="N2829">
        <v>0.26</v>
      </c>
      <c r="O2829">
        <v>0.27</v>
      </c>
      <c r="P2829">
        <v>0.13</v>
      </c>
      <c r="Q2829">
        <v>0.49</v>
      </c>
      <c r="R2829" s="2">
        <v>0.1</v>
      </c>
      <c r="S2829" t="str">
        <f>IF(Table1[[#This Row],[Years_Experience]]&lt;=5,"Early Career",
IF(Table1[[#This Row],[Years_Experience]]&lt;=15,"Mid Career","Senior Level"))</f>
        <v>Senior Level</v>
      </c>
      <c r="T2829" t="str">
        <f>IF(Table1[[#This Row],[AI_Exposure_Index]]&gt;=0.7,"High Exposure", IF(Table1[[#This Row],[AI_Exposure_Index]]&gt;=0.3,"Medium Exposure","Low Exposure"))</f>
        <v>Low Exposure</v>
      </c>
    </row>
    <row r="2830" spans="1:20" x14ac:dyDescent="0.25">
      <c r="A2830" t="s">
        <v>42</v>
      </c>
      <c r="B2830">
        <v>51460</v>
      </c>
      <c r="C2830" s="1">
        <v>8</v>
      </c>
      <c r="D2830" t="s">
        <v>25</v>
      </c>
      <c r="E2830" s="7">
        <v>1.46</v>
      </c>
      <c r="F2830" s="2">
        <v>0.48</v>
      </c>
      <c r="G2830" s="7">
        <v>0.69</v>
      </c>
      <c r="H2830" s="9" t="s">
        <v>27</v>
      </c>
      <c r="I2830">
        <v>0.74</v>
      </c>
      <c r="J2830">
        <v>0.39</v>
      </c>
      <c r="K2830">
        <v>0.87</v>
      </c>
      <c r="L2830">
        <v>0.88</v>
      </c>
      <c r="M2830">
        <v>0.91</v>
      </c>
      <c r="N2830">
        <v>0.64</v>
      </c>
      <c r="O2830">
        <v>0.2</v>
      </c>
      <c r="P2830">
        <v>0.09</v>
      </c>
      <c r="Q2830">
        <v>0.91</v>
      </c>
      <c r="R2830" s="2">
        <v>0.06</v>
      </c>
      <c r="S2830" t="str">
        <f>IF(Table1[[#This Row],[Years_Experience]]&lt;=5,"Early Career",
IF(Table1[[#This Row],[Years_Experience]]&lt;=15,"Mid Career","Senior Level"))</f>
        <v>Mid Career</v>
      </c>
      <c r="T2830" t="str">
        <f>IF(Table1[[#This Row],[AI_Exposure_Index]]&gt;=0.7,"High Exposure", IF(Table1[[#This Row],[AI_Exposure_Index]]&gt;=0.3,"Medium Exposure","Low Exposure"))</f>
        <v>Medium Exposure</v>
      </c>
    </row>
    <row r="2831" spans="1:20" x14ac:dyDescent="0.25">
      <c r="A2831" t="s">
        <v>37</v>
      </c>
      <c r="B2831">
        <v>125076</v>
      </c>
      <c r="C2831" s="1">
        <v>26</v>
      </c>
      <c r="D2831" t="s">
        <v>25</v>
      </c>
      <c r="E2831" s="7">
        <v>0.52</v>
      </c>
      <c r="F2831" s="2">
        <v>0.49</v>
      </c>
      <c r="G2831" s="7">
        <v>0.66</v>
      </c>
      <c r="H2831" s="9" t="s">
        <v>27</v>
      </c>
      <c r="I2831">
        <v>0.28999999999999998</v>
      </c>
      <c r="J2831">
        <v>0.03</v>
      </c>
      <c r="K2831">
        <v>0.99</v>
      </c>
      <c r="L2831">
        <v>0.31</v>
      </c>
      <c r="M2831">
        <v>0.88</v>
      </c>
      <c r="N2831">
        <v>0.45</v>
      </c>
      <c r="O2831">
        <v>0.66</v>
      </c>
      <c r="P2831">
        <v>0.24</v>
      </c>
      <c r="Q2831">
        <v>0.5</v>
      </c>
      <c r="R2831" s="2">
        <v>0.26</v>
      </c>
      <c r="S2831" t="str">
        <f>IF(Table1[[#This Row],[Years_Experience]]&lt;=5,"Early Career",
IF(Table1[[#This Row],[Years_Experience]]&lt;=15,"Mid Career","Senior Level"))</f>
        <v>Senior Level</v>
      </c>
      <c r="T2831" t="str">
        <f>IF(Table1[[#This Row],[AI_Exposure_Index]]&gt;=0.7,"High Exposure", IF(Table1[[#This Row],[AI_Exposure_Index]]&gt;=0.3,"Medium Exposure","Low Exposure"))</f>
        <v>Medium Exposure</v>
      </c>
    </row>
    <row r="2832" spans="1:20" x14ac:dyDescent="0.25">
      <c r="A2832" t="s">
        <v>33</v>
      </c>
      <c r="B2832">
        <v>45281</v>
      </c>
      <c r="C2832" s="1">
        <v>15</v>
      </c>
      <c r="D2832" t="s">
        <v>25</v>
      </c>
      <c r="E2832" s="7">
        <v>0.77</v>
      </c>
      <c r="F2832" s="2">
        <v>0.06</v>
      </c>
      <c r="G2832" s="7">
        <v>0.92</v>
      </c>
      <c r="H2832" s="9" t="s">
        <v>20</v>
      </c>
      <c r="I2832">
        <v>0.48</v>
      </c>
      <c r="J2832">
        <v>0.6</v>
      </c>
      <c r="K2832">
        <v>0.65</v>
      </c>
      <c r="L2832">
        <v>7.0000000000000007E-2</v>
      </c>
      <c r="M2832">
        <v>0.02</v>
      </c>
      <c r="N2832">
        <v>0.94</v>
      </c>
      <c r="O2832">
        <v>0.27</v>
      </c>
      <c r="P2832">
        <v>0.38</v>
      </c>
      <c r="Q2832">
        <v>0.68</v>
      </c>
      <c r="R2832" s="2">
        <v>0.24</v>
      </c>
      <c r="S2832" t="str">
        <f>IF(Table1[[#This Row],[Years_Experience]]&lt;=5,"Early Career",
IF(Table1[[#This Row],[Years_Experience]]&lt;=15,"Mid Career","Senior Level"))</f>
        <v>Mid Career</v>
      </c>
      <c r="T2832" t="str">
        <f>IF(Table1[[#This Row],[AI_Exposure_Index]]&gt;=0.7,"High Exposure", IF(Table1[[#This Row],[AI_Exposure_Index]]&gt;=0.3,"Medium Exposure","Low Exposure"))</f>
        <v>Low Exposure</v>
      </c>
    </row>
    <row r="2833" spans="1:20" x14ac:dyDescent="0.25">
      <c r="A2833" t="s">
        <v>33</v>
      </c>
      <c r="B2833">
        <v>67038</v>
      </c>
      <c r="C2833" s="1">
        <v>21</v>
      </c>
      <c r="D2833" t="s">
        <v>22</v>
      </c>
      <c r="E2833" s="7">
        <v>1.36</v>
      </c>
      <c r="F2833" s="2">
        <v>0.46</v>
      </c>
      <c r="G2833" s="7">
        <v>0.77</v>
      </c>
      <c r="H2833" s="9" t="s">
        <v>20</v>
      </c>
      <c r="I2833">
        <v>0.2</v>
      </c>
      <c r="J2833">
        <v>0.83</v>
      </c>
      <c r="K2833">
        <v>0.33</v>
      </c>
      <c r="L2833">
        <v>0.41</v>
      </c>
      <c r="M2833">
        <v>0.79</v>
      </c>
      <c r="N2833">
        <v>0.64</v>
      </c>
      <c r="O2833">
        <v>0.44</v>
      </c>
      <c r="P2833">
        <v>0.25</v>
      </c>
      <c r="Q2833">
        <v>0.76</v>
      </c>
      <c r="R2833" s="2">
        <v>0.18</v>
      </c>
      <c r="S2833" t="str">
        <f>IF(Table1[[#This Row],[Years_Experience]]&lt;=5,"Early Career",
IF(Table1[[#This Row],[Years_Experience]]&lt;=15,"Mid Career","Senior Level"))</f>
        <v>Senior Level</v>
      </c>
      <c r="T2833" t="str">
        <f>IF(Table1[[#This Row],[AI_Exposure_Index]]&gt;=0.7,"High Exposure", IF(Table1[[#This Row],[AI_Exposure_Index]]&gt;=0.3,"Medium Exposure","Low Exposure"))</f>
        <v>Medium Exposure</v>
      </c>
    </row>
    <row r="2834" spans="1:20" x14ac:dyDescent="0.25">
      <c r="A2834" t="s">
        <v>24</v>
      </c>
      <c r="B2834">
        <v>143472</v>
      </c>
      <c r="C2834" s="1">
        <v>12</v>
      </c>
      <c r="D2834" t="s">
        <v>38</v>
      </c>
      <c r="E2834" s="7">
        <v>1.3</v>
      </c>
      <c r="F2834" s="2">
        <v>0.15</v>
      </c>
      <c r="G2834" s="7">
        <v>0.81</v>
      </c>
      <c r="H2834" s="9" t="s">
        <v>20</v>
      </c>
      <c r="I2834">
        <v>0.19</v>
      </c>
      <c r="J2834">
        <v>0.4</v>
      </c>
      <c r="K2834">
        <v>0.22</v>
      </c>
      <c r="L2834">
        <v>0.14000000000000001</v>
      </c>
      <c r="M2834">
        <v>0.24</v>
      </c>
      <c r="N2834">
        <v>0.87</v>
      </c>
      <c r="O2834">
        <v>0.11</v>
      </c>
      <c r="P2834">
        <v>0.97</v>
      </c>
      <c r="Q2834">
        <v>0</v>
      </c>
      <c r="R2834" s="2">
        <v>0.66</v>
      </c>
      <c r="S2834" t="str">
        <f>IF(Table1[[#This Row],[Years_Experience]]&lt;=5,"Early Career",
IF(Table1[[#This Row],[Years_Experience]]&lt;=15,"Mid Career","Senior Level"))</f>
        <v>Mid Career</v>
      </c>
      <c r="T2834" t="str">
        <f>IF(Table1[[#This Row],[AI_Exposure_Index]]&gt;=0.7,"High Exposure", IF(Table1[[#This Row],[AI_Exposure_Index]]&gt;=0.3,"Medium Exposure","Low Exposure"))</f>
        <v>Low Exposure</v>
      </c>
    </row>
    <row r="2835" spans="1:20" x14ac:dyDescent="0.25">
      <c r="A2835" t="s">
        <v>26</v>
      </c>
      <c r="B2835">
        <v>54192</v>
      </c>
      <c r="C2835" s="1">
        <v>5</v>
      </c>
      <c r="D2835" t="s">
        <v>25</v>
      </c>
      <c r="E2835" s="7">
        <v>0.64</v>
      </c>
      <c r="F2835" s="2">
        <v>0.93</v>
      </c>
      <c r="G2835" s="7">
        <v>0.57999999999999996</v>
      </c>
      <c r="H2835" s="9" t="s">
        <v>27</v>
      </c>
      <c r="I2835">
        <v>0.11</v>
      </c>
      <c r="J2835">
        <v>0.35</v>
      </c>
      <c r="K2835">
        <v>0.73</v>
      </c>
      <c r="L2835">
        <v>0.35</v>
      </c>
      <c r="M2835">
        <v>0.31</v>
      </c>
      <c r="N2835">
        <v>0.12</v>
      </c>
      <c r="O2835">
        <v>7.0000000000000007E-2</v>
      </c>
      <c r="P2835">
        <v>0.12</v>
      </c>
      <c r="Q2835">
        <v>0.88</v>
      </c>
      <c r="R2835" s="2">
        <v>0.01</v>
      </c>
      <c r="S2835" t="str">
        <f>IF(Table1[[#This Row],[Years_Experience]]&lt;=5,"Early Career",
IF(Table1[[#This Row],[Years_Experience]]&lt;=15,"Mid Career","Senior Level"))</f>
        <v>Early Career</v>
      </c>
      <c r="T2835" t="str">
        <f>IF(Table1[[#This Row],[AI_Exposure_Index]]&gt;=0.7,"High Exposure", IF(Table1[[#This Row],[AI_Exposure_Index]]&gt;=0.3,"Medium Exposure","Low Exposure"))</f>
        <v>High Exposure</v>
      </c>
    </row>
    <row r="2836" spans="1:20" x14ac:dyDescent="0.25">
      <c r="A2836" t="s">
        <v>26</v>
      </c>
      <c r="B2836">
        <v>138614</v>
      </c>
      <c r="C2836" s="1">
        <v>29</v>
      </c>
      <c r="D2836" t="s">
        <v>19</v>
      </c>
      <c r="E2836" s="7">
        <v>1.07</v>
      </c>
      <c r="F2836" s="2">
        <v>0.77</v>
      </c>
      <c r="G2836" s="7">
        <v>0.59</v>
      </c>
      <c r="H2836" s="9" t="s">
        <v>27</v>
      </c>
      <c r="I2836">
        <v>0.65</v>
      </c>
      <c r="J2836">
        <v>0.46</v>
      </c>
      <c r="K2836">
        <v>0.38</v>
      </c>
      <c r="L2836">
        <v>0.94</v>
      </c>
      <c r="M2836">
        <v>0.97</v>
      </c>
      <c r="N2836">
        <v>0.65</v>
      </c>
      <c r="O2836">
        <v>0.2</v>
      </c>
      <c r="P2836">
        <v>0.45</v>
      </c>
      <c r="Q2836">
        <v>0.5</v>
      </c>
      <c r="R2836" s="2">
        <v>0.76</v>
      </c>
      <c r="S2836" t="str">
        <f>IF(Table1[[#This Row],[Years_Experience]]&lt;=5,"Early Career",
IF(Table1[[#This Row],[Years_Experience]]&lt;=15,"Mid Career","Senior Level"))</f>
        <v>Senior Level</v>
      </c>
      <c r="T2836" t="str">
        <f>IF(Table1[[#This Row],[AI_Exposure_Index]]&gt;=0.7,"High Exposure", IF(Table1[[#This Row],[AI_Exposure_Index]]&gt;=0.3,"Medium Exposure","Low Exposure"))</f>
        <v>High Exposure</v>
      </c>
    </row>
    <row r="2837" spans="1:20" x14ac:dyDescent="0.25">
      <c r="A2837" t="s">
        <v>30</v>
      </c>
      <c r="B2837">
        <v>124500</v>
      </c>
      <c r="C2837" s="1">
        <v>27</v>
      </c>
      <c r="D2837" t="s">
        <v>19</v>
      </c>
      <c r="E2837" s="7">
        <v>1.18</v>
      </c>
      <c r="F2837" s="2">
        <v>0.51</v>
      </c>
      <c r="G2837" s="7">
        <v>0.31</v>
      </c>
      <c r="H2837" s="9" t="s">
        <v>27</v>
      </c>
      <c r="I2837">
        <v>0.78</v>
      </c>
      <c r="J2837">
        <v>0.21</v>
      </c>
      <c r="K2837">
        <v>0.66</v>
      </c>
      <c r="L2837">
        <v>0.11</v>
      </c>
      <c r="M2837">
        <v>0.11</v>
      </c>
      <c r="N2837">
        <v>0.04</v>
      </c>
      <c r="O2837">
        <v>0.91</v>
      </c>
      <c r="P2837">
        <v>0.6</v>
      </c>
      <c r="Q2837">
        <v>0.36</v>
      </c>
      <c r="R2837" s="2">
        <v>0.79</v>
      </c>
      <c r="S2837" t="str">
        <f>IF(Table1[[#This Row],[Years_Experience]]&lt;=5,"Early Career",
IF(Table1[[#This Row],[Years_Experience]]&lt;=15,"Mid Career","Senior Level"))</f>
        <v>Senior Level</v>
      </c>
      <c r="T2837" t="str">
        <f>IF(Table1[[#This Row],[AI_Exposure_Index]]&gt;=0.7,"High Exposure", IF(Table1[[#This Row],[AI_Exposure_Index]]&gt;=0.3,"Medium Exposure","Low Exposure"))</f>
        <v>Medium Exposure</v>
      </c>
    </row>
    <row r="2838" spans="1:20" x14ac:dyDescent="0.25">
      <c r="A2838" t="s">
        <v>29</v>
      </c>
      <c r="B2838">
        <v>90486</v>
      </c>
      <c r="C2838" s="1">
        <v>8</v>
      </c>
      <c r="D2838" t="s">
        <v>19</v>
      </c>
      <c r="E2838" s="7">
        <v>0.99</v>
      </c>
      <c r="F2838" s="2">
        <v>0.62</v>
      </c>
      <c r="G2838" s="7">
        <v>0.05</v>
      </c>
      <c r="H2838" s="9" t="s">
        <v>23</v>
      </c>
      <c r="I2838">
        <v>0.26</v>
      </c>
      <c r="J2838">
        <v>0.11</v>
      </c>
      <c r="K2838">
        <v>0.66</v>
      </c>
      <c r="L2838">
        <v>0.25</v>
      </c>
      <c r="M2838">
        <v>0.45</v>
      </c>
      <c r="N2838">
        <v>0.35</v>
      </c>
      <c r="O2838">
        <v>0.14000000000000001</v>
      </c>
      <c r="P2838">
        <v>0.96</v>
      </c>
      <c r="Q2838">
        <v>0.93</v>
      </c>
      <c r="R2838" s="2">
        <v>0.08</v>
      </c>
      <c r="S2838" t="str">
        <f>IF(Table1[[#This Row],[Years_Experience]]&lt;=5,"Early Career",
IF(Table1[[#This Row],[Years_Experience]]&lt;=15,"Mid Career","Senior Level"))</f>
        <v>Mid Career</v>
      </c>
      <c r="T2838" t="str">
        <f>IF(Table1[[#This Row],[AI_Exposure_Index]]&gt;=0.7,"High Exposure", IF(Table1[[#This Row],[AI_Exposure_Index]]&gt;=0.3,"Medium Exposure","Low Exposure"))</f>
        <v>Medium Exposure</v>
      </c>
    </row>
    <row r="2839" spans="1:20" x14ac:dyDescent="0.25">
      <c r="A2839" t="s">
        <v>39</v>
      </c>
      <c r="B2839">
        <v>44142</v>
      </c>
      <c r="C2839" s="1">
        <v>17</v>
      </c>
      <c r="D2839" t="s">
        <v>19</v>
      </c>
      <c r="E2839" s="7">
        <v>1.27</v>
      </c>
      <c r="F2839" s="2">
        <v>0.49</v>
      </c>
      <c r="G2839" s="7">
        <v>0.74</v>
      </c>
      <c r="H2839" s="9" t="s">
        <v>20</v>
      </c>
      <c r="I2839">
        <v>0.13</v>
      </c>
      <c r="J2839">
        <v>0.89</v>
      </c>
      <c r="K2839">
        <v>0.9</v>
      </c>
      <c r="L2839">
        <v>0.47</v>
      </c>
      <c r="M2839">
        <v>0.87</v>
      </c>
      <c r="N2839">
        <v>0.67</v>
      </c>
      <c r="O2839">
        <v>0.19</v>
      </c>
      <c r="P2839">
        <v>0.33</v>
      </c>
      <c r="Q2839">
        <v>0.14000000000000001</v>
      </c>
      <c r="R2839" s="2">
        <v>0.77</v>
      </c>
      <c r="S2839" t="str">
        <f>IF(Table1[[#This Row],[Years_Experience]]&lt;=5,"Early Career",
IF(Table1[[#This Row],[Years_Experience]]&lt;=15,"Mid Career","Senior Level"))</f>
        <v>Senior Level</v>
      </c>
      <c r="T2839" t="str">
        <f>IF(Table1[[#This Row],[AI_Exposure_Index]]&gt;=0.7,"High Exposure", IF(Table1[[#This Row],[AI_Exposure_Index]]&gt;=0.3,"Medium Exposure","Low Exposure"))</f>
        <v>Medium Exposure</v>
      </c>
    </row>
    <row r="2840" spans="1:20" x14ac:dyDescent="0.25">
      <c r="A2840" t="s">
        <v>41</v>
      </c>
      <c r="B2840">
        <v>121168</v>
      </c>
      <c r="C2840" s="1">
        <v>18</v>
      </c>
      <c r="D2840" t="s">
        <v>22</v>
      </c>
      <c r="E2840" s="7">
        <v>1.1599999999999999</v>
      </c>
      <c r="F2840" s="2">
        <v>0.55000000000000004</v>
      </c>
      <c r="G2840" s="7">
        <v>0.89</v>
      </c>
      <c r="H2840" s="9" t="s">
        <v>20</v>
      </c>
      <c r="I2840">
        <v>0.22</v>
      </c>
      <c r="J2840">
        <v>0.34</v>
      </c>
      <c r="K2840">
        <v>0.41</v>
      </c>
      <c r="L2840">
        <v>0.59</v>
      </c>
      <c r="M2840">
        <v>0.85</v>
      </c>
      <c r="N2840">
        <v>0.25</v>
      </c>
      <c r="O2840">
        <v>0.47</v>
      </c>
      <c r="P2840">
        <v>0.75</v>
      </c>
      <c r="Q2840">
        <v>0.09</v>
      </c>
      <c r="R2840" s="2">
        <v>0.51</v>
      </c>
      <c r="S2840" t="str">
        <f>IF(Table1[[#This Row],[Years_Experience]]&lt;=5,"Early Career",
IF(Table1[[#This Row],[Years_Experience]]&lt;=15,"Mid Career","Senior Level"))</f>
        <v>Senior Level</v>
      </c>
      <c r="T2840" t="str">
        <f>IF(Table1[[#This Row],[AI_Exposure_Index]]&gt;=0.7,"High Exposure", IF(Table1[[#This Row],[AI_Exposure_Index]]&gt;=0.3,"Medium Exposure","Low Exposure"))</f>
        <v>Medium Exposure</v>
      </c>
    </row>
    <row r="2841" spans="1:20" x14ac:dyDescent="0.25">
      <c r="A2841" t="s">
        <v>26</v>
      </c>
      <c r="B2841">
        <v>34461</v>
      </c>
      <c r="C2841" s="1">
        <v>24</v>
      </c>
      <c r="D2841" t="s">
        <v>19</v>
      </c>
      <c r="E2841" s="7">
        <v>1.27</v>
      </c>
      <c r="F2841" s="2">
        <v>0.54</v>
      </c>
      <c r="G2841" s="7">
        <v>0.39</v>
      </c>
      <c r="H2841" s="9" t="s">
        <v>27</v>
      </c>
      <c r="I2841">
        <v>0.85</v>
      </c>
      <c r="J2841">
        <v>0.33</v>
      </c>
      <c r="K2841">
        <v>0.19</v>
      </c>
      <c r="L2841">
        <v>0.47</v>
      </c>
      <c r="M2841">
        <v>0.88</v>
      </c>
      <c r="N2841">
        <v>7.0000000000000007E-2</v>
      </c>
      <c r="O2841">
        <v>0.33</v>
      </c>
      <c r="P2841">
        <v>0.65</v>
      </c>
      <c r="Q2841">
        <v>0.36</v>
      </c>
      <c r="R2841" s="2">
        <v>7.0000000000000007E-2</v>
      </c>
      <c r="S2841" t="str">
        <f>IF(Table1[[#This Row],[Years_Experience]]&lt;=5,"Early Career",
IF(Table1[[#This Row],[Years_Experience]]&lt;=15,"Mid Career","Senior Level"))</f>
        <v>Senior Level</v>
      </c>
      <c r="T2841" t="str">
        <f>IF(Table1[[#This Row],[AI_Exposure_Index]]&gt;=0.7,"High Exposure", IF(Table1[[#This Row],[AI_Exposure_Index]]&gt;=0.3,"Medium Exposure","Low Exposure"))</f>
        <v>Medium Exposure</v>
      </c>
    </row>
    <row r="2842" spans="1:20" x14ac:dyDescent="0.25">
      <c r="A2842" t="s">
        <v>42</v>
      </c>
      <c r="B2842">
        <v>41591</v>
      </c>
      <c r="C2842" s="1">
        <v>8</v>
      </c>
      <c r="D2842" t="s">
        <v>22</v>
      </c>
      <c r="E2842" s="7">
        <v>1.39</v>
      </c>
      <c r="F2842" s="2">
        <v>0.59</v>
      </c>
      <c r="G2842" s="7">
        <v>0.5</v>
      </c>
      <c r="H2842" s="9" t="s">
        <v>27</v>
      </c>
      <c r="I2842">
        <v>0.59</v>
      </c>
      <c r="J2842">
        <v>0.53</v>
      </c>
      <c r="K2842">
        <v>0.28000000000000003</v>
      </c>
      <c r="L2842">
        <v>0.64</v>
      </c>
      <c r="M2842">
        <v>0.51</v>
      </c>
      <c r="N2842">
        <v>0.23</v>
      </c>
      <c r="O2842">
        <v>0.9</v>
      </c>
      <c r="P2842">
        <v>0.95</v>
      </c>
      <c r="Q2842">
        <v>0.06</v>
      </c>
      <c r="R2842" s="2">
        <v>0.62</v>
      </c>
      <c r="S2842" t="str">
        <f>IF(Table1[[#This Row],[Years_Experience]]&lt;=5,"Early Career",
IF(Table1[[#This Row],[Years_Experience]]&lt;=15,"Mid Career","Senior Level"))</f>
        <v>Mid Career</v>
      </c>
      <c r="T2842" t="str">
        <f>IF(Table1[[#This Row],[AI_Exposure_Index]]&gt;=0.7,"High Exposure", IF(Table1[[#This Row],[AI_Exposure_Index]]&gt;=0.3,"Medium Exposure","Low Exposure"))</f>
        <v>Medium Exposure</v>
      </c>
    </row>
    <row r="2843" spans="1:20" x14ac:dyDescent="0.25">
      <c r="A2843" t="s">
        <v>40</v>
      </c>
      <c r="B2843">
        <v>58465</v>
      </c>
      <c r="C2843" s="1">
        <v>0</v>
      </c>
      <c r="D2843" t="s">
        <v>25</v>
      </c>
      <c r="E2843" s="7">
        <v>0.87</v>
      </c>
      <c r="F2843" s="2">
        <v>0.53</v>
      </c>
      <c r="G2843" s="7">
        <v>0.17</v>
      </c>
      <c r="H2843" s="9" t="s">
        <v>23</v>
      </c>
      <c r="I2843">
        <v>0.32</v>
      </c>
      <c r="J2843">
        <v>0.12</v>
      </c>
      <c r="K2843">
        <v>0.3</v>
      </c>
      <c r="L2843">
        <v>0.67</v>
      </c>
      <c r="M2843">
        <v>0.05</v>
      </c>
      <c r="N2843">
        <v>0.38</v>
      </c>
      <c r="O2843">
        <v>0.04</v>
      </c>
      <c r="P2843">
        <v>0.36</v>
      </c>
      <c r="Q2843">
        <v>0.09</v>
      </c>
      <c r="R2843" s="2">
        <v>0.34</v>
      </c>
      <c r="S2843" t="str">
        <f>IF(Table1[[#This Row],[Years_Experience]]&lt;=5,"Early Career",
IF(Table1[[#This Row],[Years_Experience]]&lt;=15,"Mid Career","Senior Level"))</f>
        <v>Early Career</v>
      </c>
      <c r="T2843" t="str">
        <f>IF(Table1[[#This Row],[AI_Exposure_Index]]&gt;=0.7,"High Exposure", IF(Table1[[#This Row],[AI_Exposure_Index]]&gt;=0.3,"Medium Exposure","Low Exposure"))</f>
        <v>Medium Exposure</v>
      </c>
    </row>
    <row r="2844" spans="1:20" x14ac:dyDescent="0.25">
      <c r="A2844" t="s">
        <v>35</v>
      </c>
      <c r="B2844">
        <v>89973</v>
      </c>
      <c r="C2844" s="1">
        <v>1</v>
      </c>
      <c r="D2844" t="s">
        <v>25</v>
      </c>
      <c r="E2844" s="7">
        <v>1.18</v>
      </c>
      <c r="F2844" s="2">
        <v>0.61</v>
      </c>
      <c r="G2844" s="7">
        <v>0.5</v>
      </c>
      <c r="H2844" s="9" t="s">
        <v>27</v>
      </c>
      <c r="I2844">
        <v>0.92</v>
      </c>
      <c r="J2844">
        <v>0.54</v>
      </c>
      <c r="K2844">
        <v>0.1</v>
      </c>
      <c r="L2844">
        <v>0.93</v>
      </c>
      <c r="M2844">
        <v>0.13</v>
      </c>
      <c r="N2844">
        <v>1</v>
      </c>
      <c r="O2844">
        <v>0.44</v>
      </c>
      <c r="P2844">
        <v>7.0000000000000007E-2</v>
      </c>
      <c r="Q2844">
        <v>0.86</v>
      </c>
      <c r="R2844" s="2">
        <v>0.09</v>
      </c>
      <c r="S2844" t="str">
        <f>IF(Table1[[#This Row],[Years_Experience]]&lt;=5,"Early Career",
IF(Table1[[#This Row],[Years_Experience]]&lt;=15,"Mid Career","Senior Level"))</f>
        <v>Early Career</v>
      </c>
      <c r="T2844" t="str">
        <f>IF(Table1[[#This Row],[AI_Exposure_Index]]&gt;=0.7,"High Exposure", IF(Table1[[#This Row],[AI_Exposure_Index]]&gt;=0.3,"Medium Exposure","Low Exposure"))</f>
        <v>Medium Exposure</v>
      </c>
    </row>
    <row r="2845" spans="1:20" x14ac:dyDescent="0.25">
      <c r="A2845" t="s">
        <v>33</v>
      </c>
      <c r="B2845">
        <v>134615</v>
      </c>
      <c r="C2845" s="1">
        <v>19</v>
      </c>
      <c r="D2845" t="s">
        <v>19</v>
      </c>
      <c r="E2845" s="7">
        <v>1.18</v>
      </c>
      <c r="F2845" s="2">
        <v>0.42</v>
      </c>
      <c r="G2845" s="7">
        <v>0.73</v>
      </c>
      <c r="H2845" s="9" t="s">
        <v>20</v>
      </c>
      <c r="I2845">
        <v>0.62</v>
      </c>
      <c r="J2845">
        <v>0.78</v>
      </c>
      <c r="K2845">
        <v>0.12</v>
      </c>
      <c r="L2845">
        <v>0.65</v>
      </c>
      <c r="M2845">
        <v>0.96</v>
      </c>
      <c r="N2845">
        <v>0.97</v>
      </c>
      <c r="O2845">
        <v>0.16</v>
      </c>
      <c r="P2845">
        <v>0.76</v>
      </c>
      <c r="Q2845">
        <v>0.85</v>
      </c>
      <c r="R2845" s="2">
        <v>0.89</v>
      </c>
      <c r="S2845" t="str">
        <f>IF(Table1[[#This Row],[Years_Experience]]&lt;=5,"Early Career",
IF(Table1[[#This Row],[Years_Experience]]&lt;=15,"Mid Career","Senior Level"))</f>
        <v>Senior Level</v>
      </c>
      <c r="T2845" t="str">
        <f>IF(Table1[[#This Row],[AI_Exposure_Index]]&gt;=0.7,"High Exposure", IF(Table1[[#This Row],[AI_Exposure_Index]]&gt;=0.3,"Medium Exposure","Low Exposure"))</f>
        <v>Medium Exposure</v>
      </c>
    </row>
    <row r="2846" spans="1:20" x14ac:dyDescent="0.25">
      <c r="A2846" t="s">
        <v>18</v>
      </c>
      <c r="B2846">
        <v>81469</v>
      </c>
      <c r="C2846" s="1">
        <v>14</v>
      </c>
      <c r="D2846" t="s">
        <v>19</v>
      </c>
      <c r="E2846" s="7">
        <v>0.55000000000000004</v>
      </c>
      <c r="F2846" s="2">
        <v>0.27</v>
      </c>
      <c r="G2846" s="7">
        <v>0.8</v>
      </c>
      <c r="H2846" s="9" t="s">
        <v>20</v>
      </c>
      <c r="I2846">
        <v>0.12</v>
      </c>
      <c r="J2846">
        <v>0.79</v>
      </c>
      <c r="K2846">
        <v>0.14000000000000001</v>
      </c>
      <c r="L2846">
        <v>0.82</v>
      </c>
      <c r="M2846">
        <v>0.11</v>
      </c>
      <c r="N2846">
        <v>0.48</v>
      </c>
      <c r="O2846">
        <v>0.38</v>
      </c>
      <c r="P2846">
        <v>0.6</v>
      </c>
      <c r="Q2846">
        <v>0.52</v>
      </c>
      <c r="R2846" s="2">
        <v>0.6</v>
      </c>
      <c r="S2846" t="str">
        <f>IF(Table1[[#This Row],[Years_Experience]]&lt;=5,"Early Career",
IF(Table1[[#This Row],[Years_Experience]]&lt;=15,"Mid Career","Senior Level"))</f>
        <v>Mid Career</v>
      </c>
      <c r="T2846" t="str">
        <f>IF(Table1[[#This Row],[AI_Exposure_Index]]&gt;=0.7,"High Exposure", IF(Table1[[#This Row],[AI_Exposure_Index]]&gt;=0.3,"Medium Exposure","Low Exposure"))</f>
        <v>Low Exposure</v>
      </c>
    </row>
    <row r="2847" spans="1:20" x14ac:dyDescent="0.25">
      <c r="A2847" t="s">
        <v>44</v>
      </c>
      <c r="B2847">
        <v>105764</v>
      </c>
      <c r="C2847" s="1">
        <v>13</v>
      </c>
      <c r="D2847" t="s">
        <v>19</v>
      </c>
      <c r="E2847" s="7">
        <v>1.02</v>
      </c>
      <c r="F2847" s="2">
        <v>0.13</v>
      </c>
      <c r="G2847" s="7">
        <v>0.39</v>
      </c>
      <c r="H2847" s="9" t="s">
        <v>27</v>
      </c>
      <c r="I2847">
        <v>0.08</v>
      </c>
      <c r="J2847">
        <v>0.22</v>
      </c>
      <c r="K2847">
        <v>0.78</v>
      </c>
      <c r="L2847">
        <v>0.54</v>
      </c>
      <c r="M2847">
        <v>0.19</v>
      </c>
      <c r="N2847">
        <v>0.02</v>
      </c>
      <c r="O2847">
        <v>0.36</v>
      </c>
      <c r="P2847">
        <v>0.36</v>
      </c>
      <c r="Q2847">
        <v>0.74</v>
      </c>
      <c r="R2847" s="2">
        <v>0.92</v>
      </c>
      <c r="S2847" t="str">
        <f>IF(Table1[[#This Row],[Years_Experience]]&lt;=5,"Early Career",
IF(Table1[[#This Row],[Years_Experience]]&lt;=15,"Mid Career","Senior Level"))</f>
        <v>Mid Career</v>
      </c>
      <c r="T2847" t="str">
        <f>IF(Table1[[#This Row],[AI_Exposure_Index]]&gt;=0.7,"High Exposure", IF(Table1[[#This Row],[AI_Exposure_Index]]&gt;=0.3,"Medium Exposure","Low Exposure"))</f>
        <v>Low Exposure</v>
      </c>
    </row>
    <row r="2848" spans="1:20" x14ac:dyDescent="0.25">
      <c r="A2848" t="s">
        <v>32</v>
      </c>
      <c r="B2848">
        <v>50543</v>
      </c>
      <c r="C2848" s="1">
        <v>14</v>
      </c>
      <c r="D2848" t="s">
        <v>19</v>
      </c>
      <c r="E2848" s="7">
        <v>1.1299999999999999</v>
      </c>
      <c r="F2848" s="2">
        <v>0.69</v>
      </c>
      <c r="G2848" s="7">
        <v>0.47</v>
      </c>
      <c r="H2848" s="9" t="s">
        <v>27</v>
      </c>
      <c r="I2848">
        <v>7.0000000000000007E-2</v>
      </c>
      <c r="J2848">
        <v>0.47</v>
      </c>
      <c r="K2848">
        <v>0.35</v>
      </c>
      <c r="L2848">
        <v>0.55000000000000004</v>
      </c>
      <c r="M2848">
        <v>0.13</v>
      </c>
      <c r="N2848">
        <v>0.72</v>
      </c>
      <c r="O2848">
        <v>0.79</v>
      </c>
      <c r="P2848">
        <v>0.39</v>
      </c>
      <c r="Q2848">
        <v>0.18</v>
      </c>
      <c r="R2848" s="2">
        <v>0.62</v>
      </c>
      <c r="S2848" t="str">
        <f>IF(Table1[[#This Row],[Years_Experience]]&lt;=5,"Early Career",
IF(Table1[[#This Row],[Years_Experience]]&lt;=15,"Mid Career","Senior Level"))</f>
        <v>Mid Career</v>
      </c>
      <c r="T2848" t="str">
        <f>IF(Table1[[#This Row],[AI_Exposure_Index]]&gt;=0.7,"High Exposure", IF(Table1[[#This Row],[AI_Exposure_Index]]&gt;=0.3,"Medium Exposure","Low Exposure"))</f>
        <v>Medium Exposure</v>
      </c>
    </row>
    <row r="2849" spans="1:20" x14ac:dyDescent="0.25">
      <c r="A2849" t="s">
        <v>35</v>
      </c>
      <c r="B2849">
        <v>36086</v>
      </c>
      <c r="C2849" s="1">
        <v>22</v>
      </c>
      <c r="D2849" t="s">
        <v>22</v>
      </c>
      <c r="E2849" s="7">
        <v>0.62</v>
      </c>
      <c r="F2849" s="2">
        <v>0.7</v>
      </c>
      <c r="G2849" s="7">
        <v>0.46</v>
      </c>
      <c r="H2849" s="9" t="s">
        <v>27</v>
      </c>
      <c r="I2849">
        <v>0.92</v>
      </c>
      <c r="J2849">
        <v>0.63</v>
      </c>
      <c r="K2849">
        <v>0.15</v>
      </c>
      <c r="L2849">
        <v>0.72</v>
      </c>
      <c r="M2849">
        <v>0.35</v>
      </c>
      <c r="N2849">
        <v>0.49</v>
      </c>
      <c r="O2849">
        <v>0.42</v>
      </c>
      <c r="P2849">
        <v>0.73</v>
      </c>
      <c r="Q2849">
        <v>0.22</v>
      </c>
      <c r="R2849" s="2">
        <v>0.39</v>
      </c>
      <c r="S2849" t="str">
        <f>IF(Table1[[#This Row],[Years_Experience]]&lt;=5,"Early Career",
IF(Table1[[#This Row],[Years_Experience]]&lt;=15,"Mid Career","Senior Level"))</f>
        <v>Senior Level</v>
      </c>
      <c r="T2849" t="str">
        <f>IF(Table1[[#This Row],[AI_Exposure_Index]]&gt;=0.7,"High Exposure", IF(Table1[[#This Row],[AI_Exposure_Index]]&gt;=0.3,"Medium Exposure","Low Exposure"))</f>
        <v>High Exposure</v>
      </c>
    </row>
    <row r="2850" spans="1:20" x14ac:dyDescent="0.25">
      <c r="A2850" t="s">
        <v>43</v>
      </c>
      <c r="B2850">
        <v>65906</v>
      </c>
      <c r="C2850" s="1">
        <v>18</v>
      </c>
      <c r="D2850" t="s">
        <v>38</v>
      </c>
      <c r="E2850" s="7">
        <v>0.7</v>
      </c>
      <c r="F2850" s="2">
        <v>0.7</v>
      </c>
      <c r="G2850" s="7">
        <v>0.14000000000000001</v>
      </c>
      <c r="H2850" s="9" t="s">
        <v>23</v>
      </c>
      <c r="I2850">
        <v>0.01</v>
      </c>
      <c r="J2850">
        <v>0.53</v>
      </c>
      <c r="K2850">
        <v>0.28000000000000003</v>
      </c>
      <c r="L2850">
        <v>0.01</v>
      </c>
      <c r="M2850">
        <v>0.42</v>
      </c>
      <c r="N2850">
        <v>0.93</v>
      </c>
      <c r="O2850">
        <v>0.92</v>
      </c>
      <c r="P2850">
        <v>0.37</v>
      </c>
      <c r="Q2850">
        <v>0.45</v>
      </c>
      <c r="R2850" s="2">
        <v>0.24</v>
      </c>
      <c r="S2850" t="str">
        <f>IF(Table1[[#This Row],[Years_Experience]]&lt;=5,"Early Career",
IF(Table1[[#This Row],[Years_Experience]]&lt;=15,"Mid Career","Senior Level"))</f>
        <v>Senior Level</v>
      </c>
      <c r="T2850" t="str">
        <f>IF(Table1[[#This Row],[AI_Exposure_Index]]&gt;=0.7,"High Exposure", IF(Table1[[#This Row],[AI_Exposure_Index]]&gt;=0.3,"Medium Exposure","Low Exposure"))</f>
        <v>High Exposure</v>
      </c>
    </row>
    <row r="2851" spans="1:20" x14ac:dyDescent="0.25">
      <c r="A2851" t="s">
        <v>41</v>
      </c>
      <c r="B2851">
        <v>70527</v>
      </c>
      <c r="C2851" s="1">
        <v>20</v>
      </c>
      <c r="D2851" t="s">
        <v>38</v>
      </c>
      <c r="E2851" s="7">
        <v>1.3</v>
      </c>
      <c r="F2851" s="2">
        <v>0.69</v>
      </c>
      <c r="G2851" s="7">
        <v>0.92</v>
      </c>
      <c r="H2851" s="9" t="s">
        <v>20</v>
      </c>
      <c r="I2851">
        <v>0.94</v>
      </c>
      <c r="J2851">
        <v>0.92</v>
      </c>
      <c r="K2851">
        <v>0.03</v>
      </c>
      <c r="L2851">
        <v>0.98</v>
      </c>
      <c r="M2851">
        <v>0.38</v>
      </c>
      <c r="N2851">
        <v>0.89</v>
      </c>
      <c r="O2851">
        <v>0.44</v>
      </c>
      <c r="P2851">
        <v>0.42</v>
      </c>
      <c r="Q2851">
        <v>0.01</v>
      </c>
      <c r="R2851" s="2">
        <v>0.05</v>
      </c>
      <c r="S2851" t="str">
        <f>IF(Table1[[#This Row],[Years_Experience]]&lt;=5,"Early Career",
IF(Table1[[#This Row],[Years_Experience]]&lt;=15,"Mid Career","Senior Level"))</f>
        <v>Senior Level</v>
      </c>
      <c r="T2851" t="str">
        <f>IF(Table1[[#This Row],[AI_Exposure_Index]]&gt;=0.7,"High Exposure", IF(Table1[[#This Row],[AI_Exposure_Index]]&gt;=0.3,"Medium Exposure","Low Exposure"))</f>
        <v>Medium Exposure</v>
      </c>
    </row>
    <row r="2852" spans="1:20" x14ac:dyDescent="0.25">
      <c r="A2852" t="s">
        <v>42</v>
      </c>
      <c r="B2852">
        <v>91894</v>
      </c>
      <c r="C2852" s="1">
        <v>22</v>
      </c>
      <c r="D2852" t="s">
        <v>22</v>
      </c>
      <c r="E2852" s="7">
        <v>0.72</v>
      </c>
      <c r="F2852" s="2">
        <v>0.94</v>
      </c>
      <c r="G2852" s="7">
        <v>0.34</v>
      </c>
      <c r="H2852" s="9" t="s">
        <v>27</v>
      </c>
      <c r="I2852">
        <v>0.21</v>
      </c>
      <c r="J2852">
        <v>0.21</v>
      </c>
      <c r="K2852">
        <v>0.28999999999999998</v>
      </c>
      <c r="L2852">
        <v>0.09</v>
      </c>
      <c r="M2852">
        <v>0.24</v>
      </c>
      <c r="N2852">
        <v>0.92</v>
      </c>
      <c r="O2852">
        <v>0.89</v>
      </c>
      <c r="P2852">
        <v>0.32</v>
      </c>
      <c r="Q2852">
        <v>1</v>
      </c>
      <c r="R2852" s="2">
        <v>0.3</v>
      </c>
      <c r="S2852" t="str">
        <f>IF(Table1[[#This Row],[Years_Experience]]&lt;=5,"Early Career",
IF(Table1[[#This Row],[Years_Experience]]&lt;=15,"Mid Career","Senior Level"))</f>
        <v>Senior Level</v>
      </c>
      <c r="T2852" t="str">
        <f>IF(Table1[[#This Row],[AI_Exposure_Index]]&gt;=0.7,"High Exposure", IF(Table1[[#This Row],[AI_Exposure_Index]]&gt;=0.3,"Medium Exposure","Low Exposure"))</f>
        <v>High Exposure</v>
      </c>
    </row>
    <row r="2853" spans="1:20" x14ac:dyDescent="0.25">
      <c r="A2853" t="s">
        <v>44</v>
      </c>
      <c r="B2853">
        <v>78145</v>
      </c>
      <c r="C2853" s="1">
        <v>11</v>
      </c>
      <c r="D2853" t="s">
        <v>38</v>
      </c>
      <c r="E2853" s="7">
        <v>1.23</v>
      </c>
      <c r="F2853" s="2">
        <v>0.91</v>
      </c>
      <c r="G2853" s="7">
        <v>0.69</v>
      </c>
      <c r="H2853" s="9" t="s">
        <v>27</v>
      </c>
      <c r="I2853">
        <v>0.89</v>
      </c>
      <c r="J2853">
        <v>0.22</v>
      </c>
      <c r="K2853">
        <v>0.76</v>
      </c>
      <c r="L2853">
        <v>0.05</v>
      </c>
      <c r="M2853">
        <v>0.82</v>
      </c>
      <c r="N2853">
        <v>0.6</v>
      </c>
      <c r="O2853">
        <v>0.96</v>
      </c>
      <c r="P2853">
        <v>0.96</v>
      </c>
      <c r="Q2853">
        <v>0.05</v>
      </c>
      <c r="R2853" s="2">
        <v>0.16</v>
      </c>
      <c r="S2853" t="str">
        <f>IF(Table1[[#This Row],[Years_Experience]]&lt;=5,"Early Career",
IF(Table1[[#This Row],[Years_Experience]]&lt;=15,"Mid Career","Senior Level"))</f>
        <v>Mid Career</v>
      </c>
      <c r="T2853" t="str">
        <f>IF(Table1[[#This Row],[AI_Exposure_Index]]&gt;=0.7,"High Exposure", IF(Table1[[#This Row],[AI_Exposure_Index]]&gt;=0.3,"Medium Exposure","Low Exposure"))</f>
        <v>High Exposure</v>
      </c>
    </row>
    <row r="2854" spans="1:20" x14ac:dyDescent="0.25">
      <c r="A2854" t="s">
        <v>26</v>
      </c>
      <c r="B2854">
        <v>95056</v>
      </c>
      <c r="C2854" s="1">
        <v>9</v>
      </c>
      <c r="D2854" t="s">
        <v>38</v>
      </c>
      <c r="E2854" s="7">
        <v>1.31</v>
      </c>
      <c r="F2854" s="2">
        <v>0.88</v>
      </c>
      <c r="G2854" s="7">
        <v>0.69</v>
      </c>
      <c r="H2854" s="9" t="s">
        <v>27</v>
      </c>
      <c r="I2854">
        <v>0.62</v>
      </c>
      <c r="J2854">
        <v>0.26</v>
      </c>
      <c r="K2854">
        <v>0.03</v>
      </c>
      <c r="L2854">
        <v>0.22</v>
      </c>
      <c r="M2854">
        <v>0.68</v>
      </c>
      <c r="N2854">
        <v>0.93</v>
      </c>
      <c r="O2854">
        <v>0.32</v>
      </c>
      <c r="P2854">
        <v>0.88</v>
      </c>
      <c r="Q2854">
        <v>0.39</v>
      </c>
      <c r="R2854" s="2">
        <v>0.31</v>
      </c>
      <c r="S2854" t="str">
        <f>IF(Table1[[#This Row],[Years_Experience]]&lt;=5,"Early Career",
IF(Table1[[#This Row],[Years_Experience]]&lt;=15,"Mid Career","Senior Level"))</f>
        <v>Mid Career</v>
      </c>
      <c r="T2854" t="str">
        <f>IF(Table1[[#This Row],[AI_Exposure_Index]]&gt;=0.7,"High Exposure", IF(Table1[[#This Row],[AI_Exposure_Index]]&gt;=0.3,"Medium Exposure","Low Exposure"))</f>
        <v>High Exposure</v>
      </c>
    </row>
    <row r="2855" spans="1:20" x14ac:dyDescent="0.25">
      <c r="A2855" t="s">
        <v>18</v>
      </c>
      <c r="B2855">
        <v>135949</v>
      </c>
      <c r="C2855" s="1">
        <v>14</v>
      </c>
      <c r="D2855" t="s">
        <v>38</v>
      </c>
      <c r="E2855" s="7">
        <v>1.41</v>
      </c>
      <c r="F2855" s="2">
        <v>0.44</v>
      </c>
      <c r="G2855" s="7">
        <v>0.82</v>
      </c>
      <c r="H2855" s="9" t="s">
        <v>20</v>
      </c>
      <c r="I2855">
        <v>0.28000000000000003</v>
      </c>
      <c r="J2855">
        <v>0.84</v>
      </c>
      <c r="K2855">
        <v>1</v>
      </c>
      <c r="L2855">
        <v>0.65</v>
      </c>
      <c r="M2855">
        <v>0.25</v>
      </c>
      <c r="N2855">
        <v>0.24</v>
      </c>
      <c r="O2855">
        <v>0.06</v>
      </c>
      <c r="P2855">
        <v>0.08</v>
      </c>
      <c r="Q2855">
        <v>0.91</v>
      </c>
      <c r="R2855" s="2">
        <v>0.1</v>
      </c>
      <c r="S2855" t="str">
        <f>IF(Table1[[#This Row],[Years_Experience]]&lt;=5,"Early Career",
IF(Table1[[#This Row],[Years_Experience]]&lt;=15,"Mid Career","Senior Level"))</f>
        <v>Mid Career</v>
      </c>
      <c r="T2855" t="str">
        <f>IF(Table1[[#This Row],[AI_Exposure_Index]]&gt;=0.7,"High Exposure", IF(Table1[[#This Row],[AI_Exposure_Index]]&gt;=0.3,"Medium Exposure","Low Exposure"))</f>
        <v>Medium Exposure</v>
      </c>
    </row>
    <row r="2856" spans="1:20" x14ac:dyDescent="0.25">
      <c r="A2856" t="s">
        <v>33</v>
      </c>
      <c r="B2856">
        <v>78793</v>
      </c>
      <c r="C2856" s="1">
        <v>17</v>
      </c>
      <c r="D2856" t="s">
        <v>22</v>
      </c>
      <c r="E2856" s="7">
        <v>1.44</v>
      </c>
      <c r="F2856" s="2">
        <v>0.14000000000000001</v>
      </c>
      <c r="G2856" s="7">
        <v>0.9</v>
      </c>
      <c r="H2856" s="9" t="s">
        <v>20</v>
      </c>
      <c r="I2856">
        <v>0.68</v>
      </c>
      <c r="J2856">
        <v>0.41</v>
      </c>
      <c r="K2856">
        <v>0.91</v>
      </c>
      <c r="L2856">
        <v>0.53</v>
      </c>
      <c r="M2856">
        <v>0.37</v>
      </c>
      <c r="N2856">
        <v>0.59</v>
      </c>
      <c r="O2856">
        <v>0.23</v>
      </c>
      <c r="P2856">
        <v>0.27</v>
      </c>
      <c r="Q2856">
        <v>0.92</v>
      </c>
      <c r="R2856" s="2">
        <v>0.79</v>
      </c>
      <c r="S2856" t="str">
        <f>IF(Table1[[#This Row],[Years_Experience]]&lt;=5,"Early Career",
IF(Table1[[#This Row],[Years_Experience]]&lt;=15,"Mid Career","Senior Level"))</f>
        <v>Senior Level</v>
      </c>
      <c r="T2856" t="str">
        <f>IF(Table1[[#This Row],[AI_Exposure_Index]]&gt;=0.7,"High Exposure", IF(Table1[[#This Row],[AI_Exposure_Index]]&gt;=0.3,"Medium Exposure","Low Exposure"))</f>
        <v>Low Exposure</v>
      </c>
    </row>
    <row r="2857" spans="1:20" x14ac:dyDescent="0.25">
      <c r="A2857" t="s">
        <v>34</v>
      </c>
      <c r="B2857">
        <v>81380</v>
      </c>
      <c r="C2857" s="1">
        <v>26</v>
      </c>
      <c r="D2857" t="s">
        <v>25</v>
      </c>
      <c r="E2857" s="7">
        <v>1.31</v>
      </c>
      <c r="F2857" s="2">
        <v>0.42</v>
      </c>
      <c r="G2857" s="7">
        <v>0.53</v>
      </c>
      <c r="H2857" s="9" t="s">
        <v>27</v>
      </c>
      <c r="I2857">
        <v>0.42</v>
      </c>
      <c r="J2857">
        <v>0.52</v>
      </c>
      <c r="K2857">
        <v>0.23</v>
      </c>
      <c r="L2857">
        <v>0.2</v>
      </c>
      <c r="M2857">
        <v>0.99</v>
      </c>
      <c r="N2857">
        <v>0.97</v>
      </c>
      <c r="O2857">
        <v>0.42</v>
      </c>
      <c r="P2857">
        <v>0.52</v>
      </c>
      <c r="Q2857">
        <v>0.83</v>
      </c>
      <c r="R2857" s="2">
        <v>0.73</v>
      </c>
      <c r="S2857" t="str">
        <f>IF(Table1[[#This Row],[Years_Experience]]&lt;=5,"Early Career",
IF(Table1[[#This Row],[Years_Experience]]&lt;=15,"Mid Career","Senior Level"))</f>
        <v>Senior Level</v>
      </c>
      <c r="T2857" t="str">
        <f>IF(Table1[[#This Row],[AI_Exposure_Index]]&gt;=0.7,"High Exposure", IF(Table1[[#This Row],[AI_Exposure_Index]]&gt;=0.3,"Medium Exposure","Low Exposure"))</f>
        <v>Medium Exposure</v>
      </c>
    </row>
    <row r="2858" spans="1:20" x14ac:dyDescent="0.25">
      <c r="A2858" t="s">
        <v>18</v>
      </c>
      <c r="B2858">
        <v>33827</v>
      </c>
      <c r="C2858" s="1">
        <v>10</v>
      </c>
      <c r="D2858" t="s">
        <v>25</v>
      </c>
      <c r="E2858" s="7">
        <v>0.75</v>
      </c>
      <c r="F2858" s="2">
        <v>0.37</v>
      </c>
      <c r="G2858" s="7">
        <v>0.95</v>
      </c>
      <c r="H2858" s="9" t="s">
        <v>20</v>
      </c>
      <c r="I2858">
        <v>0.75</v>
      </c>
      <c r="J2858">
        <v>0.05</v>
      </c>
      <c r="K2858">
        <v>0.9</v>
      </c>
      <c r="L2858">
        <v>0.93</v>
      </c>
      <c r="M2858">
        <v>0.33</v>
      </c>
      <c r="N2858">
        <v>0.64</v>
      </c>
      <c r="O2858">
        <v>0.68</v>
      </c>
      <c r="P2858">
        <v>0.73</v>
      </c>
      <c r="Q2858">
        <v>0.69</v>
      </c>
      <c r="R2858" s="2">
        <v>0.56000000000000005</v>
      </c>
      <c r="S2858" t="str">
        <f>IF(Table1[[#This Row],[Years_Experience]]&lt;=5,"Early Career",
IF(Table1[[#This Row],[Years_Experience]]&lt;=15,"Mid Career","Senior Level"))</f>
        <v>Mid Career</v>
      </c>
      <c r="T2858" t="str">
        <f>IF(Table1[[#This Row],[AI_Exposure_Index]]&gt;=0.7,"High Exposure", IF(Table1[[#This Row],[AI_Exposure_Index]]&gt;=0.3,"Medium Exposure","Low Exposure"))</f>
        <v>Medium Exposure</v>
      </c>
    </row>
    <row r="2859" spans="1:20" x14ac:dyDescent="0.25">
      <c r="A2859" t="s">
        <v>35</v>
      </c>
      <c r="B2859">
        <v>103038</v>
      </c>
      <c r="C2859" s="1">
        <v>28</v>
      </c>
      <c r="D2859" t="s">
        <v>25</v>
      </c>
      <c r="E2859" s="7">
        <v>0.61</v>
      </c>
      <c r="F2859" s="2">
        <v>0.51</v>
      </c>
      <c r="G2859" s="7">
        <v>0.33</v>
      </c>
      <c r="H2859" s="9" t="s">
        <v>27</v>
      </c>
      <c r="I2859">
        <v>0.02</v>
      </c>
      <c r="J2859">
        <v>0.43</v>
      </c>
      <c r="K2859">
        <v>0.27</v>
      </c>
      <c r="L2859">
        <v>0.9</v>
      </c>
      <c r="M2859">
        <v>0.87</v>
      </c>
      <c r="N2859">
        <v>0.84</v>
      </c>
      <c r="O2859">
        <v>0.87</v>
      </c>
      <c r="P2859">
        <v>0.3</v>
      </c>
      <c r="Q2859">
        <v>0.43</v>
      </c>
      <c r="R2859" s="2">
        <v>0.31</v>
      </c>
      <c r="S2859" t="str">
        <f>IF(Table1[[#This Row],[Years_Experience]]&lt;=5,"Early Career",
IF(Table1[[#This Row],[Years_Experience]]&lt;=15,"Mid Career","Senior Level"))</f>
        <v>Senior Level</v>
      </c>
      <c r="T2859" t="str">
        <f>IF(Table1[[#This Row],[AI_Exposure_Index]]&gt;=0.7,"High Exposure", IF(Table1[[#This Row],[AI_Exposure_Index]]&gt;=0.3,"Medium Exposure","Low Exposure"))</f>
        <v>Medium Exposure</v>
      </c>
    </row>
    <row r="2860" spans="1:20" x14ac:dyDescent="0.25">
      <c r="A2860" t="s">
        <v>42</v>
      </c>
      <c r="B2860">
        <v>122276</v>
      </c>
      <c r="C2860" s="1">
        <v>7</v>
      </c>
      <c r="D2860" t="s">
        <v>22</v>
      </c>
      <c r="E2860" s="7">
        <v>1.1200000000000001</v>
      </c>
      <c r="F2860" s="2">
        <v>0.92</v>
      </c>
      <c r="G2860" s="7">
        <v>0.35</v>
      </c>
      <c r="H2860" s="9" t="s">
        <v>27</v>
      </c>
      <c r="I2860">
        <v>0.21</v>
      </c>
      <c r="J2860">
        <v>0.45</v>
      </c>
      <c r="K2860">
        <v>0.05</v>
      </c>
      <c r="L2860">
        <v>0.27</v>
      </c>
      <c r="M2860">
        <v>0.7</v>
      </c>
      <c r="N2860">
        <v>0.92</v>
      </c>
      <c r="O2860">
        <v>0.93</v>
      </c>
      <c r="P2860">
        <v>0.52</v>
      </c>
      <c r="Q2860">
        <v>0.31</v>
      </c>
      <c r="R2860" s="2">
        <v>0.92</v>
      </c>
      <c r="S2860" t="str">
        <f>IF(Table1[[#This Row],[Years_Experience]]&lt;=5,"Early Career",
IF(Table1[[#This Row],[Years_Experience]]&lt;=15,"Mid Career","Senior Level"))</f>
        <v>Mid Career</v>
      </c>
      <c r="T2860" t="str">
        <f>IF(Table1[[#This Row],[AI_Exposure_Index]]&gt;=0.7,"High Exposure", IF(Table1[[#This Row],[AI_Exposure_Index]]&gt;=0.3,"Medium Exposure","Low Exposure"))</f>
        <v>High Exposure</v>
      </c>
    </row>
    <row r="2861" spans="1:20" x14ac:dyDescent="0.25">
      <c r="A2861" t="s">
        <v>41</v>
      </c>
      <c r="B2861">
        <v>89309</v>
      </c>
      <c r="C2861" s="1">
        <v>28</v>
      </c>
      <c r="D2861" t="s">
        <v>38</v>
      </c>
      <c r="E2861" s="7">
        <v>1.33</v>
      </c>
      <c r="F2861" s="2">
        <v>0.59</v>
      </c>
      <c r="G2861" s="7">
        <v>0.81</v>
      </c>
      <c r="H2861" s="9" t="s">
        <v>20</v>
      </c>
      <c r="I2861">
        <v>0.11</v>
      </c>
      <c r="J2861">
        <v>0.94</v>
      </c>
      <c r="K2861">
        <v>0.53</v>
      </c>
      <c r="L2861">
        <v>0.7</v>
      </c>
      <c r="M2861">
        <v>0.39</v>
      </c>
      <c r="N2861">
        <v>0.14000000000000001</v>
      </c>
      <c r="O2861">
        <v>0.27</v>
      </c>
      <c r="P2861">
        <v>0.04</v>
      </c>
      <c r="Q2861">
        <v>0.09</v>
      </c>
      <c r="R2861" s="2">
        <v>0.2</v>
      </c>
      <c r="S2861" t="str">
        <f>IF(Table1[[#This Row],[Years_Experience]]&lt;=5,"Early Career",
IF(Table1[[#This Row],[Years_Experience]]&lt;=15,"Mid Career","Senior Level"))</f>
        <v>Senior Level</v>
      </c>
      <c r="T2861" t="str">
        <f>IF(Table1[[#This Row],[AI_Exposure_Index]]&gt;=0.7,"High Exposure", IF(Table1[[#This Row],[AI_Exposure_Index]]&gt;=0.3,"Medium Exposure","Low Exposure"))</f>
        <v>Medium Exposure</v>
      </c>
    </row>
    <row r="2862" spans="1:20" x14ac:dyDescent="0.25">
      <c r="A2862" t="s">
        <v>28</v>
      </c>
      <c r="B2862">
        <v>57891</v>
      </c>
      <c r="C2862" s="1">
        <v>27</v>
      </c>
      <c r="D2862" t="s">
        <v>25</v>
      </c>
      <c r="E2862" s="7">
        <v>1.34</v>
      </c>
      <c r="F2862" s="2">
        <v>0.99</v>
      </c>
      <c r="G2862" s="7">
        <v>0.33</v>
      </c>
      <c r="H2862" s="9" t="s">
        <v>27</v>
      </c>
      <c r="I2862">
        <v>0.84</v>
      </c>
      <c r="J2862">
        <v>0.54</v>
      </c>
      <c r="K2862">
        <v>0.66</v>
      </c>
      <c r="L2862">
        <v>0.13</v>
      </c>
      <c r="M2862">
        <v>0.4</v>
      </c>
      <c r="N2862">
        <v>0.88</v>
      </c>
      <c r="O2862">
        <v>0.43</v>
      </c>
      <c r="P2862">
        <v>0.13</v>
      </c>
      <c r="Q2862">
        <v>0.31</v>
      </c>
      <c r="R2862" s="2">
        <v>0.22</v>
      </c>
      <c r="S2862" t="str">
        <f>IF(Table1[[#This Row],[Years_Experience]]&lt;=5,"Early Career",
IF(Table1[[#This Row],[Years_Experience]]&lt;=15,"Mid Career","Senior Level"))</f>
        <v>Senior Level</v>
      </c>
      <c r="T2862" t="str">
        <f>IF(Table1[[#This Row],[AI_Exposure_Index]]&gt;=0.7,"High Exposure", IF(Table1[[#This Row],[AI_Exposure_Index]]&gt;=0.3,"Medium Exposure","Low Exposure"))</f>
        <v>High Exposure</v>
      </c>
    </row>
    <row r="2863" spans="1:20" x14ac:dyDescent="0.25">
      <c r="A2863" t="s">
        <v>40</v>
      </c>
      <c r="B2863">
        <v>61766</v>
      </c>
      <c r="C2863" s="1">
        <v>29</v>
      </c>
      <c r="D2863" t="s">
        <v>38</v>
      </c>
      <c r="E2863" s="7">
        <v>1.23</v>
      </c>
      <c r="F2863" s="2">
        <v>0.91</v>
      </c>
      <c r="G2863" s="7">
        <v>0.26</v>
      </c>
      <c r="H2863" s="9" t="s">
        <v>23</v>
      </c>
      <c r="I2863">
        <v>0.81</v>
      </c>
      <c r="J2863">
        <v>0.01</v>
      </c>
      <c r="K2863">
        <v>0.12</v>
      </c>
      <c r="L2863">
        <v>0.42</v>
      </c>
      <c r="M2863">
        <v>0.11</v>
      </c>
      <c r="N2863">
        <v>0.73</v>
      </c>
      <c r="O2863">
        <v>7.0000000000000007E-2</v>
      </c>
      <c r="P2863">
        <v>0.42</v>
      </c>
      <c r="Q2863">
        <v>0.39</v>
      </c>
      <c r="R2863" s="2">
        <v>0.54</v>
      </c>
      <c r="S2863" t="str">
        <f>IF(Table1[[#This Row],[Years_Experience]]&lt;=5,"Early Career",
IF(Table1[[#This Row],[Years_Experience]]&lt;=15,"Mid Career","Senior Level"))</f>
        <v>Senior Level</v>
      </c>
      <c r="T2863" t="str">
        <f>IF(Table1[[#This Row],[AI_Exposure_Index]]&gt;=0.7,"High Exposure", IF(Table1[[#This Row],[AI_Exposure_Index]]&gt;=0.3,"Medium Exposure","Low Exposure"))</f>
        <v>High Exposure</v>
      </c>
    </row>
    <row r="2864" spans="1:20" x14ac:dyDescent="0.25">
      <c r="A2864" t="s">
        <v>44</v>
      </c>
      <c r="B2864">
        <v>87657</v>
      </c>
      <c r="C2864" s="1">
        <v>18</v>
      </c>
      <c r="D2864" t="s">
        <v>19</v>
      </c>
      <c r="E2864" s="7">
        <v>0.77</v>
      </c>
      <c r="F2864" s="2">
        <v>0.95</v>
      </c>
      <c r="G2864" s="7">
        <v>0.56999999999999995</v>
      </c>
      <c r="H2864" s="9" t="s">
        <v>27</v>
      </c>
      <c r="I2864">
        <v>0.04</v>
      </c>
      <c r="J2864">
        <v>0</v>
      </c>
      <c r="K2864">
        <v>0.03</v>
      </c>
      <c r="L2864">
        <v>0.45</v>
      </c>
      <c r="M2864">
        <v>0.56000000000000005</v>
      </c>
      <c r="N2864">
        <v>0.01</v>
      </c>
      <c r="O2864">
        <v>0.4</v>
      </c>
      <c r="P2864">
        <v>0.04</v>
      </c>
      <c r="Q2864">
        <v>0.65</v>
      </c>
      <c r="R2864" s="2">
        <v>0.63</v>
      </c>
      <c r="S2864" t="str">
        <f>IF(Table1[[#This Row],[Years_Experience]]&lt;=5,"Early Career",
IF(Table1[[#This Row],[Years_Experience]]&lt;=15,"Mid Career","Senior Level"))</f>
        <v>Senior Level</v>
      </c>
      <c r="T2864" t="str">
        <f>IF(Table1[[#This Row],[AI_Exposure_Index]]&gt;=0.7,"High Exposure", IF(Table1[[#This Row],[AI_Exposure_Index]]&gt;=0.3,"Medium Exposure","Low Exposure"))</f>
        <v>High Exposure</v>
      </c>
    </row>
    <row r="2865" spans="1:20" x14ac:dyDescent="0.25">
      <c r="A2865" t="s">
        <v>24</v>
      </c>
      <c r="B2865">
        <v>48476</v>
      </c>
      <c r="C2865" s="1">
        <v>6</v>
      </c>
      <c r="D2865" t="s">
        <v>25</v>
      </c>
      <c r="E2865" s="7">
        <v>1.1200000000000001</v>
      </c>
      <c r="F2865" s="2">
        <v>0.55000000000000004</v>
      </c>
      <c r="G2865" s="7">
        <v>0.77</v>
      </c>
      <c r="H2865" s="9" t="s">
        <v>20</v>
      </c>
      <c r="I2865">
        <v>0.09</v>
      </c>
      <c r="J2865">
        <v>0.74</v>
      </c>
      <c r="K2865">
        <v>0.61</v>
      </c>
      <c r="L2865">
        <v>0.94</v>
      </c>
      <c r="M2865">
        <v>0.99</v>
      </c>
      <c r="N2865">
        <v>0.85</v>
      </c>
      <c r="O2865">
        <v>0.99</v>
      </c>
      <c r="P2865">
        <v>0.65</v>
      </c>
      <c r="Q2865">
        <v>0.09</v>
      </c>
      <c r="R2865" s="2">
        <v>0.09</v>
      </c>
      <c r="S2865" t="str">
        <f>IF(Table1[[#This Row],[Years_Experience]]&lt;=5,"Early Career",
IF(Table1[[#This Row],[Years_Experience]]&lt;=15,"Mid Career","Senior Level"))</f>
        <v>Mid Career</v>
      </c>
      <c r="T2865" t="str">
        <f>IF(Table1[[#This Row],[AI_Exposure_Index]]&gt;=0.7,"High Exposure", IF(Table1[[#This Row],[AI_Exposure_Index]]&gt;=0.3,"Medium Exposure","Low Exposure"))</f>
        <v>Medium Exposure</v>
      </c>
    </row>
    <row r="2866" spans="1:20" x14ac:dyDescent="0.25">
      <c r="A2866" t="s">
        <v>39</v>
      </c>
      <c r="B2866">
        <v>121860</v>
      </c>
      <c r="C2866" s="1">
        <v>21</v>
      </c>
      <c r="D2866" t="s">
        <v>22</v>
      </c>
      <c r="E2866" s="7">
        <v>0.56000000000000005</v>
      </c>
      <c r="F2866" s="2">
        <v>0.24</v>
      </c>
      <c r="G2866" s="7">
        <v>0.82</v>
      </c>
      <c r="H2866" s="9" t="s">
        <v>20</v>
      </c>
      <c r="I2866">
        <v>0.31</v>
      </c>
      <c r="J2866">
        <v>0.59</v>
      </c>
      <c r="K2866">
        <v>0.6</v>
      </c>
      <c r="L2866">
        <v>0.68</v>
      </c>
      <c r="M2866">
        <v>0.57999999999999996</v>
      </c>
      <c r="N2866">
        <v>0.38</v>
      </c>
      <c r="O2866">
        <v>0.02</v>
      </c>
      <c r="P2866">
        <v>0.91</v>
      </c>
      <c r="Q2866">
        <v>0.33</v>
      </c>
      <c r="R2866" s="2">
        <v>0.51</v>
      </c>
      <c r="S2866" t="str">
        <f>IF(Table1[[#This Row],[Years_Experience]]&lt;=5,"Early Career",
IF(Table1[[#This Row],[Years_Experience]]&lt;=15,"Mid Career","Senior Level"))</f>
        <v>Senior Level</v>
      </c>
      <c r="T2866" t="str">
        <f>IF(Table1[[#This Row],[AI_Exposure_Index]]&gt;=0.7,"High Exposure", IF(Table1[[#This Row],[AI_Exposure_Index]]&gt;=0.3,"Medium Exposure","Low Exposure"))</f>
        <v>Low Exposure</v>
      </c>
    </row>
    <row r="2867" spans="1:20" x14ac:dyDescent="0.25">
      <c r="A2867" t="s">
        <v>36</v>
      </c>
      <c r="B2867">
        <v>125798</v>
      </c>
      <c r="C2867" s="1">
        <v>4</v>
      </c>
      <c r="D2867" t="s">
        <v>38</v>
      </c>
      <c r="E2867" s="7">
        <v>0.81</v>
      </c>
      <c r="F2867" s="2">
        <v>0.31</v>
      </c>
      <c r="G2867" s="7">
        <v>0.4</v>
      </c>
      <c r="H2867" s="9" t="s">
        <v>27</v>
      </c>
      <c r="I2867">
        <v>0.24</v>
      </c>
      <c r="J2867">
        <v>0.03</v>
      </c>
      <c r="K2867">
        <v>0.96</v>
      </c>
      <c r="L2867">
        <v>0.6</v>
      </c>
      <c r="M2867">
        <v>0.11</v>
      </c>
      <c r="N2867">
        <v>0.59</v>
      </c>
      <c r="O2867">
        <v>0.23</v>
      </c>
      <c r="P2867">
        <v>0.31</v>
      </c>
      <c r="Q2867">
        <v>0.8</v>
      </c>
      <c r="R2867" s="2">
        <v>0.89</v>
      </c>
      <c r="S2867" t="str">
        <f>IF(Table1[[#This Row],[Years_Experience]]&lt;=5,"Early Career",
IF(Table1[[#This Row],[Years_Experience]]&lt;=15,"Mid Career","Senior Level"))</f>
        <v>Early Career</v>
      </c>
      <c r="T2867" t="str">
        <f>IF(Table1[[#This Row],[AI_Exposure_Index]]&gt;=0.7,"High Exposure", IF(Table1[[#This Row],[AI_Exposure_Index]]&gt;=0.3,"Medium Exposure","Low Exposure"))</f>
        <v>Medium Exposure</v>
      </c>
    </row>
    <row r="2868" spans="1:20" x14ac:dyDescent="0.25">
      <c r="A2868" t="s">
        <v>28</v>
      </c>
      <c r="B2868">
        <v>138695</v>
      </c>
      <c r="C2868" s="1">
        <v>23</v>
      </c>
      <c r="D2868" t="s">
        <v>19</v>
      </c>
      <c r="E2868" s="7">
        <v>1.41</v>
      </c>
      <c r="F2868" s="2">
        <v>0.93</v>
      </c>
      <c r="G2868" s="7">
        <v>0.52</v>
      </c>
      <c r="H2868" s="9" t="s">
        <v>27</v>
      </c>
      <c r="I2868">
        <v>0.91</v>
      </c>
      <c r="J2868">
        <v>0.54</v>
      </c>
      <c r="K2868">
        <v>0.1</v>
      </c>
      <c r="L2868">
        <v>0.83</v>
      </c>
      <c r="M2868">
        <v>0.13</v>
      </c>
      <c r="N2868">
        <v>0.32</v>
      </c>
      <c r="O2868">
        <v>0.38</v>
      </c>
      <c r="P2868">
        <v>0.81</v>
      </c>
      <c r="Q2868">
        <v>0.08</v>
      </c>
      <c r="R2868" s="2">
        <v>0.44</v>
      </c>
      <c r="S2868" t="str">
        <f>IF(Table1[[#This Row],[Years_Experience]]&lt;=5,"Early Career",
IF(Table1[[#This Row],[Years_Experience]]&lt;=15,"Mid Career","Senior Level"))</f>
        <v>Senior Level</v>
      </c>
      <c r="T2868" t="str">
        <f>IF(Table1[[#This Row],[AI_Exposure_Index]]&gt;=0.7,"High Exposure", IF(Table1[[#This Row],[AI_Exposure_Index]]&gt;=0.3,"Medium Exposure","Low Exposure"))</f>
        <v>High Exposure</v>
      </c>
    </row>
    <row r="2869" spans="1:20" x14ac:dyDescent="0.25">
      <c r="A2869" t="s">
        <v>21</v>
      </c>
      <c r="B2869">
        <v>69802</v>
      </c>
      <c r="C2869" s="1">
        <v>9</v>
      </c>
      <c r="D2869" t="s">
        <v>38</v>
      </c>
      <c r="E2869" s="7">
        <v>0.85</v>
      </c>
      <c r="F2869" s="2">
        <v>0.57999999999999996</v>
      </c>
      <c r="G2869" s="7">
        <v>0.19</v>
      </c>
      <c r="H2869" s="9" t="s">
        <v>23</v>
      </c>
      <c r="I2869">
        <v>0.99</v>
      </c>
      <c r="J2869">
        <v>7.0000000000000007E-2</v>
      </c>
      <c r="K2869">
        <v>0.87</v>
      </c>
      <c r="L2869">
        <v>0.31</v>
      </c>
      <c r="M2869">
        <v>0.47</v>
      </c>
      <c r="N2869">
        <v>0.74</v>
      </c>
      <c r="O2869">
        <v>0.91</v>
      </c>
      <c r="P2869">
        <v>0.01</v>
      </c>
      <c r="Q2869">
        <v>0.66</v>
      </c>
      <c r="R2869" s="2">
        <v>7.0000000000000007E-2</v>
      </c>
      <c r="S2869" t="str">
        <f>IF(Table1[[#This Row],[Years_Experience]]&lt;=5,"Early Career",
IF(Table1[[#This Row],[Years_Experience]]&lt;=15,"Mid Career","Senior Level"))</f>
        <v>Mid Career</v>
      </c>
      <c r="T2869" t="str">
        <f>IF(Table1[[#This Row],[AI_Exposure_Index]]&gt;=0.7,"High Exposure", IF(Table1[[#This Row],[AI_Exposure_Index]]&gt;=0.3,"Medium Exposure","Low Exposure"))</f>
        <v>Medium Exposure</v>
      </c>
    </row>
    <row r="2870" spans="1:20" x14ac:dyDescent="0.25">
      <c r="A2870" t="s">
        <v>32</v>
      </c>
      <c r="B2870">
        <v>86832</v>
      </c>
      <c r="C2870" s="1">
        <v>18</v>
      </c>
      <c r="D2870" t="s">
        <v>19</v>
      </c>
      <c r="E2870" s="7">
        <v>0.77</v>
      </c>
      <c r="F2870" s="2">
        <v>0.6</v>
      </c>
      <c r="G2870" s="7">
        <v>0.38</v>
      </c>
      <c r="H2870" s="9" t="s">
        <v>27</v>
      </c>
      <c r="I2870">
        <v>0.27</v>
      </c>
      <c r="J2870">
        <v>0.62</v>
      </c>
      <c r="K2870">
        <v>0.15</v>
      </c>
      <c r="L2870">
        <v>0.72</v>
      </c>
      <c r="M2870">
        <v>0.42</v>
      </c>
      <c r="N2870">
        <v>0.35</v>
      </c>
      <c r="O2870">
        <v>0.81</v>
      </c>
      <c r="P2870">
        <v>0.51</v>
      </c>
      <c r="Q2870">
        <v>0.38</v>
      </c>
      <c r="R2870" s="2">
        <v>0.88</v>
      </c>
      <c r="S2870" t="str">
        <f>IF(Table1[[#This Row],[Years_Experience]]&lt;=5,"Early Career",
IF(Table1[[#This Row],[Years_Experience]]&lt;=15,"Mid Career","Senior Level"))</f>
        <v>Senior Level</v>
      </c>
      <c r="T2870" t="str">
        <f>IF(Table1[[#This Row],[AI_Exposure_Index]]&gt;=0.7,"High Exposure", IF(Table1[[#This Row],[AI_Exposure_Index]]&gt;=0.3,"Medium Exposure","Low Exposure"))</f>
        <v>Medium Exposure</v>
      </c>
    </row>
    <row r="2871" spans="1:20" x14ac:dyDescent="0.25">
      <c r="A2871" t="s">
        <v>32</v>
      </c>
      <c r="B2871">
        <v>143959</v>
      </c>
      <c r="C2871" s="1">
        <v>27</v>
      </c>
      <c r="D2871" t="s">
        <v>22</v>
      </c>
      <c r="E2871" s="7">
        <v>1</v>
      </c>
      <c r="F2871" s="2">
        <v>0.86</v>
      </c>
      <c r="G2871" s="7">
        <v>0.38</v>
      </c>
      <c r="H2871" s="9" t="s">
        <v>27</v>
      </c>
      <c r="I2871">
        <v>0.61</v>
      </c>
      <c r="J2871">
        <v>0.28999999999999998</v>
      </c>
      <c r="K2871">
        <v>0.15</v>
      </c>
      <c r="L2871">
        <v>0.09</v>
      </c>
      <c r="M2871">
        <v>0.24</v>
      </c>
      <c r="N2871">
        <v>0.74</v>
      </c>
      <c r="O2871">
        <v>0.84</v>
      </c>
      <c r="P2871">
        <v>0.86</v>
      </c>
      <c r="Q2871">
        <v>0.27</v>
      </c>
      <c r="R2871" s="2">
        <v>0.66</v>
      </c>
      <c r="S2871" t="str">
        <f>IF(Table1[[#This Row],[Years_Experience]]&lt;=5,"Early Career",
IF(Table1[[#This Row],[Years_Experience]]&lt;=15,"Mid Career","Senior Level"))</f>
        <v>Senior Level</v>
      </c>
      <c r="T2871" t="str">
        <f>IF(Table1[[#This Row],[AI_Exposure_Index]]&gt;=0.7,"High Exposure", IF(Table1[[#This Row],[AI_Exposure_Index]]&gt;=0.3,"Medium Exposure","Low Exposure"))</f>
        <v>High Exposure</v>
      </c>
    </row>
    <row r="2872" spans="1:20" x14ac:dyDescent="0.25">
      <c r="A2872" t="s">
        <v>24</v>
      </c>
      <c r="B2872">
        <v>61709</v>
      </c>
      <c r="C2872" s="1">
        <v>22</v>
      </c>
      <c r="D2872" t="s">
        <v>25</v>
      </c>
      <c r="E2872" s="7">
        <v>1.39</v>
      </c>
      <c r="F2872" s="2">
        <v>0.62</v>
      </c>
      <c r="G2872" s="7">
        <v>0.71</v>
      </c>
      <c r="H2872" s="9" t="s">
        <v>20</v>
      </c>
      <c r="I2872">
        <v>0.99</v>
      </c>
      <c r="J2872">
        <v>0.83</v>
      </c>
      <c r="K2872">
        <v>0.76</v>
      </c>
      <c r="L2872">
        <v>0.69</v>
      </c>
      <c r="M2872">
        <v>0.77</v>
      </c>
      <c r="N2872">
        <v>0.99</v>
      </c>
      <c r="O2872">
        <v>0.77</v>
      </c>
      <c r="P2872">
        <v>0.35</v>
      </c>
      <c r="Q2872">
        <v>0.61</v>
      </c>
      <c r="R2872" s="2">
        <v>0.34</v>
      </c>
      <c r="S2872" t="str">
        <f>IF(Table1[[#This Row],[Years_Experience]]&lt;=5,"Early Career",
IF(Table1[[#This Row],[Years_Experience]]&lt;=15,"Mid Career","Senior Level"))</f>
        <v>Senior Level</v>
      </c>
      <c r="T2872" t="str">
        <f>IF(Table1[[#This Row],[AI_Exposure_Index]]&gt;=0.7,"High Exposure", IF(Table1[[#This Row],[AI_Exposure_Index]]&gt;=0.3,"Medium Exposure","Low Exposure"))</f>
        <v>Medium Exposure</v>
      </c>
    </row>
    <row r="2873" spans="1:20" x14ac:dyDescent="0.25">
      <c r="A2873" t="s">
        <v>36</v>
      </c>
      <c r="B2873">
        <v>43669</v>
      </c>
      <c r="C2873" s="1">
        <v>12</v>
      </c>
      <c r="D2873" t="s">
        <v>38</v>
      </c>
      <c r="E2873" s="7">
        <v>1.07</v>
      </c>
      <c r="F2873" s="2">
        <v>0.9</v>
      </c>
      <c r="G2873" s="7">
        <v>0.61</v>
      </c>
      <c r="H2873" s="9" t="s">
        <v>27</v>
      </c>
      <c r="I2873">
        <v>0.91</v>
      </c>
      <c r="J2873">
        <v>0.24</v>
      </c>
      <c r="K2873">
        <v>0.57999999999999996</v>
      </c>
      <c r="L2873">
        <v>0.48</v>
      </c>
      <c r="M2873">
        <v>0.77</v>
      </c>
      <c r="N2873">
        <v>0.38</v>
      </c>
      <c r="O2873">
        <v>0.71</v>
      </c>
      <c r="P2873">
        <v>0.4</v>
      </c>
      <c r="Q2873">
        <v>0.11</v>
      </c>
      <c r="R2873" s="2">
        <v>0.11</v>
      </c>
      <c r="S2873" t="str">
        <f>IF(Table1[[#This Row],[Years_Experience]]&lt;=5,"Early Career",
IF(Table1[[#This Row],[Years_Experience]]&lt;=15,"Mid Career","Senior Level"))</f>
        <v>Mid Career</v>
      </c>
      <c r="T2873" t="str">
        <f>IF(Table1[[#This Row],[AI_Exposure_Index]]&gt;=0.7,"High Exposure", IF(Table1[[#This Row],[AI_Exposure_Index]]&gt;=0.3,"Medium Exposure","Low Exposure"))</f>
        <v>High Exposure</v>
      </c>
    </row>
    <row r="2874" spans="1:20" x14ac:dyDescent="0.25">
      <c r="A2874" t="s">
        <v>44</v>
      </c>
      <c r="B2874">
        <v>61142</v>
      </c>
      <c r="C2874" s="1">
        <v>18</v>
      </c>
      <c r="D2874" t="s">
        <v>38</v>
      </c>
      <c r="E2874" s="7">
        <v>1.03</v>
      </c>
      <c r="F2874" s="2">
        <v>0.03</v>
      </c>
      <c r="G2874" s="7">
        <v>0.56999999999999995</v>
      </c>
      <c r="H2874" s="9" t="s">
        <v>27</v>
      </c>
      <c r="I2874">
        <v>0.13</v>
      </c>
      <c r="J2874">
        <v>0.61</v>
      </c>
      <c r="K2874">
        <v>0.6</v>
      </c>
      <c r="L2874">
        <v>0.15</v>
      </c>
      <c r="M2874">
        <v>0.4</v>
      </c>
      <c r="N2874">
        <v>0.76</v>
      </c>
      <c r="O2874">
        <v>0.02</v>
      </c>
      <c r="P2874">
        <v>0.15</v>
      </c>
      <c r="Q2874">
        <v>1</v>
      </c>
      <c r="R2874" s="2">
        <v>0.73</v>
      </c>
      <c r="S2874" t="str">
        <f>IF(Table1[[#This Row],[Years_Experience]]&lt;=5,"Early Career",
IF(Table1[[#This Row],[Years_Experience]]&lt;=15,"Mid Career","Senior Level"))</f>
        <v>Senior Level</v>
      </c>
      <c r="T2874" t="str">
        <f>IF(Table1[[#This Row],[AI_Exposure_Index]]&gt;=0.7,"High Exposure", IF(Table1[[#This Row],[AI_Exposure_Index]]&gt;=0.3,"Medium Exposure","Low Exposure"))</f>
        <v>Low Exposure</v>
      </c>
    </row>
    <row r="2875" spans="1:20" x14ac:dyDescent="0.25">
      <c r="A2875" t="s">
        <v>41</v>
      </c>
      <c r="B2875">
        <v>111396</v>
      </c>
      <c r="C2875" s="1">
        <v>9</v>
      </c>
      <c r="D2875" t="s">
        <v>38</v>
      </c>
      <c r="E2875" s="7">
        <v>1.35</v>
      </c>
      <c r="F2875" s="2">
        <v>0.63</v>
      </c>
      <c r="G2875" s="7">
        <v>0.91</v>
      </c>
      <c r="H2875" s="9" t="s">
        <v>20</v>
      </c>
      <c r="I2875">
        <v>0.32</v>
      </c>
      <c r="J2875">
        <v>0.49</v>
      </c>
      <c r="K2875">
        <v>0.64</v>
      </c>
      <c r="L2875">
        <v>7.0000000000000007E-2</v>
      </c>
      <c r="M2875">
        <v>0.95</v>
      </c>
      <c r="N2875">
        <v>0.43</v>
      </c>
      <c r="O2875">
        <v>0.37</v>
      </c>
      <c r="P2875">
        <v>0.91</v>
      </c>
      <c r="Q2875">
        <v>0.12</v>
      </c>
      <c r="R2875" s="2">
        <v>0.04</v>
      </c>
      <c r="S2875" t="str">
        <f>IF(Table1[[#This Row],[Years_Experience]]&lt;=5,"Early Career",
IF(Table1[[#This Row],[Years_Experience]]&lt;=15,"Mid Career","Senior Level"))</f>
        <v>Mid Career</v>
      </c>
      <c r="T2875" t="str">
        <f>IF(Table1[[#This Row],[AI_Exposure_Index]]&gt;=0.7,"High Exposure", IF(Table1[[#This Row],[AI_Exposure_Index]]&gt;=0.3,"Medium Exposure","Low Exposure"))</f>
        <v>Medium Exposure</v>
      </c>
    </row>
    <row r="2876" spans="1:20" x14ac:dyDescent="0.25">
      <c r="A2876" t="s">
        <v>26</v>
      </c>
      <c r="B2876">
        <v>50852</v>
      </c>
      <c r="C2876" s="1">
        <v>24</v>
      </c>
      <c r="D2876" t="s">
        <v>22</v>
      </c>
      <c r="E2876" s="7">
        <v>0.67</v>
      </c>
      <c r="F2876" s="2">
        <v>0.65</v>
      </c>
      <c r="G2876" s="7">
        <v>0.31</v>
      </c>
      <c r="H2876" s="9" t="s">
        <v>27</v>
      </c>
      <c r="I2876">
        <v>0.91</v>
      </c>
      <c r="J2876">
        <v>0.3</v>
      </c>
      <c r="K2876">
        <v>0.47</v>
      </c>
      <c r="L2876">
        <v>0.09</v>
      </c>
      <c r="M2876">
        <v>0.38</v>
      </c>
      <c r="N2876">
        <v>0.42</v>
      </c>
      <c r="O2876">
        <v>0.9</v>
      </c>
      <c r="P2876">
        <v>0.87</v>
      </c>
      <c r="Q2876">
        <v>0.19</v>
      </c>
      <c r="R2876" s="2">
        <v>0.56000000000000005</v>
      </c>
      <c r="S2876" t="str">
        <f>IF(Table1[[#This Row],[Years_Experience]]&lt;=5,"Early Career",
IF(Table1[[#This Row],[Years_Experience]]&lt;=15,"Mid Career","Senior Level"))</f>
        <v>Senior Level</v>
      </c>
      <c r="T2876" t="str">
        <f>IF(Table1[[#This Row],[AI_Exposure_Index]]&gt;=0.7,"High Exposure", IF(Table1[[#This Row],[AI_Exposure_Index]]&gt;=0.3,"Medium Exposure","Low Exposure"))</f>
        <v>Medium Exposure</v>
      </c>
    </row>
    <row r="2877" spans="1:20" x14ac:dyDescent="0.25">
      <c r="A2877" t="s">
        <v>30</v>
      </c>
      <c r="B2877">
        <v>99191</v>
      </c>
      <c r="C2877" s="1">
        <v>17</v>
      </c>
      <c r="D2877" t="s">
        <v>19</v>
      </c>
      <c r="E2877" s="7">
        <v>0.89</v>
      </c>
      <c r="F2877" s="2">
        <v>0.28999999999999998</v>
      </c>
      <c r="G2877" s="7">
        <v>0.69</v>
      </c>
      <c r="H2877" s="9" t="s">
        <v>27</v>
      </c>
      <c r="I2877">
        <v>0.76</v>
      </c>
      <c r="J2877">
        <v>0.44</v>
      </c>
      <c r="K2877">
        <v>0.53</v>
      </c>
      <c r="L2877">
        <v>0.63</v>
      </c>
      <c r="M2877">
        <v>0.5</v>
      </c>
      <c r="N2877">
        <v>0.41</v>
      </c>
      <c r="O2877">
        <v>0.36</v>
      </c>
      <c r="P2877">
        <v>0.17</v>
      </c>
      <c r="Q2877">
        <v>0.97</v>
      </c>
      <c r="R2877" s="2">
        <v>0.09</v>
      </c>
      <c r="S2877" t="str">
        <f>IF(Table1[[#This Row],[Years_Experience]]&lt;=5,"Early Career",
IF(Table1[[#This Row],[Years_Experience]]&lt;=15,"Mid Career","Senior Level"))</f>
        <v>Senior Level</v>
      </c>
      <c r="T2877" t="str">
        <f>IF(Table1[[#This Row],[AI_Exposure_Index]]&gt;=0.7,"High Exposure", IF(Table1[[#This Row],[AI_Exposure_Index]]&gt;=0.3,"Medium Exposure","Low Exposure"))</f>
        <v>Low Exposure</v>
      </c>
    </row>
    <row r="2878" spans="1:20" x14ac:dyDescent="0.25">
      <c r="A2878" t="s">
        <v>26</v>
      </c>
      <c r="B2878">
        <v>69537</v>
      </c>
      <c r="C2878" s="1">
        <v>25</v>
      </c>
      <c r="D2878" t="s">
        <v>19</v>
      </c>
      <c r="E2878" s="7">
        <v>0.87</v>
      </c>
      <c r="F2878" s="2">
        <v>0.96</v>
      </c>
      <c r="G2878" s="7">
        <v>0.4</v>
      </c>
      <c r="H2878" s="9" t="s">
        <v>27</v>
      </c>
      <c r="I2878">
        <v>0.96</v>
      </c>
      <c r="J2878">
        <v>0.8</v>
      </c>
      <c r="K2878">
        <v>0.66</v>
      </c>
      <c r="L2878">
        <v>0.61</v>
      </c>
      <c r="M2878">
        <v>0.36</v>
      </c>
      <c r="N2878">
        <v>0.64</v>
      </c>
      <c r="O2878">
        <v>0.73</v>
      </c>
      <c r="P2878">
        <v>0.03</v>
      </c>
      <c r="Q2878">
        <v>0.12</v>
      </c>
      <c r="R2878" s="2">
        <v>0.32</v>
      </c>
      <c r="S2878" t="str">
        <f>IF(Table1[[#This Row],[Years_Experience]]&lt;=5,"Early Career",
IF(Table1[[#This Row],[Years_Experience]]&lt;=15,"Mid Career","Senior Level"))</f>
        <v>Senior Level</v>
      </c>
      <c r="T2878" t="str">
        <f>IF(Table1[[#This Row],[AI_Exposure_Index]]&gt;=0.7,"High Exposure", IF(Table1[[#This Row],[AI_Exposure_Index]]&gt;=0.3,"Medium Exposure","Low Exposure"))</f>
        <v>High Exposure</v>
      </c>
    </row>
    <row r="2879" spans="1:20" x14ac:dyDescent="0.25">
      <c r="A2879" t="s">
        <v>41</v>
      </c>
      <c r="B2879">
        <v>65629</v>
      </c>
      <c r="C2879" s="1">
        <v>3</v>
      </c>
      <c r="D2879" t="s">
        <v>19</v>
      </c>
      <c r="E2879" s="7">
        <v>1.18</v>
      </c>
      <c r="F2879" s="2">
        <v>0.9</v>
      </c>
      <c r="G2879" s="7">
        <v>0.79</v>
      </c>
      <c r="H2879" s="9" t="s">
        <v>20</v>
      </c>
      <c r="I2879">
        <v>0.81</v>
      </c>
      <c r="J2879">
        <v>0.32</v>
      </c>
      <c r="K2879">
        <v>0.99</v>
      </c>
      <c r="L2879">
        <v>0.78</v>
      </c>
      <c r="M2879">
        <v>0.81</v>
      </c>
      <c r="N2879">
        <v>0.26</v>
      </c>
      <c r="O2879">
        <v>0.15</v>
      </c>
      <c r="P2879">
        <v>0.39</v>
      </c>
      <c r="Q2879">
        <v>0.33</v>
      </c>
      <c r="R2879" s="2">
        <v>0.77</v>
      </c>
      <c r="S2879" t="str">
        <f>IF(Table1[[#This Row],[Years_Experience]]&lt;=5,"Early Career",
IF(Table1[[#This Row],[Years_Experience]]&lt;=15,"Mid Career","Senior Level"))</f>
        <v>Early Career</v>
      </c>
      <c r="T2879" t="str">
        <f>IF(Table1[[#This Row],[AI_Exposure_Index]]&gt;=0.7,"High Exposure", IF(Table1[[#This Row],[AI_Exposure_Index]]&gt;=0.3,"Medium Exposure","Low Exposure"))</f>
        <v>High Exposure</v>
      </c>
    </row>
    <row r="2880" spans="1:20" x14ac:dyDescent="0.25">
      <c r="A2880" t="s">
        <v>26</v>
      </c>
      <c r="B2880">
        <v>39597</v>
      </c>
      <c r="C2880" s="1">
        <v>29</v>
      </c>
      <c r="D2880" t="s">
        <v>19</v>
      </c>
      <c r="E2880" s="7">
        <v>1.1299999999999999</v>
      </c>
      <c r="F2880" s="2">
        <v>0.53</v>
      </c>
      <c r="G2880" s="7">
        <v>0.45</v>
      </c>
      <c r="H2880" s="9" t="s">
        <v>27</v>
      </c>
      <c r="I2880">
        <v>0.2</v>
      </c>
      <c r="J2880">
        <v>0.9</v>
      </c>
      <c r="K2880">
        <v>0.14000000000000001</v>
      </c>
      <c r="L2880">
        <v>0.3</v>
      </c>
      <c r="M2880">
        <v>0.76</v>
      </c>
      <c r="N2880">
        <v>0.61</v>
      </c>
      <c r="O2880">
        <v>0.73</v>
      </c>
      <c r="P2880">
        <v>0.81</v>
      </c>
      <c r="Q2880">
        <v>0.9</v>
      </c>
      <c r="R2880" s="2">
        <v>0.3</v>
      </c>
      <c r="S2880" t="str">
        <f>IF(Table1[[#This Row],[Years_Experience]]&lt;=5,"Early Career",
IF(Table1[[#This Row],[Years_Experience]]&lt;=15,"Mid Career","Senior Level"))</f>
        <v>Senior Level</v>
      </c>
      <c r="T2880" t="str">
        <f>IF(Table1[[#This Row],[AI_Exposure_Index]]&gt;=0.7,"High Exposure", IF(Table1[[#This Row],[AI_Exposure_Index]]&gt;=0.3,"Medium Exposure","Low Exposure"))</f>
        <v>Medium Exposure</v>
      </c>
    </row>
    <row r="2881" spans="1:20" x14ac:dyDescent="0.25">
      <c r="A2881" t="s">
        <v>33</v>
      </c>
      <c r="B2881">
        <v>34096</v>
      </c>
      <c r="C2881" s="1">
        <v>4</v>
      </c>
      <c r="D2881" t="s">
        <v>19</v>
      </c>
      <c r="E2881" s="7">
        <v>0.83</v>
      </c>
      <c r="F2881" s="2">
        <v>0.64</v>
      </c>
      <c r="G2881" s="7">
        <v>0.76</v>
      </c>
      <c r="H2881" s="9" t="s">
        <v>20</v>
      </c>
      <c r="I2881">
        <v>0.21</v>
      </c>
      <c r="J2881">
        <v>0.4</v>
      </c>
      <c r="K2881">
        <v>0.19</v>
      </c>
      <c r="L2881">
        <v>0.14000000000000001</v>
      </c>
      <c r="M2881">
        <v>0.36</v>
      </c>
      <c r="N2881">
        <v>0.61</v>
      </c>
      <c r="O2881">
        <v>0.15</v>
      </c>
      <c r="P2881">
        <v>0.04</v>
      </c>
      <c r="Q2881">
        <v>0.03</v>
      </c>
      <c r="R2881" s="2">
        <v>0.27</v>
      </c>
      <c r="S2881" t="str">
        <f>IF(Table1[[#This Row],[Years_Experience]]&lt;=5,"Early Career",
IF(Table1[[#This Row],[Years_Experience]]&lt;=15,"Mid Career","Senior Level"))</f>
        <v>Early Career</v>
      </c>
      <c r="T2881" t="str">
        <f>IF(Table1[[#This Row],[AI_Exposure_Index]]&gt;=0.7,"High Exposure", IF(Table1[[#This Row],[AI_Exposure_Index]]&gt;=0.3,"Medium Exposure","Low Exposure"))</f>
        <v>Medium Exposure</v>
      </c>
    </row>
    <row r="2882" spans="1:20" x14ac:dyDescent="0.25">
      <c r="A2882" t="s">
        <v>41</v>
      </c>
      <c r="B2882">
        <v>63434</v>
      </c>
      <c r="C2882" s="1">
        <v>27</v>
      </c>
      <c r="D2882" t="s">
        <v>19</v>
      </c>
      <c r="E2882" s="7">
        <v>0.96</v>
      </c>
      <c r="F2882" s="2">
        <v>0.54</v>
      </c>
      <c r="G2882" s="7">
        <v>0.78</v>
      </c>
      <c r="H2882" s="9" t="s">
        <v>20</v>
      </c>
      <c r="I2882">
        <v>0.83</v>
      </c>
      <c r="J2882">
        <v>0.5</v>
      </c>
      <c r="K2882">
        <v>0.09</v>
      </c>
      <c r="L2882">
        <v>0.3</v>
      </c>
      <c r="M2882">
        <v>0.97</v>
      </c>
      <c r="N2882">
        <v>0.98</v>
      </c>
      <c r="O2882">
        <v>0.25</v>
      </c>
      <c r="P2882">
        <v>0.17</v>
      </c>
      <c r="Q2882">
        <v>0.5</v>
      </c>
      <c r="R2882" s="2">
        <v>0.48</v>
      </c>
      <c r="S2882" t="str">
        <f>IF(Table1[[#This Row],[Years_Experience]]&lt;=5,"Early Career",
IF(Table1[[#This Row],[Years_Experience]]&lt;=15,"Mid Career","Senior Level"))</f>
        <v>Senior Level</v>
      </c>
      <c r="T2882" t="str">
        <f>IF(Table1[[#This Row],[AI_Exposure_Index]]&gt;=0.7,"High Exposure", IF(Table1[[#This Row],[AI_Exposure_Index]]&gt;=0.3,"Medium Exposure","Low Exposure"))</f>
        <v>Medium Exposure</v>
      </c>
    </row>
    <row r="2883" spans="1:20" x14ac:dyDescent="0.25">
      <c r="A2883" t="s">
        <v>34</v>
      </c>
      <c r="B2883">
        <v>81358</v>
      </c>
      <c r="C2883" s="1">
        <v>29</v>
      </c>
      <c r="D2883" t="s">
        <v>38</v>
      </c>
      <c r="E2883" s="7">
        <v>0.73</v>
      </c>
      <c r="F2883" s="2">
        <v>0.53</v>
      </c>
      <c r="G2883" s="7">
        <v>0.35</v>
      </c>
      <c r="H2883" s="9" t="s">
        <v>27</v>
      </c>
      <c r="I2883">
        <v>0.56999999999999995</v>
      </c>
      <c r="J2883">
        <v>0.93</v>
      </c>
      <c r="K2883">
        <v>0.14000000000000001</v>
      </c>
      <c r="L2883">
        <v>0.7</v>
      </c>
      <c r="M2883">
        <v>0.44</v>
      </c>
      <c r="N2883">
        <v>0.28999999999999998</v>
      </c>
      <c r="O2883">
        <v>0.85</v>
      </c>
      <c r="P2883">
        <v>0.46</v>
      </c>
      <c r="Q2883">
        <v>0.57999999999999996</v>
      </c>
      <c r="R2883" s="2">
        <v>0.44</v>
      </c>
      <c r="S2883" t="str">
        <f>IF(Table1[[#This Row],[Years_Experience]]&lt;=5,"Early Career",
IF(Table1[[#This Row],[Years_Experience]]&lt;=15,"Mid Career","Senior Level"))</f>
        <v>Senior Level</v>
      </c>
      <c r="T2883" t="str">
        <f>IF(Table1[[#This Row],[AI_Exposure_Index]]&gt;=0.7,"High Exposure", IF(Table1[[#This Row],[AI_Exposure_Index]]&gt;=0.3,"Medium Exposure","Low Exposure"))</f>
        <v>Medium Exposure</v>
      </c>
    </row>
    <row r="2884" spans="1:20" x14ac:dyDescent="0.25">
      <c r="A2884" t="s">
        <v>44</v>
      </c>
      <c r="B2884">
        <v>80626</v>
      </c>
      <c r="C2884" s="1">
        <v>29</v>
      </c>
      <c r="D2884" t="s">
        <v>19</v>
      </c>
      <c r="E2884" s="7">
        <v>0.92</v>
      </c>
      <c r="F2884" s="2">
        <v>0.59</v>
      </c>
      <c r="G2884" s="7">
        <v>0.33</v>
      </c>
      <c r="H2884" s="9" t="s">
        <v>27</v>
      </c>
      <c r="I2884">
        <v>0.6</v>
      </c>
      <c r="J2884">
        <v>0.01</v>
      </c>
      <c r="K2884">
        <v>0.21</v>
      </c>
      <c r="L2884">
        <v>0.78</v>
      </c>
      <c r="M2884">
        <v>0.04</v>
      </c>
      <c r="N2884">
        <v>0.65</v>
      </c>
      <c r="O2884">
        <v>0.95</v>
      </c>
      <c r="P2884">
        <v>0.17</v>
      </c>
      <c r="Q2884">
        <v>0.42</v>
      </c>
      <c r="R2884" s="2">
        <v>0.57999999999999996</v>
      </c>
      <c r="S2884" t="str">
        <f>IF(Table1[[#This Row],[Years_Experience]]&lt;=5,"Early Career",
IF(Table1[[#This Row],[Years_Experience]]&lt;=15,"Mid Career","Senior Level"))</f>
        <v>Senior Level</v>
      </c>
      <c r="T2884" t="str">
        <f>IF(Table1[[#This Row],[AI_Exposure_Index]]&gt;=0.7,"High Exposure", IF(Table1[[#This Row],[AI_Exposure_Index]]&gt;=0.3,"Medium Exposure","Low Exposure"))</f>
        <v>Medium Exposure</v>
      </c>
    </row>
    <row r="2885" spans="1:20" x14ac:dyDescent="0.25">
      <c r="A2885" t="s">
        <v>39</v>
      </c>
      <c r="B2885">
        <v>59638</v>
      </c>
      <c r="C2885" s="1">
        <v>22</v>
      </c>
      <c r="D2885" t="s">
        <v>22</v>
      </c>
      <c r="E2885" s="7">
        <v>0.9</v>
      </c>
      <c r="F2885" s="2">
        <v>0.62</v>
      </c>
      <c r="G2885" s="7">
        <v>0.74</v>
      </c>
      <c r="H2885" s="9" t="s">
        <v>20</v>
      </c>
      <c r="I2885">
        <v>0.09</v>
      </c>
      <c r="J2885">
        <v>0.74</v>
      </c>
      <c r="K2885">
        <v>0.24</v>
      </c>
      <c r="L2885">
        <v>0.85</v>
      </c>
      <c r="M2885">
        <v>0.74</v>
      </c>
      <c r="N2885">
        <v>0.05</v>
      </c>
      <c r="O2885">
        <v>0.2</v>
      </c>
      <c r="P2885">
        <v>0.28999999999999998</v>
      </c>
      <c r="Q2885">
        <v>0.59</v>
      </c>
      <c r="R2885" s="2">
        <v>0.81</v>
      </c>
      <c r="S2885" t="str">
        <f>IF(Table1[[#This Row],[Years_Experience]]&lt;=5,"Early Career",
IF(Table1[[#This Row],[Years_Experience]]&lt;=15,"Mid Career","Senior Level"))</f>
        <v>Senior Level</v>
      </c>
      <c r="T2885" t="str">
        <f>IF(Table1[[#This Row],[AI_Exposure_Index]]&gt;=0.7,"High Exposure", IF(Table1[[#This Row],[AI_Exposure_Index]]&gt;=0.3,"Medium Exposure","Low Exposure"))</f>
        <v>Medium Exposure</v>
      </c>
    </row>
    <row r="2886" spans="1:20" x14ac:dyDescent="0.25">
      <c r="A2886" t="s">
        <v>32</v>
      </c>
      <c r="B2886">
        <v>30030</v>
      </c>
      <c r="C2886" s="1">
        <v>9</v>
      </c>
      <c r="D2886" t="s">
        <v>38</v>
      </c>
      <c r="E2886" s="7">
        <v>0.88</v>
      </c>
      <c r="F2886" s="2">
        <v>0.25</v>
      </c>
      <c r="G2886" s="7">
        <v>0.37</v>
      </c>
      <c r="H2886" s="9" t="s">
        <v>27</v>
      </c>
      <c r="I2886">
        <v>0.55000000000000004</v>
      </c>
      <c r="J2886">
        <v>0.48</v>
      </c>
      <c r="K2886">
        <v>0.32</v>
      </c>
      <c r="L2886">
        <v>0.52</v>
      </c>
      <c r="M2886">
        <v>0.36</v>
      </c>
      <c r="N2886">
        <v>0.34</v>
      </c>
      <c r="O2886">
        <v>0.27</v>
      </c>
      <c r="P2886">
        <v>0.54</v>
      </c>
      <c r="Q2886">
        <v>0.44</v>
      </c>
      <c r="R2886" s="2">
        <v>0.2</v>
      </c>
      <c r="S2886" t="str">
        <f>IF(Table1[[#This Row],[Years_Experience]]&lt;=5,"Early Career",
IF(Table1[[#This Row],[Years_Experience]]&lt;=15,"Mid Career","Senior Level"))</f>
        <v>Mid Career</v>
      </c>
      <c r="T2886" t="str">
        <f>IF(Table1[[#This Row],[AI_Exposure_Index]]&gt;=0.7,"High Exposure", IF(Table1[[#This Row],[AI_Exposure_Index]]&gt;=0.3,"Medium Exposure","Low Exposure"))</f>
        <v>Low Exposure</v>
      </c>
    </row>
    <row r="2887" spans="1:20" x14ac:dyDescent="0.25">
      <c r="A2887" t="s">
        <v>34</v>
      </c>
      <c r="B2887">
        <v>145156</v>
      </c>
      <c r="C2887" s="1">
        <v>27</v>
      </c>
      <c r="D2887" t="s">
        <v>38</v>
      </c>
      <c r="E2887" s="7">
        <v>0.54</v>
      </c>
      <c r="F2887" s="2">
        <v>0.15</v>
      </c>
      <c r="G2887" s="7">
        <v>0.47</v>
      </c>
      <c r="H2887" s="9" t="s">
        <v>27</v>
      </c>
      <c r="I2887">
        <v>0.23</v>
      </c>
      <c r="J2887">
        <v>0.42</v>
      </c>
      <c r="K2887">
        <v>0.33</v>
      </c>
      <c r="L2887">
        <v>0.54</v>
      </c>
      <c r="M2887">
        <v>0.72</v>
      </c>
      <c r="N2887">
        <v>0.48</v>
      </c>
      <c r="O2887">
        <v>0.06</v>
      </c>
      <c r="P2887">
        <v>0.02</v>
      </c>
      <c r="Q2887">
        <v>0.21</v>
      </c>
      <c r="R2887" s="2">
        <v>0.42</v>
      </c>
      <c r="S2887" t="str">
        <f>IF(Table1[[#This Row],[Years_Experience]]&lt;=5,"Early Career",
IF(Table1[[#This Row],[Years_Experience]]&lt;=15,"Mid Career","Senior Level"))</f>
        <v>Senior Level</v>
      </c>
      <c r="T2887" t="str">
        <f>IF(Table1[[#This Row],[AI_Exposure_Index]]&gt;=0.7,"High Exposure", IF(Table1[[#This Row],[AI_Exposure_Index]]&gt;=0.3,"Medium Exposure","Low Exposure"))</f>
        <v>Low Exposure</v>
      </c>
    </row>
    <row r="2888" spans="1:20" x14ac:dyDescent="0.25">
      <c r="A2888" t="s">
        <v>29</v>
      </c>
      <c r="B2888">
        <v>88717</v>
      </c>
      <c r="C2888" s="1">
        <v>7</v>
      </c>
      <c r="D2888" t="s">
        <v>19</v>
      </c>
      <c r="E2888" s="7">
        <v>1.39</v>
      </c>
      <c r="F2888" s="2">
        <v>0.33</v>
      </c>
      <c r="G2888" s="7">
        <v>7.0000000000000007E-2</v>
      </c>
      <c r="H2888" s="9" t="s">
        <v>23</v>
      </c>
      <c r="I2888">
        <v>0.95</v>
      </c>
      <c r="J2888">
        <v>0.86</v>
      </c>
      <c r="K2888">
        <v>0.83</v>
      </c>
      <c r="L2888">
        <v>0.86</v>
      </c>
      <c r="M2888">
        <v>0.08</v>
      </c>
      <c r="N2888">
        <v>0.15</v>
      </c>
      <c r="O2888">
        <v>0.13</v>
      </c>
      <c r="P2888">
        <v>0.11</v>
      </c>
      <c r="Q2888">
        <v>0.33</v>
      </c>
      <c r="R2888" s="2">
        <v>0.83</v>
      </c>
      <c r="S2888" t="str">
        <f>IF(Table1[[#This Row],[Years_Experience]]&lt;=5,"Early Career",
IF(Table1[[#This Row],[Years_Experience]]&lt;=15,"Mid Career","Senior Level"))</f>
        <v>Mid Career</v>
      </c>
      <c r="T2888" t="str">
        <f>IF(Table1[[#This Row],[AI_Exposure_Index]]&gt;=0.7,"High Exposure", IF(Table1[[#This Row],[AI_Exposure_Index]]&gt;=0.3,"Medium Exposure","Low Exposure"))</f>
        <v>Medium Exposure</v>
      </c>
    </row>
    <row r="2889" spans="1:20" x14ac:dyDescent="0.25">
      <c r="A2889" t="s">
        <v>24</v>
      </c>
      <c r="B2889">
        <v>68746</v>
      </c>
      <c r="C2889" s="1">
        <v>1</v>
      </c>
      <c r="D2889" t="s">
        <v>22</v>
      </c>
      <c r="E2889" s="7">
        <v>1.18</v>
      </c>
      <c r="F2889" s="2">
        <v>0.24</v>
      </c>
      <c r="G2889" s="7">
        <v>0.72</v>
      </c>
      <c r="H2889" s="9" t="s">
        <v>20</v>
      </c>
      <c r="I2889">
        <v>0.36</v>
      </c>
      <c r="J2889">
        <v>0.3</v>
      </c>
      <c r="K2889">
        <v>0.85</v>
      </c>
      <c r="L2889">
        <v>0.51</v>
      </c>
      <c r="M2889">
        <v>0.65</v>
      </c>
      <c r="N2889">
        <v>0.13</v>
      </c>
      <c r="O2889">
        <v>0.93</v>
      </c>
      <c r="P2889">
        <v>0.32</v>
      </c>
      <c r="Q2889">
        <v>0.71</v>
      </c>
      <c r="R2889" s="2">
        <v>0.95</v>
      </c>
      <c r="S2889" t="str">
        <f>IF(Table1[[#This Row],[Years_Experience]]&lt;=5,"Early Career",
IF(Table1[[#This Row],[Years_Experience]]&lt;=15,"Mid Career","Senior Level"))</f>
        <v>Early Career</v>
      </c>
      <c r="T2889" t="str">
        <f>IF(Table1[[#This Row],[AI_Exposure_Index]]&gt;=0.7,"High Exposure", IF(Table1[[#This Row],[AI_Exposure_Index]]&gt;=0.3,"Medium Exposure","Low Exposure"))</f>
        <v>Low Exposure</v>
      </c>
    </row>
    <row r="2890" spans="1:20" x14ac:dyDescent="0.25">
      <c r="A2890" t="s">
        <v>34</v>
      </c>
      <c r="B2890">
        <v>83207</v>
      </c>
      <c r="C2890" s="1">
        <v>3</v>
      </c>
      <c r="D2890" t="s">
        <v>19</v>
      </c>
      <c r="E2890" s="7">
        <v>0.62</v>
      </c>
      <c r="F2890" s="2">
        <v>0.51</v>
      </c>
      <c r="G2890" s="7">
        <v>0.46</v>
      </c>
      <c r="H2890" s="9" t="s">
        <v>27</v>
      </c>
      <c r="I2890">
        <v>0.85</v>
      </c>
      <c r="J2890">
        <v>0.14000000000000001</v>
      </c>
      <c r="K2890">
        <v>0.92</v>
      </c>
      <c r="L2890">
        <v>0.67</v>
      </c>
      <c r="M2890">
        <v>0.42</v>
      </c>
      <c r="N2890">
        <v>0.55000000000000004</v>
      </c>
      <c r="O2890">
        <v>0.15</v>
      </c>
      <c r="P2890">
        <v>0.22</v>
      </c>
      <c r="Q2890">
        <v>0.28999999999999998</v>
      </c>
      <c r="R2890" s="2">
        <v>0.38</v>
      </c>
      <c r="S2890" t="str">
        <f>IF(Table1[[#This Row],[Years_Experience]]&lt;=5,"Early Career",
IF(Table1[[#This Row],[Years_Experience]]&lt;=15,"Mid Career","Senior Level"))</f>
        <v>Early Career</v>
      </c>
      <c r="T2890" t="str">
        <f>IF(Table1[[#This Row],[AI_Exposure_Index]]&gt;=0.7,"High Exposure", IF(Table1[[#This Row],[AI_Exposure_Index]]&gt;=0.3,"Medium Exposure","Low Exposure"))</f>
        <v>Medium Exposure</v>
      </c>
    </row>
    <row r="2891" spans="1:20" x14ac:dyDescent="0.25">
      <c r="A2891" t="s">
        <v>31</v>
      </c>
      <c r="B2891">
        <v>138109</v>
      </c>
      <c r="C2891" s="1">
        <v>18</v>
      </c>
      <c r="D2891" t="s">
        <v>19</v>
      </c>
      <c r="E2891" s="7">
        <v>1.02</v>
      </c>
      <c r="F2891" s="2">
        <v>0.37</v>
      </c>
      <c r="G2891" s="7">
        <v>0.09</v>
      </c>
      <c r="H2891" s="9" t="s">
        <v>23</v>
      </c>
      <c r="I2891">
        <v>0.74</v>
      </c>
      <c r="J2891">
        <v>0.56000000000000005</v>
      </c>
      <c r="K2891">
        <v>0.44</v>
      </c>
      <c r="L2891">
        <v>0.95</v>
      </c>
      <c r="M2891">
        <v>0.89</v>
      </c>
      <c r="N2891">
        <v>0.66</v>
      </c>
      <c r="O2891">
        <v>0.92</v>
      </c>
      <c r="P2891">
        <v>0.56000000000000005</v>
      </c>
      <c r="Q2891">
        <v>0.83</v>
      </c>
      <c r="R2891" s="2">
        <v>0.41</v>
      </c>
      <c r="S2891" t="str">
        <f>IF(Table1[[#This Row],[Years_Experience]]&lt;=5,"Early Career",
IF(Table1[[#This Row],[Years_Experience]]&lt;=15,"Mid Career","Senior Level"))</f>
        <v>Senior Level</v>
      </c>
      <c r="T2891" t="str">
        <f>IF(Table1[[#This Row],[AI_Exposure_Index]]&gt;=0.7,"High Exposure", IF(Table1[[#This Row],[AI_Exposure_Index]]&gt;=0.3,"Medium Exposure","Low Exposure"))</f>
        <v>Medium Exposure</v>
      </c>
    </row>
    <row r="2892" spans="1:20" x14ac:dyDescent="0.25">
      <c r="A2892" t="s">
        <v>21</v>
      </c>
      <c r="B2892">
        <v>86834</v>
      </c>
      <c r="C2892" s="1">
        <v>15</v>
      </c>
      <c r="D2892" t="s">
        <v>22</v>
      </c>
      <c r="E2892" s="7">
        <v>0.67</v>
      </c>
      <c r="F2892" s="2">
        <v>0.99</v>
      </c>
      <c r="G2892" s="7">
        <v>0.11</v>
      </c>
      <c r="H2892" s="9" t="s">
        <v>23</v>
      </c>
      <c r="I2892">
        <v>0.16</v>
      </c>
      <c r="J2892">
        <v>0.34</v>
      </c>
      <c r="K2892">
        <v>0.28999999999999998</v>
      </c>
      <c r="L2892">
        <v>0.6</v>
      </c>
      <c r="M2892">
        <v>1</v>
      </c>
      <c r="N2892">
        <v>0.05</v>
      </c>
      <c r="O2892">
        <v>0.78</v>
      </c>
      <c r="P2892">
        <v>0.13</v>
      </c>
      <c r="Q2892">
        <v>0.02</v>
      </c>
      <c r="R2892" s="2">
        <v>0.64</v>
      </c>
      <c r="S2892" t="str">
        <f>IF(Table1[[#This Row],[Years_Experience]]&lt;=5,"Early Career",
IF(Table1[[#This Row],[Years_Experience]]&lt;=15,"Mid Career","Senior Level"))</f>
        <v>Mid Career</v>
      </c>
      <c r="T2892" t="str">
        <f>IF(Table1[[#This Row],[AI_Exposure_Index]]&gt;=0.7,"High Exposure", IF(Table1[[#This Row],[AI_Exposure_Index]]&gt;=0.3,"Medium Exposure","Low Exposure"))</f>
        <v>High Exposure</v>
      </c>
    </row>
    <row r="2893" spans="1:20" x14ac:dyDescent="0.25">
      <c r="A2893" t="s">
        <v>44</v>
      </c>
      <c r="B2893">
        <v>133988</v>
      </c>
      <c r="C2893" s="1">
        <v>7</v>
      </c>
      <c r="D2893" t="s">
        <v>19</v>
      </c>
      <c r="E2893" s="7">
        <v>0.84</v>
      </c>
      <c r="F2893" s="2">
        <v>0.18</v>
      </c>
      <c r="G2893" s="7">
        <v>0.37</v>
      </c>
      <c r="H2893" s="9" t="s">
        <v>27</v>
      </c>
      <c r="I2893">
        <v>0.91</v>
      </c>
      <c r="J2893">
        <v>0.27</v>
      </c>
      <c r="K2893">
        <v>0.44</v>
      </c>
      <c r="L2893">
        <v>0.89</v>
      </c>
      <c r="M2893">
        <v>0.55000000000000004</v>
      </c>
      <c r="N2893">
        <v>0.93</v>
      </c>
      <c r="O2893">
        <v>0.93</v>
      </c>
      <c r="P2893">
        <v>0.46</v>
      </c>
      <c r="Q2893">
        <v>0.57999999999999996</v>
      </c>
      <c r="R2893" s="2">
        <v>0.23</v>
      </c>
      <c r="S2893" t="str">
        <f>IF(Table1[[#This Row],[Years_Experience]]&lt;=5,"Early Career",
IF(Table1[[#This Row],[Years_Experience]]&lt;=15,"Mid Career","Senior Level"))</f>
        <v>Mid Career</v>
      </c>
      <c r="T2893" t="str">
        <f>IF(Table1[[#This Row],[AI_Exposure_Index]]&gt;=0.7,"High Exposure", IF(Table1[[#This Row],[AI_Exposure_Index]]&gt;=0.3,"Medium Exposure","Low Exposure"))</f>
        <v>Low Exposure</v>
      </c>
    </row>
    <row r="2894" spans="1:20" x14ac:dyDescent="0.25">
      <c r="A2894" t="s">
        <v>18</v>
      </c>
      <c r="B2894">
        <v>145064</v>
      </c>
      <c r="C2894" s="1">
        <v>2</v>
      </c>
      <c r="D2894" t="s">
        <v>25</v>
      </c>
      <c r="E2894" s="7">
        <v>1.28</v>
      </c>
      <c r="F2894" s="2">
        <v>0.28000000000000003</v>
      </c>
      <c r="G2894" s="7">
        <v>0.78</v>
      </c>
      <c r="H2894" s="9" t="s">
        <v>20</v>
      </c>
      <c r="I2894">
        <v>0.31</v>
      </c>
      <c r="J2894">
        <v>0.1</v>
      </c>
      <c r="K2894">
        <v>0.56000000000000005</v>
      </c>
      <c r="L2894">
        <v>0.24</v>
      </c>
      <c r="M2894">
        <v>0.15</v>
      </c>
      <c r="N2894">
        <v>0.23</v>
      </c>
      <c r="O2894">
        <v>0.25</v>
      </c>
      <c r="P2894">
        <v>0.5</v>
      </c>
      <c r="Q2894">
        <v>0.39</v>
      </c>
      <c r="R2894" s="2">
        <v>0.08</v>
      </c>
      <c r="S2894" t="str">
        <f>IF(Table1[[#This Row],[Years_Experience]]&lt;=5,"Early Career",
IF(Table1[[#This Row],[Years_Experience]]&lt;=15,"Mid Career","Senior Level"))</f>
        <v>Early Career</v>
      </c>
      <c r="T2894" t="str">
        <f>IF(Table1[[#This Row],[AI_Exposure_Index]]&gt;=0.7,"High Exposure", IF(Table1[[#This Row],[AI_Exposure_Index]]&gt;=0.3,"Medium Exposure","Low Exposure"))</f>
        <v>Low Exposure</v>
      </c>
    </row>
    <row r="2895" spans="1:20" x14ac:dyDescent="0.25">
      <c r="A2895" t="s">
        <v>18</v>
      </c>
      <c r="B2895">
        <v>106620</v>
      </c>
      <c r="C2895" s="1">
        <v>10</v>
      </c>
      <c r="D2895" t="s">
        <v>38</v>
      </c>
      <c r="E2895" s="7">
        <v>1.07</v>
      </c>
      <c r="F2895" s="2">
        <v>0.79</v>
      </c>
      <c r="G2895" s="7">
        <v>0.94</v>
      </c>
      <c r="H2895" s="9" t="s">
        <v>20</v>
      </c>
      <c r="I2895">
        <v>0.1</v>
      </c>
      <c r="J2895">
        <v>0.82</v>
      </c>
      <c r="K2895">
        <v>0.51</v>
      </c>
      <c r="L2895">
        <v>0.52</v>
      </c>
      <c r="M2895">
        <v>0.52</v>
      </c>
      <c r="N2895">
        <v>0.33</v>
      </c>
      <c r="O2895">
        <v>0.32</v>
      </c>
      <c r="P2895">
        <v>0.63</v>
      </c>
      <c r="Q2895">
        <v>0.04</v>
      </c>
      <c r="R2895" s="2">
        <v>0.59</v>
      </c>
      <c r="S2895" t="str">
        <f>IF(Table1[[#This Row],[Years_Experience]]&lt;=5,"Early Career",
IF(Table1[[#This Row],[Years_Experience]]&lt;=15,"Mid Career","Senior Level"))</f>
        <v>Mid Career</v>
      </c>
      <c r="T2895" t="str">
        <f>IF(Table1[[#This Row],[AI_Exposure_Index]]&gt;=0.7,"High Exposure", IF(Table1[[#This Row],[AI_Exposure_Index]]&gt;=0.3,"Medium Exposure","Low Exposure"))</f>
        <v>High Exposure</v>
      </c>
    </row>
    <row r="2896" spans="1:20" x14ac:dyDescent="0.25">
      <c r="A2896" t="s">
        <v>39</v>
      </c>
      <c r="B2896">
        <v>80942</v>
      </c>
      <c r="C2896" s="1">
        <v>18</v>
      </c>
      <c r="D2896" t="s">
        <v>19</v>
      </c>
      <c r="E2896" s="7">
        <v>0.72</v>
      </c>
      <c r="F2896" s="2">
        <v>0.36</v>
      </c>
      <c r="G2896" s="7">
        <v>0.75</v>
      </c>
      <c r="H2896" s="9" t="s">
        <v>20</v>
      </c>
      <c r="I2896">
        <v>0.08</v>
      </c>
      <c r="J2896">
        <v>0.09</v>
      </c>
      <c r="K2896">
        <v>0.17</v>
      </c>
      <c r="L2896">
        <v>0.02</v>
      </c>
      <c r="M2896">
        <v>0.27</v>
      </c>
      <c r="N2896">
        <v>0.31</v>
      </c>
      <c r="O2896">
        <v>1</v>
      </c>
      <c r="P2896">
        <v>0.99</v>
      </c>
      <c r="Q2896">
        <v>0.19</v>
      </c>
      <c r="R2896" s="2">
        <v>0.21</v>
      </c>
      <c r="S2896" t="str">
        <f>IF(Table1[[#This Row],[Years_Experience]]&lt;=5,"Early Career",
IF(Table1[[#This Row],[Years_Experience]]&lt;=15,"Mid Career","Senior Level"))</f>
        <v>Senior Level</v>
      </c>
      <c r="T2896" t="str">
        <f>IF(Table1[[#This Row],[AI_Exposure_Index]]&gt;=0.7,"High Exposure", IF(Table1[[#This Row],[AI_Exposure_Index]]&gt;=0.3,"Medium Exposure","Low Exposure"))</f>
        <v>Medium Exposure</v>
      </c>
    </row>
    <row r="2897" spans="1:20" x14ac:dyDescent="0.25">
      <c r="A2897" t="s">
        <v>33</v>
      </c>
      <c r="B2897">
        <v>133274</v>
      </c>
      <c r="C2897" s="1">
        <v>27</v>
      </c>
      <c r="D2897" t="s">
        <v>22</v>
      </c>
      <c r="E2897" s="7">
        <v>1</v>
      </c>
      <c r="F2897" s="2">
        <v>0.15</v>
      </c>
      <c r="G2897" s="7">
        <v>0.8</v>
      </c>
      <c r="H2897" s="9" t="s">
        <v>20</v>
      </c>
      <c r="I2897">
        <v>0.32</v>
      </c>
      <c r="J2897">
        <v>0.82</v>
      </c>
      <c r="K2897">
        <v>0.83</v>
      </c>
      <c r="L2897">
        <v>0.99</v>
      </c>
      <c r="M2897">
        <v>0.22</v>
      </c>
      <c r="N2897">
        <v>0.89</v>
      </c>
      <c r="O2897">
        <v>0.54</v>
      </c>
      <c r="P2897">
        <v>0.59</v>
      </c>
      <c r="Q2897">
        <v>0.9</v>
      </c>
      <c r="R2897" s="2">
        <v>0.94</v>
      </c>
      <c r="S2897" t="str">
        <f>IF(Table1[[#This Row],[Years_Experience]]&lt;=5,"Early Career",
IF(Table1[[#This Row],[Years_Experience]]&lt;=15,"Mid Career","Senior Level"))</f>
        <v>Senior Level</v>
      </c>
      <c r="T2897" t="str">
        <f>IF(Table1[[#This Row],[AI_Exposure_Index]]&gt;=0.7,"High Exposure", IF(Table1[[#This Row],[AI_Exposure_Index]]&gt;=0.3,"Medium Exposure","Low Exposure"))</f>
        <v>Low Exposure</v>
      </c>
    </row>
    <row r="2898" spans="1:20" x14ac:dyDescent="0.25">
      <c r="A2898" t="s">
        <v>39</v>
      </c>
      <c r="B2898">
        <v>49826</v>
      </c>
      <c r="C2898" s="1">
        <v>9</v>
      </c>
      <c r="D2898" t="s">
        <v>19</v>
      </c>
      <c r="E2898" s="7">
        <v>0.99</v>
      </c>
      <c r="F2898" s="2">
        <v>0.35</v>
      </c>
      <c r="G2898" s="7">
        <v>0.85</v>
      </c>
      <c r="H2898" s="9" t="s">
        <v>20</v>
      </c>
      <c r="I2898">
        <v>0.83</v>
      </c>
      <c r="J2898">
        <v>0.66</v>
      </c>
      <c r="K2898">
        <v>0.37</v>
      </c>
      <c r="L2898">
        <v>0.42</v>
      </c>
      <c r="M2898">
        <v>0.05</v>
      </c>
      <c r="N2898">
        <v>0.92</v>
      </c>
      <c r="O2898">
        <v>0.09</v>
      </c>
      <c r="P2898">
        <v>0.57999999999999996</v>
      </c>
      <c r="Q2898">
        <v>0.87</v>
      </c>
      <c r="R2898" s="2">
        <v>0.42</v>
      </c>
      <c r="S2898" t="str">
        <f>IF(Table1[[#This Row],[Years_Experience]]&lt;=5,"Early Career",
IF(Table1[[#This Row],[Years_Experience]]&lt;=15,"Mid Career","Senior Level"))</f>
        <v>Mid Career</v>
      </c>
      <c r="T2898" t="str">
        <f>IF(Table1[[#This Row],[AI_Exposure_Index]]&gt;=0.7,"High Exposure", IF(Table1[[#This Row],[AI_Exposure_Index]]&gt;=0.3,"Medium Exposure","Low Exposure"))</f>
        <v>Medium Exposure</v>
      </c>
    </row>
    <row r="2899" spans="1:20" x14ac:dyDescent="0.25">
      <c r="A2899" t="s">
        <v>39</v>
      </c>
      <c r="B2899">
        <v>97116</v>
      </c>
      <c r="C2899" s="1">
        <v>26</v>
      </c>
      <c r="D2899" t="s">
        <v>22</v>
      </c>
      <c r="E2899" s="7">
        <v>0.56000000000000005</v>
      </c>
      <c r="F2899" s="2">
        <v>0.8</v>
      </c>
      <c r="G2899" s="7">
        <v>0.8</v>
      </c>
      <c r="H2899" s="9" t="s">
        <v>20</v>
      </c>
      <c r="I2899">
        <v>0.69</v>
      </c>
      <c r="J2899">
        <v>0.42</v>
      </c>
      <c r="K2899">
        <v>0.55000000000000004</v>
      </c>
      <c r="L2899">
        <v>0.59</v>
      </c>
      <c r="M2899">
        <v>0.15</v>
      </c>
      <c r="N2899">
        <v>0.41</v>
      </c>
      <c r="O2899">
        <v>0.03</v>
      </c>
      <c r="P2899">
        <v>0.15</v>
      </c>
      <c r="Q2899">
        <v>0.51</v>
      </c>
      <c r="R2899" s="2">
        <v>0.56999999999999995</v>
      </c>
      <c r="S2899" t="str">
        <f>IF(Table1[[#This Row],[Years_Experience]]&lt;=5,"Early Career",
IF(Table1[[#This Row],[Years_Experience]]&lt;=15,"Mid Career","Senior Level"))</f>
        <v>Senior Level</v>
      </c>
      <c r="T2899" t="str">
        <f>IF(Table1[[#This Row],[AI_Exposure_Index]]&gt;=0.7,"High Exposure", IF(Table1[[#This Row],[AI_Exposure_Index]]&gt;=0.3,"Medium Exposure","Low Exposure"))</f>
        <v>High Exposure</v>
      </c>
    </row>
    <row r="2900" spans="1:20" x14ac:dyDescent="0.25">
      <c r="A2900" t="s">
        <v>36</v>
      </c>
      <c r="B2900">
        <v>136030</v>
      </c>
      <c r="C2900" s="1">
        <v>16</v>
      </c>
      <c r="D2900" t="s">
        <v>38</v>
      </c>
      <c r="E2900" s="7">
        <v>1.38</v>
      </c>
      <c r="F2900" s="2">
        <v>0.68</v>
      </c>
      <c r="G2900" s="7">
        <v>0.59</v>
      </c>
      <c r="H2900" s="9" t="s">
        <v>27</v>
      </c>
      <c r="I2900">
        <v>0.95</v>
      </c>
      <c r="J2900">
        <v>0.89</v>
      </c>
      <c r="K2900">
        <v>0.86</v>
      </c>
      <c r="L2900">
        <v>0.39</v>
      </c>
      <c r="M2900">
        <v>0.39</v>
      </c>
      <c r="N2900">
        <v>0.74</v>
      </c>
      <c r="O2900">
        <v>0.08</v>
      </c>
      <c r="P2900">
        <v>0.32</v>
      </c>
      <c r="Q2900">
        <v>0.93</v>
      </c>
      <c r="R2900" s="2">
        <v>0.45</v>
      </c>
      <c r="S2900" t="str">
        <f>IF(Table1[[#This Row],[Years_Experience]]&lt;=5,"Early Career",
IF(Table1[[#This Row],[Years_Experience]]&lt;=15,"Mid Career","Senior Level"))</f>
        <v>Senior Level</v>
      </c>
      <c r="T2900" t="str">
        <f>IF(Table1[[#This Row],[AI_Exposure_Index]]&gt;=0.7,"High Exposure", IF(Table1[[#This Row],[AI_Exposure_Index]]&gt;=0.3,"Medium Exposure","Low Exposure"))</f>
        <v>Medium Exposure</v>
      </c>
    </row>
    <row r="2901" spans="1:20" x14ac:dyDescent="0.25">
      <c r="A2901" t="s">
        <v>24</v>
      </c>
      <c r="B2901">
        <v>33388</v>
      </c>
      <c r="C2901" s="1">
        <v>3</v>
      </c>
      <c r="D2901" t="s">
        <v>22</v>
      </c>
      <c r="E2901" s="7">
        <v>0.79</v>
      </c>
      <c r="F2901" s="2">
        <v>0.48</v>
      </c>
      <c r="G2901" s="7">
        <v>0.89</v>
      </c>
      <c r="H2901" s="9" t="s">
        <v>20</v>
      </c>
      <c r="I2901">
        <v>0.85</v>
      </c>
      <c r="J2901">
        <v>0.78</v>
      </c>
      <c r="K2901">
        <v>0.15</v>
      </c>
      <c r="L2901">
        <v>0.34</v>
      </c>
      <c r="M2901">
        <v>0.21</v>
      </c>
      <c r="N2901">
        <v>0.04</v>
      </c>
      <c r="O2901">
        <v>0.74</v>
      </c>
      <c r="P2901">
        <v>0.43</v>
      </c>
      <c r="Q2901">
        <v>0.28000000000000003</v>
      </c>
      <c r="R2901" s="2">
        <v>0.31</v>
      </c>
      <c r="S2901" t="str">
        <f>IF(Table1[[#This Row],[Years_Experience]]&lt;=5,"Early Career",
IF(Table1[[#This Row],[Years_Experience]]&lt;=15,"Mid Career","Senior Level"))</f>
        <v>Early Career</v>
      </c>
      <c r="T2901" t="str">
        <f>IF(Table1[[#This Row],[AI_Exposure_Index]]&gt;=0.7,"High Exposure", IF(Table1[[#This Row],[AI_Exposure_Index]]&gt;=0.3,"Medium Exposure","Low Exposure"))</f>
        <v>Medium Exposure</v>
      </c>
    </row>
    <row r="2902" spans="1:20" x14ac:dyDescent="0.25">
      <c r="A2902" t="s">
        <v>26</v>
      </c>
      <c r="B2902">
        <v>58797</v>
      </c>
      <c r="C2902" s="1">
        <v>18</v>
      </c>
      <c r="D2902" t="s">
        <v>19</v>
      </c>
      <c r="E2902" s="7">
        <v>0.64</v>
      </c>
      <c r="F2902" s="2">
        <v>0.83</v>
      </c>
      <c r="G2902" s="7">
        <v>0.44</v>
      </c>
      <c r="H2902" s="9" t="s">
        <v>27</v>
      </c>
      <c r="I2902">
        <v>0.01</v>
      </c>
      <c r="J2902">
        <v>0.44</v>
      </c>
      <c r="K2902">
        <v>0.35</v>
      </c>
      <c r="L2902">
        <v>0.72</v>
      </c>
      <c r="M2902">
        <v>0.72</v>
      </c>
      <c r="N2902">
        <v>0.04</v>
      </c>
      <c r="O2902">
        <v>0.12</v>
      </c>
      <c r="P2902">
        <v>0.9</v>
      </c>
      <c r="Q2902">
        <v>0.79</v>
      </c>
      <c r="R2902" s="2">
        <v>0.39</v>
      </c>
      <c r="S2902" t="str">
        <f>IF(Table1[[#This Row],[Years_Experience]]&lt;=5,"Early Career",
IF(Table1[[#This Row],[Years_Experience]]&lt;=15,"Mid Career","Senior Level"))</f>
        <v>Senior Level</v>
      </c>
      <c r="T2902" t="str">
        <f>IF(Table1[[#This Row],[AI_Exposure_Index]]&gt;=0.7,"High Exposure", IF(Table1[[#This Row],[AI_Exposure_Index]]&gt;=0.3,"Medium Exposure","Low Exposure"))</f>
        <v>High Exposure</v>
      </c>
    </row>
    <row r="2903" spans="1:20" x14ac:dyDescent="0.25">
      <c r="A2903" t="s">
        <v>29</v>
      </c>
      <c r="B2903">
        <v>129508</v>
      </c>
      <c r="C2903" s="1">
        <v>7</v>
      </c>
      <c r="D2903" t="s">
        <v>25</v>
      </c>
      <c r="E2903" s="7">
        <v>1.1599999999999999</v>
      </c>
      <c r="F2903" s="2">
        <v>0.26</v>
      </c>
      <c r="G2903" s="7">
        <v>0.28999999999999998</v>
      </c>
      <c r="H2903" s="9" t="s">
        <v>23</v>
      </c>
      <c r="I2903">
        <v>0.62</v>
      </c>
      <c r="J2903">
        <v>0.03</v>
      </c>
      <c r="K2903">
        <v>0.65</v>
      </c>
      <c r="L2903">
        <v>0.94</v>
      </c>
      <c r="M2903">
        <v>0.36</v>
      </c>
      <c r="N2903">
        <v>0.93</v>
      </c>
      <c r="O2903">
        <v>0.67</v>
      </c>
      <c r="P2903">
        <v>0.19</v>
      </c>
      <c r="Q2903">
        <v>0.15</v>
      </c>
      <c r="R2903" s="2">
        <v>0.18</v>
      </c>
      <c r="S2903" t="str">
        <f>IF(Table1[[#This Row],[Years_Experience]]&lt;=5,"Early Career",
IF(Table1[[#This Row],[Years_Experience]]&lt;=15,"Mid Career","Senior Level"))</f>
        <v>Mid Career</v>
      </c>
      <c r="T2903" t="str">
        <f>IF(Table1[[#This Row],[AI_Exposure_Index]]&gt;=0.7,"High Exposure", IF(Table1[[#This Row],[AI_Exposure_Index]]&gt;=0.3,"Medium Exposure","Low Exposure"))</f>
        <v>Low Exposure</v>
      </c>
    </row>
    <row r="2904" spans="1:20" x14ac:dyDescent="0.25">
      <c r="A2904" t="s">
        <v>42</v>
      </c>
      <c r="B2904">
        <v>54996</v>
      </c>
      <c r="C2904" s="1">
        <v>12</v>
      </c>
      <c r="D2904" t="s">
        <v>38</v>
      </c>
      <c r="E2904" s="7">
        <v>0.96</v>
      </c>
      <c r="F2904" s="2">
        <v>0.59</v>
      </c>
      <c r="G2904" s="7">
        <v>0.41</v>
      </c>
      <c r="H2904" s="9" t="s">
        <v>27</v>
      </c>
      <c r="I2904">
        <v>0.91</v>
      </c>
      <c r="J2904">
        <v>0.21</v>
      </c>
      <c r="K2904">
        <v>0.28000000000000003</v>
      </c>
      <c r="L2904">
        <v>0.05</v>
      </c>
      <c r="M2904">
        <v>0.28000000000000003</v>
      </c>
      <c r="N2904">
        <v>0.92</v>
      </c>
      <c r="O2904">
        <v>0.19</v>
      </c>
      <c r="P2904">
        <v>0.2</v>
      </c>
      <c r="Q2904">
        <v>0.6</v>
      </c>
      <c r="R2904" s="2">
        <v>0.56999999999999995</v>
      </c>
      <c r="S2904" t="str">
        <f>IF(Table1[[#This Row],[Years_Experience]]&lt;=5,"Early Career",
IF(Table1[[#This Row],[Years_Experience]]&lt;=15,"Mid Career","Senior Level"))</f>
        <v>Mid Career</v>
      </c>
      <c r="T2904" t="str">
        <f>IF(Table1[[#This Row],[AI_Exposure_Index]]&gt;=0.7,"High Exposure", IF(Table1[[#This Row],[AI_Exposure_Index]]&gt;=0.3,"Medium Exposure","Low Exposure"))</f>
        <v>Medium Exposure</v>
      </c>
    </row>
    <row r="2905" spans="1:20" x14ac:dyDescent="0.25">
      <c r="A2905" t="s">
        <v>34</v>
      </c>
      <c r="B2905">
        <v>136165</v>
      </c>
      <c r="C2905" s="1">
        <v>26</v>
      </c>
      <c r="D2905" t="s">
        <v>22</v>
      </c>
      <c r="E2905" s="7">
        <v>0.62</v>
      </c>
      <c r="F2905" s="2">
        <v>0.15</v>
      </c>
      <c r="G2905" s="7">
        <v>0.64</v>
      </c>
      <c r="H2905" s="9" t="s">
        <v>27</v>
      </c>
      <c r="I2905">
        <v>0.65</v>
      </c>
      <c r="J2905">
        <v>0.95</v>
      </c>
      <c r="K2905">
        <v>0.17</v>
      </c>
      <c r="L2905">
        <v>0.46</v>
      </c>
      <c r="M2905">
        <v>0.74</v>
      </c>
      <c r="N2905">
        <v>0.21</v>
      </c>
      <c r="O2905">
        <v>0.68</v>
      </c>
      <c r="P2905">
        <v>0.47</v>
      </c>
      <c r="Q2905">
        <v>0.43</v>
      </c>
      <c r="R2905" s="2">
        <v>0.64</v>
      </c>
      <c r="S2905" t="str">
        <f>IF(Table1[[#This Row],[Years_Experience]]&lt;=5,"Early Career",
IF(Table1[[#This Row],[Years_Experience]]&lt;=15,"Mid Career","Senior Level"))</f>
        <v>Senior Level</v>
      </c>
      <c r="T2905" t="str">
        <f>IF(Table1[[#This Row],[AI_Exposure_Index]]&gt;=0.7,"High Exposure", IF(Table1[[#This Row],[AI_Exposure_Index]]&gt;=0.3,"Medium Exposure","Low Exposure"))</f>
        <v>Low Exposure</v>
      </c>
    </row>
    <row r="2906" spans="1:20" x14ac:dyDescent="0.25">
      <c r="A2906" t="s">
        <v>43</v>
      </c>
      <c r="B2906">
        <v>83986</v>
      </c>
      <c r="C2906" s="1">
        <v>15</v>
      </c>
      <c r="D2906" t="s">
        <v>25</v>
      </c>
      <c r="E2906" s="7">
        <v>1.43</v>
      </c>
      <c r="F2906" s="2">
        <v>0.82</v>
      </c>
      <c r="G2906" s="7">
        <v>0.2</v>
      </c>
      <c r="H2906" s="9" t="s">
        <v>23</v>
      </c>
      <c r="I2906">
        <v>0.3</v>
      </c>
      <c r="J2906">
        <v>0.78</v>
      </c>
      <c r="K2906">
        <v>0.17</v>
      </c>
      <c r="L2906">
        <v>0.09</v>
      </c>
      <c r="M2906">
        <v>0.52</v>
      </c>
      <c r="N2906">
        <v>0.65</v>
      </c>
      <c r="O2906">
        <v>0.83</v>
      </c>
      <c r="P2906">
        <v>0.96</v>
      </c>
      <c r="Q2906">
        <v>0.87</v>
      </c>
      <c r="R2906" s="2">
        <v>0.99</v>
      </c>
      <c r="S2906" t="str">
        <f>IF(Table1[[#This Row],[Years_Experience]]&lt;=5,"Early Career",
IF(Table1[[#This Row],[Years_Experience]]&lt;=15,"Mid Career","Senior Level"))</f>
        <v>Mid Career</v>
      </c>
      <c r="T2906" t="str">
        <f>IF(Table1[[#This Row],[AI_Exposure_Index]]&gt;=0.7,"High Exposure", IF(Table1[[#This Row],[AI_Exposure_Index]]&gt;=0.3,"Medium Exposure","Low Exposure"))</f>
        <v>High Exposure</v>
      </c>
    </row>
    <row r="2907" spans="1:20" x14ac:dyDescent="0.25">
      <c r="A2907" t="s">
        <v>29</v>
      </c>
      <c r="B2907">
        <v>126681</v>
      </c>
      <c r="C2907" s="1">
        <v>18</v>
      </c>
      <c r="D2907" t="s">
        <v>25</v>
      </c>
      <c r="E2907" s="7">
        <v>0.96</v>
      </c>
      <c r="F2907" s="2">
        <v>0.32</v>
      </c>
      <c r="G2907" s="7">
        <v>0.21</v>
      </c>
      <c r="H2907" s="9" t="s">
        <v>23</v>
      </c>
      <c r="I2907">
        <v>0.51</v>
      </c>
      <c r="J2907">
        <v>0.63</v>
      </c>
      <c r="K2907">
        <v>0.89</v>
      </c>
      <c r="L2907">
        <v>0.17</v>
      </c>
      <c r="M2907">
        <v>0.12</v>
      </c>
      <c r="N2907">
        <v>0.5</v>
      </c>
      <c r="O2907">
        <v>0.98</v>
      </c>
      <c r="P2907">
        <v>0.06</v>
      </c>
      <c r="Q2907">
        <v>0.99</v>
      </c>
      <c r="R2907" s="2">
        <v>0.97</v>
      </c>
      <c r="S2907" t="str">
        <f>IF(Table1[[#This Row],[Years_Experience]]&lt;=5,"Early Career",
IF(Table1[[#This Row],[Years_Experience]]&lt;=15,"Mid Career","Senior Level"))</f>
        <v>Senior Level</v>
      </c>
      <c r="T2907" t="str">
        <f>IF(Table1[[#This Row],[AI_Exposure_Index]]&gt;=0.7,"High Exposure", IF(Table1[[#This Row],[AI_Exposure_Index]]&gt;=0.3,"Medium Exposure","Low Exposure"))</f>
        <v>Medium Exposure</v>
      </c>
    </row>
    <row r="2908" spans="1:20" x14ac:dyDescent="0.25">
      <c r="A2908" t="s">
        <v>44</v>
      </c>
      <c r="B2908">
        <v>148083</v>
      </c>
      <c r="C2908" s="1">
        <v>14</v>
      </c>
      <c r="D2908" t="s">
        <v>25</v>
      </c>
      <c r="E2908" s="7">
        <v>0.51</v>
      </c>
      <c r="F2908" s="2">
        <v>0.89</v>
      </c>
      <c r="G2908" s="7">
        <v>0.48</v>
      </c>
      <c r="H2908" s="9" t="s">
        <v>27</v>
      </c>
      <c r="I2908">
        <v>0.4</v>
      </c>
      <c r="J2908">
        <v>0.9</v>
      </c>
      <c r="K2908">
        <v>0.47</v>
      </c>
      <c r="L2908">
        <v>0.42</v>
      </c>
      <c r="M2908">
        <v>0.64</v>
      </c>
      <c r="N2908">
        <v>0.38</v>
      </c>
      <c r="O2908">
        <v>0.54</v>
      </c>
      <c r="P2908">
        <v>0.96</v>
      </c>
      <c r="Q2908">
        <v>0.2</v>
      </c>
      <c r="R2908" s="2">
        <v>0.46</v>
      </c>
      <c r="S2908" t="str">
        <f>IF(Table1[[#This Row],[Years_Experience]]&lt;=5,"Early Career",
IF(Table1[[#This Row],[Years_Experience]]&lt;=15,"Mid Career","Senior Level"))</f>
        <v>Mid Career</v>
      </c>
      <c r="T2908" t="str">
        <f>IF(Table1[[#This Row],[AI_Exposure_Index]]&gt;=0.7,"High Exposure", IF(Table1[[#This Row],[AI_Exposure_Index]]&gt;=0.3,"Medium Exposure","Low Exposure"))</f>
        <v>High Exposure</v>
      </c>
    </row>
    <row r="2909" spans="1:20" x14ac:dyDescent="0.25">
      <c r="A2909" t="s">
        <v>31</v>
      </c>
      <c r="B2909">
        <v>145915</v>
      </c>
      <c r="C2909" s="1">
        <v>13</v>
      </c>
      <c r="D2909" t="s">
        <v>38</v>
      </c>
      <c r="E2909" s="7">
        <v>0.59</v>
      </c>
      <c r="F2909" s="2">
        <v>0.84</v>
      </c>
      <c r="G2909" s="7">
        <v>7.0000000000000007E-2</v>
      </c>
      <c r="H2909" s="9" t="s">
        <v>23</v>
      </c>
      <c r="I2909">
        <v>0.88</v>
      </c>
      <c r="J2909">
        <v>0.41</v>
      </c>
      <c r="K2909">
        <v>0.69</v>
      </c>
      <c r="L2909">
        <v>0.86</v>
      </c>
      <c r="M2909">
        <v>0.37</v>
      </c>
      <c r="N2909">
        <v>0.26</v>
      </c>
      <c r="O2909">
        <v>0.17</v>
      </c>
      <c r="P2909">
        <v>0.61</v>
      </c>
      <c r="Q2909">
        <v>0.25</v>
      </c>
      <c r="R2909" s="2">
        <v>0.63</v>
      </c>
      <c r="S2909" t="str">
        <f>IF(Table1[[#This Row],[Years_Experience]]&lt;=5,"Early Career",
IF(Table1[[#This Row],[Years_Experience]]&lt;=15,"Mid Career","Senior Level"))</f>
        <v>Mid Career</v>
      </c>
      <c r="T2909" t="str">
        <f>IF(Table1[[#This Row],[AI_Exposure_Index]]&gt;=0.7,"High Exposure", IF(Table1[[#This Row],[AI_Exposure_Index]]&gt;=0.3,"Medium Exposure","Low Exposure"))</f>
        <v>High Exposure</v>
      </c>
    </row>
    <row r="2910" spans="1:20" x14ac:dyDescent="0.25">
      <c r="A2910" t="s">
        <v>41</v>
      </c>
      <c r="B2910">
        <v>45002</v>
      </c>
      <c r="C2910" s="1">
        <v>5</v>
      </c>
      <c r="D2910" t="s">
        <v>22</v>
      </c>
      <c r="E2910" s="7">
        <v>0.75</v>
      </c>
      <c r="F2910" s="2">
        <v>0.35</v>
      </c>
      <c r="G2910" s="7">
        <v>0.8</v>
      </c>
      <c r="H2910" s="9" t="s">
        <v>20</v>
      </c>
      <c r="I2910">
        <v>0.16</v>
      </c>
      <c r="J2910">
        <v>0.32</v>
      </c>
      <c r="K2910">
        <v>0.78</v>
      </c>
      <c r="L2910">
        <v>0.22</v>
      </c>
      <c r="M2910">
        <v>0.95</v>
      </c>
      <c r="N2910">
        <v>0.49</v>
      </c>
      <c r="O2910">
        <v>0.11</v>
      </c>
      <c r="P2910">
        <v>0.94</v>
      </c>
      <c r="Q2910">
        <v>0.46</v>
      </c>
      <c r="R2910" s="2">
        <v>0.56000000000000005</v>
      </c>
      <c r="S2910" t="str">
        <f>IF(Table1[[#This Row],[Years_Experience]]&lt;=5,"Early Career",
IF(Table1[[#This Row],[Years_Experience]]&lt;=15,"Mid Career","Senior Level"))</f>
        <v>Early Career</v>
      </c>
      <c r="T2910" t="str">
        <f>IF(Table1[[#This Row],[AI_Exposure_Index]]&gt;=0.7,"High Exposure", IF(Table1[[#This Row],[AI_Exposure_Index]]&gt;=0.3,"Medium Exposure","Low Exposure"))</f>
        <v>Medium Exposure</v>
      </c>
    </row>
    <row r="2911" spans="1:20" x14ac:dyDescent="0.25">
      <c r="A2911" t="s">
        <v>44</v>
      </c>
      <c r="B2911">
        <v>90587</v>
      </c>
      <c r="C2911" s="1">
        <v>6</v>
      </c>
      <c r="D2911" t="s">
        <v>25</v>
      </c>
      <c r="E2911" s="7">
        <v>1.2</v>
      </c>
      <c r="F2911" s="2">
        <v>0.33</v>
      </c>
      <c r="G2911" s="7">
        <v>0.35</v>
      </c>
      <c r="H2911" s="9" t="s">
        <v>27</v>
      </c>
      <c r="I2911">
        <v>0.56999999999999995</v>
      </c>
      <c r="J2911">
        <v>0.69</v>
      </c>
      <c r="K2911">
        <v>0</v>
      </c>
      <c r="L2911">
        <v>0.84</v>
      </c>
      <c r="M2911">
        <v>0.06</v>
      </c>
      <c r="N2911">
        <v>0.25</v>
      </c>
      <c r="O2911">
        <v>0.96</v>
      </c>
      <c r="P2911">
        <v>0.08</v>
      </c>
      <c r="Q2911">
        <v>0.83</v>
      </c>
      <c r="R2911" s="2">
        <v>0.65</v>
      </c>
      <c r="S2911" t="str">
        <f>IF(Table1[[#This Row],[Years_Experience]]&lt;=5,"Early Career",
IF(Table1[[#This Row],[Years_Experience]]&lt;=15,"Mid Career","Senior Level"))</f>
        <v>Mid Career</v>
      </c>
      <c r="T2911" t="str">
        <f>IF(Table1[[#This Row],[AI_Exposure_Index]]&gt;=0.7,"High Exposure", IF(Table1[[#This Row],[AI_Exposure_Index]]&gt;=0.3,"Medium Exposure","Low Exposure"))</f>
        <v>Medium Exposure</v>
      </c>
    </row>
    <row r="2912" spans="1:20" x14ac:dyDescent="0.25">
      <c r="A2912" t="s">
        <v>24</v>
      </c>
      <c r="B2912">
        <v>117927</v>
      </c>
      <c r="C2912" s="1">
        <v>23</v>
      </c>
      <c r="D2912" t="s">
        <v>19</v>
      </c>
      <c r="E2912" s="7">
        <v>0.67</v>
      </c>
      <c r="F2912" s="2">
        <v>0.57999999999999996</v>
      </c>
      <c r="G2912" s="7">
        <v>0.87</v>
      </c>
      <c r="H2912" s="9" t="s">
        <v>20</v>
      </c>
      <c r="I2912">
        <v>0.95</v>
      </c>
      <c r="J2912">
        <v>0.08</v>
      </c>
      <c r="K2912">
        <v>0.33</v>
      </c>
      <c r="L2912">
        <v>0.47</v>
      </c>
      <c r="M2912">
        <v>0.23</v>
      </c>
      <c r="N2912">
        <v>0.74</v>
      </c>
      <c r="O2912">
        <v>0.69</v>
      </c>
      <c r="P2912">
        <v>0.12</v>
      </c>
      <c r="Q2912">
        <v>0.56999999999999995</v>
      </c>
      <c r="R2912" s="2">
        <v>0.37</v>
      </c>
      <c r="S2912" t="str">
        <f>IF(Table1[[#This Row],[Years_Experience]]&lt;=5,"Early Career",
IF(Table1[[#This Row],[Years_Experience]]&lt;=15,"Mid Career","Senior Level"))</f>
        <v>Senior Level</v>
      </c>
      <c r="T2912" t="str">
        <f>IF(Table1[[#This Row],[AI_Exposure_Index]]&gt;=0.7,"High Exposure", IF(Table1[[#This Row],[AI_Exposure_Index]]&gt;=0.3,"Medium Exposure","Low Exposure"))</f>
        <v>Medium Exposure</v>
      </c>
    </row>
    <row r="2913" spans="1:20" x14ac:dyDescent="0.25">
      <c r="A2913" t="s">
        <v>37</v>
      </c>
      <c r="B2913">
        <v>111301</v>
      </c>
      <c r="C2913" s="1">
        <v>1</v>
      </c>
      <c r="D2913" t="s">
        <v>38</v>
      </c>
      <c r="E2913" s="7">
        <v>0.55000000000000004</v>
      </c>
      <c r="F2913" s="2">
        <v>0.85</v>
      </c>
      <c r="G2913" s="7">
        <v>0.49</v>
      </c>
      <c r="H2913" s="9" t="s">
        <v>27</v>
      </c>
      <c r="I2913">
        <v>0.48</v>
      </c>
      <c r="J2913">
        <v>0.56999999999999995</v>
      </c>
      <c r="K2913">
        <v>0.2</v>
      </c>
      <c r="L2913">
        <v>0.87</v>
      </c>
      <c r="M2913">
        <v>0.97</v>
      </c>
      <c r="N2913">
        <v>0.55000000000000004</v>
      </c>
      <c r="O2913">
        <v>0.26</v>
      </c>
      <c r="P2913">
        <v>0.88</v>
      </c>
      <c r="Q2913">
        <v>0.99</v>
      </c>
      <c r="R2913" s="2">
        <v>0.74</v>
      </c>
      <c r="S2913" t="str">
        <f>IF(Table1[[#This Row],[Years_Experience]]&lt;=5,"Early Career",
IF(Table1[[#This Row],[Years_Experience]]&lt;=15,"Mid Career","Senior Level"))</f>
        <v>Early Career</v>
      </c>
      <c r="T2913" t="str">
        <f>IF(Table1[[#This Row],[AI_Exposure_Index]]&gt;=0.7,"High Exposure", IF(Table1[[#This Row],[AI_Exposure_Index]]&gt;=0.3,"Medium Exposure","Low Exposure"))</f>
        <v>High Exposure</v>
      </c>
    </row>
    <row r="2914" spans="1:20" x14ac:dyDescent="0.25">
      <c r="A2914" t="s">
        <v>21</v>
      </c>
      <c r="B2914">
        <v>138560</v>
      </c>
      <c r="C2914" s="1">
        <v>16</v>
      </c>
      <c r="D2914" t="s">
        <v>19</v>
      </c>
      <c r="E2914" s="7">
        <v>0.66</v>
      </c>
      <c r="F2914" s="2">
        <v>0.24</v>
      </c>
      <c r="G2914" s="7">
        <v>0.11</v>
      </c>
      <c r="H2914" s="9" t="s">
        <v>23</v>
      </c>
      <c r="I2914">
        <v>0.23</v>
      </c>
      <c r="J2914">
        <v>0.97</v>
      </c>
      <c r="K2914">
        <v>0.64</v>
      </c>
      <c r="L2914">
        <v>0.17</v>
      </c>
      <c r="M2914">
        <v>0.49</v>
      </c>
      <c r="N2914">
        <v>0.18</v>
      </c>
      <c r="O2914">
        <v>0.61</v>
      </c>
      <c r="P2914">
        <v>0.34</v>
      </c>
      <c r="Q2914">
        <v>0.2</v>
      </c>
      <c r="R2914" s="2">
        <v>0.24</v>
      </c>
      <c r="S2914" t="str">
        <f>IF(Table1[[#This Row],[Years_Experience]]&lt;=5,"Early Career",
IF(Table1[[#This Row],[Years_Experience]]&lt;=15,"Mid Career","Senior Level"))</f>
        <v>Senior Level</v>
      </c>
      <c r="T2914" t="str">
        <f>IF(Table1[[#This Row],[AI_Exposure_Index]]&gt;=0.7,"High Exposure", IF(Table1[[#This Row],[AI_Exposure_Index]]&gt;=0.3,"Medium Exposure","Low Exposure"))</f>
        <v>Low Exposure</v>
      </c>
    </row>
    <row r="2915" spans="1:20" x14ac:dyDescent="0.25">
      <c r="A2915" t="s">
        <v>29</v>
      </c>
      <c r="B2915">
        <v>113092</v>
      </c>
      <c r="C2915" s="1">
        <v>23</v>
      </c>
      <c r="D2915" t="s">
        <v>25</v>
      </c>
      <c r="E2915" s="7">
        <v>1.01</v>
      </c>
      <c r="F2915" s="2">
        <v>0.41</v>
      </c>
      <c r="G2915" s="7">
        <v>0.26</v>
      </c>
      <c r="H2915" s="9" t="s">
        <v>23</v>
      </c>
      <c r="I2915">
        <v>0.66</v>
      </c>
      <c r="J2915">
        <v>0.46</v>
      </c>
      <c r="K2915">
        <v>0.95</v>
      </c>
      <c r="L2915">
        <v>0.21</v>
      </c>
      <c r="M2915">
        <v>0.28999999999999998</v>
      </c>
      <c r="N2915">
        <v>0.91</v>
      </c>
      <c r="O2915">
        <v>0.85</v>
      </c>
      <c r="P2915">
        <v>0.13</v>
      </c>
      <c r="Q2915">
        <v>0.93</v>
      </c>
      <c r="R2915" s="2">
        <v>0.01</v>
      </c>
      <c r="S2915" t="str">
        <f>IF(Table1[[#This Row],[Years_Experience]]&lt;=5,"Early Career",
IF(Table1[[#This Row],[Years_Experience]]&lt;=15,"Mid Career","Senior Level"))</f>
        <v>Senior Level</v>
      </c>
      <c r="T2915" t="str">
        <f>IF(Table1[[#This Row],[AI_Exposure_Index]]&gt;=0.7,"High Exposure", IF(Table1[[#This Row],[AI_Exposure_Index]]&gt;=0.3,"Medium Exposure","Low Exposure"))</f>
        <v>Medium Exposure</v>
      </c>
    </row>
    <row r="2916" spans="1:20" x14ac:dyDescent="0.25">
      <c r="A2916" t="s">
        <v>40</v>
      </c>
      <c r="B2916">
        <v>41430</v>
      </c>
      <c r="C2916" s="1">
        <v>13</v>
      </c>
      <c r="D2916" t="s">
        <v>22</v>
      </c>
      <c r="E2916" s="7">
        <v>0.69</v>
      </c>
      <c r="F2916" s="2">
        <v>0.28000000000000003</v>
      </c>
      <c r="G2916" s="7">
        <v>0.16</v>
      </c>
      <c r="H2916" s="9" t="s">
        <v>23</v>
      </c>
      <c r="I2916">
        <v>0.9</v>
      </c>
      <c r="J2916">
        <v>0.79</v>
      </c>
      <c r="K2916">
        <v>0.97</v>
      </c>
      <c r="L2916">
        <v>0.54</v>
      </c>
      <c r="M2916">
        <v>0.51</v>
      </c>
      <c r="N2916">
        <v>0.01</v>
      </c>
      <c r="O2916">
        <v>0.18</v>
      </c>
      <c r="P2916">
        <v>0.5</v>
      </c>
      <c r="Q2916">
        <v>0.75</v>
      </c>
      <c r="R2916" s="2">
        <v>0.82</v>
      </c>
      <c r="S2916" t="str">
        <f>IF(Table1[[#This Row],[Years_Experience]]&lt;=5,"Early Career",
IF(Table1[[#This Row],[Years_Experience]]&lt;=15,"Mid Career","Senior Level"))</f>
        <v>Mid Career</v>
      </c>
      <c r="T2916" t="str">
        <f>IF(Table1[[#This Row],[AI_Exposure_Index]]&gt;=0.7,"High Exposure", IF(Table1[[#This Row],[AI_Exposure_Index]]&gt;=0.3,"Medium Exposure","Low Exposure"))</f>
        <v>Low Exposure</v>
      </c>
    </row>
    <row r="2917" spans="1:20" x14ac:dyDescent="0.25">
      <c r="A2917" t="s">
        <v>33</v>
      </c>
      <c r="B2917">
        <v>39349</v>
      </c>
      <c r="C2917" s="1">
        <v>5</v>
      </c>
      <c r="D2917" t="s">
        <v>25</v>
      </c>
      <c r="E2917" s="7">
        <v>1.33</v>
      </c>
      <c r="F2917" s="2">
        <v>0.71</v>
      </c>
      <c r="G2917" s="7">
        <v>0.79</v>
      </c>
      <c r="H2917" s="9" t="s">
        <v>20</v>
      </c>
      <c r="I2917">
        <v>0.7</v>
      </c>
      <c r="J2917">
        <v>0.44</v>
      </c>
      <c r="K2917">
        <v>0.99</v>
      </c>
      <c r="L2917">
        <v>0.01</v>
      </c>
      <c r="M2917">
        <v>0.41</v>
      </c>
      <c r="N2917">
        <v>0.26</v>
      </c>
      <c r="O2917">
        <v>0.85</v>
      </c>
      <c r="P2917">
        <v>0.28999999999999998</v>
      </c>
      <c r="Q2917">
        <v>0.54</v>
      </c>
      <c r="R2917" s="2">
        <v>0.74</v>
      </c>
      <c r="S2917" t="str">
        <f>IF(Table1[[#This Row],[Years_Experience]]&lt;=5,"Early Career",
IF(Table1[[#This Row],[Years_Experience]]&lt;=15,"Mid Career","Senior Level"))</f>
        <v>Early Career</v>
      </c>
      <c r="T2917" t="str">
        <f>IF(Table1[[#This Row],[AI_Exposure_Index]]&gt;=0.7,"High Exposure", IF(Table1[[#This Row],[AI_Exposure_Index]]&gt;=0.3,"Medium Exposure","Low Exposure"))</f>
        <v>High Exposure</v>
      </c>
    </row>
    <row r="2918" spans="1:20" x14ac:dyDescent="0.25">
      <c r="A2918" t="s">
        <v>33</v>
      </c>
      <c r="B2918">
        <v>61658</v>
      </c>
      <c r="C2918" s="1">
        <v>10</v>
      </c>
      <c r="D2918" t="s">
        <v>19</v>
      </c>
      <c r="E2918" s="7">
        <v>0.54</v>
      </c>
      <c r="F2918" s="2">
        <v>0.41</v>
      </c>
      <c r="G2918" s="7">
        <v>0.71</v>
      </c>
      <c r="H2918" s="9" t="s">
        <v>20</v>
      </c>
      <c r="I2918">
        <v>0.96</v>
      </c>
      <c r="J2918">
        <v>0.64</v>
      </c>
      <c r="K2918">
        <v>0.83</v>
      </c>
      <c r="L2918">
        <v>0.48</v>
      </c>
      <c r="M2918">
        <v>0.26</v>
      </c>
      <c r="N2918">
        <v>0.28999999999999998</v>
      </c>
      <c r="O2918">
        <v>0.04</v>
      </c>
      <c r="P2918">
        <v>0.79</v>
      </c>
      <c r="Q2918">
        <v>0.57999999999999996</v>
      </c>
      <c r="R2918" s="2">
        <v>0.48</v>
      </c>
      <c r="S2918" t="str">
        <f>IF(Table1[[#This Row],[Years_Experience]]&lt;=5,"Early Career",
IF(Table1[[#This Row],[Years_Experience]]&lt;=15,"Mid Career","Senior Level"))</f>
        <v>Mid Career</v>
      </c>
      <c r="T2918" t="str">
        <f>IF(Table1[[#This Row],[AI_Exposure_Index]]&gt;=0.7,"High Exposure", IF(Table1[[#This Row],[AI_Exposure_Index]]&gt;=0.3,"Medium Exposure","Low Exposure"))</f>
        <v>Medium Exposure</v>
      </c>
    </row>
    <row r="2919" spans="1:20" x14ac:dyDescent="0.25">
      <c r="A2919" t="s">
        <v>34</v>
      </c>
      <c r="B2919">
        <v>39106</v>
      </c>
      <c r="C2919" s="1">
        <v>22</v>
      </c>
      <c r="D2919" t="s">
        <v>22</v>
      </c>
      <c r="E2919" s="7">
        <v>1.45</v>
      </c>
      <c r="F2919" s="2">
        <v>0.44</v>
      </c>
      <c r="G2919" s="7">
        <v>0.31</v>
      </c>
      <c r="H2919" s="9" t="s">
        <v>27</v>
      </c>
      <c r="I2919">
        <v>0.98</v>
      </c>
      <c r="J2919">
        <v>0.82</v>
      </c>
      <c r="K2919">
        <v>0.35</v>
      </c>
      <c r="L2919">
        <v>0.6</v>
      </c>
      <c r="M2919">
        <v>0.86</v>
      </c>
      <c r="N2919">
        <v>0.48</v>
      </c>
      <c r="O2919">
        <v>0.05</v>
      </c>
      <c r="P2919">
        <v>0.9</v>
      </c>
      <c r="Q2919">
        <v>0.52</v>
      </c>
      <c r="R2919" s="2">
        <v>0.55000000000000004</v>
      </c>
      <c r="S2919" t="str">
        <f>IF(Table1[[#This Row],[Years_Experience]]&lt;=5,"Early Career",
IF(Table1[[#This Row],[Years_Experience]]&lt;=15,"Mid Career","Senior Level"))</f>
        <v>Senior Level</v>
      </c>
      <c r="T2919" t="str">
        <f>IF(Table1[[#This Row],[AI_Exposure_Index]]&gt;=0.7,"High Exposure", IF(Table1[[#This Row],[AI_Exposure_Index]]&gt;=0.3,"Medium Exposure","Low Exposure"))</f>
        <v>Medium Exposure</v>
      </c>
    </row>
    <row r="2920" spans="1:20" x14ac:dyDescent="0.25">
      <c r="A2920" t="s">
        <v>39</v>
      </c>
      <c r="B2920">
        <v>97792</v>
      </c>
      <c r="C2920" s="1">
        <v>16</v>
      </c>
      <c r="D2920" t="s">
        <v>22</v>
      </c>
      <c r="E2920" s="7">
        <v>1.28</v>
      </c>
      <c r="F2920" s="2">
        <v>0.1</v>
      </c>
      <c r="G2920" s="7">
        <v>0.81</v>
      </c>
      <c r="H2920" s="9" t="s">
        <v>20</v>
      </c>
      <c r="I2920">
        <v>1</v>
      </c>
      <c r="J2920">
        <v>0.7</v>
      </c>
      <c r="K2920">
        <v>0.95</v>
      </c>
      <c r="L2920">
        <v>0.28000000000000003</v>
      </c>
      <c r="M2920">
        <v>0.18</v>
      </c>
      <c r="N2920">
        <v>0.38</v>
      </c>
      <c r="O2920">
        <v>0.26</v>
      </c>
      <c r="P2920">
        <v>0.61</v>
      </c>
      <c r="Q2920">
        <v>0.74</v>
      </c>
      <c r="R2920" s="2">
        <v>0.4</v>
      </c>
      <c r="S2920" t="str">
        <f>IF(Table1[[#This Row],[Years_Experience]]&lt;=5,"Early Career",
IF(Table1[[#This Row],[Years_Experience]]&lt;=15,"Mid Career","Senior Level"))</f>
        <v>Senior Level</v>
      </c>
      <c r="T2920" t="str">
        <f>IF(Table1[[#This Row],[AI_Exposure_Index]]&gt;=0.7,"High Exposure", IF(Table1[[#This Row],[AI_Exposure_Index]]&gt;=0.3,"Medium Exposure","Low Exposure"))</f>
        <v>Low Exposure</v>
      </c>
    </row>
    <row r="2921" spans="1:20" x14ac:dyDescent="0.25">
      <c r="A2921" t="s">
        <v>21</v>
      </c>
      <c r="B2921">
        <v>39788</v>
      </c>
      <c r="C2921" s="1">
        <v>6</v>
      </c>
      <c r="D2921" t="s">
        <v>22</v>
      </c>
      <c r="E2921" s="7">
        <v>0.72</v>
      </c>
      <c r="F2921" s="2">
        <v>0.03</v>
      </c>
      <c r="G2921" s="7">
        <v>0.23</v>
      </c>
      <c r="H2921" s="9" t="s">
        <v>23</v>
      </c>
      <c r="I2921">
        <v>0.22</v>
      </c>
      <c r="J2921">
        <v>0.91</v>
      </c>
      <c r="K2921">
        <v>0.65</v>
      </c>
      <c r="L2921">
        <v>0.86</v>
      </c>
      <c r="M2921">
        <v>0.39</v>
      </c>
      <c r="N2921">
        <v>0.98</v>
      </c>
      <c r="O2921">
        <v>0.68</v>
      </c>
      <c r="P2921">
        <v>0.36</v>
      </c>
      <c r="Q2921">
        <v>0.21</v>
      </c>
      <c r="R2921" s="2">
        <v>0.87</v>
      </c>
      <c r="S2921" t="str">
        <f>IF(Table1[[#This Row],[Years_Experience]]&lt;=5,"Early Career",
IF(Table1[[#This Row],[Years_Experience]]&lt;=15,"Mid Career","Senior Level"))</f>
        <v>Mid Career</v>
      </c>
      <c r="T2921" t="str">
        <f>IF(Table1[[#This Row],[AI_Exposure_Index]]&gt;=0.7,"High Exposure", IF(Table1[[#This Row],[AI_Exposure_Index]]&gt;=0.3,"Medium Exposure","Low Exposure"))</f>
        <v>Low Exposure</v>
      </c>
    </row>
    <row r="2922" spans="1:20" x14ac:dyDescent="0.25">
      <c r="A2922" t="s">
        <v>18</v>
      </c>
      <c r="B2922">
        <v>88215</v>
      </c>
      <c r="C2922" s="1">
        <v>5</v>
      </c>
      <c r="D2922" t="s">
        <v>22</v>
      </c>
      <c r="E2922" s="7">
        <v>0.78</v>
      </c>
      <c r="F2922" s="2">
        <v>0.04</v>
      </c>
      <c r="G2922" s="7">
        <v>0.74</v>
      </c>
      <c r="H2922" s="9" t="s">
        <v>20</v>
      </c>
      <c r="I2922">
        <v>0.32</v>
      </c>
      <c r="J2922">
        <v>0.61</v>
      </c>
      <c r="K2922">
        <v>0.5</v>
      </c>
      <c r="L2922">
        <v>0.71</v>
      </c>
      <c r="M2922">
        <v>0.33</v>
      </c>
      <c r="N2922">
        <v>0.12</v>
      </c>
      <c r="O2922">
        <v>0.16</v>
      </c>
      <c r="P2922">
        <v>0.8</v>
      </c>
      <c r="Q2922">
        <v>0.1</v>
      </c>
      <c r="R2922" s="2">
        <v>0.8</v>
      </c>
      <c r="S2922" t="str">
        <f>IF(Table1[[#This Row],[Years_Experience]]&lt;=5,"Early Career",
IF(Table1[[#This Row],[Years_Experience]]&lt;=15,"Mid Career","Senior Level"))</f>
        <v>Early Career</v>
      </c>
      <c r="T2922" t="str">
        <f>IF(Table1[[#This Row],[AI_Exposure_Index]]&gt;=0.7,"High Exposure", IF(Table1[[#This Row],[AI_Exposure_Index]]&gt;=0.3,"Medium Exposure","Low Exposure"))</f>
        <v>Low Exposure</v>
      </c>
    </row>
    <row r="2923" spans="1:20" x14ac:dyDescent="0.25">
      <c r="A2923" t="s">
        <v>26</v>
      </c>
      <c r="B2923">
        <v>87487</v>
      </c>
      <c r="C2923" s="1">
        <v>3</v>
      </c>
      <c r="D2923" t="s">
        <v>22</v>
      </c>
      <c r="E2923" s="7">
        <v>1.1200000000000001</v>
      </c>
      <c r="F2923" s="2">
        <v>0.68</v>
      </c>
      <c r="G2923" s="7">
        <v>0.34</v>
      </c>
      <c r="H2923" s="9" t="s">
        <v>27</v>
      </c>
      <c r="I2923">
        <v>0.67</v>
      </c>
      <c r="J2923">
        <v>0.45</v>
      </c>
      <c r="K2923">
        <v>0.71</v>
      </c>
      <c r="L2923">
        <v>0.84</v>
      </c>
      <c r="M2923">
        <v>0.04</v>
      </c>
      <c r="N2923">
        <v>0.65</v>
      </c>
      <c r="O2923">
        <v>0.1</v>
      </c>
      <c r="P2923">
        <v>0.38</v>
      </c>
      <c r="Q2923">
        <v>0.01</v>
      </c>
      <c r="R2923" s="2">
        <v>0.33</v>
      </c>
      <c r="S2923" t="str">
        <f>IF(Table1[[#This Row],[Years_Experience]]&lt;=5,"Early Career",
IF(Table1[[#This Row],[Years_Experience]]&lt;=15,"Mid Career","Senior Level"))</f>
        <v>Early Career</v>
      </c>
      <c r="T2923" t="str">
        <f>IF(Table1[[#This Row],[AI_Exposure_Index]]&gt;=0.7,"High Exposure", IF(Table1[[#This Row],[AI_Exposure_Index]]&gt;=0.3,"Medium Exposure","Low Exposure"))</f>
        <v>Medium Exposure</v>
      </c>
    </row>
    <row r="2924" spans="1:20" x14ac:dyDescent="0.25">
      <c r="A2924" t="s">
        <v>30</v>
      </c>
      <c r="B2924">
        <v>85016</v>
      </c>
      <c r="C2924" s="1">
        <v>6</v>
      </c>
      <c r="D2924" t="s">
        <v>25</v>
      </c>
      <c r="E2924" s="7">
        <v>1.49</v>
      </c>
      <c r="F2924" s="2">
        <v>0.82</v>
      </c>
      <c r="G2924" s="7">
        <v>0.45</v>
      </c>
      <c r="H2924" s="9" t="s">
        <v>27</v>
      </c>
      <c r="I2924">
        <v>0.51</v>
      </c>
      <c r="J2924">
        <v>0.44</v>
      </c>
      <c r="K2924">
        <v>0.89</v>
      </c>
      <c r="L2924">
        <v>0.01</v>
      </c>
      <c r="M2924">
        <v>0.65</v>
      </c>
      <c r="N2924">
        <v>0.65</v>
      </c>
      <c r="O2924">
        <v>0.38</v>
      </c>
      <c r="P2924">
        <v>0.22</v>
      </c>
      <c r="Q2924">
        <v>0.24</v>
      </c>
      <c r="R2924" s="2">
        <v>0.8</v>
      </c>
      <c r="S2924" t="str">
        <f>IF(Table1[[#This Row],[Years_Experience]]&lt;=5,"Early Career",
IF(Table1[[#This Row],[Years_Experience]]&lt;=15,"Mid Career","Senior Level"))</f>
        <v>Mid Career</v>
      </c>
      <c r="T2924" t="str">
        <f>IF(Table1[[#This Row],[AI_Exposure_Index]]&gt;=0.7,"High Exposure", IF(Table1[[#This Row],[AI_Exposure_Index]]&gt;=0.3,"Medium Exposure","Low Exposure"))</f>
        <v>High Exposure</v>
      </c>
    </row>
    <row r="2925" spans="1:20" x14ac:dyDescent="0.25">
      <c r="A2925" t="s">
        <v>42</v>
      </c>
      <c r="B2925">
        <v>38701</v>
      </c>
      <c r="C2925" s="1">
        <v>3</v>
      </c>
      <c r="D2925" t="s">
        <v>25</v>
      </c>
      <c r="E2925" s="7">
        <v>1.0900000000000001</v>
      </c>
      <c r="F2925" s="2">
        <v>0.9</v>
      </c>
      <c r="G2925" s="7">
        <v>0.6</v>
      </c>
      <c r="H2925" s="9" t="s">
        <v>27</v>
      </c>
      <c r="I2925">
        <v>0.43</v>
      </c>
      <c r="J2925">
        <v>0.43</v>
      </c>
      <c r="K2925">
        <v>7.0000000000000007E-2</v>
      </c>
      <c r="L2925">
        <v>0.73</v>
      </c>
      <c r="M2925">
        <v>0.1</v>
      </c>
      <c r="N2925">
        <v>0.76</v>
      </c>
      <c r="O2925">
        <v>0.19</v>
      </c>
      <c r="P2925">
        <v>0.25</v>
      </c>
      <c r="Q2925">
        <v>0.92</v>
      </c>
      <c r="R2925" s="2">
        <v>0.47</v>
      </c>
      <c r="S2925" t="str">
        <f>IF(Table1[[#This Row],[Years_Experience]]&lt;=5,"Early Career",
IF(Table1[[#This Row],[Years_Experience]]&lt;=15,"Mid Career","Senior Level"))</f>
        <v>Early Career</v>
      </c>
      <c r="T2925" t="str">
        <f>IF(Table1[[#This Row],[AI_Exposure_Index]]&gt;=0.7,"High Exposure", IF(Table1[[#This Row],[AI_Exposure_Index]]&gt;=0.3,"Medium Exposure","Low Exposure"))</f>
        <v>High Exposure</v>
      </c>
    </row>
    <row r="2926" spans="1:20" x14ac:dyDescent="0.25">
      <c r="A2926" t="s">
        <v>43</v>
      </c>
      <c r="B2926">
        <v>145571</v>
      </c>
      <c r="C2926" s="1">
        <v>4</v>
      </c>
      <c r="D2926" t="s">
        <v>25</v>
      </c>
      <c r="E2926" s="7">
        <v>0.56999999999999995</v>
      </c>
      <c r="F2926" s="2">
        <v>0.23</v>
      </c>
      <c r="G2926" s="7">
        <v>0.23</v>
      </c>
      <c r="H2926" s="9" t="s">
        <v>23</v>
      </c>
      <c r="I2926">
        <v>0.28999999999999998</v>
      </c>
      <c r="J2926">
        <v>0.39</v>
      </c>
      <c r="K2926">
        <v>0.92</v>
      </c>
      <c r="L2926">
        <v>0.56999999999999995</v>
      </c>
      <c r="M2926">
        <v>0.1</v>
      </c>
      <c r="N2926">
        <v>0.8</v>
      </c>
      <c r="O2926">
        <v>0.26</v>
      </c>
      <c r="P2926">
        <v>0.55000000000000004</v>
      </c>
      <c r="Q2926">
        <v>0.51</v>
      </c>
      <c r="R2926" s="2">
        <v>0.24</v>
      </c>
      <c r="S2926" t="str">
        <f>IF(Table1[[#This Row],[Years_Experience]]&lt;=5,"Early Career",
IF(Table1[[#This Row],[Years_Experience]]&lt;=15,"Mid Career","Senior Level"))</f>
        <v>Early Career</v>
      </c>
      <c r="T2926" t="str">
        <f>IF(Table1[[#This Row],[AI_Exposure_Index]]&gt;=0.7,"High Exposure", IF(Table1[[#This Row],[AI_Exposure_Index]]&gt;=0.3,"Medium Exposure","Low Exposure"))</f>
        <v>Low Exposure</v>
      </c>
    </row>
    <row r="2927" spans="1:20" x14ac:dyDescent="0.25">
      <c r="A2927" t="s">
        <v>26</v>
      </c>
      <c r="B2927">
        <v>106733</v>
      </c>
      <c r="C2927" s="1">
        <v>4</v>
      </c>
      <c r="D2927" t="s">
        <v>25</v>
      </c>
      <c r="E2927" s="7">
        <v>0.6</v>
      </c>
      <c r="F2927" s="2">
        <v>0.21</v>
      </c>
      <c r="G2927" s="7">
        <v>0.41</v>
      </c>
      <c r="H2927" s="9" t="s">
        <v>27</v>
      </c>
      <c r="I2927">
        <v>1</v>
      </c>
      <c r="J2927">
        <v>0.4</v>
      </c>
      <c r="K2927">
        <v>0.86</v>
      </c>
      <c r="L2927">
        <v>0.55000000000000004</v>
      </c>
      <c r="M2927">
        <v>0.67</v>
      </c>
      <c r="N2927">
        <v>0.16</v>
      </c>
      <c r="O2927">
        <v>0.27</v>
      </c>
      <c r="P2927">
        <v>0.51</v>
      </c>
      <c r="Q2927">
        <v>0.88</v>
      </c>
      <c r="R2927" s="2">
        <v>0.04</v>
      </c>
      <c r="S2927" t="str">
        <f>IF(Table1[[#This Row],[Years_Experience]]&lt;=5,"Early Career",
IF(Table1[[#This Row],[Years_Experience]]&lt;=15,"Mid Career","Senior Level"))</f>
        <v>Early Career</v>
      </c>
      <c r="T2927" t="str">
        <f>IF(Table1[[#This Row],[AI_Exposure_Index]]&gt;=0.7,"High Exposure", IF(Table1[[#This Row],[AI_Exposure_Index]]&gt;=0.3,"Medium Exposure","Low Exposure"))</f>
        <v>Low Exposure</v>
      </c>
    </row>
    <row r="2928" spans="1:20" x14ac:dyDescent="0.25">
      <c r="A2928" t="s">
        <v>29</v>
      </c>
      <c r="B2928">
        <v>128725</v>
      </c>
      <c r="C2928" s="1">
        <v>7</v>
      </c>
      <c r="D2928" t="s">
        <v>19</v>
      </c>
      <c r="E2928" s="7">
        <v>0.96</v>
      </c>
      <c r="F2928" s="2">
        <v>0.05</v>
      </c>
      <c r="G2928" s="7">
        <v>0.21</v>
      </c>
      <c r="H2928" s="9" t="s">
        <v>23</v>
      </c>
      <c r="I2928">
        <v>0.74</v>
      </c>
      <c r="J2928">
        <v>0.14000000000000001</v>
      </c>
      <c r="K2928">
        <v>0.17</v>
      </c>
      <c r="L2928">
        <v>0.47</v>
      </c>
      <c r="M2928">
        <v>1</v>
      </c>
      <c r="N2928">
        <v>0.36</v>
      </c>
      <c r="O2928">
        <v>0.43</v>
      </c>
      <c r="P2928">
        <v>0.43</v>
      </c>
      <c r="Q2928">
        <v>0.08</v>
      </c>
      <c r="R2928" s="2">
        <v>0.77</v>
      </c>
      <c r="S2928" t="str">
        <f>IF(Table1[[#This Row],[Years_Experience]]&lt;=5,"Early Career",
IF(Table1[[#This Row],[Years_Experience]]&lt;=15,"Mid Career","Senior Level"))</f>
        <v>Mid Career</v>
      </c>
      <c r="T2928" t="str">
        <f>IF(Table1[[#This Row],[AI_Exposure_Index]]&gt;=0.7,"High Exposure", IF(Table1[[#This Row],[AI_Exposure_Index]]&gt;=0.3,"Medium Exposure","Low Exposure"))</f>
        <v>Low Exposure</v>
      </c>
    </row>
    <row r="2929" spans="1:20" x14ac:dyDescent="0.25">
      <c r="A2929" t="s">
        <v>26</v>
      </c>
      <c r="B2929">
        <v>112669</v>
      </c>
      <c r="C2929" s="1">
        <v>29</v>
      </c>
      <c r="D2929" t="s">
        <v>25</v>
      </c>
      <c r="E2929" s="7">
        <v>0.63</v>
      </c>
      <c r="F2929" s="2">
        <v>0.64</v>
      </c>
      <c r="G2929" s="7">
        <v>0.31</v>
      </c>
      <c r="H2929" s="9" t="s">
        <v>27</v>
      </c>
      <c r="I2929">
        <v>0.43</v>
      </c>
      <c r="J2929">
        <v>0.16</v>
      </c>
      <c r="K2929">
        <v>0.55000000000000004</v>
      </c>
      <c r="L2929">
        <v>0.45</v>
      </c>
      <c r="M2929">
        <v>0.12</v>
      </c>
      <c r="N2929">
        <v>0.67</v>
      </c>
      <c r="O2929">
        <v>0.02</v>
      </c>
      <c r="P2929">
        <v>0.13</v>
      </c>
      <c r="Q2929">
        <v>0.7</v>
      </c>
      <c r="R2929" s="2">
        <v>0.53</v>
      </c>
      <c r="S2929" t="str">
        <f>IF(Table1[[#This Row],[Years_Experience]]&lt;=5,"Early Career",
IF(Table1[[#This Row],[Years_Experience]]&lt;=15,"Mid Career","Senior Level"))</f>
        <v>Senior Level</v>
      </c>
      <c r="T2929" t="str">
        <f>IF(Table1[[#This Row],[AI_Exposure_Index]]&gt;=0.7,"High Exposure", IF(Table1[[#This Row],[AI_Exposure_Index]]&gt;=0.3,"Medium Exposure","Low Exposure"))</f>
        <v>Medium Exposure</v>
      </c>
    </row>
    <row r="2930" spans="1:20" x14ac:dyDescent="0.25">
      <c r="A2930" t="s">
        <v>30</v>
      </c>
      <c r="B2930">
        <v>79755</v>
      </c>
      <c r="C2930" s="1">
        <v>11</v>
      </c>
      <c r="D2930" t="s">
        <v>25</v>
      </c>
      <c r="E2930" s="7">
        <v>1.1399999999999999</v>
      </c>
      <c r="F2930" s="2">
        <v>0.18</v>
      </c>
      <c r="G2930" s="7">
        <v>0.38</v>
      </c>
      <c r="H2930" s="9" t="s">
        <v>27</v>
      </c>
      <c r="I2930">
        <v>0.98</v>
      </c>
      <c r="J2930">
        <v>0.87</v>
      </c>
      <c r="K2930">
        <v>0.13</v>
      </c>
      <c r="L2930">
        <v>0.86</v>
      </c>
      <c r="M2930">
        <v>0.35</v>
      </c>
      <c r="N2930">
        <v>0.49</v>
      </c>
      <c r="O2930">
        <v>0.14000000000000001</v>
      </c>
      <c r="P2930">
        <v>0.12</v>
      </c>
      <c r="Q2930">
        <v>0.87</v>
      </c>
      <c r="R2930" s="2">
        <v>0.63</v>
      </c>
      <c r="S2930" t="str">
        <f>IF(Table1[[#This Row],[Years_Experience]]&lt;=5,"Early Career",
IF(Table1[[#This Row],[Years_Experience]]&lt;=15,"Mid Career","Senior Level"))</f>
        <v>Mid Career</v>
      </c>
      <c r="T2930" t="str">
        <f>IF(Table1[[#This Row],[AI_Exposure_Index]]&gt;=0.7,"High Exposure", IF(Table1[[#This Row],[AI_Exposure_Index]]&gt;=0.3,"Medium Exposure","Low Exposure"))</f>
        <v>Low Exposure</v>
      </c>
    </row>
    <row r="2931" spans="1:20" x14ac:dyDescent="0.25">
      <c r="A2931" t="s">
        <v>32</v>
      </c>
      <c r="B2931">
        <v>80636</v>
      </c>
      <c r="C2931" s="1">
        <v>3</v>
      </c>
      <c r="D2931" t="s">
        <v>22</v>
      </c>
      <c r="E2931" s="7">
        <v>1.42</v>
      </c>
      <c r="F2931" s="2">
        <v>0.04</v>
      </c>
      <c r="G2931" s="7">
        <v>0.45</v>
      </c>
      <c r="H2931" s="9" t="s">
        <v>27</v>
      </c>
      <c r="I2931">
        <v>0.42</v>
      </c>
      <c r="J2931">
        <v>0.28999999999999998</v>
      </c>
      <c r="K2931">
        <v>0.89</v>
      </c>
      <c r="L2931">
        <v>0.34</v>
      </c>
      <c r="M2931">
        <v>0.17</v>
      </c>
      <c r="N2931">
        <v>0.5</v>
      </c>
      <c r="O2931">
        <v>0.78</v>
      </c>
      <c r="P2931">
        <v>0.37</v>
      </c>
      <c r="Q2931">
        <v>0.65</v>
      </c>
      <c r="R2931" s="2">
        <v>0.3</v>
      </c>
      <c r="S2931" t="str">
        <f>IF(Table1[[#This Row],[Years_Experience]]&lt;=5,"Early Career",
IF(Table1[[#This Row],[Years_Experience]]&lt;=15,"Mid Career","Senior Level"))</f>
        <v>Early Career</v>
      </c>
      <c r="T2931" t="str">
        <f>IF(Table1[[#This Row],[AI_Exposure_Index]]&gt;=0.7,"High Exposure", IF(Table1[[#This Row],[AI_Exposure_Index]]&gt;=0.3,"Medium Exposure","Low Exposure"))</f>
        <v>Low Exposure</v>
      </c>
    </row>
    <row r="2932" spans="1:20" x14ac:dyDescent="0.25">
      <c r="A2932" t="s">
        <v>28</v>
      </c>
      <c r="B2932">
        <v>52437</v>
      </c>
      <c r="C2932" s="1">
        <v>22</v>
      </c>
      <c r="D2932" t="s">
        <v>19</v>
      </c>
      <c r="E2932" s="7">
        <v>1.18</v>
      </c>
      <c r="F2932" s="2">
        <v>0.67</v>
      </c>
      <c r="G2932" s="7">
        <v>0.56000000000000005</v>
      </c>
      <c r="H2932" s="9" t="s">
        <v>27</v>
      </c>
      <c r="I2932">
        <v>0.16</v>
      </c>
      <c r="J2932">
        <v>0.89</v>
      </c>
      <c r="K2932">
        <v>0.59</v>
      </c>
      <c r="L2932">
        <v>0.38</v>
      </c>
      <c r="M2932">
        <v>0.17</v>
      </c>
      <c r="N2932">
        <v>0.78</v>
      </c>
      <c r="O2932">
        <v>0.51</v>
      </c>
      <c r="P2932">
        <v>0.15</v>
      </c>
      <c r="Q2932">
        <v>0.92</v>
      </c>
      <c r="R2932" s="2">
        <v>0.11</v>
      </c>
      <c r="S2932" t="str">
        <f>IF(Table1[[#This Row],[Years_Experience]]&lt;=5,"Early Career",
IF(Table1[[#This Row],[Years_Experience]]&lt;=15,"Mid Career","Senior Level"))</f>
        <v>Senior Level</v>
      </c>
      <c r="T2932" t="str">
        <f>IF(Table1[[#This Row],[AI_Exposure_Index]]&gt;=0.7,"High Exposure", IF(Table1[[#This Row],[AI_Exposure_Index]]&gt;=0.3,"Medium Exposure","Low Exposure"))</f>
        <v>Medium Exposure</v>
      </c>
    </row>
    <row r="2933" spans="1:20" x14ac:dyDescent="0.25">
      <c r="A2933" t="s">
        <v>41</v>
      </c>
      <c r="B2933">
        <v>119128</v>
      </c>
      <c r="C2933" s="1">
        <v>25</v>
      </c>
      <c r="D2933" t="s">
        <v>19</v>
      </c>
      <c r="E2933" s="7">
        <v>1.5</v>
      </c>
      <c r="F2933" s="2">
        <v>0.61</v>
      </c>
      <c r="G2933" s="7">
        <v>0.74</v>
      </c>
      <c r="H2933" s="9" t="s">
        <v>20</v>
      </c>
      <c r="I2933">
        <v>0.61</v>
      </c>
      <c r="J2933">
        <v>0.48</v>
      </c>
      <c r="K2933">
        <v>0.26</v>
      </c>
      <c r="L2933">
        <v>0.94</v>
      </c>
      <c r="M2933">
        <v>0.79</v>
      </c>
      <c r="N2933">
        <v>0.78</v>
      </c>
      <c r="O2933">
        <v>0.9</v>
      </c>
      <c r="P2933">
        <v>0.73</v>
      </c>
      <c r="Q2933">
        <v>0.51</v>
      </c>
      <c r="R2933" s="2">
        <v>0.39</v>
      </c>
      <c r="S2933" t="str">
        <f>IF(Table1[[#This Row],[Years_Experience]]&lt;=5,"Early Career",
IF(Table1[[#This Row],[Years_Experience]]&lt;=15,"Mid Career","Senior Level"))</f>
        <v>Senior Level</v>
      </c>
      <c r="T2933" t="str">
        <f>IF(Table1[[#This Row],[AI_Exposure_Index]]&gt;=0.7,"High Exposure", IF(Table1[[#This Row],[AI_Exposure_Index]]&gt;=0.3,"Medium Exposure","Low Exposure"))</f>
        <v>Medium Exposure</v>
      </c>
    </row>
    <row r="2934" spans="1:20" x14ac:dyDescent="0.25">
      <c r="A2934" t="s">
        <v>34</v>
      </c>
      <c r="B2934">
        <v>36210</v>
      </c>
      <c r="C2934" s="1">
        <v>4</v>
      </c>
      <c r="D2934" t="s">
        <v>25</v>
      </c>
      <c r="E2934" s="7">
        <v>1.04</v>
      </c>
      <c r="F2934" s="2">
        <v>0.6</v>
      </c>
      <c r="G2934" s="7">
        <v>0.54</v>
      </c>
      <c r="H2934" s="9" t="s">
        <v>27</v>
      </c>
      <c r="I2934">
        <v>0.66</v>
      </c>
      <c r="J2934">
        <v>0.97</v>
      </c>
      <c r="K2934">
        <v>0.75</v>
      </c>
      <c r="L2934">
        <v>0.18</v>
      </c>
      <c r="M2934">
        <v>0.47</v>
      </c>
      <c r="N2934">
        <v>0.68</v>
      </c>
      <c r="O2934">
        <v>0.18</v>
      </c>
      <c r="P2934">
        <v>0.93</v>
      </c>
      <c r="Q2934">
        <v>0.08</v>
      </c>
      <c r="R2934" s="2">
        <v>0.61</v>
      </c>
      <c r="S2934" t="str">
        <f>IF(Table1[[#This Row],[Years_Experience]]&lt;=5,"Early Career",
IF(Table1[[#This Row],[Years_Experience]]&lt;=15,"Mid Career","Senior Level"))</f>
        <v>Early Career</v>
      </c>
      <c r="T2934" t="str">
        <f>IF(Table1[[#This Row],[AI_Exposure_Index]]&gt;=0.7,"High Exposure", IF(Table1[[#This Row],[AI_Exposure_Index]]&gt;=0.3,"Medium Exposure","Low Exposure"))</f>
        <v>Medium Exposure</v>
      </c>
    </row>
    <row r="2935" spans="1:20" x14ac:dyDescent="0.25">
      <c r="A2935" t="s">
        <v>33</v>
      </c>
      <c r="B2935">
        <v>88880</v>
      </c>
      <c r="C2935" s="1">
        <v>10</v>
      </c>
      <c r="D2935" t="s">
        <v>22</v>
      </c>
      <c r="E2935" s="7">
        <v>1.18</v>
      </c>
      <c r="F2935" s="2">
        <v>0.73</v>
      </c>
      <c r="G2935" s="7">
        <v>0.95</v>
      </c>
      <c r="H2935" s="9" t="s">
        <v>20</v>
      </c>
      <c r="I2935">
        <v>0.79</v>
      </c>
      <c r="J2935">
        <v>0.97</v>
      </c>
      <c r="K2935">
        <v>0.7</v>
      </c>
      <c r="L2935">
        <v>0.67</v>
      </c>
      <c r="M2935">
        <v>0.76</v>
      </c>
      <c r="N2935">
        <v>0.19</v>
      </c>
      <c r="O2935">
        <v>0.81</v>
      </c>
      <c r="P2935">
        <v>0.97</v>
      </c>
      <c r="Q2935">
        <v>0.61</v>
      </c>
      <c r="R2935" s="2">
        <v>0.01</v>
      </c>
      <c r="S2935" t="str">
        <f>IF(Table1[[#This Row],[Years_Experience]]&lt;=5,"Early Career",
IF(Table1[[#This Row],[Years_Experience]]&lt;=15,"Mid Career","Senior Level"))</f>
        <v>Mid Career</v>
      </c>
      <c r="T2935" t="str">
        <f>IF(Table1[[#This Row],[AI_Exposure_Index]]&gt;=0.7,"High Exposure", IF(Table1[[#This Row],[AI_Exposure_Index]]&gt;=0.3,"Medium Exposure","Low Exposure"))</f>
        <v>High Exposure</v>
      </c>
    </row>
    <row r="2936" spans="1:20" x14ac:dyDescent="0.25">
      <c r="A2936" t="s">
        <v>30</v>
      </c>
      <c r="B2936">
        <v>72428</v>
      </c>
      <c r="C2936" s="1">
        <v>9</v>
      </c>
      <c r="D2936" t="s">
        <v>38</v>
      </c>
      <c r="E2936" s="7">
        <v>0.99</v>
      </c>
      <c r="F2936" s="2">
        <v>0.23</v>
      </c>
      <c r="G2936" s="7">
        <v>0.47</v>
      </c>
      <c r="H2936" s="9" t="s">
        <v>27</v>
      </c>
      <c r="I2936">
        <v>0.98</v>
      </c>
      <c r="J2936">
        <v>0.95</v>
      </c>
      <c r="K2936">
        <v>0.39</v>
      </c>
      <c r="L2936">
        <v>0.79</v>
      </c>
      <c r="M2936">
        <v>0.64</v>
      </c>
      <c r="N2936">
        <v>0.24</v>
      </c>
      <c r="O2936">
        <v>0.93</v>
      </c>
      <c r="P2936">
        <v>0.26</v>
      </c>
      <c r="Q2936">
        <v>0.87</v>
      </c>
      <c r="R2936" s="2">
        <v>0.64</v>
      </c>
      <c r="S2936" t="str">
        <f>IF(Table1[[#This Row],[Years_Experience]]&lt;=5,"Early Career",
IF(Table1[[#This Row],[Years_Experience]]&lt;=15,"Mid Career","Senior Level"))</f>
        <v>Mid Career</v>
      </c>
      <c r="T2936" t="str">
        <f>IF(Table1[[#This Row],[AI_Exposure_Index]]&gt;=0.7,"High Exposure", IF(Table1[[#This Row],[AI_Exposure_Index]]&gt;=0.3,"Medium Exposure","Low Exposure"))</f>
        <v>Low Exposure</v>
      </c>
    </row>
    <row r="2937" spans="1:20" x14ac:dyDescent="0.25">
      <c r="A2937" t="s">
        <v>43</v>
      </c>
      <c r="B2937">
        <v>42199</v>
      </c>
      <c r="C2937" s="1">
        <v>0</v>
      </c>
      <c r="D2937" t="s">
        <v>38</v>
      </c>
      <c r="E2937" s="7">
        <v>0.99</v>
      </c>
      <c r="F2937" s="2">
        <v>0.84</v>
      </c>
      <c r="G2937" s="7">
        <v>0.26</v>
      </c>
      <c r="H2937" s="9" t="s">
        <v>23</v>
      </c>
      <c r="I2937">
        <v>0.55000000000000004</v>
      </c>
      <c r="J2937">
        <v>0.98</v>
      </c>
      <c r="K2937">
        <v>0.66</v>
      </c>
      <c r="L2937">
        <v>0.37</v>
      </c>
      <c r="M2937">
        <v>0.76</v>
      </c>
      <c r="N2937">
        <v>0.51</v>
      </c>
      <c r="O2937">
        <v>0.81</v>
      </c>
      <c r="P2937">
        <v>0.83</v>
      </c>
      <c r="Q2937">
        <v>0.62</v>
      </c>
      <c r="R2937" s="2">
        <v>0.87</v>
      </c>
      <c r="S2937" t="str">
        <f>IF(Table1[[#This Row],[Years_Experience]]&lt;=5,"Early Career",
IF(Table1[[#This Row],[Years_Experience]]&lt;=15,"Mid Career","Senior Level"))</f>
        <v>Early Career</v>
      </c>
      <c r="T2937" t="str">
        <f>IF(Table1[[#This Row],[AI_Exposure_Index]]&gt;=0.7,"High Exposure", IF(Table1[[#This Row],[AI_Exposure_Index]]&gt;=0.3,"Medium Exposure","Low Exposure"))</f>
        <v>High Exposure</v>
      </c>
    </row>
    <row r="2938" spans="1:20" x14ac:dyDescent="0.25">
      <c r="A2938" t="s">
        <v>26</v>
      </c>
      <c r="B2938">
        <v>95109</v>
      </c>
      <c r="C2938" s="1">
        <v>4</v>
      </c>
      <c r="D2938" t="s">
        <v>25</v>
      </c>
      <c r="E2938" s="7">
        <v>1.1599999999999999</v>
      </c>
      <c r="F2938" s="2">
        <v>0.06</v>
      </c>
      <c r="G2938" s="7">
        <v>0.61</v>
      </c>
      <c r="H2938" s="9" t="s">
        <v>27</v>
      </c>
      <c r="I2938">
        <v>7.0000000000000007E-2</v>
      </c>
      <c r="J2938">
        <v>0.77</v>
      </c>
      <c r="K2938">
        <v>0.64</v>
      </c>
      <c r="L2938">
        <v>0.12</v>
      </c>
      <c r="M2938">
        <v>0.54</v>
      </c>
      <c r="N2938">
        <v>0.11</v>
      </c>
      <c r="O2938">
        <v>0.32</v>
      </c>
      <c r="P2938">
        <v>0.8</v>
      </c>
      <c r="Q2938">
        <v>0.1</v>
      </c>
      <c r="R2938" s="2">
        <v>0.46</v>
      </c>
      <c r="S2938" t="str">
        <f>IF(Table1[[#This Row],[Years_Experience]]&lt;=5,"Early Career",
IF(Table1[[#This Row],[Years_Experience]]&lt;=15,"Mid Career","Senior Level"))</f>
        <v>Early Career</v>
      </c>
      <c r="T2938" t="str">
        <f>IF(Table1[[#This Row],[AI_Exposure_Index]]&gt;=0.7,"High Exposure", IF(Table1[[#This Row],[AI_Exposure_Index]]&gt;=0.3,"Medium Exposure","Low Exposure"))</f>
        <v>Low Exposure</v>
      </c>
    </row>
    <row r="2939" spans="1:20" x14ac:dyDescent="0.25">
      <c r="A2939" t="s">
        <v>44</v>
      </c>
      <c r="B2939">
        <v>30448</v>
      </c>
      <c r="C2939" s="1">
        <v>4</v>
      </c>
      <c r="D2939" t="s">
        <v>22</v>
      </c>
      <c r="E2939" s="7">
        <v>1.24</v>
      </c>
      <c r="F2939" s="2">
        <v>0.94</v>
      </c>
      <c r="G2939" s="7">
        <v>0.36</v>
      </c>
      <c r="H2939" s="9" t="s">
        <v>27</v>
      </c>
      <c r="I2939">
        <v>0.97</v>
      </c>
      <c r="J2939">
        <v>0.48</v>
      </c>
      <c r="K2939">
        <v>0.37</v>
      </c>
      <c r="L2939">
        <v>0.13</v>
      </c>
      <c r="M2939">
        <v>0.93</v>
      </c>
      <c r="N2939">
        <v>0.59</v>
      </c>
      <c r="O2939">
        <v>0.99</v>
      </c>
      <c r="P2939">
        <v>0.17</v>
      </c>
      <c r="Q2939">
        <v>0.55000000000000004</v>
      </c>
      <c r="R2939" s="2">
        <v>0.11</v>
      </c>
      <c r="S2939" t="str">
        <f>IF(Table1[[#This Row],[Years_Experience]]&lt;=5,"Early Career",
IF(Table1[[#This Row],[Years_Experience]]&lt;=15,"Mid Career","Senior Level"))</f>
        <v>Early Career</v>
      </c>
      <c r="T2939" t="str">
        <f>IF(Table1[[#This Row],[AI_Exposure_Index]]&gt;=0.7,"High Exposure", IF(Table1[[#This Row],[AI_Exposure_Index]]&gt;=0.3,"Medium Exposure","Low Exposure"))</f>
        <v>High Exposure</v>
      </c>
    </row>
    <row r="2940" spans="1:20" x14ac:dyDescent="0.25">
      <c r="A2940" t="s">
        <v>41</v>
      </c>
      <c r="B2940">
        <v>91638</v>
      </c>
      <c r="C2940" s="1">
        <v>28</v>
      </c>
      <c r="D2940" t="s">
        <v>22</v>
      </c>
      <c r="E2940" s="7">
        <v>0.61</v>
      </c>
      <c r="F2940" s="2">
        <v>0.89</v>
      </c>
      <c r="G2940" s="7">
        <v>0.77</v>
      </c>
      <c r="H2940" s="9" t="s">
        <v>20</v>
      </c>
      <c r="I2940">
        <v>0.68</v>
      </c>
      <c r="J2940">
        <v>0.08</v>
      </c>
      <c r="K2940">
        <v>0.45</v>
      </c>
      <c r="L2940">
        <v>0.33</v>
      </c>
      <c r="M2940">
        <v>0.84</v>
      </c>
      <c r="N2940">
        <v>0.05</v>
      </c>
      <c r="O2940">
        <v>0.86</v>
      </c>
      <c r="P2940">
        <v>0.7</v>
      </c>
      <c r="Q2940">
        <v>0.3</v>
      </c>
      <c r="R2940" s="2">
        <v>0.2</v>
      </c>
      <c r="S2940" t="str">
        <f>IF(Table1[[#This Row],[Years_Experience]]&lt;=5,"Early Career",
IF(Table1[[#This Row],[Years_Experience]]&lt;=15,"Mid Career","Senior Level"))</f>
        <v>Senior Level</v>
      </c>
      <c r="T2940" t="str">
        <f>IF(Table1[[#This Row],[AI_Exposure_Index]]&gt;=0.7,"High Exposure", IF(Table1[[#This Row],[AI_Exposure_Index]]&gt;=0.3,"Medium Exposure","Low Exposure"))</f>
        <v>High Exposure</v>
      </c>
    </row>
    <row r="2941" spans="1:20" x14ac:dyDescent="0.25">
      <c r="A2941" t="s">
        <v>33</v>
      </c>
      <c r="B2941">
        <v>79584</v>
      </c>
      <c r="C2941" s="1">
        <v>15</v>
      </c>
      <c r="D2941" t="s">
        <v>38</v>
      </c>
      <c r="E2941" s="7">
        <v>0.84</v>
      </c>
      <c r="F2941" s="2">
        <v>0.55000000000000004</v>
      </c>
      <c r="G2941" s="7">
        <v>0.71</v>
      </c>
      <c r="H2941" s="9" t="s">
        <v>20</v>
      </c>
      <c r="I2941">
        <v>0.17</v>
      </c>
      <c r="J2941">
        <v>0.6</v>
      </c>
      <c r="K2941">
        <v>0.51</v>
      </c>
      <c r="L2941">
        <v>0.76</v>
      </c>
      <c r="M2941">
        <v>0.83</v>
      </c>
      <c r="N2941">
        <v>0.4</v>
      </c>
      <c r="O2941">
        <v>0.1</v>
      </c>
      <c r="P2941">
        <v>0.79</v>
      </c>
      <c r="Q2941">
        <v>0.55000000000000004</v>
      </c>
      <c r="R2941" s="2">
        <v>0.98</v>
      </c>
      <c r="S2941" t="str">
        <f>IF(Table1[[#This Row],[Years_Experience]]&lt;=5,"Early Career",
IF(Table1[[#This Row],[Years_Experience]]&lt;=15,"Mid Career","Senior Level"))</f>
        <v>Mid Career</v>
      </c>
      <c r="T2941" t="str">
        <f>IF(Table1[[#This Row],[AI_Exposure_Index]]&gt;=0.7,"High Exposure", IF(Table1[[#This Row],[AI_Exposure_Index]]&gt;=0.3,"Medium Exposure","Low Exposure"))</f>
        <v>Medium Exposure</v>
      </c>
    </row>
    <row r="2942" spans="1:20" x14ac:dyDescent="0.25">
      <c r="A2942" t="s">
        <v>24</v>
      </c>
      <c r="B2942">
        <v>134065</v>
      </c>
      <c r="C2942" s="1">
        <v>29</v>
      </c>
      <c r="D2942" t="s">
        <v>22</v>
      </c>
      <c r="E2942" s="7">
        <v>0.93</v>
      </c>
      <c r="F2942" s="2">
        <v>0.33</v>
      </c>
      <c r="G2942" s="7">
        <v>0.76</v>
      </c>
      <c r="H2942" s="9" t="s">
        <v>20</v>
      </c>
      <c r="I2942">
        <v>0.51</v>
      </c>
      <c r="J2942">
        <v>0.71</v>
      </c>
      <c r="K2942">
        <v>0.61</v>
      </c>
      <c r="L2942">
        <v>0.34</v>
      </c>
      <c r="M2942">
        <v>0.82</v>
      </c>
      <c r="N2942">
        <v>0.11</v>
      </c>
      <c r="O2942">
        <v>0.14000000000000001</v>
      </c>
      <c r="P2942">
        <v>0.4</v>
      </c>
      <c r="Q2942">
        <v>0.7</v>
      </c>
      <c r="R2942" s="2">
        <v>0.69</v>
      </c>
      <c r="S2942" t="str">
        <f>IF(Table1[[#This Row],[Years_Experience]]&lt;=5,"Early Career",
IF(Table1[[#This Row],[Years_Experience]]&lt;=15,"Mid Career","Senior Level"))</f>
        <v>Senior Level</v>
      </c>
      <c r="T2942" t="str">
        <f>IF(Table1[[#This Row],[AI_Exposure_Index]]&gt;=0.7,"High Exposure", IF(Table1[[#This Row],[AI_Exposure_Index]]&gt;=0.3,"Medium Exposure","Low Exposure"))</f>
        <v>Medium Exposure</v>
      </c>
    </row>
    <row r="2943" spans="1:20" x14ac:dyDescent="0.25">
      <c r="A2943" t="s">
        <v>42</v>
      </c>
      <c r="B2943">
        <v>61474</v>
      </c>
      <c r="C2943" s="1">
        <v>23</v>
      </c>
      <c r="D2943" t="s">
        <v>25</v>
      </c>
      <c r="E2943" s="7">
        <v>0.56000000000000005</v>
      </c>
      <c r="F2943" s="2">
        <v>0.7</v>
      </c>
      <c r="G2943" s="7">
        <v>0.42</v>
      </c>
      <c r="H2943" s="9" t="s">
        <v>27</v>
      </c>
      <c r="I2943">
        <v>0.69</v>
      </c>
      <c r="J2943">
        <v>0.18</v>
      </c>
      <c r="K2943">
        <v>0.21</v>
      </c>
      <c r="L2943">
        <v>0.09</v>
      </c>
      <c r="M2943">
        <v>0.36</v>
      </c>
      <c r="N2943">
        <v>0.82</v>
      </c>
      <c r="O2943">
        <v>0.84</v>
      </c>
      <c r="P2943">
        <v>0.86</v>
      </c>
      <c r="Q2943">
        <v>0.04</v>
      </c>
      <c r="R2943" s="2">
        <v>0.99</v>
      </c>
      <c r="S2943" t="str">
        <f>IF(Table1[[#This Row],[Years_Experience]]&lt;=5,"Early Career",
IF(Table1[[#This Row],[Years_Experience]]&lt;=15,"Mid Career","Senior Level"))</f>
        <v>Senior Level</v>
      </c>
      <c r="T2943" t="str">
        <f>IF(Table1[[#This Row],[AI_Exposure_Index]]&gt;=0.7,"High Exposure", IF(Table1[[#This Row],[AI_Exposure_Index]]&gt;=0.3,"Medium Exposure","Low Exposure"))</f>
        <v>High Exposure</v>
      </c>
    </row>
    <row r="2944" spans="1:20" x14ac:dyDescent="0.25">
      <c r="A2944" t="s">
        <v>24</v>
      </c>
      <c r="B2944">
        <v>101864</v>
      </c>
      <c r="C2944" s="1">
        <v>14</v>
      </c>
      <c r="D2944" t="s">
        <v>25</v>
      </c>
      <c r="E2944" s="7">
        <v>1.41</v>
      </c>
      <c r="F2944" s="2">
        <v>0.87</v>
      </c>
      <c r="G2944" s="7">
        <v>0.83</v>
      </c>
      <c r="H2944" s="9" t="s">
        <v>20</v>
      </c>
      <c r="I2944">
        <v>0.05</v>
      </c>
      <c r="J2944">
        <v>0.6</v>
      </c>
      <c r="K2944">
        <v>0.33</v>
      </c>
      <c r="L2944">
        <v>0.21</v>
      </c>
      <c r="M2944">
        <v>0.18</v>
      </c>
      <c r="N2944">
        <v>0.56000000000000005</v>
      </c>
      <c r="O2944">
        <v>0.1</v>
      </c>
      <c r="P2944">
        <v>0.82</v>
      </c>
      <c r="Q2944">
        <v>0.23</v>
      </c>
      <c r="R2944" s="2">
        <v>0.55000000000000004</v>
      </c>
      <c r="S2944" t="str">
        <f>IF(Table1[[#This Row],[Years_Experience]]&lt;=5,"Early Career",
IF(Table1[[#This Row],[Years_Experience]]&lt;=15,"Mid Career","Senior Level"))</f>
        <v>Mid Career</v>
      </c>
      <c r="T2944" t="str">
        <f>IF(Table1[[#This Row],[AI_Exposure_Index]]&gt;=0.7,"High Exposure", IF(Table1[[#This Row],[AI_Exposure_Index]]&gt;=0.3,"Medium Exposure","Low Exposure"))</f>
        <v>High Exposure</v>
      </c>
    </row>
    <row r="2945" spans="1:20" x14ac:dyDescent="0.25">
      <c r="A2945" t="s">
        <v>41</v>
      </c>
      <c r="B2945">
        <v>40496</v>
      </c>
      <c r="C2945" s="1">
        <v>28</v>
      </c>
      <c r="D2945" t="s">
        <v>22</v>
      </c>
      <c r="E2945" s="7">
        <v>1.19</v>
      </c>
      <c r="F2945" s="2">
        <v>0.86</v>
      </c>
      <c r="G2945" s="7">
        <v>0.75</v>
      </c>
      <c r="H2945" s="9" t="s">
        <v>20</v>
      </c>
      <c r="I2945">
        <v>0.72</v>
      </c>
      <c r="J2945">
        <v>0.08</v>
      </c>
      <c r="K2945">
        <v>0.77</v>
      </c>
      <c r="L2945">
        <v>0.49</v>
      </c>
      <c r="M2945">
        <v>0.12</v>
      </c>
      <c r="N2945">
        <v>0.55000000000000004</v>
      </c>
      <c r="O2945">
        <v>0.2</v>
      </c>
      <c r="P2945">
        <v>0.67</v>
      </c>
      <c r="Q2945">
        <v>0.71</v>
      </c>
      <c r="R2945" s="2">
        <v>0.76</v>
      </c>
      <c r="S2945" t="str">
        <f>IF(Table1[[#This Row],[Years_Experience]]&lt;=5,"Early Career",
IF(Table1[[#This Row],[Years_Experience]]&lt;=15,"Mid Career","Senior Level"))</f>
        <v>Senior Level</v>
      </c>
      <c r="T2945" t="str">
        <f>IF(Table1[[#This Row],[AI_Exposure_Index]]&gt;=0.7,"High Exposure", IF(Table1[[#This Row],[AI_Exposure_Index]]&gt;=0.3,"Medium Exposure","Low Exposure"))</f>
        <v>High Exposure</v>
      </c>
    </row>
    <row r="2946" spans="1:20" x14ac:dyDescent="0.25">
      <c r="A2946" t="s">
        <v>21</v>
      </c>
      <c r="B2946">
        <v>45285</v>
      </c>
      <c r="C2946" s="1">
        <v>9</v>
      </c>
      <c r="D2946" t="s">
        <v>25</v>
      </c>
      <c r="E2946" s="7">
        <v>0.99</v>
      </c>
      <c r="F2946" s="2">
        <v>0.65</v>
      </c>
      <c r="G2946" s="7">
        <v>0.26</v>
      </c>
      <c r="H2946" s="9" t="s">
        <v>23</v>
      </c>
      <c r="I2946">
        <v>0.9</v>
      </c>
      <c r="J2946">
        <v>0.78</v>
      </c>
      <c r="K2946">
        <v>0.94</v>
      </c>
      <c r="L2946">
        <v>0.98</v>
      </c>
      <c r="M2946">
        <v>0.25</v>
      </c>
      <c r="N2946">
        <v>0.18</v>
      </c>
      <c r="O2946">
        <v>0.45</v>
      </c>
      <c r="P2946">
        <v>1</v>
      </c>
      <c r="Q2946">
        <v>0.09</v>
      </c>
      <c r="R2946" s="2">
        <v>0.71</v>
      </c>
      <c r="S2946" t="str">
        <f>IF(Table1[[#This Row],[Years_Experience]]&lt;=5,"Early Career",
IF(Table1[[#This Row],[Years_Experience]]&lt;=15,"Mid Career","Senior Level"))</f>
        <v>Mid Career</v>
      </c>
      <c r="T2946" t="str">
        <f>IF(Table1[[#This Row],[AI_Exposure_Index]]&gt;=0.7,"High Exposure", IF(Table1[[#This Row],[AI_Exposure_Index]]&gt;=0.3,"Medium Exposure","Low Exposure"))</f>
        <v>Medium Exposure</v>
      </c>
    </row>
    <row r="2947" spans="1:20" x14ac:dyDescent="0.25">
      <c r="A2947" t="s">
        <v>39</v>
      </c>
      <c r="B2947">
        <v>53929</v>
      </c>
      <c r="C2947" s="1">
        <v>23</v>
      </c>
      <c r="D2947" t="s">
        <v>22</v>
      </c>
      <c r="E2947" s="7">
        <v>1.47</v>
      </c>
      <c r="F2947" s="2">
        <v>0.97</v>
      </c>
      <c r="G2947" s="7">
        <v>0.93</v>
      </c>
      <c r="H2947" s="9" t="s">
        <v>20</v>
      </c>
      <c r="I2947">
        <v>0.36</v>
      </c>
      <c r="J2947">
        <v>0.37</v>
      </c>
      <c r="K2947">
        <v>0.85</v>
      </c>
      <c r="L2947">
        <v>0.73</v>
      </c>
      <c r="M2947">
        <v>0.7</v>
      </c>
      <c r="N2947">
        <v>0.28000000000000003</v>
      </c>
      <c r="O2947">
        <v>0.83</v>
      </c>
      <c r="P2947">
        <v>0.57999999999999996</v>
      </c>
      <c r="Q2947">
        <v>0.45</v>
      </c>
      <c r="R2947" s="2">
        <v>0.87</v>
      </c>
      <c r="S2947" t="str">
        <f>IF(Table1[[#This Row],[Years_Experience]]&lt;=5,"Early Career",
IF(Table1[[#This Row],[Years_Experience]]&lt;=15,"Mid Career","Senior Level"))</f>
        <v>Senior Level</v>
      </c>
      <c r="T2947" t="str">
        <f>IF(Table1[[#This Row],[AI_Exposure_Index]]&gt;=0.7,"High Exposure", IF(Table1[[#This Row],[AI_Exposure_Index]]&gt;=0.3,"Medium Exposure","Low Exposure"))</f>
        <v>High Exposure</v>
      </c>
    </row>
    <row r="2948" spans="1:20" x14ac:dyDescent="0.25">
      <c r="A2948" t="s">
        <v>30</v>
      </c>
      <c r="B2948">
        <v>90993</v>
      </c>
      <c r="C2948" s="1">
        <v>17</v>
      </c>
      <c r="D2948" t="s">
        <v>19</v>
      </c>
      <c r="E2948" s="7">
        <v>0.97</v>
      </c>
      <c r="F2948" s="2">
        <v>0.65</v>
      </c>
      <c r="G2948" s="7">
        <v>0.54</v>
      </c>
      <c r="H2948" s="9" t="s">
        <v>27</v>
      </c>
      <c r="I2948">
        <v>0.04</v>
      </c>
      <c r="J2948">
        <v>0.46</v>
      </c>
      <c r="K2948">
        <v>0.56000000000000005</v>
      </c>
      <c r="L2948">
        <v>0.49</v>
      </c>
      <c r="M2948">
        <v>0.85</v>
      </c>
      <c r="N2948">
        <v>0.31</v>
      </c>
      <c r="O2948">
        <v>0.88</v>
      </c>
      <c r="P2948">
        <v>0.4</v>
      </c>
      <c r="Q2948">
        <v>0.69</v>
      </c>
      <c r="R2948" s="2">
        <v>0.09</v>
      </c>
      <c r="S2948" t="str">
        <f>IF(Table1[[#This Row],[Years_Experience]]&lt;=5,"Early Career",
IF(Table1[[#This Row],[Years_Experience]]&lt;=15,"Mid Career","Senior Level"))</f>
        <v>Senior Level</v>
      </c>
      <c r="T2948" t="str">
        <f>IF(Table1[[#This Row],[AI_Exposure_Index]]&gt;=0.7,"High Exposure", IF(Table1[[#This Row],[AI_Exposure_Index]]&gt;=0.3,"Medium Exposure","Low Exposure"))</f>
        <v>Medium Exposure</v>
      </c>
    </row>
    <row r="2949" spans="1:20" x14ac:dyDescent="0.25">
      <c r="A2949" t="s">
        <v>39</v>
      </c>
      <c r="B2949">
        <v>115059</v>
      </c>
      <c r="C2949" s="1">
        <v>3</v>
      </c>
      <c r="D2949" t="s">
        <v>19</v>
      </c>
      <c r="E2949" s="7">
        <v>0.51</v>
      </c>
      <c r="F2949" s="2">
        <v>0.76</v>
      </c>
      <c r="G2949" s="7">
        <v>0.94</v>
      </c>
      <c r="H2949" s="9" t="s">
        <v>20</v>
      </c>
      <c r="I2949">
        <v>0.19</v>
      </c>
      <c r="J2949">
        <v>0.9</v>
      </c>
      <c r="K2949">
        <v>0.52</v>
      </c>
      <c r="L2949">
        <v>0.56000000000000005</v>
      </c>
      <c r="M2949">
        <v>0.08</v>
      </c>
      <c r="N2949">
        <v>0.37</v>
      </c>
      <c r="O2949">
        <v>0.16</v>
      </c>
      <c r="P2949">
        <v>0.53</v>
      </c>
      <c r="Q2949">
        <v>0.55000000000000004</v>
      </c>
      <c r="R2949" s="2">
        <v>0.71</v>
      </c>
      <c r="S2949" t="str">
        <f>IF(Table1[[#This Row],[Years_Experience]]&lt;=5,"Early Career",
IF(Table1[[#This Row],[Years_Experience]]&lt;=15,"Mid Career","Senior Level"))</f>
        <v>Early Career</v>
      </c>
      <c r="T2949" t="str">
        <f>IF(Table1[[#This Row],[AI_Exposure_Index]]&gt;=0.7,"High Exposure", IF(Table1[[#This Row],[AI_Exposure_Index]]&gt;=0.3,"Medium Exposure","Low Exposure"))</f>
        <v>High Exposure</v>
      </c>
    </row>
    <row r="2950" spans="1:20" x14ac:dyDescent="0.25">
      <c r="A2950" t="s">
        <v>41</v>
      </c>
      <c r="B2950">
        <v>84853</v>
      </c>
      <c r="C2950" s="1">
        <v>25</v>
      </c>
      <c r="D2950" t="s">
        <v>38</v>
      </c>
      <c r="E2950" s="7">
        <v>0.73</v>
      </c>
      <c r="F2950" s="2">
        <v>0.47</v>
      </c>
      <c r="G2950" s="7">
        <v>0.78</v>
      </c>
      <c r="H2950" s="9" t="s">
        <v>20</v>
      </c>
      <c r="I2950">
        <v>0.85</v>
      </c>
      <c r="J2950">
        <v>0.15</v>
      </c>
      <c r="K2950">
        <v>0.63</v>
      </c>
      <c r="L2950">
        <v>0.01</v>
      </c>
      <c r="M2950">
        <v>0.25</v>
      </c>
      <c r="N2950">
        <v>0.59</v>
      </c>
      <c r="O2950">
        <v>0.46</v>
      </c>
      <c r="P2950">
        <v>0.49</v>
      </c>
      <c r="Q2950">
        <v>0.66</v>
      </c>
      <c r="R2950" s="2">
        <v>0.23</v>
      </c>
      <c r="S2950" t="str">
        <f>IF(Table1[[#This Row],[Years_Experience]]&lt;=5,"Early Career",
IF(Table1[[#This Row],[Years_Experience]]&lt;=15,"Mid Career","Senior Level"))</f>
        <v>Senior Level</v>
      </c>
      <c r="T2950" t="str">
        <f>IF(Table1[[#This Row],[AI_Exposure_Index]]&gt;=0.7,"High Exposure", IF(Table1[[#This Row],[AI_Exposure_Index]]&gt;=0.3,"Medium Exposure","Low Exposure"))</f>
        <v>Medium Exposure</v>
      </c>
    </row>
    <row r="2951" spans="1:20" x14ac:dyDescent="0.25">
      <c r="A2951" t="s">
        <v>34</v>
      </c>
      <c r="B2951">
        <v>84566</v>
      </c>
      <c r="C2951" s="1">
        <v>25</v>
      </c>
      <c r="D2951" t="s">
        <v>38</v>
      </c>
      <c r="E2951" s="7">
        <v>1.04</v>
      </c>
      <c r="F2951" s="2">
        <v>0.68</v>
      </c>
      <c r="G2951" s="7">
        <v>0.31</v>
      </c>
      <c r="H2951" s="9" t="s">
        <v>27</v>
      </c>
      <c r="I2951">
        <v>0.67</v>
      </c>
      <c r="J2951">
        <v>0.62</v>
      </c>
      <c r="K2951">
        <v>0.08</v>
      </c>
      <c r="L2951">
        <v>0.75</v>
      </c>
      <c r="M2951">
        <v>0.52</v>
      </c>
      <c r="N2951">
        <v>0.2</v>
      </c>
      <c r="O2951">
        <v>0.56000000000000005</v>
      </c>
      <c r="P2951">
        <v>0.6</v>
      </c>
      <c r="Q2951">
        <v>0.92</v>
      </c>
      <c r="R2951" s="2">
        <v>0.74</v>
      </c>
      <c r="S2951" t="str">
        <f>IF(Table1[[#This Row],[Years_Experience]]&lt;=5,"Early Career",
IF(Table1[[#This Row],[Years_Experience]]&lt;=15,"Mid Career","Senior Level"))</f>
        <v>Senior Level</v>
      </c>
      <c r="T2951" t="str">
        <f>IF(Table1[[#This Row],[AI_Exposure_Index]]&gt;=0.7,"High Exposure", IF(Table1[[#This Row],[AI_Exposure_Index]]&gt;=0.3,"Medium Exposure","Low Exposure"))</f>
        <v>Medium Exposure</v>
      </c>
    </row>
    <row r="2952" spans="1:20" x14ac:dyDescent="0.25">
      <c r="A2952" t="s">
        <v>34</v>
      </c>
      <c r="B2952">
        <v>89930</v>
      </c>
      <c r="C2952" s="1">
        <v>19</v>
      </c>
      <c r="D2952" t="s">
        <v>38</v>
      </c>
      <c r="E2952" s="7">
        <v>1.35</v>
      </c>
      <c r="F2952" s="2">
        <v>0.12</v>
      </c>
      <c r="G2952" s="7">
        <v>0.64</v>
      </c>
      <c r="H2952" s="9" t="s">
        <v>27</v>
      </c>
      <c r="I2952">
        <v>0.18</v>
      </c>
      <c r="J2952">
        <v>0.06</v>
      </c>
      <c r="K2952">
        <v>0.71</v>
      </c>
      <c r="L2952">
        <v>0.72</v>
      </c>
      <c r="M2952">
        <v>0.18</v>
      </c>
      <c r="N2952">
        <v>0.67</v>
      </c>
      <c r="O2952">
        <v>0.28000000000000003</v>
      </c>
      <c r="P2952">
        <v>0.26</v>
      </c>
      <c r="Q2952">
        <v>0.32</v>
      </c>
      <c r="R2952" s="2">
        <v>0.52</v>
      </c>
      <c r="S2952" t="str">
        <f>IF(Table1[[#This Row],[Years_Experience]]&lt;=5,"Early Career",
IF(Table1[[#This Row],[Years_Experience]]&lt;=15,"Mid Career","Senior Level"))</f>
        <v>Senior Level</v>
      </c>
      <c r="T2952" t="str">
        <f>IF(Table1[[#This Row],[AI_Exposure_Index]]&gt;=0.7,"High Exposure", IF(Table1[[#This Row],[AI_Exposure_Index]]&gt;=0.3,"Medium Exposure","Low Exposure"))</f>
        <v>Low Exposure</v>
      </c>
    </row>
    <row r="2953" spans="1:20" x14ac:dyDescent="0.25">
      <c r="A2953" t="s">
        <v>21</v>
      </c>
      <c r="B2953">
        <v>75357</v>
      </c>
      <c r="C2953" s="1">
        <v>9</v>
      </c>
      <c r="D2953" t="s">
        <v>22</v>
      </c>
      <c r="E2953" s="7">
        <v>0.95</v>
      </c>
      <c r="F2953" s="2">
        <v>0.33</v>
      </c>
      <c r="G2953" s="7">
        <v>0.3</v>
      </c>
      <c r="H2953" s="9" t="s">
        <v>23</v>
      </c>
      <c r="I2953">
        <v>0.92</v>
      </c>
      <c r="J2953">
        <v>0.98</v>
      </c>
      <c r="K2953">
        <v>0.43</v>
      </c>
      <c r="L2953">
        <v>0.8</v>
      </c>
      <c r="M2953">
        <v>0.87</v>
      </c>
      <c r="N2953">
        <v>0.04</v>
      </c>
      <c r="O2953">
        <v>0.27</v>
      </c>
      <c r="P2953">
        <v>0.88</v>
      </c>
      <c r="Q2953">
        <v>0.39</v>
      </c>
      <c r="R2953" s="2">
        <v>0.28000000000000003</v>
      </c>
      <c r="S2953" t="str">
        <f>IF(Table1[[#This Row],[Years_Experience]]&lt;=5,"Early Career",
IF(Table1[[#This Row],[Years_Experience]]&lt;=15,"Mid Career","Senior Level"))</f>
        <v>Mid Career</v>
      </c>
      <c r="T2953" t="str">
        <f>IF(Table1[[#This Row],[AI_Exposure_Index]]&gt;=0.7,"High Exposure", IF(Table1[[#This Row],[AI_Exposure_Index]]&gt;=0.3,"Medium Exposure","Low Exposure"))</f>
        <v>Medium Exposure</v>
      </c>
    </row>
    <row r="2954" spans="1:20" x14ac:dyDescent="0.25">
      <c r="A2954" t="s">
        <v>24</v>
      </c>
      <c r="B2954">
        <v>102730</v>
      </c>
      <c r="C2954" s="1">
        <v>21</v>
      </c>
      <c r="D2954" t="s">
        <v>22</v>
      </c>
      <c r="E2954" s="7">
        <v>0.74</v>
      </c>
      <c r="F2954" s="2">
        <v>0.38</v>
      </c>
      <c r="G2954" s="7">
        <v>0.7</v>
      </c>
      <c r="H2954" s="9" t="s">
        <v>27</v>
      </c>
      <c r="I2954">
        <v>0.17</v>
      </c>
      <c r="J2954">
        <v>0.88</v>
      </c>
      <c r="K2954">
        <v>0.08</v>
      </c>
      <c r="L2954">
        <v>0.41</v>
      </c>
      <c r="M2954">
        <v>0.46</v>
      </c>
      <c r="N2954">
        <v>0.78</v>
      </c>
      <c r="O2954">
        <v>0.25</v>
      </c>
      <c r="P2954">
        <v>0.31</v>
      </c>
      <c r="Q2954">
        <v>0.01</v>
      </c>
      <c r="R2954" s="2">
        <v>0.9</v>
      </c>
      <c r="S2954" t="str">
        <f>IF(Table1[[#This Row],[Years_Experience]]&lt;=5,"Early Career",
IF(Table1[[#This Row],[Years_Experience]]&lt;=15,"Mid Career","Senior Level"))</f>
        <v>Senior Level</v>
      </c>
      <c r="T2954" t="str">
        <f>IF(Table1[[#This Row],[AI_Exposure_Index]]&gt;=0.7,"High Exposure", IF(Table1[[#This Row],[AI_Exposure_Index]]&gt;=0.3,"Medium Exposure","Low Exposure"))</f>
        <v>Medium Exposure</v>
      </c>
    </row>
    <row r="2955" spans="1:20" x14ac:dyDescent="0.25">
      <c r="A2955" t="s">
        <v>33</v>
      </c>
      <c r="B2955">
        <v>73200</v>
      </c>
      <c r="C2955" s="1">
        <v>1</v>
      </c>
      <c r="D2955" t="s">
        <v>19</v>
      </c>
      <c r="E2955" s="7">
        <v>1.2</v>
      </c>
      <c r="F2955" s="2">
        <v>0.64</v>
      </c>
      <c r="G2955" s="7">
        <v>0.93</v>
      </c>
      <c r="H2955" s="9" t="s">
        <v>20</v>
      </c>
      <c r="I2955">
        <v>0.81</v>
      </c>
      <c r="J2955">
        <v>0.61</v>
      </c>
      <c r="K2955">
        <v>0.66</v>
      </c>
      <c r="L2955">
        <v>0.15</v>
      </c>
      <c r="M2955">
        <v>0.47</v>
      </c>
      <c r="N2955">
        <v>0.3</v>
      </c>
      <c r="O2955">
        <v>0.43</v>
      </c>
      <c r="P2955">
        <v>0.66</v>
      </c>
      <c r="Q2955">
        <v>0.15</v>
      </c>
      <c r="R2955" s="2">
        <v>0.02</v>
      </c>
      <c r="S2955" t="str">
        <f>IF(Table1[[#This Row],[Years_Experience]]&lt;=5,"Early Career",
IF(Table1[[#This Row],[Years_Experience]]&lt;=15,"Mid Career","Senior Level"))</f>
        <v>Early Career</v>
      </c>
      <c r="T2955" t="str">
        <f>IF(Table1[[#This Row],[AI_Exposure_Index]]&gt;=0.7,"High Exposure", IF(Table1[[#This Row],[AI_Exposure_Index]]&gt;=0.3,"Medium Exposure","Low Exposure"))</f>
        <v>Medium Exposure</v>
      </c>
    </row>
    <row r="2956" spans="1:20" x14ac:dyDescent="0.25">
      <c r="A2956" t="s">
        <v>34</v>
      </c>
      <c r="B2956">
        <v>84887</v>
      </c>
      <c r="C2956" s="1">
        <v>26</v>
      </c>
      <c r="D2956" t="s">
        <v>38</v>
      </c>
      <c r="E2956" s="7">
        <v>0.92</v>
      </c>
      <c r="F2956" s="2">
        <v>0.32</v>
      </c>
      <c r="G2956" s="7">
        <v>0.67</v>
      </c>
      <c r="H2956" s="9" t="s">
        <v>27</v>
      </c>
      <c r="I2956">
        <v>0.71</v>
      </c>
      <c r="J2956">
        <v>0.33</v>
      </c>
      <c r="K2956">
        <v>0.18</v>
      </c>
      <c r="L2956">
        <v>0.62</v>
      </c>
      <c r="M2956">
        <v>0.66</v>
      </c>
      <c r="N2956">
        <v>0.48</v>
      </c>
      <c r="O2956">
        <v>0.21</v>
      </c>
      <c r="P2956">
        <v>0.03</v>
      </c>
      <c r="Q2956">
        <v>0.27</v>
      </c>
      <c r="R2956" s="2">
        <v>0.46</v>
      </c>
      <c r="S2956" t="str">
        <f>IF(Table1[[#This Row],[Years_Experience]]&lt;=5,"Early Career",
IF(Table1[[#This Row],[Years_Experience]]&lt;=15,"Mid Career","Senior Level"))</f>
        <v>Senior Level</v>
      </c>
      <c r="T2956" t="str">
        <f>IF(Table1[[#This Row],[AI_Exposure_Index]]&gt;=0.7,"High Exposure", IF(Table1[[#This Row],[AI_Exposure_Index]]&gt;=0.3,"Medium Exposure","Low Exposure"))</f>
        <v>Medium Exposure</v>
      </c>
    </row>
    <row r="2957" spans="1:20" x14ac:dyDescent="0.25">
      <c r="A2957" t="s">
        <v>43</v>
      </c>
      <c r="B2957">
        <v>34008</v>
      </c>
      <c r="C2957" s="1">
        <v>18</v>
      </c>
      <c r="D2957" t="s">
        <v>25</v>
      </c>
      <c r="E2957" s="7">
        <v>0.91</v>
      </c>
      <c r="F2957" s="2">
        <v>0.85</v>
      </c>
      <c r="G2957" s="7">
        <v>0.25</v>
      </c>
      <c r="H2957" s="9" t="s">
        <v>23</v>
      </c>
      <c r="I2957">
        <v>0.99</v>
      </c>
      <c r="J2957">
        <v>0.72</v>
      </c>
      <c r="K2957">
        <v>0.73</v>
      </c>
      <c r="L2957">
        <v>0.91</v>
      </c>
      <c r="M2957">
        <v>0.34</v>
      </c>
      <c r="N2957">
        <v>0.01</v>
      </c>
      <c r="O2957">
        <v>0.99</v>
      </c>
      <c r="P2957">
        <v>0.49</v>
      </c>
      <c r="Q2957">
        <v>0.79</v>
      </c>
      <c r="R2957" s="2">
        <v>0.81</v>
      </c>
      <c r="S2957" t="str">
        <f>IF(Table1[[#This Row],[Years_Experience]]&lt;=5,"Early Career",
IF(Table1[[#This Row],[Years_Experience]]&lt;=15,"Mid Career","Senior Level"))</f>
        <v>Senior Level</v>
      </c>
      <c r="T2957" t="str">
        <f>IF(Table1[[#This Row],[AI_Exposure_Index]]&gt;=0.7,"High Exposure", IF(Table1[[#This Row],[AI_Exposure_Index]]&gt;=0.3,"Medium Exposure","Low Exposure"))</f>
        <v>High Exposure</v>
      </c>
    </row>
    <row r="2958" spans="1:20" x14ac:dyDescent="0.25">
      <c r="A2958" t="s">
        <v>37</v>
      </c>
      <c r="B2958">
        <v>138321</v>
      </c>
      <c r="C2958" s="1">
        <v>8</v>
      </c>
      <c r="D2958" t="s">
        <v>22</v>
      </c>
      <c r="E2958" s="7">
        <v>1.04</v>
      </c>
      <c r="F2958" s="2">
        <v>0.54</v>
      </c>
      <c r="G2958" s="7">
        <v>0.39</v>
      </c>
      <c r="H2958" s="9" t="s">
        <v>27</v>
      </c>
      <c r="I2958">
        <v>0.12</v>
      </c>
      <c r="J2958">
        <v>0.54</v>
      </c>
      <c r="K2958">
        <v>0.12</v>
      </c>
      <c r="L2958">
        <v>0.35</v>
      </c>
      <c r="M2958">
        <v>0.19</v>
      </c>
      <c r="N2958">
        <v>0.71</v>
      </c>
      <c r="O2958">
        <v>0.87</v>
      </c>
      <c r="P2958">
        <v>0.57999999999999996</v>
      </c>
      <c r="Q2958">
        <v>0.41</v>
      </c>
      <c r="R2958" s="2">
        <v>1</v>
      </c>
      <c r="S2958" t="str">
        <f>IF(Table1[[#This Row],[Years_Experience]]&lt;=5,"Early Career",
IF(Table1[[#This Row],[Years_Experience]]&lt;=15,"Mid Career","Senior Level"))</f>
        <v>Mid Career</v>
      </c>
      <c r="T2958" t="str">
        <f>IF(Table1[[#This Row],[AI_Exposure_Index]]&gt;=0.7,"High Exposure", IF(Table1[[#This Row],[AI_Exposure_Index]]&gt;=0.3,"Medium Exposure","Low Exposure"))</f>
        <v>Medium Exposure</v>
      </c>
    </row>
    <row r="2959" spans="1:20" x14ac:dyDescent="0.25">
      <c r="A2959" t="s">
        <v>37</v>
      </c>
      <c r="B2959">
        <v>105328</v>
      </c>
      <c r="C2959" s="1">
        <v>5</v>
      </c>
      <c r="D2959" t="s">
        <v>25</v>
      </c>
      <c r="E2959" s="7">
        <v>0.9</v>
      </c>
      <c r="F2959" s="2">
        <v>0.86</v>
      </c>
      <c r="G2959" s="7">
        <v>0.55000000000000004</v>
      </c>
      <c r="H2959" s="9" t="s">
        <v>27</v>
      </c>
      <c r="I2959">
        <v>0.46</v>
      </c>
      <c r="J2959">
        <v>0.37</v>
      </c>
      <c r="K2959">
        <v>0.25</v>
      </c>
      <c r="L2959">
        <v>0.44</v>
      </c>
      <c r="M2959">
        <v>0.81</v>
      </c>
      <c r="N2959">
        <v>0.84</v>
      </c>
      <c r="O2959">
        <v>0.96</v>
      </c>
      <c r="P2959">
        <v>0.28999999999999998</v>
      </c>
      <c r="Q2959">
        <v>0.65</v>
      </c>
      <c r="R2959" s="2">
        <v>0.69</v>
      </c>
      <c r="S2959" t="str">
        <f>IF(Table1[[#This Row],[Years_Experience]]&lt;=5,"Early Career",
IF(Table1[[#This Row],[Years_Experience]]&lt;=15,"Mid Career","Senior Level"))</f>
        <v>Early Career</v>
      </c>
      <c r="T2959" t="str">
        <f>IF(Table1[[#This Row],[AI_Exposure_Index]]&gt;=0.7,"High Exposure", IF(Table1[[#This Row],[AI_Exposure_Index]]&gt;=0.3,"Medium Exposure","Low Exposure"))</f>
        <v>High Exposure</v>
      </c>
    </row>
    <row r="2960" spans="1:20" x14ac:dyDescent="0.25">
      <c r="A2960" t="s">
        <v>31</v>
      </c>
      <c r="B2960">
        <v>105755</v>
      </c>
      <c r="C2960" s="1">
        <v>27</v>
      </c>
      <c r="D2960" t="s">
        <v>25</v>
      </c>
      <c r="E2960" s="7">
        <v>0.84</v>
      </c>
      <c r="F2960" s="2">
        <v>0.37</v>
      </c>
      <c r="G2960" s="7">
        <v>0.3</v>
      </c>
      <c r="H2960" s="9" t="s">
        <v>23</v>
      </c>
      <c r="I2960">
        <v>0.96</v>
      </c>
      <c r="J2960">
        <v>0.82</v>
      </c>
      <c r="K2960">
        <v>0.47</v>
      </c>
      <c r="L2960">
        <v>0.26</v>
      </c>
      <c r="M2960">
        <v>0.92</v>
      </c>
      <c r="N2960">
        <v>0.27</v>
      </c>
      <c r="O2960">
        <v>0.52</v>
      </c>
      <c r="P2960">
        <v>0.25</v>
      </c>
      <c r="Q2960">
        <v>0.97</v>
      </c>
      <c r="R2960" s="2">
        <v>0.04</v>
      </c>
      <c r="S2960" t="str">
        <f>IF(Table1[[#This Row],[Years_Experience]]&lt;=5,"Early Career",
IF(Table1[[#This Row],[Years_Experience]]&lt;=15,"Mid Career","Senior Level"))</f>
        <v>Senior Level</v>
      </c>
      <c r="T2960" t="str">
        <f>IF(Table1[[#This Row],[AI_Exposure_Index]]&gt;=0.7,"High Exposure", IF(Table1[[#This Row],[AI_Exposure_Index]]&gt;=0.3,"Medium Exposure","Low Exposure"))</f>
        <v>Medium Exposure</v>
      </c>
    </row>
    <row r="2961" spans="1:20" x14ac:dyDescent="0.25">
      <c r="A2961" t="s">
        <v>32</v>
      </c>
      <c r="B2961">
        <v>42430</v>
      </c>
      <c r="C2961" s="1">
        <v>28</v>
      </c>
      <c r="D2961" t="s">
        <v>19</v>
      </c>
      <c r="E2961" s="7">
        <v>0.65</v>
      </c>
      <c r="F2961" s="2">
        <v>0.77</v>
      </c>
      <c r="G2961" s="7">
        <v>0.69</v>
      </c>
      <c r="H2961" s="9" t="s">
        <v>27</v>
      </c>
      <c r="I2961">
        <v>0.32</v>
      </c>
      <c r="J2961">
        <v>0.92</v>
      </c>
      <c r="K2961">
        <v>0.66</v>
      </c>
      <c r="L2961">
        <v>0.63</v>
      </c>
      <c r="M2961">
        <v>0.92</v>
      </c>
      <c r="N2961">
        <v>0.51</v>
      </c>
      <c r="O2961">
        <v>0.4</v>
      </c>
      <c r="P2961">
        <v>0.22</v>
      </c>
      <c r="Q2961">
        <v>0.14000000000000001</v>
      </c>
      <c r="R2961" s="2">
        <v>0.79</v>
      </c>
      <c r="S2961" t="str">
        <f>IF(Table1[[#This Row],[Years_Experience]]&lt;=5,"Early Career",
IF(Table1[[#This Row],[Years_Experience]]&lt;=15,"Mid Career","Senior Level"))</f>
        <v>Senior Level</v>
      </c>
      <c r="T2961" t="str">
        <f>IF(Table1[[#This Row],[AI_Exposure_Index]]&gt;=0.7,"High Exposure", IF(Table1[[#This Row],[AI_Exposure_Index]]&gt;=0.3,"Medium Exposure","Low Exposure"))</f>
        <v>High Exposure</v>
      </c>
    </row>
    <row r="2962" spans="1:20" x14ac:dyDescent="0.25">
      <c r="A2962" t="s">
        <v>30</v>
      </c>
      <c r="B2962">
        <v>67088</v>
      </c>
      <c r="C2962" s="1">
        <v>22</v>
      </c>
      <c r="D2962" t="s">
        <v>19</v>
      </c>
      <c r="E2962" s="7">
        <v>0.91</v>
      </c>
      <c r="F2962" s="2">
        <v>0.39</v>
      </c>
      <c r="G2962" s="7">
        <v>0.56999999999999995</v>
      </c>
      <c r="H2962" s="9" t="s">
        <v>27</v>
      </c>
      <c r="I2962">
        <v>0.28000000000000003</v>
      </c>
      <c r="J2962">
        <v>0.84</v>
      </c>
      <c r="K2962">
        <v>0.21</v>
      </c>
      <c r="L2962">
        <v>0.79</v>
      </c>
      <c r="M2962">
        <v>0.85</v>
      </c>
      <c r="N2962">
        <v>0.19</v>
      </c>
      <c r="O2962">
        <v>0.81</v>
      </c>
      <c r="P2962">
        <v>0.71</v>
      </c>
      <c r="Q2962">
        <v>0.87</v>
      </c>
      <c r="R2962" s="2">
        <v>0.51</v>
      </c>
      <c r="S2962" t="str">
        <f>IF(Table1[[#This Row],[Years_Experience]]&lt;=5,"Early Career",
IF(Table1[[#This Row],[Years_Experience]]&lt;=15,"Mid Career","Senior Level"))</f>
        <v>Senior Level</v>
      </c>
      <c r="T2962" t="str">
        <f>IF(Table1[[#This Row],[AI_Exposure_Index]]&gt;=0.7,"High Exposure", IF(Table1[[#This Row],[AI_Exposure_Index]]&gt;=0.3,"Medium Exposure","Low Exposure"))</f>
        <v>Medium Exposure</v>
      </c>
    </row>
    <row r="2963" spans="1:20" x14ac:dyDescent="0.25">
      <c r="A2963" t="s">
        <v>30</v>
      </c>
      <c r="B2963">
        <v>31312</v>
      </c>
      <c r="C2963" s="1">
        <v>9</v>
      </c>
      <c r="D2963" t="s">
        <v>19</v>
      </c>
      <c r="E2963" s="7">
        <v>1.29</v>
      </c>
      <c r="F2963" s="2">
        <v>0.91</v>
      </c>
      <c r="G2963" s="7">
        <v>0.31</v>
      </c>
      <c r="H2963" s="9" t="s">
        <v>27</v>
      </c>
      <c r="I2963">
        <v>0.94</v>
      </c>
      <c r="J2963">
        <v>0.95</v>
      </c>
      <c r="K2963">
        <v>0.36</v>
      </c>
      <c r="L2963">
        <v>0.01</v>
      </c>
      <c r="M2963">
        <v>0.55000000000000004</v>
      </c>
      <c r="N2963">
        <v>0.91</v>
      </c>
      <c r="O2963">
        <v>0.12</v>
      </c>
      <c r="P2963">
        <v>0.59</v>
      </c>
      <c r="Q2963">
        <v>0.73</v>
      </c>
      <c r="R2963" s="2">
        <v>0.13</v>
      </c>
      <c r="S2963" t="str">
        <f>IF(Table1[[#This Row],[Years_Experience]]&lt;=5,"Early Career",
IF(Table1[[#This Row],[Years_Experience]]&lt;=15,"Mid Career","Senior Level"))</f>
        <v>Mid Career</v>
      </c>
      <c r="T2963" t="str">
        <f>IF(Table1[[#This Row],[AI_Exposure_Index]]&gt;=0.7,"High Exposure", IF(Table1[[#This Row],[AI_Exposure_Index]]&gt;=0.3,"Medium Exposure","Low Exposure"))</f>
        <v>High Exposure</v>
      </c>
    </row>
    <row r="2964" spans="1:20" x14ac:dyDescent="0.25">
      <c r="A2964" t="s">
        <v>33</v>
      </c>
      <c r="B2964">
        <v>33914</v>
      </c>
      <c r="C2964" s="1">
        <v>10</v>
      </c>
      <c r="D2964" t="s">
        <v>38</v>
      </c>
      <c r="E2964" s="7">
        <v>1.48</v>
      </c>
      <c r="F2964" s="2">
        <v>0.87</v>
      </c>
      <c r="G2964" s="7">
        <v>0.82</v>
      </c>
      <c r="H2964" s="9" t="s">
        <v>20</v>
      </c>
      <c r="I2964">
        <v>0.28999999999999998</v>
      </c>
      <c r="J2964">
        <v>0.77</v>
      </c>
      <c r="K2964">
        <v>0.18</v>
      </c>
      <c r="L2964">
        <v>0.24</v>
      </c>
      <c r="M2964">
        <v>0.26</v>
      </c>
      <c r="N2964">
        <v>0.95</v>
      </c>
      <c r="O2964">
        <v>0.73</v>
      </c>
      <c r="P2964">
        <v>0.13</v>
      </c>
      <c r="Q2964">
        <v>0.09</v>
      </c>
      <c r="R2964" s="2">
        <v>0.84</v>
      </c>
      <c r="S2964" t="str">
        <f>IF(Table1[[#This Row],[Years_Experience]]&lt;=5,"Early Career",
IF(Table1[[#This Row],[Years_Experience]]&lt;=15,"Mid Career","Senior Level"))</f>
        <v>Mid Career</v>
      </c>
      <c r="T2964" t="str">
        <f>IF(Table1[[#This Row],[AI_Exposure_Index]]&gt;=0.7,"High Exposure", IF(Table1[[#This Row],[AI_Exposure_Index]]&gt;=0.3,"Medium Exposure","Low Exposure"))</f>
        <v>High Exposure</v>
      </c>
    </row>
    <row r="2965" spans="1:20" x14ac:dyDescent="0.25">
      <c r="A2965" t="s">
        <v>36</v>
      </c>
      <c r="B2965">
        <v>74181</v>
      </c>
      <c r="C2965" s="1">
        <v>21</v>
      </c>
      <c r="D2965" t="s">
        <v>19</v>
      </c>
      <c r="E2965" s="7">
        <v>0.52</v>
      </c>
      <c r="F2965" s="2">
        <v>0.76</v>
      </c>
      <c r="G2965" s="7">
        <v>0.45</v>
      </c>
      <c r="H2965" s="9" t="s">
        <v>27</v>
      </c>
      <c r="I2965">
        <v>0.01</v>
      </c>
      <c r="J2965">
        <v>0.04</v>
      </c>
      <c r="K2965">
        <v>0.48</v>
      </c>
      <c r="L2965">
        <v>0.36</v>
      </c>
      <c r="M2965">
        <v>0.56000000000000005</v>
      </c>
      <c r="N2965">
        <v>7.0000000000000007E-2</v>
      </c>
      <c r="O2965">
        <v>0.59</v>
      </c>
      <c r="P2965">
        <v>7.0000000000000007E-2</v>
      </c>
      <c r="Q2965">
        <v>0.42</v>
      </c>
      <c r="R2965" s="2">
        <v>0.35</v>
      </c>
      <c r="S2965" t="str">
        <f>IF(Table1[[#This Row],[Years_Experience]]&lt;=5,"Early Career",
IF(Table1[[#This Row],[Years_Experience]]&lt;=15,"Mid Career","Senior Level"))</f>
        <v>Senior Level</v>
      </c>
      <c r="T2965" t="str">
        <f>IF(Table1[[#This Row],[AI_Exposure_Index]]&gt;=0.7,"High Exposure", IF(Table1[[#This Row],[AI_Exposure_Index]]&gt;=0.3,"Medium Exposure","Low Exposure"))</f>
        <v>High Exposure</v>
      </c>
    </row>
    <row r="2966" spans="1:20" x14ac:dyDescent="0.25">
      <c r="A2966" t="s">
        <v>36</v>
      </c>
      <c r="B2966">
        <v>72734</v>
      </c>
      <c r="C2966" s="1">
        <v>1</v>
      </c>
      <c r="D2966" t="s">
        <v>22</v>
      </c>
      <c r="E2966" s="7">
        <v>0.5</v>
      </c>
      <c r="F2966" s="2">
        <v>0.31</v>
      </c>
      <c r="G2966" s="7">
        <v>0.43</v>
      </c>
      <c r="H2966" s="9" t="s">
        <v>27</v>
      </c>
      <c r="I2966">
        <v>0.08</v>
      </c>
      <c r="J2966">
        <v>0.92</v>
      </c>
      <c r="K2966">
        <v>7.0000000000000007E-2</v>
      </c>
      <c r="L2966">
        <v>0.95</v>
      </c>
      <c r="M2966">
        <v>0.49</v>
      </c>
      <c r="N2966">
        <v>0.51</v>
      </c>
      <c r="O2966">
        <v>0.79</v>
      </c>
      <c r="P2966">
        <v>0.7</v>
      </c>
      <c r="Q2966">
        <v>0.24</v>
      </c>
      <c r="R2966" s="2">
        <v>0.03</v>
      </c>
      <c r="S2966" t="str">
        <f>IF(Table1[[#This Row],[Years_Experience]]&lt;=5,"Early Career",
IF(Table1[[#This Row],[Years_Experience]]&lt;=15,"Mid Career","Senior Level"))</f>
        <v>Early Career</v>
      </c>
      <c r="T2966" t="str">
        <f>IF(Table1[[#This Row],[AI_Exposure_Index]]&gt;=0.7,"High Exposure", IF(Table1[[#This Row],[AI_Exposure_Index]]&gt;=0.3,"Medium Exposure","Low Exposure"))</f>
        <v>Medium Exposure</v>
      </c>
    </row>
    <row r="2967" spans="1:20" x14ac:dyDescent="0.25">
      <c r="A2967" t="s">
        <v>34</v>
      </c>
      <c r="B2967">
        <v>59319</v>
      </c>
      <c r="C2967" s="1">
        <v>26</v>
      </c>
      <c r="D2967" t="s">
        <v>19</v>
      </c>
      <c r="E2967" s="7">
        <v>1.1000000000000001</v>
      </c>
      <c r="F2967" s="2">
        <v>0.13</v>
      </c>
      <c r="G2967" s="7">
        <v>0.68</v>
      </c>
      <c r="H2967" s="9" t="s">
        <v>27</v>
      </c>
      <c r="I2967">
        <v>0.55000000000000004</v>
      </c>
      <c r="J2967">
        <v>0.28999999999999998</v>
      </c>
      <c r="K2967">
        <v>0.18</v>
      </c>
      <c r="L2967">
        <v>0.03</v>
      </c>
      <c r="M2967">
        <v>0.62</v>
      </c>
      <c r="N2967">
        <v>0.56000000000000005</v>
      </c>
      <c r="O2967">
        <v>0.46</v>
      </c>
      <c r="P2967">
        <v>0.19</v>
      </c>
      <c r="Q2967">
        <v>0.24</v>
      </c>
      <c r="R2967" s="2">
        <v>0.96</v>
      </c>
      <c r="S2967" t="str">
        <f>IF(Table1[[#This Row],[Years_Experience]]&lt;=5,"Early Career",
IF(Table1[[#This Row],[Years_Experience]]&lt;=15,"Mid Career","Senior Level"))</f>
        <v>Senior Level</v>
      </c>
      <c r="T2967" t="str">
        <f>IF(Table1[[#This Row],[AI_Exposure_Index]]&gt;=0.7,"High Exposure", IF(Table1[[#This Row],[AI_Exposure_Index]]&gt;=0.3,"Medium Exposure","Low Exposure"))</f>
        <v>Low Exposure</v>
      </c>
    </row>
    <row r="2968" spans="1:20" x14ac:dyDescent="0.25">
      <c r="A2968" t="s">
        <v>40</v>
      </c>
      <c r="B2968">
        <v>108806</v>
      </c>
      <c r="C2968" s="1">
        <v>16</v>
      </c>
      <c r="D2968" t="s">
        <v>25</v>
      </c>
      <c r="E2968" s="7">
        <v>0.54</v>
      </c>
      <c r="F2968" s="2">
        <v>0.36</v>
      </c>
      <c r="G2968" s="7">
        <v>0.1</v>
      </c>
      <c r="H2968" s="9" t="s">
        <v>23</v>
      </c>
      <c r="I2968">
        <v>0.93</v>
      </c>
      <c r="J2968">
        <v>0.15</v>
      </c>
      <c r="K2968">
        <v>0.6</v>
      </c>
      <c r="L2968">
        <v>0.35</v>
      </c>
      <c r="M2968">
        <v>0.63</v>
      </c>
      <c r="N2968">
        <v>0.85</v>
      </c>
      <c r="O2968">
        <v>0.28999999999999998</v>
      </c>
      <c r="P2968">
        <v>0.08</v>
      </c>
      <c r="Q2968">
        <v>0.2</v>
      </c>
      <c r="R2968" s="2">
        <v>0.44</v>
      </c>
      <c r="S2968" t="str">
        <f>IF(Table1[[#This Row],[Years_Experience]]&lt;=5,"Early Career",
IF(Table1[[#This Row],[Years_Experience]]&lt;=15,"Mid Career","Senior Level"))</f>
        <v>Senior Level</v>
      </c>
      <c r="T2968" t="str">
        <f>IF(Table1[[#This Row],[AI_Exposure_Index]]&gt;=0.7,"High Exposure", IF(Table1[[#This Row],[AI_Exposure_Index]]&gt;=0.3,"Medium Exposure","Low Exposure"))</f>
        <v>Medium Exposure</v>
      </c>
    </row>
    <row r="2969" spans="1:20" x14ac:dyDescent="0.25">
      <c r="A2969" t="s">
        <v>37</v>
      </c>
      <c r="B2969">
        <v>110296</v>
      </c>
      <c r="C2969" s="1">
        <v>28</v>
      </c>
      <c r="D2969" t="s">
        <v>38</v>
      </c>
      <c r="E2969" s="7">
        <v>0.52</v>
      </c>
      <c r="F2969" s="2">
        <v>0.94</v>
      </c>
      <c r="G2969" s="7">
        <v>0.6</v>
      </c>
      <c r="H2969" s="9" t="s">
        <v>27</v>
      </c>
      <c r="I2969">
        <v>7.0000000000000007E-2</v>
      </c>
      <c r="J2969">
        <v>0.08</v>
      </c>
      <c r="K2969">
        <v>0.65</v>
      </c>
      <c r="L2969">
        <v>0.91</v>
      </c>
      <c r="M2969">
        <v>0.28999999999999998</v>
      </c>
      <c r="N2969">
        <v>0.27</v>
      </c>
      <c r="O2969">
        <v>0.62</v>
      </c>
      <c r="P2969">
        <v>0.78</v>
      </c>
      <c r="Q2969">
        <v>0.87</v>
      </c>
      <c r="R2969" s="2">
        <v>0.25</v>
      </c>
      <c r="S2969" t="str">
        <f>IF(Table1[[#This Row],[Years_Experience]]&lt;=5,"Early Career",
IF(Table1[[#This Row],[Years_Experience]]&lt;=15,"Mid Career","Senior Level"))</f>
        <v>Senior Level</v>
      </c>
      <c r="T2969" t="str">
        <f>IF(Table1[[#This Row],[AI_Exposure_Index]]&gt;=0.7,"High Exposure", IF(Table1[[#This Row],[AI_Exposure_Index]]&gt;=0.3,"Medium Exposure","Low Exposure"))</f>
        <v>High Exposure</v>
      </c>
    </row>
    <row r="2970" spans="1:20" x14ac:dyDescent="0.25">
      <c r="A2970" t="s">
        <v>24</v>
      </c>
      <c r="B2970">
        <v>140979</v>
      </c>
      <c r="C2970" s="1">
        <v>22</v>
      </c>
      <c r="D2970" t="s">
        <v>22</v>
      </c>
      <c r="E2970" s="7">
        <v>1.04</v>
      </c>
      <c r="F2970" s="2">
        <v>0.31</v>
      </c>
      <c r="G2970" s="7">
        <v>0.75</v>
      </c>
      <c r="H2970" s="9" t="s">
        <v>20</v>
      </c>
      <c r="I2970">
        <v>0.15</v>
      </c>
      <c r="J2970">
        <v>0.94</v>
      </c>
      <c r="K2970">
        <v>0.55000000000000004</v>
      </c>
      <c r="L2970">
        <v>0</v>
      </c>
      <c r="M2970">
        <v>0.79</v>
      </c>
      <c r="N2970">
        <v>0.69</v>
      </c>
      <c r="O2970">
        <v>0.33</v>
      </c>
      <c r="P2970">
        <v>0.46</v>
      </c>
      <c r="Q2970">
        <v>0.45</v>
      </c>
      <c r="R2970" s="2">
        <v>0.27</v>
      </c>
      <c r="S2970" t="str">
        <f>IF(Table1[[#This Row],[Years_Experience]]&lt;=5,"Early Career",
IF(Table1[[#This Row],[Years_Experience]]&lt;=15,"Mid Career","Senior Level"))</f>
        <v>Senior Level</v>
      </c>
      <c r="T2970" t="str">
        <f>IF(Table1[[#This Row],[AI_Exposure_Index]]&gt;=0.7,"High Exposure", IF(Table1[[#This Row],[AI_Exposure_Index]]&gt;=0.3,"Medium Exposure","Low Exposure"))</f>
        <v>Medium Exposure</v>
      </c>
    </row>
    <row r="2971" spans="1:20" x14ac:dyDescent="0.25">
      <c r="A2971" t="s">
        <v>21</v>
      </c>
      <c r="B2971">
        <v>147083</v>
      </c>
      <c r="C2971" s="1">
        <v>9</v>
      </c>
      <c r="D2971" t="s">
        <v>22</v>
      </c>
      <c r="E2971" s="7">
        <v>1.4</v>
      </c>
      <c r="F2971" s="2">
        <v>0.54</v>
      </c>
      <c r="G2971" s="7">
        <v>0.2</v>
      </c>
      <c r="H2971" s="9" t="s">
        <v>23</v>
      </c>
      <c r="I2971">
        <v>0.69</v>
      </c>
      <c r="J2971">
        <v>0.03</v>
      </c>
      <c r="K2971">
        <v>0.51</v>
      </c>
      <c r="L2971">
        <v>0.72</v>
      </c>
      <c r="M2971">
        <v>0.12</v>
      </c>
      <c r="N2971">
        <v>0.68</v>
      </c>
      <c r="O2971">
        <v>0.08</v>
      </c>
      <c r="P2971">
        <v>0.81</v>
      </c>
      <c r="Q2971">
        <v>0.98</v>
      </c>
      <c r="R2971" s="2">
        <v>0.63</v>
      </c>
      <c r="S2971" t="str">
        <f>IF(Table1[[#This Row],[Years_Experience]]&lt;=5,"Early Career",
IF(Table1[[#This Row],[Years_Experience]]&lt;=15,"Mid Career","Senior Level"))</f>
        <v>Mid Career</v>
      </c>
      <c r="T2971" t="str">
        <f>IF(Table1[[#This Row],[AI_Exposure_Index]]&gt;=0.7,"High Exposure", IF(Table1[[#This Row],[AI_Exposure_Index]]&gt;=0.3,"Medium Exposure","Low Exposure"))</f>
        <v>Medium Exposure</v>
      </c>
    </row>
    <row r="2972" spans="1:20" x14ac:dyDescent="0.25">
      <c r="A2972" t="s">
        <v>26</v>
      </c>
      <c r="B2972">
        <v>120236</v>
      </c>
      <c r="C2972" s="1">
        <v>7</v>
      </c>
      <c r="D2972" t="s">
        <v>19</v>
      </c>
      <c r="E2972" s="7">
        <v>0.83</v>
      </c>
      <c r="F2972" s="2">
        <v>0.89</v>
      </c>
      <c r="G2972" s="7">
        <v>0.55000000000000004</v>
      </c>
      <c r="H2972" s="9" t="s">
        <v>27</v>
      </c>
      <c r="I2972">
        <v>0.33</v>
      </c>
      <c r="J2972">
        <v>0.79</v>
      </c>
      <c r="K2972">
        <v>0.47</v>
      </c>
      <c r="L2972">
        <v>0.34</v>
      </c>
      <c r="M2972">
        <v>0.42</v>
      </c>
      <c r="N2972">
        <v>0.09</v>
      </c>
      <c r="O2972">
        <v>0.87</v>
      </c>
      <c r="P2972">
        <v>0.96</v>
      </c>
      <c r="Q2972">
        <v>0.48</v>
      </c>
      <c r="R2972" s="2">
        <v>0.22</v>
      </c>
      <c r="S2972" t="str">
        <f>IF(Table1[[#This Row],[Years_Experience]]&lt;=5,"Early Career",
IF(Table1[[#This Row],[Years_Experience]]&lt;=15,"Mid Career","Senior Level"))</f>
        <v>Mid Career</v>
      </c>
      <c r="T2972" t="str">
        <f>IF(Table1[[#This Row],[AI_Exposure_Index]]&gt;=0.7,"High Exposure", IF(Table1[[#This Row],[AI_Exposure_Index]]&gt;=0.3,"Medium Exposure","Low Exposure"))</f>
        <v>High Exposure</v>
      </c>
    </row>
    <row r="2973" spans="1:20" x14ac:dyDescent="0.25">
      <c r="A2973" t="s">
        <v>36</v>
      </c>
      <c r="B2973">
        <v>89550</v>
      </c>
      <c r="C2973" s="1">
        <v>7</v>
      </c>
      <c r="D2973" t="s">
        <v>38</v>
      </c>
      <c r="E2973" s="7">
        <v>0.75</v>
      </c>
      <c r="F2973" s="2">
        <v>0.45</v>
      </c>
      <c r="G2973" s="7">
        <v>0.32</v>
      </c>
      <c r="H2973" s="9" t="s">
        <v>27</v>
      </c>
      <c r="I2973">
        <v>0.89</v>
      </c>
      <c r="J2973">
        <v>0.8</v>
      </c>
      <c r="K2973">
        <v>0.83</v>
      </c>
      <c r="L2973">
        <v>0.44</v>
      </c>
      <c r="M2973">
        <v>0.75</v>
      </c>
      <c r="N2973">
        <v>0.57999999999999996</v>
      </c>
      <c r="O2973">
        <v>0.37</v>
      </c>
      <c r="P2973">
        <v>0.84</v>
      </c>
      <c r="Q2973">
        <v>1</v>
      </c>
      <c r="R2973" s="2">
        <v>0.9</v>
      </c>
      <c r="S2973" t="str">
        <f>IF(Table1[[#This Row],[Years_Experience]]&lt;=5,"Early Career",
IF(Table1[[#This Row],[Years_Experience]]&lt;=15,"Mid Career","Senior Level"))</f>
        <v>Mid Career</v>
      </c>
      <c r="T2973" t="str">
        <f>IF(Table1[[#This Row],[AI_Exposure_Index]]&gt;=0.7,"High Exposure", IF(Table1[[#This Row],[AI_Exposure_Index]]&gt;=0.3,"Medium Exposure","Low Exposure"))</f>
        <v>Medium Exposure</v>
      </c>
    </row>
    <row r="2974" spans="1:20" x14ac:dyDescent="0.25">
      <c r="A2974" t="s">
        <v>39</v>
      </c>
      <c r="B2974">
        <v>63867</v>
      </c>
      <c r="C2974" s="1">
        <v>27</v>
      </c>
      <c r="D2974" t="s">
        <v>38</v>
      </c>
      <c r="E2974" s="7">
        <v>1.1499999999999999</v>
      </c>
      <c r="F2974" s="2">
        <v>0.75</v>
      </c>
      <c r="G2974" s="7">
        <v>0.91</v>
      </c>
      <c r="H2974" s="9" t="s">
        <v>20</v>
      </c>
      <c r="I2974">
        <v>0.49</v>
      </c>
      <c r="J2974">
        <v>0.18</v>
      </c>
      <c r="K2974">
        <v>0.77</v>
      </c>
      <c r="L2974">
        <v>0.92</v>
      </c>
      <c r="M2974">
        <v>0.34</v>
      </c>
      <c r="N2974">
        <v>0.78</v>
      </c>
      <c r="O2974">
        <v>0.27</v>
      </c>
      <c r="P2974">
        <v>0.94</v>
      </c>
      <c r="Q2974">
        <v>0.68</v>
      </c>
      <c r="R2974" s="2">
        <v>0.56999999999999995</v>
      </c>
      <c r="S2974" t="str">
        <f>IF(Table1[[#This Row],[Years_Experience]]&lt;=5,"Early Career",
IF(Table1[[#This Row],[Years_Experience]]&lt;=15,"Mid Career","Senior Level"))</f>
        <v>Senior Level</v>
      </c>
      <c r="T2974" t="str">
        <f>IF(Table1[[#This Row],[AI_Exposure_Index]]&gt;=0.7,"High Exposure", IF(Table1[[#This Row],[AI_Exposure_Index]]&gt;=0.3,"Medium Exposure","Low Exposure"))</f>
        <v>High Exposure</v>
      </c>
    </row>
    <row r="2975" spans="1:20" x14ac:dyDescent="0.25">
      <c r="A2975" t="s">
        <v>40</v>
      </c>
      <c r="B2975">
        <v>132922</v>
      </c>
      <c r="C2975" s="1">
        <v>3</v>
      </c>
      <c r="D2975" t="s">
        <v>38</v>
      </c>
      <c r="E2975" s="7">
        <v>1.39</v>
      </c>
      <c r="F2975" s="2">
        <v>0.81</v>
      </c>
      <c r="G2975" s="7">
        <v>0.28000000000000003</v>
      </c>
      <c r="H2975" s="9" t="s">
        <v>23</v>
      </c>
      <c r="I2975">
        <v>0.05</v>
      </c>
      <c r="J2975">
        <v>0.12</v>
      </c>
      <c r="K2975">
        <v>0.83</v>
      </c>
      <c r="L2975">
        <v>0.95</v>
      </c>
      <c r="M2975">
        <v>0.31</v>
      </c>
      <c r="N2975">
        <v>0.01</v>
      </c>
      <c r="O2975">
        <v>0.32</v>
      </c>
      <c r="P2975">
        <v>0.38</v>
      </c>
      <c r="Q2975">
        <v>0.76</v>
      </c>
      <c r="R2975" s="2">
        <v>0.05</v>
      </c>
      <c r="S2975" t="str">
        <f>IF(Table1[[#This Row],[Years_Experience]]&lt;=5,"Early Career",
IF(Table1[[#This Row],[Years_Experience]]&lt;=15,"Mid Career","Senior Level"))</f>
        <v>Early Career</v>
      </c>
      <c r="T2975" t="str">
        <f>IF(Table1[[#This Row],[AI_Exposure_Index]]&gt;=0.7,"High Exposure", IF(Table1[[#This Row],[AI_Exposure_Index]]&gt;=0.3,"Medium Exposure","Low Exposure"))</f>
        <v>High Exposure</v>
      </c>
    </row>
    <row r="2976" spans="1:20" x14ac:dyDescent="0.25">
      <c r="A2976" t="s">
        <v>28</v>
      </c>
      <c r="B2976">
        <v>134242</v>
      </c>
      <c r="C2976" s="1">
        <v>0</v>
      </c>
      <c r="D2976" t="s">
        <v>25</v>
      </c>
      <c r="E2976" s="7">
        <v>0.65</v>
      </c>
      <c r="F2976" s="2">
        <v>0.89</v>
      </c>
      <c r="G2976" s="7">
        <v>0.6</v>
      </c>
      <c r="H2976" s="9" t="s">
        <v>27</v>
      </c>
      <c r="I2976">
        <v>0.36</v>
      </c>
      <c r="J2976">
        <v>0.66</v>
      </c>
      <c r="K2976">
        <v>7.0000000000000007E-2</v>
      </c>
      <c r="L2976">
        <v>0.28999999999999998</v>
      </c>
      <c r="M2976">
        <v>0.42</v>
      </c>
      <c r="N2976">
        <v>0.86</v>
      </c>
      <c r="O2976">
        <v>0.56000000000000005</v>
      </c>
      <c r="P2976">
        <v>0.05</v>
      </c>
      <c r="Q2976">
        <v>0.8</v>
      </c>
      <c r="R2976" s="2">
        <v>0.05</v>
      </c>
      <c r="S2976" t="str">
        <f>IF(Table1[[#This Row],[Years_Experience]]&lt;=5,"Early Career",
IF(Table1[[#This Row],[Years_Experience]]&lt;=15,"Mid Career","Senior Level"))</f>
        <v>Early Career</v>
      </c>
      <c r="T2976" t="str">
        <f>IF(Table1[[#This Row],[AI_Exposure_Index]]&gt;=0.7,"High Exposure", IF(Table1[[#This Row],[AI_Exposure_Index]]&gt;=0.3,"Medium Exposure","Low Exposure"))</f>
        <v>High Exposure</v>
      </c>
    </row>
    <row r="2977" spans="1:20" x14ac:dyDescent="0.25">
      <c r="A2977" t="s">
        <v>34</v>
      </c>
      <c r="B2977">
        <v>72408</v>
      </c>
      <c r="C2977" s="1">
        <v>29</v>
      </c>
      <c r="D2977" t="s">
        <v>38</v>
      </c>
      <c r="E2977" s="7">
        <v>0.99</v>
      </c>
      <c r="F2977" s="2">
        <v>0.21</v>
      </c>
      <c r="G2977" s="7">
        <v>0.33</v>
      </c>
      <c r="H2977" s="9" t="s">
        <v>27</v>
      </c>
      <c r="I2977">
        <v>0.56000000000000005</v>
      </c>
      <c r="J2977">
        <v>0.5</v>
      </c>
      <c r="K2977">
        <v>0.41</v>
      </c>
      <c r="L2977">
        <v>0.04</v>
      </c>
      <c r="M2977">
        <v>0.88</v>
      </c>
      <c r="N2977">
        <v>0.8</v>
      </c>
      <c r="O2977">
        <v>0.63</v>
      </c>
      <c r="P2977">
        <v>0.56999999999999995</v>
      </c>
      <c r="Q2977">
        <v>0.69</v>
      </c>
      <c r="R2977" s="2">
        <v>0.14000000000000001</v>
      </c>
      <c r="S2977" t="str">
        <f>IF(Table1[[#This Row],[Years_Experience]]&lt;=5,"Early Career",
IF(Table1[[#This Row],[Years_Experience]]&lt;=15,"Mid Career","Senior Level"))</f>
        <v>Senior Level</v>
      </c>
      <c r="T2977" t="str">
        <f>IF(Table1[[#This Row],[AI_Exposure_Index]]&gt;=0.7,"High Exposure", IF(Table1[[#This Row],[AI_Exposure_Index]]&gt;=0.3,"Medium Exposure","Low Exposure"))</f>
        <v>Low Exposure</v>
      </c>
    </row>
    <row r="2978" spans="1:20" x14ac:dyDescent="0.25">
      <c r="A2978" t="s">
        <v>31</v>
      </c>
      <c r="B2978">
        <v>146199</v>
      </c>
      <c r="C2978" s="1">
        <v>26</v>
      </c>
      <c r="D2978" t="s">
        <v>19</v>
      </c>
      <c r="E2978" s="7">
        <v>1.1599999999999999</v>
      </c>
      <c r="F2978" s="2">
        <v>0.28000000000000003</v>
      </c>
      <c r="G2978" s="7">
        <v>0.2</v>
      </c>
      <c r="H2978" s="9" t="s">
        <v>23</v>
      </c>
      <c r="I2978">
        <v>0.64</v>
      </c>
      <c r="J2978">
        <v>0.88</v>
      </c>
      <c r="K2978">
        <v>0.3</v>
      </c>
      <c r="L2978">
        <v>0.75</v>
      </c>
      <c r="M2978">
        <v>0.6</v>
      </c>
      <c r="N2978">
        <v>0.08</v>
      </c>
      <c r="O2978">
        <v>0.41</v>
      </c>
      <c r="P2978">
        <v>0.84</v>
      </c>
      <c r="Q2978">
        <v>0.32</v>
      </c>
      <c r="R2978" s="2">
        <v>0.48</v>
      </c>
      <c r="S2978" t="str">
        <f>IF(Table1[[#This Row],[Years_Experience]]&lt;=5,"Early Career",
IF(Table1[[#This Row],[Years_Experience]]&lt;=15,"Mid Career","Senior Level"))</f>
        <v>Senior Level</v>
      </c>
      <c r="T2978" t="str">
        <f>IF(Table1[[#This Row],[AI_Exposure_Index]]&gt;=0.7,"High Exposure", IF(Table1[[#This Row],[AI_Exposure_Index]]&gt;=0.3,"Medium Exposure","Low Exposure"))</f>
        <v>Low Exposure</v>
      </c>
    </row>
    <row r="2979" spans="1:20" x14ac:dyDescent="0.25">
      <c r="A2979" t="s">
        <v>42</v>
      </c>
      <c r="B2979">
        <v>122864</v>
      </c>
      <c r="C2979" s="1">
        <v>23</v>
      </c>
      <c r="D2979" t="s">
        <v>22</v>
      </c>
      <c r="E2979" s="7">
        <v>1.38</v>
      </c>
      <c r="F2979" s="2">
        <v>0.62</v>
      </c>
      <c r="G2979" s="7">
        <v>0.37</v>
      </c>
      <c r="H2979" s="9" t="s">
        <v>27</v>
      </c>
      <c r="I2979">
        <v>0.5</v>
      </c>
      <c r="J2979">
        <v>0.42</v>
      </c>
      <c r="K2979">
        <v>0.3</v>
      </c>
      <c r="L2979">
        <v>0.92</v>
      </c>
      <c r="M2979">
        <v>0.01</v>
      </c>
      <c r="N2979">
        <v>0.12</v>
      </c>
      <c r="O2979">
        <v>0.73</v>
      </c>
      <c r="P2979">
        <v>0.26</v>
      </c>
      <c r="Q2979">
        <v>0.72</v>
      </c>
      <c r="R2979" s="2">
        <v>0.83</v>
      </c>
      <c r="S2979" t="str">
        <f>IF(Table1[[#This Row],[Years_Experience]]&lt;=5,"Early Career",
IF(Table1[[#This Row],[Years_Experience]]&lt;=15,"Mid Career","Senior Level"))</f>
        <v>Senior Level</v>
      </c>
      <c r="T2979" t="str">
        <f>IF(Table1[[#This Row],[AI_Exposure_Index]]&gt;=0.7,"High Exposure", IF(Table1[[#This Row],[AI_Exposure_Index]]&gt;=0.3,"Medium Exposure","Low Exposure"))</f>
        <v>Medium Exposure</v>
      </c>
    </row>
    <row r="2980" spans="1:20" x14ac:dyDescent="0.25">
      <c r="A2980" t="s">
        <v>31</v>
      </c>
      <c r="B2980">
        <v>63791</v>
      </c>
      <c r="C2980" s="1">
        <v>21</v>
      </c>
      <c r="D2980" t="s">
        <v>38</v>
      </c>
      <c r="E2980" s="7">
        <v>0.65</v>
      </c>
      <c r="F2980" s="2">
        <v>0.19</v>
      </c>
      <c r="G2980" s="7">
        <v>0.1</v>
      </c>
      <c r="H2980" s="9" t="s">
        <v>23</v>
      </c>
      <c r="I2980">
        <v>0.27</v>
      </c>
      <c r="J2980">
        <v>0.87</v>
      </c>
      <c r="K2980">
        <v>0.77</v>
      </c>
      <c r="L2980">
        <v>0</v>
      </c>
      <c r="M2980">
        <v>0.87</v>
      </c>
      <c r="N2980">
        <v>0.08</v>
      </c>
      <c r="O2980">
        <v>0.66</v>
      </c>
      <c r="P2980">
        <v>0.15</v>
      </c>
      <c r="Q2980">
        <v>0.06</v>
      </c>
      <c r="R2980" s="2">
        <v>0.76</v>
      </c>
      <c r="S2980" t="str">
        <f>IF(Table1[[#This Row],[Years_Experience]]&lt;=5,"Early Career",
IF(Table1[[#This Row],[Years_Experience]]&lt;=15,"Mid Career","Senior Level"))</f>
        <v>Senior Level</v>
      </c>
      <c r="T2980" t="str">
        <f>IF(Table1[[#This Row],[AI_Exposure_Index]]&gt;=0.7,"High Exposure", IF(Table1[[#This Row],[AI_Exposure_Index]]&gt;=0.3,"Medium Exposure","Low Exposure"))</f>
        <v>Low Exposure</v>
      </c>
    </row>
    <row r="2981" spans="1:20" x14ac:dyDescent="0.25">
      <c r="A2981" t="s">
        <v>33</v>
      </c>
      <c r="B2981">
        <v>70840</v>
      </c>
      <c r="C2981" s="1">
        <v>17</v>
      </c>
      <c r="D2981" t="s">
        <v>19</v>
      </c>
      <c r="E2981" s="7">
        <v>0.93</v>
      </c>
      <c r="F2981" s="2">
        <v>0.6</v>
      </c>
      <c r="G2981" s="7">
        <v>0.72</v>
      </c>
      <c r="H2981" s="9" t="s">
        <v>20</v>
      </c>
      <c r="I2981">
        <v>0.74</v>
      </c>
      <c r="J2981">
        <v>0.82</v>
      </c>
      <c r="K2981">
        <v>0.04</v>
      </c>
      <c r="L2981">
        <v>0.38</v>
      </c>
      <c r="M2981">
        <v>0.56000000000000005</v>
      </c>
      <c r="N2981">
        <v>0.61</v>
      </c>
      <c r="O2981">
        <v>0.57999999999999996</v>
      </c>
      <c r="P2981">
        <v>0.69</v>
      </c>
      <c r="Q2981">
        <v>0.97</v>
      </c>
      <c r="R2981" s="2">
        <v>0.39</v>
      </c>
      <c r="S2981" t="str">
        <f>IF(Table1[[#This Row],[Years_Experience]]&lt;=5,"Early Career",
IF(Table1[[#This Row],[Years_Experience]]&lt;=15,"Mid Career","Senior Level"))</f>
        <v>Senior Level</v>
      </c>
      <c r="T2981" t="str">
        <f>IF(Table1[[#This Row],[AI_Exposure_Index]]&gt;=0.7,"High Exposure", IF(Table1[[#This Row],[AI_Exposure_Index]]&gt;=0.3,"Medium Exposure","Low Exposure"))</f>
        <v>Medium Exposure</v>
      </c>
    </row>
    <row r="2982" spans="1:20" x14ac:dyDescent="0.25">
      <c r="A2982" t="s">
        <v>40</v>
      </c>
      <c r="B2982">
        <v>87796</v>
      </c>
      <c r="C2982" s="1">
        <v>27</v>
      </c>
      <c r="D2982" t="s">
        <v>25</v>
      </c>
      <c r="E2982" s="7">
        <v>1.0900000000000001</v>
      </c>
      <c r="F2982" s="2">
        <v>0.7</v>
      </c>
      <c r="G2982" s="7">
        <v>0.15</v>
      </c>
      <c r="H2982" s="9" t="s">
        <v>23</v>
      </c>
      <c r="I2982">
        <v>0.62</v>
      </c>
      <c r="J2982">
        <v>0.65</v>
      </c>
      <c r="K2982">
        <v>0.57999999999999996</v>
      </c>
      <c r="L2982">
        <v>0.21</v>
      </c>
      <c r="M2982">
        <v>0.51</v>
      </c>
      <c r="N2982">
        <v>0.88</v>
      </c>
      <c r="O2982">
        <v>0.87</v>
      </c>
      <c r="P2982">
        <v>0.75</v>
      </c>
      <c r="Q2982">
        <v>0.7</v>
      </c>
      <c r="R2982" s="2">
        <v>0.15</v>
      </c>
      <c r="S2982" t="str">
        <f>IF(Table1[[#This Row],[Years_Experience]]&lt;=5,"Early Career",
IF(Table1[[#This Row],[Years_Experience]]&lt;=15,"Mid Career","Senior Level"))</f>
        <v>Senior Level</v>
      </c>
      <c r="T2982" t="str">
        <f>IF(Table1[[#This Row],[AI_Exposure_Index]]&gt;=0.7,"High Exposure", IF(Table1[[#This Row],[AI_Exposure_Index]]&gt;=0.3,"Medium Exposure","Low Exposure"))</f>
        <v>High Exposure</v>
      </c>
    </row>
    <row r="2983" spans="1:20" x14ac:dyDescent="0.25">
      <c r="A2983" t="s">
        <v>29</v>
      </c>
      <c r="B2983">
        <v>126747</v>
      </c>
      <c r="C2983" s="1">
        <v>12</v>
      </c>
      <c r="D2983" t="s">
        <v>38</v>
      </c>
      <c r="E2983" s="7">
        <v>1.32</v>
      </c>
      <c r="F2983" s="2">
        <v>0.11</v>
      </c>
      <c r="G2983" s="7">
        <v>0.12</v>
      </c>
      <c r="H2983" s="9" t="s">
        <v>23</v>
      </c>
      <c r="I2983">
        <v>0.77</v>
      </c>
      <c r="J2983">
        <v>0.81</v>
      </c>
      <c r="K2983">
        <v>0.89</v>
      </c>
      <c r="L2983">
        <v>0.75</v>
      </c>
      <c r="M2983">
        <v>0.56000000000000005</v>
      </c>
      <c r="N2983">
        <v>0.6</v>
      </c>
      <c r="O2983">
        <v>0.32</v>
      </c>
      <c r="P2983">
        <v>0.18</v>
      </c>
      <c r="Q2983">
        <v>0.13</v>
      </c>
      <c r="R2983" s="2">
        <v>0.18</v>
      </c>
      <c r="S2983" t="str">
        <f>IF(Table1[[#This Row],[Years_Experience]]&lt;=5,"Early Career",
IF(Table1[[#This Row],[Years_Experience]]&lt;=15,"Mid Career","Senior Level"))</f>
        <v>Mid Career</v>
      </c>
      <c r="T2983" t="str">
        <f>IF(Table1[[#This Row],[AI_Exposure_Index]]&gt;=0.7,"High Exposure", IF(Table1[[#This Row],[AI_Exposure_Index]]&gt;=0.3,"Medium Exposure","Low Exposure"))</f>
        <v>Low Exposure</v>
      </c>
    </row>
    <row r="2984" spans="1:20" x14ac:dyDescent="0.25">
      <c r="A2984" t="s">
        <v>41</v>
      </c>
      <c r="B2984">
        <v>126409</v>
      </c>
      <c r="C2984" s="1">
        <v>17</v>
      </c>
      <c r="D2984" t="s">
        <v>19</v>
      </c>
      <c r="E2984" s="7">
        <v>1.22</v>
      </c>
      <c r="F2984" s="2">
        <v>0.16</v>
      </c>
      <c r="G2984" s="7">
        <v>0.75</v>
      </c>
      <c r="H2984" s="9" t="s">
        <v>20</v>
      </c>
      <c r="I2984">
        <v>0.98</v>
      </c>
      <c r="J2984">
        <v>0.37</v>
      </c>
      <c r="K2984">
        <v>0.41</v>
      </c>
      <c r="L2984">
        <v>0.4</v>
      </c>
      <c r="M2984">
        <v>0.82</v>
      </c>
      <c r="N2984">
        <v>0.22</v>
      </c>
      <c r="O2984">
        <v>0.83</v>
      </c>
      <c r="P2984">
        <v>0.66</v>
      </c>
      <c r="Q2984">
        <v>0.22</v>
      </c>
      <c r="R2984" s="2">
        <v>7.0000000000000007E-2</v>
      </c>
      <c r="S2984" t="str">
        <f>IF(Table1[[#This Row],[Years_Experience]]&lt;=5,"Early Career",
IF(Table1[[#This Row],[Years_Experience]]&lt;=15,"Mid Career","Senior Level"))</f>
        <v>Senior Level</v>
      </c>
      <c r="T2984" t="str">
        <f>IF(Table1[[#This Row],[AI_Exposure_Index]]&gt;=0.7,"High Exposure", IF(Table1[[#This Row],[AI_Exposure_Index]]&gt;=0.3,"Medium Exposure","Low Exposure"))</f>
        <v>Low Exposure</v>
      </c>
    </row>
    <row r="2985" spans="1:20" x14ac:dyDescent="0.25">
      <c r="A2985" t="s">
        <v>32</v>
      </c>
      <c r="B2985">
        <v>60740</v>
      </c>
      <c r="C2985" s="1">
        <v>16</v>
      </c>
      <c r="D2985" t="s">
        <v>22</v>
      </c>
      <c r="E2985" s="7">
        <v>1.43</v>
      </c>
      <c r="F2985" s="2">
        <v>0.53</v>
      </c>
      <c r="G2985" s="7">
        <v>0.32</v>
      </c>
      <c r="H2985" s="9" t="s">
        <v>27</v>
      </c>
      <c r="I2985">
        <v>0.51</v>
      </c>
      <c r="J2985">
        <v>0.2</v>
      </c>
      <c r="K2985">
        <v>0.78</v>
      </c>
      <c r="L2985">
        <v>0.68</v>
      </c>
      <c r="M2985">
        <v>0.1</v>
      </c>
      <c r="N2985">
        <v>0.62</v>
      </c>
      <c r="O2985">
        <v>0.98</v>
      </c>
      <c r="P2985">
        <v>0.53</v>
      </c>
      <c r="Q2985">
        <v>0.28999999999999998</v>
      </c>
      <c r="R2985" s="2">
        <v>0.15</v>
      </c>
      <c r="S2985" t="str">
        <f>IF(Table1[[#This Row],[Years_Experience]]&lt;=5,"Early Career",
IF(Table1[[#This Row],[Years_Experience]]&lt;=15,"Mid Career","Senior Level"))</f>
        <v>Senior Level</v>
      </c>
      <c r="T2985" t="str">
        <f>IF(Table1[[#This Row],[AI_Exposure_Index]]&gt;=0.7,"High Exposure", IF(Table1[[#This Row],[AI_Exposure_Index]]&gt;=0.3,"Medium Exposure","Low Exposure"))</f>
        <v>Medium Exposure</v>
      </c>
    </row>
    <row r="2986" spans="1:20" x14ac:dyDescent="0.25">
      <c r="A2986" t="s">
        <v>21</v>
      </c>
      <c r="B2986">
        <v>108275</v>
      </c>
      <c r="C2986" s="1">
        <v>22</v>
      </c>
      <c r="D2986" t="s">
        <v>25</v>
      </c>
      <c r="E2986" s="7">
        <v>0.87</v>
      </c>
      <c r="F2986" s="2">
        <v>0.56000000000000005</v>
      </c>
      <c r="G2986" s="7">
        <v>0.1</v>
      </c>
      <c r="H2986" s="9" t="s">
        <v>23</v>
      </c>
      <c r="I2986">
        <v>0.95</v>
      </c>
      <c r="J2986">
        <v>0.63</v>
      </c>
      <c r="K2986">
        <v>0.06</v>
      </c>
      <c r="L2986">
        <v>0.06</v>
      </c>
      <c r="M2986">
        <v>0.94</v>
      </c>
      <c r="N2986">
        <v>0.71</v>
      </c>
      <c r="O2986">
        <v>0.1</v>
      </c>
      <c r="P2986">
        <v>0.62</v>
      </c>
      <c r="Q2986">
        <v>0.42</v>
      </c>
      <c r="R2986" s="2">
        <v>0.79</v>
      </c>
      <c r="S2986" t="str">
        <f>IF(Table1[[#This Row],[Years_Experience]]&lt;=5,"Early Career",
IF(Table1[[#This Row],[Years_Experience]]&lt;=15,"Mid Career","Senior Level"))</f>
        <v>Senior Level</v>
      </c>
      <c r="T2986" t="str">
        <f>IF(Table1[[#This Row],[AI_Exposure_Index]]&gt;=0.7,"High Exposure", IF(Table1[[#This Row],[AI_Exposure_Index]]&gt;=0.3,"Medium Exposure","Low Exposure"))</f>
        <v>Medium Exposure</v>
      </c>
    </row>
    <row r="2987" spans="1:20" x14ac:dyDescent="0.25">
      <c r="A2987" t="s">
        <v>39</v>
      </c>
      <c r="B2987">
        <v>32570</v>
      </c>
      <c r="C2987" s="1">
        <v>7</v>
      </c>
      <c r="D2987" t="s">
        <v>38</v>
      </c>
      <c r="E2987" s="7">
        <v>0.67</v>
      </c>
      <c r="F2987" s="2">
        <v>0.38</v>
      </c>
      <c r="G2987" s="7">
        <v>0.76</v>
      </c>
      <c r="H2987" s="9" t="s">
        <v>20</v>
      </c>
      <c r="I2987">
        <v>0.19</v>
      </c>
      <c r="J2987">
        <v>0.02</v>
      </c>
      <c r="K2987">
        <v>0.05</v>
      </c>
      <c r="L2987">
        <v>0.84</v>
      </c>
      <c r="M2987">
        <v>0.8</v>
      </c>
      <c r="N2987">
        <v>0.14000000000000001</v>
      </c>
      <c r="O2987">
        <v>0.67</v>
      </c>
      <c r="P2987">
        <v>0.75</v>
      </c>
      <c r="Q2987">
        <v>0.05</v>
      </c>
      <c r="R2987" s="2">
        <v>0.09</v>
      </c>
      <c r="S2987" t="str">
        <f>IF(Table1[[#This Row],[Years_Experience]]&lt;=5,"Early Career",
IF(Table1[[#This Row],[Years_Experience]]&lt;=15,"Mid Career","Senior Level"))</f>
        <v>Mid Career</v>
      </c>
      <c r="T2987" t="str">
        <f>IF(Table1[[#This Row],[AI_Exposure_Index]]&gt;=0.7,"High Exposure", IF(Table1[[#This Row],[AI_Exposure_Index]]&gt;=0.3,"Medium Exposure","Low Exposure"))</f>
        <v>Medium Exposure</v>
      </c>
    </row>
    <row r="2988" spans="1:20" x14ac:dyDescent="0.25">
      <c r="A2988" t="s">
        <v>39</v>
      </c>
      <c r="B2988">
        <v>80258</v>
      </c>
      <c r="C2988" s="1">
        <v>12</v>
      </c>
      <c r="D2988" t="s">
        <v>38</v>
      </c>
      <c r="E2988" s="7">
        <v>0.91</v>
      </c>
      <c r="F2988" s="2">
        <v>0.2</v>
      </c>
      <c r="G2988" s="7">
        <v>0.88</v>
      </c>
      <c r="H2988" s="9" t="s">
        <v>20</v>
      </c>
      <c r="I2988">
        <v>0.71</v>
      </c>
      <c r="J2988">
        <v>0.97</v>
      </c>
      <c r="K2988">
        <v>0.19</v>
      </c>
      <c r="L2988">
        <v>0.02</v>
      </c>
      <c r="M2988">
        <v>0.32</v>
      </c>
      <c r="N2988">
        <v>0.15</v>
      </c>
      <c r="O2988">
        <v>0.55000000000000004</v>
      </c>
      <c r="P2988">
        <v>0.9</v>
      </c>
      <c r="Q2988">
        <v>0.69</v>
      </c>
      <c r="R2988" s="2">
        <v>0.14000000000000001</v>
      </c>
      <c r="S2988" t="str">
        <f>IF(Table1[[#This Row],[Years_Experience]]&lt;=5,"Early Career",
IF(Table1[[#This Row],[Years_Experience]]&lt;=15,"Mid Career","Senior Level"))</f>
        <v>Mid Career</v>
      </c>
      <c r="T2988" t="str">
        <f>IF(Table1[[#This Row],[AI_Exposure_Index]]&gt;=0.7,"High Exposure", IF(Table1[[#This Row],[AI_Exposure_Index]]&gt;=0.3,"Medium Exposure","Low Exposure"))</f>
        <v>Low Exposure</v>
      </c>
    </row>
    <row r="2989" spans="1:20" x14ac:dyDescent="0.25">
      <c r="A2989" t="s">
        <v>36</v>
      </c>
      <c r="B2989">
        <v>34970</v>
      </c>
      <c r="C2989" s="1">
        <v>6</v>
      </c>
      <c r="D2989" t="s">
        <v>38</v>
      </c>
      <c r="E2989" s="7">
        <v>0.99</v>
      </c>
      <c r="F2989" s="2">
        <v>0.91</v>
      </c>
      <c r="G2989" s="7">
        <v>0.67</v>
      </c>
      <c r="H2989" s="9" t="s">
        <v>27</v>
      </c>
      <c r="I2989">
        <v>0.74</v>
      </c>
      <c r="J2989">
        <v>0.99</v>
      </c>
      <c r="K2989">
        <v>0.87</v>
      </c>
      <c r="L2989">
        <v>0.41</v>
      </c>
      <c r="M2989">
        <v>0.76</v>
      </c>
      <c r="N2989">
        <v>0.47</v>
      </c>
      <c r="O2989">
        <v>0.23</v>
      </c>
      <c r="P2989">
        <v>0.24</v>
      </c>
      <c r="Q2989">
        <v>0.4</v>
      </c>
      <c r="R2989" s="2">
        <v>0.11</v>
      </c>
      <c r="S2989" t="str">
        <f>IF(Table1[[#This Row],[Years_Experience]]&lt;=5,"Early Career",
IF(Table1[[#This Row],[Years_Experience]]&lt;=15,"Mid Career","Senior Level"))</f>
        <v>Mid Career</v>
      </c>
      <c r="T2989" t="str">
        <f>IF(Table1[[#This Row],[AI_Exposure_Index]]&gt;=0.7,"High Exposure", IF(Table1[[#This Row],[AI_Exposure_Index]]&gt;=0.3,"Medium Exposure","Low Exposure"))</f>
        <v>High Exposure</v>
      </c>
    </row>
    <row r="2990" spans="1:20" x14ac:dyDescent="0.25">
      <c r="A2990" t="s">
        <v>18</v>
      </c>
      <c r="B2990">
        <v>35973</v>
      </c>
      <c r="C2990" s="1">
        <v>3</v>
      </c>
      <c r="D2990" t="s">
        <v>25</v>
      </c>
      <c r="E2990" s="7">
        <v>1.45</v>
      </c>
      <c r="F2990" s="2">
        <v>0.5</v>
      </c>
      <c r="G2990" s="7">
        <v>0.84</v>
      </c>
      <c r="H2990" s="9" t="s">
        <v>20</v>
      </c>
      <c r="I2990">
        <v>0.41</v>
      </c>
      <c r="J2990">
        <v>0.24</v>
      </c>
      <c r="K2990">
        <v>0.2</v>
      </c>
      <c r="L2990">
        <v>0.66</v>
      </c>
      <c r="M2990">
        <v>0.85</v>
      </c>
      <c r="N2990">
        <v>0.4</v>
      </c>
      <c r="O2990">
        <v>0.55000000000000004</v>
      </c>
      <c r="P2990">
        <v>0.71</v>
      </c>
      <c r="Q2990">
        <v>0.06</v>
      </c>
      <c r="R2990" s="2">
        <v>0.35</v>
      </c>
      <c r="S2990" t="str">
        <f>IF(Table1[[#This Row],[Years_Experience]]&lt;=5,"Early Career",
IF(Table1[[#This Row],[Years_Experience]]&lt;=15,"Mid Career","Senior Level"))</f>
        <v>Early Career</v>
      </c>
      <c r="T2990" t="str">
        <f>IF(Table1[[#This Row],[AI_Exposure_Index]]&gt;=0.7,"High Exposure", IF(Table1[[#This Row],[AI_Exposure_Index]]&gt;=0.3,"Medium Exposure","Low Exposure"))</f>
        <v>Medium Exposure</v>
      </c>
    </row>
    <row r="2991" spans="1:20" x14ac:dyDescent="0.25">
      <c r="A2991" t="s">
        <v>32</v>
      </c>
      <c r="B2991">
        <v>101126</v>
      </c>
      <c r="C2991" s="1">
        <v>5</v>
      </c>
      <c r="D2991" t="s">
        <v>25</v>
      </c>
      <c r="E2991" s="7">
        <v>0.55000000000000004</v>
      </c>
      <c r="F2991" s="2">
        <v>0.68</v>
      </c>
      <c r="G2991" s="7">
        <v>0.4</v>
      </c>
      <c r="H2991" s="9" t="s">
        <v>27</v>
      </c>
      <c r="I2991">
        <v>0.68</v>
      </c>
      <c r="J2991">
        <v>0.27</v>
      </c>
      <c r="K2991">
        <v>0.81</v>
      </c>
      <c r="L2991">
        <v>0.03</v>
      </c>
      <c r="M2991">
        <v>0.19</v>
      </c>
      <c r="N2991">
        <v>0.28000000000000003</v>
      </c>
      <c r="O2991">
        <v>0.93</v>
      </c>
      <c r="P2991">
        <v>0.8</v>
      </c>
      <c r="Q2991">
        <v>0.88</v>
      </c>
      <c r="R2991" s="2">
        <v>0.44</v>
      </c>
      <c r="S2991" t="str">
        <f>IF(Table1[[#This Row],[Years_Experience]]&lt;=5,"Early Career",
IF(Table1[[#This Row],[Years_Experience]]&lt;=15,"Mid Career","Senior Level"))</f>
        <v>Early Career</v>
      </c>
      <c r="T2991" t="str">
        <f>IF(Table1[[#This Row],[AI_Exposure_Index]]&gt;=0.7,"High Exposure", IF(Table1[[#This Row],[AI_Exposure_Index]]&gt;=0.3,"Medium Exposure","Low Exposure"))</f>
        <v>Medium Exposure</v>
      </c>
    </row>
    <row r="2992" spans="1:20" x14ac:dyDescent="0.25">
      <c r="A2992" t="s">
        <v>36</v>
      </c>
      <c r="B2992">
        <v>123686</v>
      </c>
      <c r="C2992" s="1">
        <v>7</v>
      </c>
      <c r="D2992" t="s">
        <v>38</v>
      </c>
      <c r="E2992" s="7">
        <v>0.9</v>
      </c>
      <c r="F2992" s="2">
        <v>0.85</v>
      </c>
      <c r="G2992" s="7">
        <v>0.7</v>
      </c>
      <c r="H2992" s="9" t="s">
        <v>27</v>
      </c>
      <c r="I2992">
        <v>0.85</v>
      </c>
      <c r="J2992">
        <v>0.97</v>
      </c>
      <c r="K2992">
        <v>0.87</v>
      </c>
      <c r="L2992">
        <v>0.78</v>
      </c>
      <c r="M2992">
        <v>0.94</v>
      </c>
      <c r="N2992">
        <v>0.42</v>
      </c>
      <c r="O2992">
        <v>0.78</v>
      </c>
      <c r="P2992">
        <v>0.21</v>
      </c>
      <c r="Q2992">
        <v>0.73</v>
      </c>
      <c r="R2992" s="2">
        <v>0.79</v>
      </c>
      <c r="S2992" t="str">
        <f>IF(Table1[[#This Row],[Years_Experience]]&lt;=5,"Early Career",
IF(Table1[[#This Row],[Years_Experience]]&lt;=15,"Mid Career","Senior Level"))</f>
        <v>Mid Career</v>
      </c>
      <c r="T2992" t="str">
        <f>IF(Table1[[#This Row],[AI_Exposure_Index]]&gt;=0.7,"High Exposure", IF(Table1[[#This Row],[AI_Exposure_Index]]&gt;=0.3,"Medium Exposure","Low Exposure"))</f>
        <v>High Exposure</v>
      </c>
    </row>
    <row r="2993" spans="1:20" x14ac:dyDescent="0.25">
      <c r="A2993" t="s">
        <v>28</v>
      </c>
      <c r="B2993">
        <v>39421</v>
      </c>
      <c r="C2993" s="1">
        <v>10</v>
      </c>
      <c r="D2993" t="s">
        <v>19</v>
      </c>
      <c r="E2993" s="7">
        <v>0.91</v>
      </c>
      <c r="F2993" s="2">
        <v>0.85</v>
      </c>
      <c r="G2993" s="7">
        <v>0.52</v>
      </c>
      <c r="H2993" s="9" t="s">
        <v>27</v>
      </c>
      <c r="I2993">
        <v>0.01</v>
      </c>
      <c r="J2993">
        <v>0.15</v>
      </c>
      <c r="K2993">
        <v>0.64</v>
      </c>
      <c r="L2993">
        <v>0.56000000000000005</v>
      </c>
      <c r="M2993">
        <v>0.2</v>
      </c>
      <c r="N2993">
        <v>0.24</v>
      </c>
      <c r="O2993">
        <v>0.34</v>
      </c>
      <c r="P2993">
        <v>0.72</v>
      </c>
      <c r="Q2993">
        <v>0.61</v>
      </c>
      <c r="R2993" s="2">
        <v>7.0000000000000007E-2</v>
      </c>
      <c r="S2993" t="str">
        <f>IF(Table1[[#This Row],[Years_Experience]]&lt;=5,"Early Career",
IF(Table1[[#This Row],[Years_Experience]]&lt;=15,"Mid Career","Senior Level"))</f>
        <v>Mid Career</v>
      </c>
      <c r="T2993" t="str">
        <f>IF(Table1[[#This Row],[AI_Exposure_Index]]&gt;=0.7,"High Exposure", IF(Table1[[#This Row],[AI_Exposure_Index]]&gt;=0.3,"Medium Exposure","Low Exposure"))</f>
        <v>High Exposure</v>
      </c>
    </row>
    <row r="2994" spans="1:20" x14ac:dyDescent="0.25">
      <c r="A2994" t="s">
        <v>41</v>
      </c>
      <c r="B2994">
        <v>119894</v>
      </c>
      <c r="C2994" s="1">
        <v>13</v>
      </c>
      <c r="D2994" t="s">
        <v>38</v>
      </c>
      <c r="E2994" s="7">
        <v>1.17</v>
      </c>
      <c r="F2994" s="2">
        <v>0.26</v>
      </c>
      <c r="G2994" s="7">
        <v>0.73</v>
      </c>
      <c r="H2994" s="9" t="s">
        <v>20</v>
      </c>
      <c r="I2994">
        <v>1</v>
      </c>
      <c r="J2994">
        <v>0.08</v>
      </c>
      <c r="K2994">
        <v>0.74</v>
      </c>
      <c r="L2994">
        <v>0.54</v>
      </c>
      <c r="M2994">
        <v>0.09</v>
      </c>
      <c r="N2994">
        <v>0.03</v>
      </c>
      <c r="O2994">
        <v>0.36</v>
      </c>
      <c r="P2994">
        <v>0.8</v>
      </c>
      <c r="Q2994">
        <v>0.04</v>
      </c>
      <c r="R2994" s="2">
        <v>0.7</v>
      </c>
      <c r="S2994" t="str">
        <f>IF(Table1[[#This Row],[Years_Experience]]&lt;=5,"Early Career",
IF(Table1[[#This Row],[Years_Experience]]&lt;=15,"Mid Career","Senior Level"))</f>
        <v>Mid Career</v>
      </c>
      <c r="T2994" t="str">
        <f>IF(Table1[[#This Row],[AI_Exposure_Index]]&gt;=0.7,"High Exposure", IF(Table1[[#This Row],[AI_Exposure_Index]]&gt;=0.3,"Medium Exposure","Low Exposure"))</f>
        <v>Low Exposure</v>
      </c>
    </row>
    <row r="2995" spans="1:20" x14ac:dyDescent="0.25">
      <c r="A2995" t="s">
        <v>29</v>
      </c>
      <c r="B2995">
        <v>78448</v>
      </c>
      <c r="C2995" s="1">
        <v>25</v>
      </c>
      <c r="D2995" t="s">
        <v>25</v>
      </c>
      <c r="E2995" s="7">
        <v>0.57999999999999996</v>
      </c>
      <c r="F2995" s="2">
        <v>0.27</v>
      </c>
      <c r="G2995" s="7">
        <v>0.28000000000000003</v>
      </c>
      <c r="H2995" s="9" t="s">
        <v>23</v>
      </c>
      <c r="I2995">
        <v>0.3</v>
      </c>
      <c r="J2995">
        <v>0.11</v>
      </c>
      <c r="K2995">
        <v>0.68</v>
      </c>
      <c r="L2995">
        <v>0.22</v>
      </c>
      <c r="M2995">
        <v>0.48</v>
      </c>
      <c r="N2995">
        <v>0.05</v>
      </c>
      <c r="O2995">
        <v>0.99</v>
      </c>
      <c r="P2995">
        <v>0.45</v>
      </c>
      <c r="Q2995">
        <v>1</v>
      </c>
      <c r="R2995" s="2">
        <v>0.39</v>
      </c>
      <c r="S2995" t="str">
        <f>IF(Table1[[#This Row],[Years_Experience]]&lt;=5,"Early Career",
IF(Table1[[#This Row],[Years_Experience]]&lt;=15,"Mid Career","Senior Level"))</f>
        <v>Senior Level</v>
      </c>
      <c r="T2995" t="str">
        <f>IF(Table1[[#This Row],[AI_Exposure_Index]]&gt;=0.7,"High Exposure", IF(Table1[[#This Row],[AI_Exposure_Index]]&gt;=0.3,"Medium Exposure","Low Exposure"))</f>
        <v>Low Exposure</v>
      </c>
    </row>
    <row r="2996" spans="1:20" x14ac:dyDescent="0.25">
      <c r="A2996" t="s">
        <v>30</v>
      </c>
      <c r="B2996">
        <v>86686</v>
      </c>
      <c r="C2996" s="1">
        <v>18</v>
      </c>
      <c r="D2996" t="s">
        <v>25</v>
      </c>
      <c r="E2996" s="7">
        <v>0.83</v>
      </c>
      <c r="F2996" s="2">
        <v>0.91</v>
      </c>
      <c r="G2996" s="7">
        <v>0.47</v>
      </c>
      <c r="H2996" s="9" t="s">
        <v>27</v>
      </c>
      <c r="I2996">
        <v>0.08</v>
      </c>
      <c r="J2996">
        <v>0.96</v>
      </c>
      <c r="K2996">
        <v>0.09</v>
      </c>
      <c r="L2996">
        <v>0.77</v>
      </c>
      <c r="M2996">
        <v>0.54</v>
      </c>
      <c r="N2996">
        <v>0.06</v>
      </c>
      <c r="O2996">
        <v>0</v>
      </c>
      <c r="P2996">
        <v>0.94</v>
      </c>
      <c r="Q2996">
        <v>0.74</v>
      </c>
      <c r="R2996" s="2">
        <v>0.69</v>
      </c>
      <c r="S2996" t="str">
        <f>IF(Table1[[#This Row],[Years_Experience]]&lt;=5,"Early Career",
IF(Table1[[#This Row],[Years_Experience]]&lt;=15,"Mid Career","Senior Level"))</f>
        <v>Senior Level</v>
      </c>
      <c r="T2996" t="str">
        <f>IF(Table1[[#This Row],[AI_Exposure_Index]]&gt;=0.7,"High Exposure", IF(Table1[[#This Row],[AI_Exposure_Index]]&gt;=0.3,"Medium Exposure","Low Exposure"))</f>
        <v>High Exposure</v>
      </c>
    </row>
    <row r="2997" spans="1:20" x14ac:dyDescent="0.25">
      <c r="A2997" t="s">
        <v>40</v>
      </c>
      <c r="B2997">
        <v>111319</v>
      </c>
      <c r="C2997" s="1">
        <v>6</v>
      </c>
      <c r="D2997" t="s">
        <v>38</v>
      </c>
      <c r="E2997" s="7">
        <v>1.18</v>
      </c>
      <c r="F2997" s="2">
        <v>0.24</v>
      </c>
      <c r="G2997" s="7">
        <v>0.2</v>
      </c>
      <c r="H2997" s="9" t="s">
        <v>23</v>
      </c>
      <c r="I2997">
        <v>0.73</v>
      </c>
      <c r="J2997">
        <v>0.37</v>
      </c>
      <c r="K2997">
        <v>0.99</v>
      </c>
      <c r="L2997">
        <v>7.0000000000000007E-2</v>
      </c>
      <c r="M2997">
        <v>0.08</v>
      </c>
      <c r="N2997">
        <v>0.92</v>
      </c>
      <c r="O2997">
        <v>0.65</v>
      </c>
      <c r="P2997">
        <v>0.33</v>
      </c>
      <c r="Q2997">
        <v>0.76</v>
      </c>
      <c r="R2997" s="2">
        <v>0.45</v>
      </c>
      <c r="S2997" t="str">
        <f>IF(Table1[[#This Row],[Years_Experience]]&lt;=5,"Early Career",
IF(Table1[[#This Row],[Years_Experience]]&lt;=15,"Mid Career","Senior Level"))</f>
        <v>Mid Career</v>
      </c>
      <c r="T2997" t="str">
        <f>IF(Table1[[#This Row],[AI_Exposure_Index]]&gt;=0.7,"High Exposure", IF(Table1[[#This Row],[AI_Exposure_Index]]&gt;=0.3,"Medium Exposure","Low Exposure"))</f>
        <v>Low Exposure</v>
      </c>
    </row>
    <row r="2998" spans="1:20" x14ac:dyDescent="0.25">
      <c r="A2998" t="s">
        <v>34</v>
      </c>
      <c r="B2998">
        <v>44363</v>
      </c>
      <c r="C2998" s="1">
        <v>29</v>
      </c>
      <c r="D2998" t="s">
        <v>22</v>
      </c>
      <c r="E2998" s="7">
        <v>0.74</v>
      </c>
      <c r="F2998" s="2">
        <v>0.65</v>
      </c>
      <c r="G2998" s="7">
        <v>0.35</v>
      </c>
      <c r="H2998" s="9" t="s">
        <v>27</v>
      </c>
      <c r="I2998">
        <v>0.23</v>
      </c>
      <c r="J2998">
        <v>0.48</v>
      </c>
      <c r="K2998">
        <v>0.05</v>
      </c>
      <c r="L2998">
        <v>0.88</v>
      </c>
      <c r="M2998">
        <v>0.56000000000000005</v>
      </c>
      <c r="N2998">
        <v>0.28999999999999998</v>
      </c>
      <c r="O2998">
        <v>0.69</v>
      </c>
      <c r="P2998">
        <v>0.8</v>
      </c>
      <c r="Q2998">
        <v>0.61</v>
      </c>
      <c r="R2998" s="2">
        <v>0.2</v>
      </c>
      <c r="S2998" t="str">
        <f>IF(Table1[[#This Row],[Years_Experience]]&lt;=5,"Early Career",
IF(Table1[[#This Row],[Years_Experience]]&lt;=15,"Mid Career","Senior Level"))</f>
        <v>Senior Level</v>
      </c>
      <c r="T2998" t="str">
        <f>IF(Table1[[#This Row],[AI_Exposure_Index]]&gt;=0.7,"High Exposure", IF(Table1[[#This Row],[AI_Exposure_Index]]&gt;=0.3,"Medium Exposure","Low Exposure"))</f>
        <v>Medium Exposure</v>
      </c>
    </row>
    <row r="2999" spans="1:20" x14ac:dyDescent="0.25">
      <c r="A2999" t="s">
        <v>36</v>
      </c>
      <c r="B2999">
        <v>61325</v>
      </c>
      <c r="C2999" s="1">
        <v>23</v>
      </c>
      <c r="D2999" t="s">
        <v>19</v>
      </c>
      <c r="E2999" s="7">
        <v>0.94</v>
      </c>
      <c r="F2999" s="2">
        <v>0.64</v>
      </c>
      <c r="G2999" s="7">
        <v>0.39</v>
      </c>
      <c r="H2999" s="9" t="s">
        <v>27</v>
      </c>
      <c r="I2999">
        <v>0.28000000000000003</v>
      </c>
      <c r="J2999">
        <v>0.62</v>
      </c>
      <c r="K2999">
        <v>0.73</v>
      </c>
      <c r="L2999">
        <v>0.21</v>
      </c>
      <c r="M2999">
        <v>0.96</v>
      </c>
      <c r="N2999">
        <v>0.01</v>
      </c>
      <c r="O2999">
        <v>0.7</v>
      </c>
      <c r="P2999">
        <v>0.28999999999999998</v>
      </c>
      <c r="Q2999">
        <v>0.48</v>
      </c>
      <c r="R2999" s="2">
        <v>0.56999999999999995</v>
      </c>
      <c r="S2999" t="str">
        <f>IF(Table1[[#This Row],[Years_Experience]]&lt;=5,"Early Career",
IF(Table1[[#This Row],[Years_Experience]]&lt;=15,"Mid Career","Senior Level"))</f>
        <v>Senior Level</v>
      </c>
      <c r="T2999" t="str">
        <f>IF(Table1[[#This Row],[AI_Exposure_Index]]&gt;=0.7,"High Exposure", IF(Table1[[#This Row],[AI_Exposure_Index]]&gt;=0.3,"Medium Exposure","Low Exposure"))</f>
        <v>Medium Exposure</v>
      </c>
    </row>
    <row r="3000" spans="1:20" x14ac:dyDescent="0.25">
      <c r="A3000" t="s">
        <v>37</v>
      </c>
      <c r="B3000">
        <v>110296</v>
      </c>
      <c r="C3000" s="1">
        <v>7</v>
      </c>
      <c r="D3000" t="s">
        <v>22</v>
      </c>
      <c r="E3000" s="7">
        <v>1.23</v>
      </c>
      <c r="F3000" s="2">
        <v>0.95</v>
      </c>
      <c r="G3000" s="7">
        <v>0.46</v>
      </c>
      <c r="H3000" s="9" t="s">
        <v>27</v>
      </c>
      <c r="I3000">
        <v>0.21</v>
      </c>
      <c r="J3000">
        <v>0.18</v>
      </c>
      <c r="K3000">
        <v>0.14000000000000001</v>
      </c>
      <c r="L3000">
        <v>0.22</v>
      </c>
      <c r="M3000">
        <v>0.55000000000000004</v>
      </c>
      <c r="N3000">
        <v>0.68</v>
      </c>
      <c r="O3000">
        <v>0.31</v>
      </c>
      <c r="P3000">
        <v>0.55000000000000004</v>
      </c>
      <c r="Q3000">
        <v>0.34</v>
      </c>
      <c r="R3000" s="2">
        <v>0.7</v>
      </c>
      <c r="S3000" t="str">
        <f>IF(Table1[[#This Row],[Years_Experience]]&lt;=5,"Early Career",
IF(Table1[[#This Row],[Years_Experience]]&lt;=15,"Mid Career","Senior Level"))</f>
        <v>Mid Career</v>
      </c>
      <c r="T3000" t="str">
        <f>IF(Table1[[#This Row],[AI_Exposure_Index]]&gt;=0.7,"High Exposure", IF(Table1[[#This Row],[AI_Exposure_Index]]&gt;=0.3,"Medium Exposure","Low Exposure"))</f>
        <v>High Exposure</v>
      </c>
    </row>
    <row r="3001" spans="1:20" x14ac:dyDescent="0.25">
      <c r="A3001" t="s">
        <v>37</v>
      </c>
      <c r="B3001">
        <v>123909</v>
      </c>
      <c r="C3001" s="1">
        <v>25</v>
      </c>
      <c r="D3001" t="s">
        <v>22</v>
      </c>
      <c r="E3001" s="7">
        <v>0.56000000000000005</v>
      </c>
      <c r="F3001" s="2">
        <v>0.69</v>
      </c>
      <c r="G3001" s="7">
        <v>0.49</v>
      </c>
      <c r="H3001" s="9" t="s">
        <v>27</v>
      </c>
      <c r="I3001">
        <v>0.77</v>
      </c>
      <c r="J3001">
        <v>0.54</v>
      </c>
      <c r="K3001">
        <v>0.95</v>
      </c>
      <c r="L3001">
        <v>0.05</v>
      </c>
      <c r="M3001">
        <v>0.28999999999999998</v>
      </c>
      <c r="N3001">
        <v>0.22</v>
      </c>
      <c r="O3001">
        <v>0.77</v>
      </c>
      <c r="P3001">
        <v>0.52</v>
      </c>
      <c r="Q3001">
        <v>0.14000000000000001</v>
      </c>
      <c r="R3001" s="2">
        <v>0.28999999999999998</v>
      </c>
      <c r="S3001" t="str">
        <f>IF(Table1[[#This Row],[Years_Experience]]&lt;=5,"Early Career",
IF(Table1[[#This Row],[Years_Experience]]&lt;=15,"Mid Career","Senior Level"))</f>
        <v>Senior Level</v>
      </c>
      <c r="T3001" t="str">
        <f>IF(Table1[[#This Row],[AI_Exposure_Index]]&gt;=0.7,"High Exposure", IF(Table1[[#This Row],[AI_Exposure_Index]]&gt;=0.3,"Medium Exposure","Low Exposure"))</f>
        <v>Medium Exposure</v>
      </c>
    </row>
  </sheetData>
  <conditionalFormatting sqref="B2:B3001">
    <cfRule type="top10" dxfId="1" priority="4" percent="1" rank="10"/>
  </conditionalFormatting>
  <conditionalFormatting sqref="F2:F3001">
    <cfRule type="colorScale" priority="2">
      <colorScale>
        <cfvo type="min"/>
        <cfvo type="max"/>
        <color rgb="FF00B050"/>
        <color rgb="FFFF0000"/>
      </colorScale>
    </cfRule>
  </conditionalFormatting>
  <conditionalFormatting sqref="G2:G3001">
    <cfRule type="cellIs" dxfId="0" priority="1" operator="greaterThan">
      <formula>0.8</formula>
    </cfRule>
  </conditionalFormatting>
  <conditionalFormatting sqref="H2:H3001">
    <cfRule type="colorScale" priority="3">
      <colorScale>
        <cfvo type="min"/>
        <cfvo type="percentile" val="50"/>
        <cfvo type="max"/>
        <color rgb="FFF8696B"/>
        <color rgb="FFFFEB84"/>
        <color rgb="FF63BE7B"/>
      </colorScale>
    </cfRule>
  </conditionalFormatting>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Dashboard</vt:lpstr>
      <vt:lpstr>Pivot</vt:lpstr>
      <vt:lpstr>Job_Lookup</vt:lpstr>
      <vt:lpstr>AI Impact on Jobs 2030 - 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Abhishek Kumar</dc:creator>
  <cp:lastModifiedBy>Abhishek Kumar</cp:lastModifiedBy>
  <dcterms:created xsi:type="dcterms:W3CDTF">2026-01-13T14:33:54Z</dcterms:created>
  <dcterms:modified xsi:type="dcterms:W3CDTF">2026-02-14T19:25:26Z</dcterms:modified>
</cp:coreProperties>
</file>